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harts/chart59.xml" ContentType="application/vnd.openxmlformats-officedocument.drawingml.chart+xml"/>
  <Override PartName="/xl/theme/themeOverride58.xml" ContentType="application/vnd.openxmlformats-officedocument.themeOverride+xml"/>
  <Override PartName="/xl/charts/chart60.xml" ContentType="application/vnd.openxmlformats-officedocument.drawingml.chart+xml"/>
  <Override PartName="/xl/theme/themeOverride59.xml" ContentType="application/vnd.openxmlformats-officedocument.themeOverride+xml"/>
  <Override PartName="/xl/charts/chart61.xml" ContentType="application/vnd.openxmlformats-officedocument.drawingml.chart+xml"/>
  <Override PartName="/xl/charts/style36.xml" ContentType="application/vnd.ms-office.chartstyle+xml"/>
  <Override PartName="/xl/theme/themeOverride57.xml" ContentType="application/vnd.openxmlformats-officedocument.themeOverride+xml"/>
  <Override PartName="/xl/charts/colors35.xml" ContentType="application/vnd.ms-office.chartcolorstyle+xml"/>
  <Override PartName="/xl/charts/style35.xml" ContentType="application/vnd.ms-office.chartstyle+xml"/>
  <Override PartName="/xl/theme/themeOverride54.xml" ContentType="application/vnd.openxmlformats-officedocument.themeOverride+xml"/>
  <Override PartName="/xl/charts/chart56.xml" ContentType="application/vnd.openxmlformats-officedocument.drawingml.chart+xml"/>
  <Override PartName="/xl/theme/themeOverride55.xml" ContentType="application/vnd.openxmlformats-officedocument.themeOverride+xml"/>
  <Override PartName="/xl/charts/chart57.xml" ContentType="application/vnd.openxmlformats-officedocument.drawingml.chart+xml"/>
  <Override PartName="/xl/theme/themeOverride56.xml" ContentType="application/vnd.openxmlformats-officedocument.themeOverride+xml"/>
  <Override PartName="/xl/charts/chart58.xml" ContentType="application/vnd.openxmlformats-officedocument.drawingml.chart+xml"/>
  <Override PartName="/xl/charts/colors36.xml" ContentType="application/vnd.ms-office.chartcolorstyle+xml"/>
  <Override PartName="/xl/charts/chart62.xml" ContentType="application/vnd.openxmlformats-officedocument.drawingml.chart+xml"/>
  <Override PartName="/xl/charts/style37.xml" ContentType="application/vnd.ms-office.chartstyle+xml"/>
  <Override PartName="/xl/charts/colors39.xml" ContentType="application/vnd.ms-office.chartcolorstyle+xml"/>
  <Override PartName="/xl/theme/themeOverride62.xml" ContentType="application/vnd.openxmlformats-officedocument.themeOverride+xml"/>
  <Override PartName="/xl/charts/chart66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63.xml" ContentType="application/vnd.openxmlformats-officedocument.themeOverride+xml"/>
  <Override PartName="/xl/charts/style39.xml" ContentType="application/vnd.ms-office.chartstyle+xml"/>
  <Override PartName="/xl/charts/chart65.xml" ContentType="application/vnd.openxmlformats-officedocument.drawingml.chart+xml"/>
  <Override PartName="/xl/theme/themeOverride61.xml" ContentType="application/vnd.openxmlformats-officedocument.themeOverride+xml"/>
  <Override PartName="/xl/charts/colors37.xml" ContentType="application/vnd.ms-office.chartcolorstyle+xml"/>
  <Override PartName="/xl/charts/chart63.xml" ContentType="application/vnd.openxmlformats-officedocument.drawingml.chart+xml"/>
  <Override PartName="/xl/theme/themeOverride60.xml" ContentType="application/vnd.openxmlformats-officedocument.themeOverride+xml"/>
  <Override PartName="/xl/charts/chart6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55.xml" ContentType="application/vnd.openxmlformats-officedocument.drawingml.chart+xml"/>
  <Override PartName="/xl/theme/themeOverride53.xml" ContentType="application/vnd.openxmlformats-officedocument.themeOverride+xml"/>
  <Override PartName="/xl/charts/chart5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46.xml" ContentType="application/vnd.openxmlformats-officedocument.themeOverride+xml"/>
  <Override PartName="/xl/charts/chart47.xml" ContentType="application/vnd.openxmlformats-officedocument.drawingml.chart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charts/chart46.xml" ContentType="application/vnd.openxmlformats-officedocument.drawingml.chart+xml"/>
  <Override PartName="/xl/theme/themeOverride45.xml" ContentType="application/vnd.openxmlformats-officedocument.themeOverride+xml"/>
  <Override PartName="/xl/charts/colors29.xml" ContentType="application/vnd.ms-office.chartcolorstyle+xml"/>
  <Override PartName="/xl/charts/chart44.xml" ContentType="application/vnd.openxmlformats-officedocument.drawingml.chart+xml"/>
  <Override PartName="/xl/charts/style28.xml" ContentType="application/vnd.ms-office.chartstyle+xml"/>
  <Override PartName="/xl/worksheets/sheet1.xml" ContentType="application/vnd.openxmlformats-officedocument.spreadsheetml.worksheet+xml"/>
  <Override PartName="/xl/theme/themeOverride44.xml" ContentType="application/vnd.openxmlformats-officedocument.themeOverride+xml"/>
  <Override PartName="/xl/charts/chart45.xml" ContentType="application/vnd.openxmlformats-officedocument.drawingml.chart+xml"/>
  <Override PartName="/xl/charts/style29.xml" ContentType="application/vnd.ms-office.chartstyle+xml"/>
  <Override PartName="/xl/charts/style31.xml" ContentType="application/vnd.ms-office.chartstyle+xml"/>
  <Override PartName="/xl/charts/colors31.xml" ContentType="application/vnd.ms-office.chartcolorstyle+xml"/>
  <Override PartName="/xl/theme/themeOverride48.xml" ContentType="application/vnd.openxmlformats-officedocument.themeOverride+xml"/>
  <Override PartName="/xl/charts/chart52.xml" ContentType="application/vnd.openxmlformats-officedocument.drawingml.chart+xml"/>
  <Override PartName="/xl/theme/themeOverride51.xml" ContentType="application/vnd.openxmlformats-officedocument.themeOverride+xml"/>
  <Override PartName="/xl/charts/chart5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52.xml" ContentType="application/vnd.openxmlformats-officedocument.themeOverride+xml"/>
  <Override PartName="/xl/theme/themeOverride50.xml" ContentType="application/vnd.openxmlformats-officedocument.themeOverride+xml"/>
  <Override PartName="/xl/charts/chart51.xml" ContentType="application/vnd.openxmlformats-officedocument.drawingml.chart+xml"/>
  <Override PartName="/xl/charts/colors33.xml" ContentType="application/vnd.ms-office.chartcolorstyle+xml"/>
  <Override PartName="/xl/charts/chart49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49.xml" ContentType="application/vnd.openxmlformats-officedocument.themeOverride+xml"/>
  <Override PartName="/xl/charts/chart50.xml" ContentType="application/vnd.openxmlformats-officedocument.drawingml.chart+xml"/>
  <Override PartName="/xl/charts/style33.xml" ContentType="application/vnd.ms-office.chartstyle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theme/themeOverride43.xml" ContentType="application/vnd.openxmlformats-officedocument.themeOverride+xml"/>
  <Override PartName="/xl/charts/colors28.xml" ContentType="application/vnd.ms-office.chartcolorstyle+xml"/>
  <Override PartName="/xl/theme/themeOverride42.xml" ContentType="application/vnd.openxmlformats-officedocument.themeOverrid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colors7.xml" ContentType="application/vnd.ms-office.chartcolorstyle+xml"/>
  <Override PartName="/xl/charts/style7.xml" ContentType="application/vnd.ms-office.chartstyle+xml"/>
  <Override PartName="/xl/charts/chart15.xml" ContentType="application/vnd.openxmlformats-officedocument.drawingml.chart+xml"/>
  <Override PartName="/xl/charts/colors5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4.xml" ContentType="application/vnd.openxmlformats-officedocument.themeOverrid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colors10.xml" ContentType="application/vnd.ms-office.chartcolorstyle+xml"/>
  <Override PartName="/xl/charts/style10.xml" ContentType="application/vnd.ms-office.chartstyle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0.xml" ContentType="application/vnd.openxmlformats-officedocument.themeOverride+xml"/>
  <Override PartName="/xl/charts/style5.xml" ContentType="application/vnd.ms-office.chartstyle+xml"/>
  <Override PartName="/xl/charts/chart13.xml" ContentType="application/vnd.openxmlformats-officedocument.drawingml.chart+xml"/>
  <Override PartName="/xl/theme/themeOverride12.xml" ContentType="application/vnd.openxmlformats-officedocument.themeOverride+xml"/>
  <Override PartName="/xl/charts/style1.xml" ContentType="application/vnd.ms-office.chartstyle+xml"/>
  <Override PartName="/xl/charts/colors1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3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2.xml" ContentType="application/vnd.ms-office.chart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olors3.xml" ContentType="application/vnd.ms-office.chartcolorstyle+xml"/>
  <Override PartName="/xl/charts/style3.xml" ContentType="application/vnd.ms-office.chartstyle+xml"/>
  <Override PartName="/xl/charts/chart10.xml" ContentType="application/vnd.openxmlformats-officedocument.drawingml.chart+xml"/>
  <Override PartName="/xl/charts/colors2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style12.xml" ContentType="application/vnd.ms-office.chartstyle+xml"/>
  <Override PartName="/xl/charts/chart43.xml" ContentType="application/vnd.openxmlformats-officedocument.drawingml.chart+xml"/>
  <Override PartName="/xl/charts/colors27.xml" ContentType="application/vnd.ms-office.chartcolorstyle+xml"/>
  <Override PartName="/xl/charts/colors21.xml" ContentType="application/vnd.ms-office.chartcolorstyle+xml"/>
  <Override PartName="/xl/theme/themeOverride33.xml" ContentType="application/vnd.openxmlformats-officedocument.themeOverrid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34.xml" ContentType="application/vnd.openxmlformats-officedocument.themeOverride+xml"/>
  <Override PartName="/xl/charts/style21.xml" ContentType="application/vnd.ms-office.chartstyle+xml"/>
  <Override PartName="/xl/charts/chart33.xml" ContentType="application/vnd.openxmlformats-officedocument.drawingml.chart+xml"/>
  <Override PartName="/xl/theme/themeOverride32.xml" ContentType="application/vnd.openxmlformats-officedocument.themeOverride+xml"/>
  <Override PartName="/xl/charts/style19.xml" ContentType="application/vnd.ms-office.chartstyle+xml"/>
  <Override PartName="/xl/charts/colors19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charts/style27.xml" ContentType="application/vnd.ms-office.chartstyle+xml"/>
  <Override PartName="/xl/theme/themeOverride37.xml" ContentType="application/vnd.openxmlformats-officedocument.themeOverride+xml"/>
  <Override PartName="/xl/charts/colors25.xml" ContentType="application/vnd.ms-office.chartcolorstyle+xml"/>
  <Override PartName="/xl/charts/style25.xml" ContentType="application/vnd.ms-office.chartstyle+xml"/>
  <Override PartName="/xl/theme/themeOverride35.xml" ContentType="application/vnd.openxmlformats-officedocument.themeOverrid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36.xml" ContentType="application/vnd.openxmlformats-officedocument.themeOverride+xml"/>
  <Override PartName="/xl/charts/chart37.xml" ContentType="application/vnd.openxmlformats-officedocument.drawingml.chart+xml"/>
  <Override PartName="/xl/theme/themeOverride39.xml" ContentType="application/vnd.openxmlformats-officedocument.themeOverride+xml"/>
  <Override PartName="/xl/charts/chart31.xml" ContentType="application/vnd.openxmlformats-officedocument.drawingml.chart+xml"/>
  <Override PartName="/xl/charts/colors18.xml" ContentType="application/vnd.ms-office.chartcolorstyle+xml"/>
  <Override PartName="/xl/charts/style13.xml" ContentType="application/vnd.ms-office.chartstyle+xml"/>
  <Override PartName="/xl/charts/colors13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4.xml" ContentType="application/vnd.openxmlformats-officedocument.drawingml.chart+xml"/>
  <Override PartName="/xl/theme/themeOverride23.xml" ContentType="application/vnd.openxmlformats-officedocument.themeOverride+xml"/>
  <Override PartName="/xl/charts/chart40.xml" ContentType="application/vnd.openxmlformats-officedocument.drawingml.chart+xml"/>
  <Override PartName="/xl/charts/chart42.xml" ContentType="application/vnd.openxmlformats-officedocument.drawingml.chart+xml"/>
  <Override PartName="/xl/theme/themeOverride41.xml" ContentType="application/vnd.openxmlformats-officedocument.themeOverride+xml"/>
  <Override PartName="/xl/charts/chart41.xml" ContentType="application/vnd.openxmlformats-officedocument.drawingml.chart+xml"/>
  <Override PartName="/xl/theme/themeOverride40.xml" ContentType="application/vnd.openxmlformats-officedocument.themeOverride+xml"/>
  <Override PartName="/xl/charts/colors12.xml" ContentType="application/vnd.ms-office.chartcolorstyle+xml"/>
  <Override PartName="/xl/theme/themeOverride30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charts/style18.xml" ContentType="application/vnd.ms-office.chartstyle+xml"/>
  <Override PartName="/xl/charts/chart26.xml" ContentType="application/vnd.openxmlformats-officedocument.drawingml.chart+xml"/>
  <Override PartName="/xl/theme/themeOverride28.xml" ContentType="application/vnd.openxmlformats-officedocument.themeOverride+xml"/>
  <Override PartName="/xl/charts/style16.xml" ContentType="application/vnd.ms-office.chartstyle+xml"/>
  <Override PartName="/xl/charts/chart27.xml" ContentType="application/vnd.openxmlformats-officedocument.drawingml.chart+xml"/>
  <Override PartName="/xl/charts/colors16.xml" ContentType="application/vnd.ms-office.chartcolorstyle+xml"/>
  <Override PartName="/xl/charts/style15.xml" ContentType="application/vnd.ms-office.chart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colors15.xml" ContentType="application/vnd.ms-office.chartcolorstyle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ltiplier.GRASMERE\Dropbox\Triple C Pigs Production Folder\1. Weekly Farm Report - good\Multiplier\"/>
    </mc:Choice>
  </mc:AlternateContent>
  <xr:revisionPtr revIDLastSave="0" documentId="13_ncr:1_{9217529B-444D-4A76-93CC-C19B8301D8A7}" xr6:coauthVersionLast="36" xr6:coauthVersionMax="47" xr10:uidLastSave="{00000000-0000-0000-0000-000000000000}"/>
  <bookViews>
    <workbookView xWindow="-120" yWindow="-120" windowWidth="20730" windowHeight="11040" tabRatio="597" activeTab="1" xr2:uid="{00000000-000D-0000-FFFF-FFFF00000000}"/>
  </bookViews>
  <sheets>
    <sheet name="Dashboard" sheetId="5" r:id="rId1"/>
    <sheet name="Multiplier Weekly Report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202" i="4" l="1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BE37" i="4" l="1"/>
  <c r="BK18" i="4" l="1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P74" i="4" l="1"/>
  <c r="AN92" i="4" l="1"/>
  <c r="AN74" i="4"/>
  <c r="AK92" i="4" l="1"/>
  <c r="M302" i="4" l="1"/>
  <c r="L302" i="4"/>
  <c r="K302" i="4"/>
  <c r="J302" i="4"/>
  <c r="I302" i="4"/>
  <c r="H302" i="4"/>
  <c r="G302" i="4"/>
  <c r="F302" i="4"/>
  <c r="E302" i="4"/>
  <c r="D302" i="4"/>
  <c r="C302" i="4"/>
  <c r="M300" i="4"/>
  <c r="L300" i="4"/>
  <c r="K300" i="4"/>
  <c r="J300" i="4"/>
  <c r="I300" i="4"/>
  <c r="H300" i="4"/>
  <c r="G300" i="4"/>
  <c r="F300" i="4"/>
  <c r="E300" i="4"/>
  <c r="D300" i="4"/>
  <c r="C300" i="4"/>
  <c r="T87" i="4" l="1"/>
  <c r="R92" i="4" l="1"/>
  <c r="AB150" i="4" l="1"/>
  <c r="V152" i="4"/>
  <c r="C6" i="4" l="1"/>
  <c r="B6" i="4"/>
  <c r="BK152" i="4" l="1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A198" i="4" l="1"/>
  <c r="Z202" i="4" l="1"/>
  <c r="Y145" i="4" l="1"/>
  <c r="X184" i="4" l="1"/>
  <c r="W184" i="4"/>
  <c r="U184" i="4"/>
  <c r="T184" i="4"/>
  <c r="N50" i="4" l="1"/>
  <c r="AE87" i="4" l="1"/>
  <c r="R87" i="4"/>
  <c r="S87" i="4"/>
  <c r="U87" i="4"/>
  <c r="V87" i="4"/>
  <c r="W87" i="4"/>
  <c r="X87" i="4"/>
  <c r="Y87" i="4"/>
  <c r="AG87" i="4"/>
  <c r="AH87" i="4"/>
  <c r="AH89" i="4"/>
  <c r="W71" i="4"/>
  <c r="X71" i="4"/>
  <c r="Y71" i="4"/>
  <c r="AB71" i="4"/>
  <c r="AC71" i="4"/>
  <c r="N52" i="4"/>
  <c r="O52" i="4"/>
  <c r="P52" i="4"/>
  <c r="Q52" i="4"/>
  <c r="R52" i="4"/>
  <c r="S52" i="4"/>
  <c r="T52" i="4"/>
  <c r="U52" i="4"/>
  <c r="V52" i="4"/>
  <c r="P51" i="4"/>
  <c r="Q51" i="4"/>
  <c r="S51" i="4"/>
  <c r="T51" i="4"/>
  <c r="C202" i="4" l="1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202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200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198" i="4"/>
  <c r="W69" i="4" l="1"/>
  <c r="X69" i="4"/>
  <c r="Y69" i="4"/>
  <c r="AB69" i="4"/>
  <c r="AC69" i="4"/>
  <c r="AD69" i="4"/>
  <c r="O50" i="4" l="1"/>
  <c r="P50" i="4"/>
  <c r="Q50" i="4"/>
  <c r="R50" i="4"/>
  <c r="S50" i="4"/>
  <c r="T50" i="4"/>
  <c r="U50" i="4"/>
  <c r="V50" i="4"/>
  <c r="C58" i="4" l="1"/>
  <c r="D58" i="4"/>
  <c r="E58" i="4"/>
  <c r="F58" i="4"/>
  <c r="G58" i="4"/>
  <c r="H58" i="4"/>
  <c r="I58" i="4"/>
  <c r="J58" i="4"/>
  <c r="K58" i="4"/>
  <c r="L58" i="4"/>
  <c r="M58" i="4"/>
  <c r="N58" i="4"/>
  <c r="C56" i="4"/>
  <c r="D56" i="4"/>
  <c r="E56" i="4"/>
  <c r="F56" i="4"/>
  <c r="G56" i="4"/>
  <c r="H56" i="4"/>
  <c r="I56" i="4"/>
  <c r="J56" i="4"/>
  <c r="K56" i="4"/>
  <c r="L56" i="4"/>
  <c r="M56" i="4"/>
  <c r="N56" i="4"/>
  <c r="C54" i="4"/>
  <c r="D54" i="4"/>
  <c r="E54" i="4"/>
  <c r="F54" i="4"/>
  <c r="G54" i="4"/>
  <c r="H54" i="4"/>
  <c r="I54" i="4"/>
  <c r="J54" i="4"/>
  <c r="K54" i="4"/>
  <c r="L54" i="4"/>
  <c r="M54" i="4"/>
  <c r="B58" i="4"/>
  <c r="B56" i="4"/>
  <c r="B5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145" i="4"/>
  <c r="B143" i="4"/>
  <c r="B141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C120" i="4"/>
  <c r="D120" i="4"/>
  <c r="E120" i="4"/>
  <c r="F120" i="4"/>
  <c r="G120" i="4"/>
  <c r="H120" i="4"/>
  <c r="I120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122" i="4"/>
  <c r="B120" i="4"/>
  <c r="B118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S92" i="4"/>
  <c r="T92" i="4"/>
  <c r="U92" i="4"/>
  <c r="V92" i="4"/>
  <c r="W92" i="4"/>
  <c r="X92" i="4"/>
  <c r="Y92" i="4"/>
  <c r="AA92" i="4"/>
  <c r="AB92" i="4"/>
  <c r="AC92" i="4"/>
  <c r="AD92" i="4"/>
  <c r="AE92" i="4"/>
  <c r="AF92" i="4"/>
  <c r="AH92" i="4"/>
  <c r="AI92" i="4"/>
  <c r="AJ92" i="4"/>
  <c r="AL92" i="4"/>
  <c r="AM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B94" i="4"/>
  <c r="B92" i="4"/>
  <c r="B90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C76" i="4"/>
  <c r="D76" i="4"/>
  <c r="E76" i="4"/>
  <c r="F76" i="4"/>
  <c r="G76" i="4"/>
  <c r="H76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O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C74" i="4"/>
  <c r="D74" i="4"/>
  <c r="E74" i="4"/>
  <c r="F74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76" i="4"/>
  <c r="B74" i="4"/>
  <c r="B72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F37" i="4"/>
  <c r="BG37" i="4"/>
  <c r="BH37" i="4"/>
  <c r="BI37" i="4"/>
  <c r="BJ37" i="4"/>
  <c r="BK37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J39" i="4"/>
  <c r="K39" i="4"/>
  <c r="L39" i="4"/>
  <c r="M39" i="4"/>
  <c r="N39" i="4"/>
  <c r="J37" i="4"/>
  <c r="K37" i="4"/>
  <c r="L37" i="4"/>
  <c r="M37" i="4"/>
  <c r="N37" i="4"/>
  <c r="K35" i="4"/>
  <c r="L35" i="4"/>
  <c r="M35" i="4"/>
  <c r="N35" i="4"/>
  <c r="J35" i="4"/>
  <c r="G39" i="4"/>
  <c r="H39" i="4"/>
  <c r="I39" i="4"/>
  <c r="F39" i="4"/>
  <c r="I37" i="4"/>
  <c r="H37" i="4"/>
  <c r="G37" i="4"/>
  <c r="F37" i="4"/>
  <c r="G35" i="4"/>
  <c r="H35" i="4"/>
  <c r="I35" i="4"/>
  <c r="F35" i="4"/>
  <c r="C39" i="4"/>
  <c r="D39" i="4"/>
  <c r="E39" i="4"/>
  <c r="B39" i="4"/>
  <c r="C37" i="4"/>
  <c r="D37" i="4"/>
  <c r="E37" i="4"/>
  <c r="B37" i="4"/>
  <c r="C35" i="4"/>
  <c r="D35" i="4"/>
  <c r="E35" i="4"/>
  <c r="B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Multiplier</author>
    <author>HP</author>
    <author>user</author>
    <author>tc={E4AE9D32-6D78-4A84-B80F-B7288ED13E44}</author>
    <author>tc={8421EE12-4482-4A0E-A51A-13E8038275D0}</author>
    <author>tc={59138720-9F96-4E2F-A664-80D23341AF7A}</author>
    <author>tc={BEF241E1-1B89-4F0C-8DFE-7C094C805A23}</author>
  </authors>
  <commentList>
    <comment ref="AI21" authorId="0" shapeId="0" xr:uid="{328B88CC-C077-433B-B649-024FCF2818DD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ARRIVED AT 10 WKS
</t>
        </r>
      </text>
    </comment>
    <comment ref="AJ21" authorId="0" shapeId="0" xr:uid="{345174CC-2434-4511-80C4-26ABAC2F5525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ARRIVED AT 9 WKS
</t>
        </r>
      </text>
    </comment>
    <comment ref="Z25" authorId="1" shapeId="0" xr:uid="{0C9FA5E3-C0FC-4521-9F9D-B3CB8C69F7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black scouring at 5weeks to 7 weeks 
treatments; Advocin</t>
        </r>
      </text>
    </comment>
    <comment ref="AA25" authorId="1" shapeId="0" xr:uid="{8028B232-A058-4FDE-90C0-8DCC744143D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black scouring at 5weeks to 7 weeks 
treatments; Advocin</t>
        </r>
      </text>
    </comment>
    <comment ref="AJ25" authorId="0" shapeId="0" xr:uid="{BA595FE6-E9F6-4A54-BE0D-43D57BB5B2CB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ARRIVED AT 9 WKS
</t>
        </r>
      </text>
    </comment>
    <comment ref="BE69" authorId="0" shapeId="0" xr:uid="{106A9DAA-8107-4506-B923-D44239D3B5BC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NEW BATCH ARRIVAL
NO ADGS</t>
        </r>
      </text>
    </comment>
    <comment ref="BF69" authorId="0" shapeId="0" xr:uid="{0EDFD714-EB7F-42E5-AC10-AB29DB4D5B6B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ADG FOR 7 DAYS
</t>
        </r>
      </text>
    </comment>
    <comment ref="BG69" authorId="0" shapeId="0" xr:uid="{0E00741F-0934-4AB7-9F9C-16A6FF13AA8D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23 TO 25 WKS ADG</t>
        </r>
      </text>
    </comment>
    <comment ref="BH69" authorId="0" shapeId="0" xr:uid="{17362E39-3CB6-4E5D-B10A-34DDD8920AF1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ADG FOR 21 DAYS ONLY
</t>
        </r>
      </text>
    </comment>
    <comment ref="X78" authorId="2" shapeId="0" xr:uid="{251795E6-BC7F-46ED-94DB-6461A19DF2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Started using gilt 4.1</t>
        </r>
      </text>
    </comment>
    <comment ref="BE87" authorId="0" shapeId="0" xr:uid="{7E550846-C0E4-4120-8FE6-F9C5C42CA688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ARRIVAL WEEK
NO ADGS</t>
        </r>
      </text>
    </comment>
    <comment ref="BF87" authorId="0" shapeId="0" xr:uid="{EC233E95-CC67-4C2C-A146-3EE17FDD3C39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ADG FOR 7 DAYS</t>
        </r>
      </text>
    </comment>
    <comment ref="BG87" authorId="0" shapeId="0" xr:uid="{46A7C1DD-5A74-4816-9BE0-B0140841DCAD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26 TO 28WKS ADG ONLY </t>
        </r>
      </text>
    </comment>
    <comment ref="R88" authorId="0" shapeId="0" xr:uid="{F087C6A0-1F0F-47DE-801B-67D98097E098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leg problem
</t>
        </r>
      </text>
    </comment>
    <comment ref="BH103" authorId="0" shapeId="0" xr:uid="{A8A76B58-2641-4BBD-A9B0-3CBAC1D2A806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AS TZZZZ</t>
        </r>
      </text>
    </comment>
    <comment ref="BF104" authorId="0" shapeId="0" xr:uid="{E11E204D-E469-4B9F-97E8-95F1FD2937E0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RETURN SERVE
</t>
        </r>
      </text>
    </comment>
    <comment ref="BG104" authorId="0" shapeId="0" xr:uid="{842F6A20-E62C-4EAE-82C0-E33483102161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RETURN SERVE</t>
        </r>
      </text>
    </comment>
    <comment ref="AI110" authorId="0" shapeId="0" xr:uid="{679104FD-FDB6-4DAE-8CFB-E65CF31BCB9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2 gilts over weight largets svd @ 34wks wgt 201kgs</t>
        </r>
      </text>
    </comment>
    <comment ref="O125" authorId="0" shapeId="0" xr:uid="{DB21BFA4-9795-460F-8561-C5698A9879A8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gilt aged 35
</t>
        </r>
      </text>
    </comment>
    <comment ref="BF125" authorId="0" shapeId="0" xr:uid="{7B4FC4BB-F4C9-41CE-9E10-372A08274FB5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GILT RETURN SERVE
</t>
        </r>
      </text>
    </comment>
    <comment ref="AL128" authorId="0" shapeId="0" xr:uid="{F006D0EF-259C-4F54-B777-5FF1753E9253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RR GILT ALSO SERVED FROM WK8
</t>
        </r>
      </text>
    </comment>
    <comment ref="AM128" authorId="0" shapeId="0" xr:uid="{40EA48DB-E6E9-4568-8449-FE586EE68873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9 PURELINES GILTS</t>
        </r>
      </text>
    </comment>
    <comment ref="AP128" authorId="0" shapeId="0" xr:uid="{0B137C37-978A-41A1-A7C9-7E6D9F6D4B23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1 GILT RETURN SERVE FROM WEEK 8
</t>
        </r>
      </text>
    </comment>
    <comment ref="AQ128" authorId="0" shapeId="0" xr:uid="{AC1A244A-7509-4E94-A0C0-487526771C76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GILT SERVED ARBORTED WK 42
</t>
        </r>
      </text>
    </comment>
    <comment ref="AU128" authorId="0" shapeId="0" xr:uid="{9AA8C5D6-1D5A-4F61-B173-EC6EA341B9D0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gilt return  reserved IRR
and 6 purelines served
</t>
        </r>
      </text>
    </comment>
    <comment ref="AY128" authorId="0" shapeId="0" xr:uid="{6427DACB-0277-4326-A4A0-3D909246234A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ONE GILT SERVED ZL-Z
CX1395</t>
        </r>
      </text>
    </comment>
    <comment ref="AZ128" authorId="0" shapeId="0" xr:uid="{A278105C-A949-4616-8424-5A73CE1559BC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2 TZZZZ GILTS</t>
        </r>
      </text>
    </comment>
    <comment ref="BB128" authorId="0" shapeId="0" xr:uid="{CCF6D627-5648-4279-823B-F02433A655AB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ONR GILT SERVED AS TZZZZ
</t>
        </r>
      </text>
    </comment>
    <comment ref="BC128" authorId="0" shapeId="0" xr:uid="{CFE27291-B452-4D14-A4D3-A84CA5D94CB8}">
      <text>
        <r>
          <rPr>
            <b/>
            <sz val="9"/>
            <color indexed="81"/>
            <rFont val="Tahoma"/>
            <family val="2"/>
          </rPr>
          <t xml:space="preserve">Multiplier:ONE GILT SERVED AS TZZZZ
</t>
        </r>
      </text>
    </comment>
    <comment ref="BD128" authorId="0" shapeId="0" xr:uid="{C0FF84BA-4CC0-46E0-BDB0-22BDACB42265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1 GILT TZZZZ
</t>
        </r>
      </text>
    </comment>
    <comment ref="BE128" authorId="0" shapeId="0" xr:uid="{2EF4FA18-2431-4BA8-B0E0-E366741B8C78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2 gilts served as tzzzzz
1 GILT RETURN SERVE FROM WK 27 TZZZZ RESERVED WITH POOLL
- UNDERSERVED WK 29 AND 28
</t>
        </r>
      </text>
    </comment>
    <comment ref="BF128" authorId="0" shapeId="0" xr:uid="{E173A538-8683-4F88-980D-B96AD071DB4D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ONE GILT SERVED AS TZZZZ</t>
        </r>
      </text>
    </comment>
    <comment ref="BG128" authorId="0" shapeId="0" xr:uid="{E73300B4-576E-4B4A-A91A-D06A9E42C7AB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-one gilt return serve 
-2 GILTS SERVED AS TZZZZ
</t>
        </r>
      </text>
    </comment>
    <comment ref="AH130" authorId="0" shapeId="0" xr:uid="{1AB4714A-686F-4E41-936B-4299DC0C971D}">
      <text>
        <r>
          <rPr>
            <b/>
            <sz val="9"/>
            <color indexed="81"/>
            <rFont val="Tahoma"/>
            <family val="2"/>
          </rPr>
          <t>Multiplier:SERVED 9 PURE LINES</t>
        </r>
      </text>
    </comment>
    <comment ref="AN130" authorId="0" shapeId="0" xr:uid="{C32FFC75-40D8-4044-B9CD-9CF83CA0CF57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GILT IRR RESERVED</t>
        </r>
      </text>
    </comment>
    <comment ref="AY130" authorId="0" shapeId="0" xr:uid="{E15E667E-E186-484E-97DE-A8402A3D8B60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ONE 2nd SERVED ZL-Z</t>
        </r>
      </text>
    </comment>
    <comment ref="BA130" authorId="0" shapeId="0" xr:uid="{3FB51DD7-25A4-4B7C-BF29-558A9DC2FB1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ALL SERNED AS TZZZZ </t>
        </r>
      </text>
    </comment>
    <comment ref="BD130" authorId="0" shapeId="0" xr:uid="{C50B0DE4-067A-4D6D-A849-D8AEBD7D2D99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1 2ND SERVED AS TZZZZZ
</t>
        </r>
      </text>
    </comment>
    <comment ref="BH130" authorId="0" shapeId="0" xr:uid="{322869E7-ACAA-48B6-865E-88AE6C33E694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one 2nd served as tzzzz
</t>
        </r>
      </text>
    </comment>
    <comment ref="BF132" authorId="0" shapeId="0" xr:uid="{7A5C4D40-76F3-43B0-AC2A-6A505E2BECD4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ONE 4th SERVED AS TZZZZ
</t>
        </r>
      </text>
    </comment>
    <comment ref="AP159" authorId="0" shapeId="0" xr:uid="{405FCB64-75AA-4968-8E9B-2A9171C0E95F}">
      <text>
        <r>
          <rPr>
            <sz val="11"/>
            <color theme="1"/>
            <rFont val="Calibri"/>
            <family val="2"/>
            <scheme val="minor"/>
          </rPr>
          <t>Served 18, 1IR &amp; 1Empty</t>
        </r>
      </text>
    </comment>
    <comment ref="AY159" authorId="0" shapeId="0" xr:uid="{37D666D8-22FA-4C47-A9AD-34D15951EE9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4 x RR, 3 x IR, 1 X Empty</t>
        </r>
      </text>
    </comment>
    <comment ref="AZ159" authorId="0" shapeId="0" xr:uid="{67E6E636-DCB3-4F80-9AA4-6DFD4102C500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2 x RR, 2 x IR (All 3rd plus)</t>
        </r>
      </text>
    </comment>
    <comment ref="X160" authorId="0" shapeId="0" xr:uid="{49F28E58-89D1-486E-AAD0-B40EDA48DD63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2 &amp; 1RR</t>
        </r>
      </text>
    </comment>
    <comment ref="AE160" authorId="0" shapeId="0" xr:uid="{C75404E9-085D-4C8D-93F3-F6400543BC37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3 &amp; 1 died</t>
        </r>
      </text>
    </comment>
    <comment ref="AN160" authorId="0" shapeId="0" xr:uid="{E29D2490-EBAF-4031-9029-6FBC5D81671D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5 &amp; 1 died, 1IR</t>
        </r>
      </text>
    </comment>
    <comment ref="AU160" authorId="0" shapeId="0" xr:uid="{6BD05BBB-3E83-4018-BA8E-27319CB8D64F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1 GILT REGULAR RETURN FARROW RATE 0%</t>
        </r>
      </text>
    </comment>
    <comment ref="AY160" authorId="0" shapeId="0" xr:uid="{636E2DEB-3442-4B23-B0AC-69703BF66935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5. 3 X RETURN. 1 X IR. 2 RR</t>
        </r>
      </text>
    </comment>
    <comment ref="AE161" authorId="0" shapeId="0" xr:uid="{63C968B0-FD8B-49A2-85F3-29775E5ADCCC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3 &amp; 1 died</t>
        </r>
      </text>
    </comment>
    <comment ref="AY161" authorId="0" shapeId="0" xr:uid="{0EF625B5-277A-4709-BF40-48F6CDA2B22A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Served 2 &amp; 1 returned</t>
        </r>
      </text>
    </comment>
    <comment ref="AH162" authorId="0" shapeId="0" xr:uid="{BFB5E7AD-A813-4849-B0BD-6523226A8151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5TH PARITY EMPTY</t>
        </r>
      </text>
    </comment>
    <comment ref="AT162" authorId="0" shapeId="0" xr:uid="{D7C315B3-B8E3-4CD6-8418-E32A164965E5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1RR,1IR,1DIED</t>
        </r>
      </text>
    </comment>
    <comment ref="AD165" authorId="0" shapeId="0" xr:uid="{80F7E175-FF8A-493C-9487-60DC97A80A2F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one gilt 0 BA AND 2 BD
</t>
        </r>
      </text>
    </comment>
    <comment ref="AT165" authorId="0" shapeId="0" xr:uid="{A8CBF8CF-7D70-426E-A10B-7E97D6179B7F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ONE GILT HAD A BORN ALIVE OF 4</t>
        </r>
      </text>
    </comment>
    <comment ref="AU165" authorId="0" shapeId="0" xr:uid="{E3123B08-6513-4FB7-A2E7-35D5199747B5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NO GILTS FARROWED</t>
        </r>
      </text>
    </comment>
    <comment ref="Q166" authorId="0" shapeId="0" xr:uid="{133B24A3-E99C-4B73-AAA9-8E540246EE10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ONLY 1 2ND PARITY WHICH FARROWED 7 BA</t>
        </r>
      </text>
    </comment>
    <comment ref="AK166" authorId="3" shapeId="0" xr:uid="{E4AE9D32-6D78-4A84-B80F-B7288ED13E4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2NDS</t>
        </r>
      </text>
    </comment>
    <comment ref="BC166" authorId="0" shapeId="0" xr:uid="{6749F7CA-69C9-4460-82F8-2EC8556836E9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2 Farrowed  &amp; ONE GAVE US 3BA &amp; 22 BD</t>
        </r>
      </text>
    </comment>
    <comment ref="BF166" authorId="0" shapeId="0" xr:uid="{154EF0EB-B674-4429-ACED-4262F6E9B2B0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NO 2NDS FARROWED
</t>
        </r>
      </text>
    </comment>
    <comment ref="AW167" authorId="0" shapeId="0" xr:uid="{B52248E2-510E-4000-8F2D-D1BE7AC691CA}">
      <text>
        <r>
          <rPr>
            <b/>
            <sz val="9"/>
            <color indexed="81"/>
            <rFont val="Tahoma"/>
            <family val="2"/>
          </rPr>
          <t xml:space="preserve">Multiplier:
SOW 7th CYLCE HAD A BORN DEAD OF 19 0BORN ALIVE
</t>
        </r>
      </text>
    </comment>
    <comment ref="S169" authorId="0" shapeId="0" xr:uid="{075E8ACF-6218-49CC-A429-7D2716F91DF2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4 SOWS BA LESS THAN 11
</t>
        </r>
      </text>
    </comment>
    <comment ref="AP169" authorId="0" shapeId="0" xr:uid="{EDCC9A5A-5994-4807-B29D-069B9A3873A7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3 old parities (2 X 10 &amp; 13) gave us a low BA, 9,11,11</t>
        </r>
      </text>
    </comment>
    <comment ref="AS169" authorId="0" shapeId="0" xr:uid="{9B295078-921D-455C-8033-19EEC20F4D37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3  sows gave us a low BA, 4, 7 &amp; 8</t>
        </r>
      </text>
    </comment>
    <comment ref="AV169" authorId="0" shapeId="0" xr:uid="{25E495A1-92FE-4A41-9DF8-638569B6A4FB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low born alive from 2nds and 3rd plus parities
10 sows 15+</t>
        </r>
      </text>
    </comment>
    <comment ref="AY169" authorId="0" shapeId="0" xr:uid="{F52717EA-A457-455D-B3BC-B8A27DF84A4A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all sows performed poor</t>
        </r>
      </text>
    </comment>
    <comment ref="BE169" authorId="4" shapeId="0" xr:uid="{8421EE12-4482-4A0E-A51A-13E8038275D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 sows farrowed less than 13 BA piglets all parities</t>
        </r>
      </text>
    </comment>
    <comment ref="AB170" authorId="0" shapeId="0" xr:uid="{41C17922-0B24-4B70-BE4C-3351DD81F6F4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1 GILT 0 BA AND 12 BD
</t>
        </r>
      </text>
    </comment>
    <comment ref="BG170" authorId="5" shapeId="0" xr:uid="{59138720-9F96-4E2F-A664-80D23341AF7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TB 16 BD 3
TB 18 BD 4
TB 22 BD 3
TB 23 BD 1</t>
        </r>
      </text>
    </comment>
    <comment ref="AH175" authorId="0" shapeId="0" xr:uid="{415C9FCD-EDFC-4132-83F5-B46730DE295C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number of smalls</t>
        </r>
      </text>
    </comment>
    <comment ref="AK175" authorId="0" shapeId="0" xr:uid="{666BCF5F-E695-4B80-B0EF-EC619E526356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mortality dueto small piglets</t>
        </r>
      </text>
    </comment>
    <comment ref="AQ175" authorId="0" shapeId="0" xr:uid="{7F1EF71A-D196-4719-9597-5A52B28E019B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unviable culls
60%
</t>
        </r>
      </text>
    </comment>
    <comment ref="AR175" authorId="0" shapeId="0" xr:uid="{08FB8856-7324-45A8-8344-94C18BFEFA8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deformed piglets and blind anus </t>
        </r>
      </text>
    </comment>
    <comment ref="AX175" authorId="0" shapeId="0" xr:uid="{775DBCBA-34E3-4B51-94B2-D7219B8045D6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lot of small piglets</t>
        </r>
      </text>
    </comment>
    <comment ref="BC175" authorId="0" shapeId="0" xr:uid="{44DF9A46-5EDF-48FD-A4A2-66B39D0A0FAC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number of culled smalls </t>
        </r>
      </text>
    </comment>
    <comment ref="AH177" authorId="0" shapeId="0" xr:uid="{0612CFDA-69E3-498A-AB39-BD1E39A385C8}">
      <text>
        <r>
          <rPr>
            <b/>
            <sz val="9"/>
            <color indexed="81"/>
            <rFont val="Tahoma"/>
            <family val="2"/>
          </rPr>
          <t xml:space="preserve">Multiplier:
High active week mortality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77" authorId="0" shapeId="0" xr:uid="{D4605526-A159-4E5C-888B-1AC97CE30ED7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scours
</t>
        </r>
      </text>
    </comment>
    <comment ref="AO177" authorId="0" shapeId="0" xr:uid="{F28C483C-DE3C-4BB0-AA62-4A57C2142FAA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scours
high active week mortality</t>
        </r>
      </text>
    </comment>
    <comment ref="AS177" authorId="0" shapeId="0" xr:uid="{41F8CE59-44BD-4582-AA36-AB2989430A5B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scours
</t>
        </r>
      </text>
    </comment>
    <comment ref="AU177" authorId="0" shapeId="0" xr:uid="{55F4CDF6-2FDB-4B3A-8881-C664C0C38AE2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active week mortality </t>
        </r>
      </text>
    </comment>
    <comment ref="AV177" authorId="0" shapeId="0" xr:uid="{24BF2D11-37E8-47D6-9E99-10CD1D7927C6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77" authorId="0" shapeId="0" xr:uid="{926E9E39-8F90-46D3-9F1E-F9689390589A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SCOURS
</t>
        </r>
      </text>
    </comment>
    <comment ref="AC184" authorId="0" shapeId="0" xr:uid="{9412A2CA-CE7D-40CC-BB39-2500324FDD24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MORTALITY = STARVATION</t>
        </r>
      </text>
    </comment>
    <comment ref="Y188" authorId="0" shapeId="0" xr:uid="{3ED60EB4-A1A8-4954-8C6B-2DF5FF22AF08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EVERY PIGLET HAD A TEAT
</t>
        </r>
      </text>
    </comment>
    <comment ref="AG188" authorId="0" shapeId="0" xr:uid="{EEA640FC-BE45-4BD4-A466-3B02AB757DB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BA AND WEANED PER SOW</t>
        </r>
      </text>
    </comment>
    <comment ref="AO188" authorId="0" shapeId="0" xr:uid="{E92232B6-4346-46CF-BF47-A5A39B0FBFA0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runts</t>
        </r>
      </text>
    </comment>
    <comment ref="AC190" authorId="0" shapeId="0" xr:uid="{800DA36B-A368-4FD9-8CAC-D997EB8DB924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LOW BA
</t>
        </r>
      </text>
    </comment>
    <comment ref="AE190" authorId="0" shapeId="0" xr:uid="{825A6C49-0C9D-423C-955A-54A01A18013F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BA</t>
        </r>
      </text>
    </comment>
    <comment ref="AY193" authorId="0" shapeId="0" xr:uid="{A3823B1C-DC97-46CC-BD84-35827BDCD2B2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NO GILTS WEANED
</t>
        </r>
      </text>
    </comment>
    <comment ref="BF193" authorId="6" shapeId="0" xr:uid="{BEF241E1-1B89-4F0C-8DFE-7C094C805A2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New Topigs formula used</t>
        </r>
      </text>
    </comment>
    <comment ref="AE204" authorId="0" shapeId="0" xr:uid="{6A216CB8-4722-45A4-861A-04E577CE83FF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GILT SERVED WAS A RETURN SERVE  FROM WEEK 
</t>
        </r>
      </text>
    </comment>
    <comment ref="AK204" authorId="0" shapeId="0" xr:uid="{141B9BAD-FC9D-4449-B2C6-AF327FF1D35D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all gilts lost more than 11%
</t>
        </r>
      </text>
    </comment>
    <comment ref="AN208" authorId="0" shapeId="0" xr:uid="{C830774A-3AF9-4FBC-8FA7-90BED274D6CF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6.5 W/W</t>
        </r>
      </text>
    </comment>
    <comment ref="AT208" authorId="0" shapeId="0" xr:uid="{46C7E09E-D6DA-4FF2-AEE3-C3A08622E01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LOW WEANING WEIGHTS
</t>
        </r>
      </text>
    </comment>
    <comment ref="AA210" authorId="0" shapeId="0" xr:uid="{E6A64F61-756C-48B0-98E0-5D4DC7DAC399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wrong feed</t>
        </r>
      </text>
    </comment>
    <comment ref="AB210" authorId="0" shapeId="0" xr:uid="{B66ACA90-50F0-4C75-8CCB-DC57A7143BA7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number of smalls</t>
        </r>
      </text>
    </comment>
    <comment ref="AE210" authorId="0" shapeId="0" xr:uid="{505BBFD6-1C08-4134-8BE6-196CA8659AE1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8.3 w/w
introduced porridge feeding</t>
        </r>
      </text>
    </comment>
    <comment ref="AG210" authorId="0" shapeId="0" xr:uid="{99384595-FB65-467B-8E68-A442492AD103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6.5 w/w</t>
        </r>
      </text>
    </comment>
    <comment ref="AH210" authorId="0" shapeId="0" xr:uid="{06F47B02-3FFF-4D6A-9093-A6F041CABABA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7.5 w/w</t>
        </r>
      </text>
    </comment>
    <comment ref="AM210" authorId="0" shapeId="0" xr:uid="{66B04B7C-96A7-4590-AA4A-F341880FBDBD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stocking density
6.5w/w</t>
        </r>
      </text>
    </comment>
    <comment ref="AP210" authorId="0" shapeId="0" xr:uid="{3CBBC06C-3465-4618-A758-C41A0BCC5B8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6.3 W/W</t>
        </r>
      </text>
    </comment>
    <comment ref="AQ210" authorId="0" shapeId="0" xr:uid="{10E1CB2D-9338-4628-B168-22609CD353B0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7KG W/W</t>
        </r>
      </text>
    </comment>
    <comment ref="AU210" authorId="0" shapeId="0" xr:uid="{C913CFC6-E09F-45C6-820A-394D6AAAC1E6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LOW W/W
6.1</t>
        </r>
      </text>
    </comment>
    <comment ref="AF212" authorId="0" shapeId="0" xr:uid="{9963B224-9D9E-4155-8567-DF38A7D474CC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% due to runt culls</t>
        </r>
      </text>
    </comment>
    <comment ref="AN212" authorId="0" shapeId="0" xr:uid="{C6892DF5-5A32-480F-A5BC-E42AE55FCDBB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lawsonia</t>
        </r>
      </text>
    </comment>
    <comment ref="AO212" authorId="0" shapeId="0" xr:uid="{868410CE-A575-4011-8652-73ED8AEB14C5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HBS 60%
FIRSTBATCH TO ACIDPAK 4DAYS</t>
        </r>
      </text>
    </comment>
    <comment ref="AQ212" authorId="0" shapeId="0" xr:uid="{E1D9B5B6-B224-4898-BC08-9985ACDDA7AF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E.coli 60$</t>
        </r>
      </text>
    </comment>
    <comment ref="AR212" authorId="0" shapeId="0" xr:uid="{88093F84-C7D7-48BA-8DC8-A10F4D3DD6C2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E,coli 80%</t>
        </r>
      </text>
    </comment>
    <comment ref="AM218" authorId="0" shapeId="0" xr:uid="{84C35B3F-052A-4F58-A33F-343E2B20F57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Scours/Lawsonia</t>
        </r>
      </text>
    </comment>
    <comment ref="AS218" authorId="0" shapeId="0" xr:uid="{DF99747A-6818-4EF6-9611-010A1D122B35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HIGH NUMBER OF PORKERS
</t>
        </r>
      </text>
    </comment>
    <comment ref="BC218" authorId="0" shapeId="0" xr:uid="{2D29ABB1-F7C4-4FDA-9F8B-9688EA849C6C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no pigs to colcom changed 21wks to 22wks
</t>
        </r>
      </text>
    </comment>
    <comment ref="AM220" authorId="0" shapeId="0" xr:uid="{7FC4A2BC-7A50-4317-87A5-505E90991F99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LAWSONIA
</t>
        </r>
      </text>
    </comment>
    <comment ref="AQ220" authorId="0" shapeId="0" xr:uid="{3A04B42D-DEB4-489C-BB81-B892F5FACF3E}">
      <text>
        <r>
          <rPr>
            <b/>
            <sz val="9"/>
            <color indexed="81"/>
            <rFont val="Tahoma"/>
            <family val="2"/>
          </rPr>
          <t>Multiplier: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<sst xmlns="http://schemas.openxmlformats.org/spreadsheetml/2006/main" count="230" uniqueCount="143">
  <si>
    <t xml:space="preserve"> All Farms Friday Meeting Livestock Report</t>
  </si>
  <si>
    <t>10 Weeks</t>
  </si>
  <si>
    <t>Slow Growers</t>
  </si>
  <si>
    <t>Fast Growers</t>
  </si>
  <si>
    <t>Group Avg Weight</t>
  </si>
  <si>
    <t>% Under Target</t>
  </si>
  <si>
    <t># Of Animals Under</t>
  </si>
  <si>
    <t>% In the Box</t>
  </si>
  <si>
    <t># Of Animals In</t>
  </si>
  <si>
    <t>% Over Target</t>
  </si>
  <si>
    <t># Of Animals Over</t>
  </si>
  <si>
    <t>16 Weeks</t>
  </si>
  <si>
    <t>ADG 10-16Weeks</t>
  </si>
  <si>
    <t xml:space="preserve"> </t>
  </si>
  <si>
    <t># Of Gilts Served</t>
  </si>
  <si>
    <t>Into Farrowing (Gilts)</t>
  </si>
  <si>
    <t>Min</t>
  </si>
  <si>
    <t>Max</t>
  </si>
  <si>
    <t>Avg Gain In Gestation</t>
  </si>
  <si>
    <t>Target Farrowing Rate</t>
  </si>
  <si>
    <t>BA Target</t>
  </si>
  <si>
    <t>Active Week Mortality</t>
  </si>
  <si>
    <t>Active Mortality Guideline</t>
  </si>
  <si>
    <t># Sows Weaned</t>
  </si>
  <si>
    <t># Of Piglets Weaned</t>
  </si>
  <si>
    <t>Average Weaned per Sow</t>
  </si>
  <si>
    <t>Average Weaned per Sow Guideline</t>
  </si>
  <si>
    <t>Wean Weight</t>
  </si>
  <si>
    <t>Target Wean Weight</t>
  </si>
  <si>
    <t>% of gilts on heat by 28 weeks</t>
  </si>
  <si>
    <t>ADG 25 to 28 weeks</t>
  </si>
  <si>
    <t>25 weeks</t>
  </si>
  <si>
    <t>ADG 16-25 Weeks</t>
  </si>
  <si>
    <t xml:space="preserve">traget gilts to be served </t>
  </si>
  <si>
    <t>Target 2nd parity services</t>
  </si>
  <si>
    <t>Actual 2nd parity services</t>
  </si>
  <si>
    <t>Farrowing Rates</t>
  </si>
  <si>
    <t>gilt farrow rate</t>
  </si>
  <si>
    <t>2nd farrow rate</t>
  </si>
  <si>
    <t>3rd plus farrow rate</t>
  </si>
  <si>
    <t>Gilt BA</t>
  </si>
  <si>
    <t>2nd parity BA</t>
  </si>
  <si>
    <t>3rd plus BA</t>
  </si>
  <si>
    <t>Pre wean mortaltiy</t>
  </si>
  <si>
    <t>target pre wean mortaltiy</t>
  </si>
  <si>
    <t>Piglets sent to Learig</t>
  </si>
  <si>
    <t>total litter mass</t>
  </si>
  <si>
    <t>target litter mass</t>
  </si>
  <si>
    <t>Avg gilt Body Condition Loss (as %)</t>
  </si>
  <si>
    <t>upper target</t>
  </si>
  <si>
    <t>lower target</t>
  </si>
  <si>
    <t>Total stand overs for the week (Bar graph)</t>
  </si>
  <si>
    <t>Total service target</t>
  </si>
  <si>
    <t>total served</t>
  </si>
  <si>
    <t>Weaner</t>
  </si>
  <si>
    <t>70 day gain target</t>
  </si>
  <si>
    <t>70 day gain actual</t>
  </si>
  <si>
    <t>70 day weight target</t>
  </si>
  <si>
    <t>70 day weight actual</t>
  </si>
  <si>
    <t>Mortaltiy target</t>
  </si>
  <si>
    <t>Mortaltiy actual</t>
  </si>
  <si>
    <t>FCE target</t>
  </si>
  <si>
    <t>FCE actual</t>
  </si>
  <si>
    <t>Grower</t>
  </si>
  <si>
    <t>CDM budget</t>
  </si>
  <si>
    <t>CDM actual</t>
  </si>
  <si>
    <t>target ADG</t>
  </si>
  <si>
    <t>comment</t>
  </si>
  <si>
    <t>10 WEEKS</t>
  </si>
  <si>
    <t>16 WEEKS</t>
  </si>
  <si>
    <t>25 WEEKS</t>
  </si>
  <si>
    <t>Target ADG</t>
  </si>
  <si>
    <t>28 WEEKS</t>
  </si>
  <si>
    <t>GILTS AT SERVICE</t>
  </si>
  <si>
    <t>SERVES</t>
  </si>
  <si>
    <t xml:space="preserve">INTO FARROWING GILTS </t>
  </si>
  <si>
    <t>FARROWING RATES</t>
  </si>
  <si>
    <t>BORN ALIVE</t>
  </si>
  <si>
    <t>MORTALITY</t>
  </si>
  <si>
    <t>WEANED PER SOW</t>
  </si>
  <si>
    <t>WEAN WEIGHTS</t>
  </si>
  <si>
    <t>GILT CONDITION LOSS</t>
  </si>
  <si>
    <t xml:space="preserve">WEANER </t>
  </si>
  <si>
    <t>GROWER</t>
  </si>
  <si>
    <t>ADG of pigs under target</t>
  </si>
  <si>
    <t>ADG of pigs over target</t>
  </si>
  <si>
    <t>Avg weight of all pigs under target</t>
  </si>
  <si>
    <t>Avg weight of all pigs over target</t>
  </si>
  <si>
    <t>kgs sold per sow per year</t>
  </si>
  <si>
    <t>total pigs sold against budget</t>
  </si>
  <si>
    <t>total CDM against budget</t>
  </si>
  <si>
    <t>ADG 28 weeks to service</t>
  </si>
  <si>
    <t>ADG 28 to service target</t>
  </si>
  <si>
    <t>Avg ADG of gilts grew less than 0.760</t>
  </si>
  <si>
    <t>Avg ADG of gilts gre more than 0.760</t>
  </si>
  <si>
    <t>Avg ADG of gilts grew less than 0.896</t>
  </si>
  <si>
    <t>Avg ADG of gilts gre more than 0.896</t>
  </si>
  <si>
    <t>Avg weight of pig under Target</t>
  </si>
  <si>
    <t>Avg weight of pig over Target</t>
  </si>
  <si>
    <t>AT SERVICE (GILTS)</t>
  </si>
  <si>
    <t>upper gestation gain target</t>
  </si>
  <si>
    <t>lower gestation gain target</t>
  </si>
  <si>
    <t>Piglets sent to outgrowers</t>
  </si>
  <si>
    <t>Under 31 weeks at Service</t>
  </si>
  <si>
    <t>31-33 weeks at Service</t>
  </si>
  <si>
    <t>Over 33 weeks at Service</t>
  </si>
  <si>
    <t xml:space="preserve"># of Pigs Under target weight </t>
  </si>
  <si>
    <t>Avg weight of pigs within target</t>
  </si>
  <si>
    <t># of Pigs within target weight</t>
  </si>
  <si>
    <t># of Pigs Over target weight</t>
  </si>
  <si>
    <t>Target Avg ADG less than target 0.642</t>
  </si>
  <si>
    <t>Target Avg ADG more than target 0.678</t>
  </si>
  <si>
    <t>Avg ADG of gilts grew less than 0.642</t>
  </si>
  <si>
    <t>Avg ADG of gilts gre more than 0.678</t>
  </si>
  <si>
    <t>Under 31 weeks at Service Avg ADG</t>
  </si>
  <si>
    <t>Over 33 weeks at Service Avg ADG</t>
  </si>
  <si>
    <t>Herd BA</t>
  </si>
  <si>
    <t>Gilt BD</t>
  </si>
  <si>
    <t>2nd BD</t>
  </si>
  <si>
    <t>3rd plus BD</t>
  </si>
  <si>
    <t>BD target</t>
  </si>
  <si>
    <t>Avg % body cond loss of all gilts lost more than 11%</t>
  </si>
  <si>
    <t>Avg % body cond loss of all gilts lost less than 8%</t>
  </si>
  <si>
    <t># Of Animals lost more than 11%</t>
  </si>
  <si>
    <t># Of Animals lost between 8 and 11%</t>
  </si>
  <si>
    <t># animals lost less than 11%</t>
  </si>
  <si>
    <t>Avg gain of gilts gaining more than 81kgs</t>
  </si>
  <si>
    <t>Avg gain of gilts gaining less than 74kgs</t>
  </si>
  <si>
    <t>SERVICE</t>
  </si>
  <si>
    <t>INTO FARROWING</t>
  </si>
  <si>
    <t>Actual 3rd+ parity services</t>
  </si>
  <si>
    <t>Target 3rd+ parity services</t>
  </si>
  <si>
    <t>Gilts 4-10 Weeks ADG</t>
  </si>
  <si>
    <t>Gilts 4-10 Weeks ADG Target</t>
  </si>
  <si>
    <t>Gilts 4-10 Weeks Gain</t>
  </si>
  <si>
    <t>Gilts 4-10 Weeks Gain Target</t>
  </si>
  <si>
    <t xml:space="preserve">                                             </t>
  </si>
  <si>
    <t>Opt Target</t>
  </si>
  <si>
    <t>4 Week Wean Weight</t>
  </si>
  <si>
    <t xml:space="preserve"># Of Animals Under </t>
  </si>
  <si>
    <t>ADG of pigs under target (small)</t>
  </si>
  <si>
    <t>ADG of pigs over target (large)</t>
  </si>
  <si>
    <t>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</si>
</sst>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%"/>
    <numFmt numFmtId="167" formatCode="0.00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14" fillId="0" borderId="0" applyFont="0" applyFill="0" applyBorder="0" applyAlignment="0" applyProtection="0"/>
  </cellStyleXfs>
  <cellXfs count="251">
    <xf numFmtId="0" fontId="0" fillId="0" borderId="0" xfId="0"/>
    <xf numFmtId="0" fontId="0" fillId="2" borderId="1" xfId="0" applyFill="1" applyBorder="1"/>
    <xf numFmtId="10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6" xfId="0" applyFont="1" applyBorder="1" applyAlignment="1">
      <alignment horizontal="center"/>
    </xf>
    <xf numFmtId="2" fontId="0" fillId="0" borderId="0" xfId="0" applyNumberFormat="1"/>
    <xf numFmtId="0" fontId="6" fillId="2" borderId="13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0" fillId="3" borderId="1" xfId="0" applyFill="1" applyBorder="1"/>
    <xf numFmtId="0" fontId="6" fillId="3" borderId="17" xfId="0" applyFont="1" applyFill="1" applyBorder="1" applyAlignment="1">
      <alignment horizontal="center"/>
    </xf>
    <xf numFmtId="1" fontId="6" fillId="3" borderId="11" xfId="0" applyNumberFormat="1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6" fillId="3" borderId="11" xfId="0" applyFont="1" applyFill="1" applyBorder="1" applyAlignment="1">
      <alignment horizontal="center"/>
    </xf>
    <xf numFmtId="164" fontId="6" fillId="3" borderId="11" xfId="0" applyNumberFormat="1" applyFont="1" applyFill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10" fontId="6" fillId="0" borderId="17" xfId="0" applyNumberFormat="1" applyFon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6" fillId="3" borderId="15" xfId="0" applyFon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/>
    </xf>
    <xf numFmtId="1" fontId="6" fillId="3" borderId="12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13" xfId="0" applyFont="1" applyBorder="1" applyAlignment="1">
      <alignment horizontal="center"/>
    </xf>
    <xf numFmtId="1" fontId="6" fillId="3" borderId="21" xfId="0" applyNumberFormat="1" applyFont="1" applyFill="1" applyBorder="1" applyAlignment="1">
      <alignment horizontal="center"/>
    </xf>
    <xf numFmtId="10" fontId="6" fillId="3" borderId="6" xfId="0" applyNumberFormat="1" applyFont="1" applyFill="1" applyBorder="1" applyAlignment="1">
      <alignment horizontal="center"/>
    </xf>
    <xf numFmtId="10" fontId="6" fillId="3" borderId="0" xfId="0" applyNumberFormat="1" applyFont="1" applyFill="1" applyAlignment="1">
      <alignment horizontal="center"/>
    </xf>
    <xf numFmtId="10" fontId="6" fillId="3" borderId="22" xfId="0" applyNumberFormat="1" applyFont="1" applyFill="1" applyBorder="1" applyAlignment="1">
      <alignment horizontal="center"/>
    </xf>
    <xf numFmtId="10" fontId="6" fillId="3" borderId="11" xfId="0" applyNumberFormat="1" applyFont="1" applyFill="1" applyBorder="1" applyAlignment="1">
      <alignment horizontal="center"/>
    </xf>
    <xf numFmtId="10" fontId="6" fillId="3" borderId="13" xfId="0" applyNumberFormat="1" applyFont="1" applyFill="1" applyBorder="1" applyAlignment="1">
      <alignment horizontal="center"/>
    </xf>
    <xf numFmtId="10" fontId="6" fillId="3" borderId="20" xfId="0" applyNumberFormat="1" applyFont="1" applyFill="1" applyBorder="1" applyAlignment="1">
      <alignment horizontal="center"/>
    </xf>
    <xf numFmtId="10" fontId="6" fillId="3" borderId="12" xfId="0" applyNumberFormat="1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10" fontId="6" fillId="0" borderId="13" xfId="0" applyNumberFormat="1" applyFont="1" applyBorder="1" applyAlignment="1">
      <alignment horizontal="center"/>
    </xf>
    <xf numFmtId="10" fontId="6" fillId="0" borderId="16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165" fontId="6" fillId="3" borderId="11" xfId="0" applyNumberFormat="1" applyFont="1" applyFill="1" applyBorder="1" applyAlignment="1">
      <alignment horizontal="center"/>
    </xf>
    <xf numFmtId="2" fontId="6" fillId="0" borderId="25" xfId="0" applyNumberFormat="1" applyFont="1" applyBorder="1" applyAlignment="1">
      <alignment horizontal="center"/>
    </xf>
    <xf numFmtId="10" fontId="6" fillId="0" borderId="25" xfId="0" applyNumberFormat="1" applyFont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1" fontId="6" fillId="3" borderId="8" xfId="0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0" fontId="3" fillId="0" borderId="0" xfId="0" applyNumberFormat="1" applyFont="1"/>
    <xf numFmtId="1" fontId="0" fillId="0" borderId="0" xfId="0" applyNumberFormat="1"/>
    <xf numFmtId="2" fontId="6" fillId="0" borderId="14" xfId="0" applyNumberFormat="1" applyFont="1" applyBorder="1" applyAlignment="1">
      <alignment horizontal="center"/>
    </xf>
    <xf numFmtId="0" fontId="9" fillId="6" borderId="0" xfId="0" applyFont="1" applyFill="1"/>
    <xf numFmtId="0" fontId="10" fillId="6" borderId="0" xfId="0" applyFont="1" applyFill="1"/>
    <xf numFmtId="0" fontId="11" fillId="0" borderId="0" xfId="0" applyFont="1"/>
    <xf numFmtId="0" fontId="10" fillId="0" borderId="0" xfId="0" applyFont="1"/>
    <xf numFmtId="0" fontId="0" fillId="8" borderId="0" xfId="0" applyFill="1"/>
    <xf numFmtId="10" fontId="0" fillId="8" borderId="0" xfId="0" applyNumberFormat="1" applyFill="1"/>
    <xf numFmtId="2" fontId="0" fillId="8" borderId="3" xfId="0" applyNumberFormat="1" applyFill="1" applyBorder="1"/>
    <xf numFmtId="2" fontId="0" fillId="8" borderId="0" xfId="0" applyNumberFormat="1" applyFill="1"/>
    <xf numFmtId="10" fontId="1" fillId="8" borderId="0" xfId="0" applyNumberFormat="1" applyFont="1" applyFill="1"/>
    <xf numFmtId="0" fontId="6" fillId="8" borderId="11" xfId="0" applyFont="1" applyFill="1" applyBorder="1" applyAlignment="1">
      <alignment horizontal="center"/>
    </xf>
    <xf numFmtId="0" fontId="6" fillId="8" borderId="20" xfId="0" applyFont="1" applyFill="1" applyBorder="1" applyAlignment="1">
      <alignment horizontal="center"/>
    </xf>
    <xf numFmtId="10" fontId="6" fillId="8" borderId="11" xfId="0" applyNumberFormat="1" applyFont="1" applyFill="1" applyBorder="1" applyAlignment="1">
      <alignment horizontal="center"/>
    </xf>
    <xf numFmtId="10" fontId="6" fillId="8" borderId="20" xfId="0" applyNumberFormat="1" applyFont="1" applyFill="1" applyBorder="1" applyAlignment="1">
      <alignment horizontal="center"/>
    </xf>
    <xf numFmtId="164" fontId="6" fillId="8" borderId="11" xfId="0" applyNumberFormat="1" applyFont="1" applyFill="1" applyBorder="1" applyAlignment="1">
      <alignment horizontal="center"/>
    </xf>
    <xf numFmtId="164" fontId="6" fillId="8" borderId="20" xfId="0" applyNumberFormat="1" applyFont="1" applyFill="1" applyBorder="1" applyAlignment="1">
      <alignment horizontal="center"/>
    </xf>
    <xf numFmtId="0" fontId="0" fillId="8" borderId="1" xfId="0" applyFill="1" applyBorder="1"/>
    <xf numFmtId="0" fontId="0" fillId="8" borderId="2" xfId="0" applyFill="1" applyBorder="1"/>
    <xf numFmtId="164" fontId="0" fillId="8" borderId="0" xfId="0" applyNumberFormat="1" applyFill="1"/>
    <xf numFmtId="2" fontId="6" fillId="0" borderId="11" xfId="0" applyNumberFormat="1" applyFont="1" applyBorder="1" applyAlignment="1">
      <alignment horizontal="center"/>
    </xf>
    <xf numFmtId="0" fontId="0" fillId="8" borderId="3" xfId="0" applyFill="1" applyBorder="1"/>
    <xf numFmtId="2" fontId="6" fillId="2" borderId="11" xfId="0" applyNumberFormat="1" applyFont="1" applyFill="1" applyBorder="1" applyAlignment="1">
      <alignment horizontal="center"/>
    </xf>
    <xf numFmtId="1" fontId="0" fillId="8" borderId="0" xfId="0" applyNumberFormat="1" applyFill="1"/>
    <xf numFmtId="1" fontId="0" fillId="8" borderId="3" xfId="0" applyNumberFormat="1" applyFill="1" applyBorder="1"/>
    <xf numFmtId="0" fontId="6" fillId="3" borderId="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8" borderId="11" xfId="0" applyNumberFormat="1" applyFont="1" applyFill="1" applyBorder="1" applyAlignment="1">
      <alignment horizontal="center" vertical="center"/>
    </xf>
    <xf numFmtId="1" fontId="6" fillId="3" borderId="12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" fontId="4" fillId="8" borderId="7" xfId="0" applyNumberFormat="1" applyFont="1" applyFill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10" fontId="4" fillId="0" borderId="20" xfId="0" applyNumberFormat="1" applyFont="1" applyBorder="1" applyAlignment="1">
      <alignment horizontal="center"/>
    </xf>
    <xf numFmtId="1" fontId="4" fillId="8" borderId="11" xfId="0" applyNumberFormat="1" applyFont="1" applyFill="1" applyBorder="1" applyAlignment="1">
      <alignment horizontal="center"/>
    </xf>
    <xf numFmtId="1" fontId="0" fillId="8" borderId="11" xfId="0" applyNumberFormat="1" applyFill="1" applyBorder="1" applyAlignment="1">
      <alignment horizontal="center"/>
    </xf>
    <xf numFmtId="2" fontId="4" fillId="3" borderId="12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0" xfId="0" applyAlignment="1">
      <alignment horizontal="center"/>
    </xf>
    <xf numFmtId="2" fontId="4" fillId="8" borderId="8" xfId="0" applyNumberFormat="1" applyFont="1" applyFill="1" applyBorder="1" applyAlignment="1">
      <alignment horizontal="center"/>
    </xf>
    <xf numFmtId="10" fontId="4" fillId="0" borderId="10" xfId="0" applyNumberFormat="1" applyFont="1" applyBorder="1" applyAlignment="1">
      <alignment horizontal="center"/>
    </xf>
    <xf numFmtId="10" fontId="4" fillId="0" borderId="19" xfId="0" applyNumberFormat="1" applyFont="1" applyBorder="1" applyAlignment="1">
      <alignment horizontal="center"/>
    </xf>
    <xf numFmtId="2" fontId="4" fillId="8" borderId="12" xfId="0" applyNumberFormat="1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4" fillId="8" borderId="11" xfId="0" applyNumberFormat="1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1" fontId="4" fillId="8" borderId="12" xfId="0" applyNumberFormat="1" applyFont="1" applyFill="1" applyBorder="1" applyAlignment="1">
      <alignment horizontal="center"/>
    </xf>
    <xf numFmtId="2" fontId="0" fillId="8" borderId="11" xfId="0" applyNumberFormat="1" applyFill="1" applyBorder="1" applyAlignment="1">
      <alignment horizontal="center"/>
    </xf>
    <xf numFmtId="10" fontId="4" fillId="8" borderId="12" xfId="0" applyNumberFormat="1" applyFont="1" applyFill="1" applyBorder="1" applyAlignment="1">
      <alignment horizontal="center"/>
    </xf>
    <xf numFmtId="2" fontId="0" fillId="8" borderId="8" xfId="0" applyNumberFormat="1" applyFill="1" applyBorder="1" applyAlignment="1">
      <alignment horizontal="center"/>
    </xf>
    <xf numFmtId="2" fontId="0" fillId="8" borderId="12" xfId="0" applyNumberForma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4" fillId="8" borderId="11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2" fontId="4" fillId="8" borderId="7" xfId="0" applyNumberFormat="1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10" fontId="4" fillId="8" borderId="7" xfId="0" applyNumberFormat="1" applyFont="1" applyFill="1" applyBorder="1" applyAlignment="1">
      <alignment horizontal="center"/>
    </xf>
    <xf numFmtId="1" fontId="4" fillId="8" borderId="8" xfId="0" applyNumberFormat="1" applyFont="1" applyFill="1" applyBorder="1" applyAlignment="1">
      <alignment horizontal="center"/>
    </xf>
    <xf numFmtId="10" fontId="6" fillId="0" borderId="11" xfId="0" applyNumberFormat="1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10" fontId="4" fillId="8" borderId="9" xfId="0" applyNumberFormat="1" applyFont="1" applyFill="1" applyBorder="1" applyAlignment="1">
      <alignment horizontal="center"/>
    </xf>
    <xf numFmtId="10" fontId="4" fillId="8" borderId="24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2" fontId="0" fillId="3" borderId="0" xfId="0" applyNumberFormat="1" applyFill="1"/>
    <xf numFmtId="2" fontId="3" fillId="0" borderId="0" xfId="0" applyNumberFormat="1" applyFont="1"/>
    <xf numFmtId="2" fontId="6" fillId="3" borderId="17" xfId="0" applyNumberFormat="1" applyFont="1" applyFill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2" fontId="6" fillId="3" borderId="11" xfId="0" applyNumberFormat="1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/>
    </xf>
    <xf numFmtId="0" fontId="3" fillId="0" borderId="0" xfId="0" applyFont="1"/>
    <xf numFmtId="1" fontId="3" fillId="7" borderId="0" xfId="0" applyNumberFormat="1" applyFont="1" applyFill="1"/>
    <xf numFmtId="1" fontId="6" fillId="7" borderId="11" xfId="0" applyNumberFormat="1" applyFont="1" applyFill="1" applyBorder="1" applyAlignment="1">
      <alignment horizontal="center"/>
    </xf>
    <xf numFmtId="2" fontId="3" fillId="7" borderId="0" xfId="0" applyNumberFormat="1" applyFont="1" applyFill="1"/>
    <xf numFmtId="165" fontId="6" fillId="2" borderId="11" xfId="0" applyNumberFormat="1" applyFont="1" applyFill="1" applyBorder="1" applyAlignment="1">
      <alignment horizontal="center"/>
    </xf>
    <xf numFmtId="2" fontId="6" fillId="2" borderId="20" xfId="0" applyNumberFormat="1" applyFont="1" applyFill="1" applyBorder="1" applyAlignment="1">
      <alignment horizontal="center"/>
    </xf>
    <xf numFmtId="165" fontId="6" fillId="2" borderId="20" xfId="0" applyNumberFormat="1" applyFont="1" applyFill="1" applyBorder="1" applyAlignment="1">
      <alignment horizontal="center"/>
    </xf>
    <xf numFmtId="165" fontId="6" fillId="3" borderId="20" xfId="0" applyNumberFormat="1" applyFont="1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center"/>
    </xf>
    <xf numFmtId="165" fontId="6" fillId="0" borderId="20" xfId="0" applyNumberFormat="1" applyFont="1" applyBorder="1" applyAlignment="1">
      <alignment horizontal="center"/>
    </xf>
    <xf numFmtId="2" fontId="4" fillId="3" borderId="20" xfId="0" applyNumberFormat="1" applyFont="1" applyFill="1" applyBorder="1" applyAlignment="1">
      <alignment horizontal="center"/>
    </xf>
    <xf numFmtId="164" fontId="4" fillId="8" borderId="8" xfId="0" applyNumberFormat="1" applyFont="1" applyFill="1" applyBorder="1" applyAlignment="1">
      <alignment horizontal="center"/>
    </xf>
    <xf numFmtId="0" fontId="0" fillId="4" borderId="27" xfId="0" applyFill="1" applyBorder="1"/>
    <xf numFmtId="0" fontId="0" fillId="4" borderId="4" xfId="0" applyFill="1" applyBorder="1"/>
    <xf numFmtId="0" fontId="0" fillId="4" borderId="28" xfId="0" applyFill="1" applyBorder="1"/>
    <xf numFmtId="1" fontId="6" fillId="2" borderId="12" xfId="0" applyNumberFormat="1" applyFont="1" applyFill="1" applyBorder="1" applyAlignment="1">
      <alignment horizontal="center"/>
    </xf>
    <xf numFmtId="1" fontId="3" fillId="3" borderId="0" xfId="0" applyNumberFormat="1" applyFont="1" applyFill="1"/>
    <xf numFmtId="1" fontId="3" fillId="2" borderId="2" xfId="0" applyNumberFormat="1" applyFont="1" applyFill="1" applyBorder="1"/>
    <xf numFmtId="0" fontId="4" fillId="8" borderId="0" xfId="0" applyFont="1" applyFill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9" xfId="0" applyNumberFormat="1" applyFont="1" applyFill="1" applyBorder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166" fontId="4" fillId="0" borderId="10" xfId="0" applyNumberFormat="1" applyFont="1" applyBorder="1" applyAlignment="1">
      <alignment horizontal="center"/>
    </xf>
    <xf numFmtId="1" fontId="6" fillId="7" borderId="10" xfId="0" applyNumberFormat="1" applyFont="1" applyFill="1" applyBorder="1" applyAlignment="1">
      <alignment horizontal="center"/>
    </xf>
    <xf numFmtId="164" fontId="4" fillId="8" borderId="7" xfId="0" applyNumberFormat="1" applyFont="1" applyFill="1" applyBorder="1" applyAlignment="1">
      <alignment horizontal="center"/>
    </xf>
    <xf numFmtId="10" fontId="4" fillId="8" borderId="1" xfId="2" applyNumberFormat="1" applyFont="1" applyFill="1" applyBorder="1" applyAlignment="1">
      <alignment horizontal="center"/>
    </xf>
    <xf numFmtId="1" fontId="13" fillId="8" borderId="12" xfId="0" applyNumberFormat="1" applyFont="1" applyFill="1" applyBorder="1" applyAlignment="1">
      <alignment horizontal="center"/>
    </xf>
    <xf numFmtId="166" fontId="4" fillId="8" borderId="11" xfId="0" applyNumberFormat="1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165" fontId="6" fillId="8" borderId="11" xfId="0" applyNumberFormat="1" applyFont="1" applyFill="1" applyBorder="1" applyAlignment="1">
      <alignment horizontal="center"/>
    </xf>
    <xf numFmtId="165" fontId="0" fillId="8" borderId="0" xfId="0" applyNumberFormat="1" applyFill="1"/>
    <xf numFmtId="0" fontId="6" fillId="8" borderId="0" xfId="0" applyFont="1" applyFill="1" applyAlignment="1">
      <alignment horizontal="center"/>
    </xf>
    <xf numFmtId="1" fontId="6" fillId="8" borderId="0" xfId="0" applyNumberFormat="1" applyFont="1" applyFill="1" applyAlignment="1">
      <alignment horizontal="center" vertical="center"/>
    </xf>
    <xf numFmtId="1" fontId="6" fillId="8" borderId="0" xfId="0" applyNumberFormat="1" applyFont="1" applyFill="1" applyAlignment="1">
      <alignment horizontal="center"/>
    </xf>
    <xf numFmtId="1" fontId="6" fillId="8" borderId="11" xfId="0" applyNumberFormat="1" applyFont="1" applyFill="1" applyBorder="1" applyAlignment="1">
      <alignment horizontal="center" vertical="center"/>
    </xf>
    <xf numFmtId="1" fontId="6" fillId="8" borderId="11" xfId="0" applyNumberFormat="1" applyFont="1" applyFill="1" applyBorder="1" applyAlignment="1">
      <alignment horizontal="center"/>
    </xf>
    <xf numFmtId="0" fontId="0" fillId="8" borderId="11" xfId="0" applyFill="1" applyBorder="1"/>
    <xf numFmtId="164" fontId="6" fillId="3" borderId="11" xfId="0" applyNumberFormat="1" applyFont="1" applyFill="1" applyBorder="1" applyAlignment="1">
      <alignment horizontal="center" vertical="center"/>
    </xf>
    <xf numFmtId="0" fontId="0" fillId="3" borderId="11" xfId="0" applyFill="1" applyBorder="1"/>
    <xf numFmtId="0" fontId="6" fillId="7" borderId="11" xfId="0" applyFont="1" applyFill="1" applyBorder="1" applyAlignment="1">
      <alignment horizontal="center"/>
    </xf>
    <xf numFmtId="2" fontId="6" fillId="8" borderId="1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9" borderId="23" xfId="0" applyFont="1" applyFill="1" applyBorder="1" applyAlignment="1">
      <alignment horizontal="center"/>
    </xf>
    <xf numFmtId="164" fontId="6" fillId="8" borderId="0" xfId="0" applyNumberFormat="1" applyFont="1" applyFill="1" applyAlignment="1">
      <alignment horizontal="center"/>
    </xf>
    <xf numFmtId="165" fontId="4" fillId="8" borderId="11" xfId="0" applyNumberFormat="1" applyFont="1" applyFill="1" applyBorder="1" applyAlignment="1">
      <alignment horizontal="center"/>
    </xf>
    <xf numFmtId="165" fontId="4" fillId="3" borderId="11" xfId="0" applyNumberFormat="1" applyFont="1" applyFill="1" applyBorder="1" applyAlignment="1">
      <alignment horizontal="center"/>
    </xf>
    <xf numFmtId="165" fontId="15" fillId="8" borderId="11" xfId="0" applyNumberFormat="1" applyFont="1" applyFill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2" fontId="4" fillId="8" borderId="10" xfId="0" applyNumberFormat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0" fillId="0" borderId="2" xfId="0" applyBorder="1"/>
    <xf numFmtId="164" fontId="4" fillId="8" borderId="20" xfId="0" applyNumberFormat="1" applyFont="1" applyFill="1" applyBorder="1" applyAlignment="1">
      <alignment horizontal="center"/>
    </xf>
    <xf numFmtId="1" fontId="4" fillId="8" borderId="20" xfId="0" applyNumberFormat="1" applyFont="1" applyFill="1" applyBorder="1" applyAlignment="1">
      <alignment horizontal="center"/>
    </xf>
    <xf numFmtId="164" fontId="4" fillId="8" borderId="26" xfId="0" applyNumberFormat="1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10" fontId="4" fillId="8" borderId="18" xfId="0" applyNumberFormat="1" applyFont="1" applyFill="1" applyBorder="1" applyAlignment="1">
      <alignment horizontal="center"/>
    </xf>
    <xf numFmtId="1" fontId="4" fillId="8" borderId="18" xfId="0" applyNumberFormat="1" applyFont="1" applyFill="1" applyBorder="1" applyAlignment="1">
      <alignment horizontal="center"/>
    </xf>
    <xf numFmtId="1" fontId="4" fillId="8" borderId="23" xfId="0" applyNumberFormat="1" applyFont="1" applyFill="1" applyBorder="1" applyAlignment="1">
      <alignment horizontal="center"/>
    </xf>
    <xf numFmtId="2" fontId="4" fillId="8" borderId="20" xfId="0" applyNumberFormat="1" applyFont="1" applyFill="1" applyBorder="1" applyAlignment="1">
      <alignment horizontal="center"/>
    </xf>
    <xf numFmtId="2" fontId="4" fillId="8" borderId="21" xfId="0" applyNumberFormat="1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1" fontId="4" fillId="8" borderId="21" xfId="0" applyNumberFormat="1" applyFont="1" applyFill="1" applyBorder="1" applyAlignment="1">
      <alignment horizontal="center"/>
    </xf>
    <xf numFmtId="10" fontId="4" fillId="8" borderId="21" xfId="0" applyNumberFormat="1" applyFont="1" applyFill="1" applyBorder="1" applyAlignment="1">
      <alignment horizontal="center"/>
    </xf>
    <xf numFmtId="2" fontId="4" fillId="8" borderId="23" xfId="0" applyNumberFormat="1" applyFont="1" applyFill="1" applyBorder="1" applyAlignment="1">
      <alignment horizontal="center"/>
    </xf>
    <xf numFmtId="2" fontId="4" fillId="8" borderId="26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165" fontId="4" fillId="8" borderId="10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0" fillId="0" borderId="1" xfId="0" applyBorder="1"/>
    <xf numFmtId="0" fontId="6" fillId="8" borderId="10" xfId="0" applyFont="1" applyFill="1" applyBorder="1" applyAlignment="1">
      <alignment horizontal="center"/>
    </xf>
    <xf numFmtId="0" fontId="3" fillId="8" borderId="10" xfId="0" applyFont="1" applyFill="1" applyBorder="1"/>
    <xf numFmtId="0" fontId="3" fillId="3" borderId="0" xfId="0" applyFont="1" applyFill="1"/>
    <xf numFmtId="0" fontId="6" fillId="0" borderId="14" xfId="0" applyFont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1" fontId="4" fillId="3" borderId="32" xfId="0" applyNumberFormat="1" applyFont="1" applyFill="1" applyBorder="1" applyAlignment="1">
      <alignment horizontal="center"/>
    </xf>
    <xf numFmtId="1" fontId="4" fillId="3" borderId="33" xfId="0" applyNumberFormat="1" applyFont="1" applyFill="1" applyBorder="1" applyAlignment="1">
      <alignment horizontal="center"/>
    </xf>
    <xf numFmtId="1" fontId="0" fillId="3" borderId="1" xfId="0" applyNumberFormat="1" applyFill="1" applyBorder="1"/>
    <xf numFmtId="0" fontId="5" fillId="0" borderId="34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/>
    <xf numFmtId="10" fontId="4" fillId="3" borderId="11" xfId="0" applyNumberFormat="1" applyFont="1" applyFill="1" applyBorder="1" applyAlignment="1">
      <alignment horizontal="center"/>
    </xf>
    <xf numFmtId="167" fontId="4" fillId="8" borderId="11" xfId="0" applyNumberFormat="1" applyFont="1" applyFill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2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0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1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3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4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5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6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8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0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1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2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3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- 10 week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Report'!$A$32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Report'!$Y$32:$BO$32</c:f>
              <c:numCache>
                <c:formatCode>0</c:formatCode>
                <c:ptCount val="43"/>
                <c:pt idx="10">
                  <c:v>22</c:v>
                </c:pt>
                <c:pt idx="11">
                  <c:v>25</c:v>
                </c:pt>
                <c:pt idx="12">
                  <c:v>28</c:v>
                </c:pt>
                <c:pt idx="13">
                  <c:v>29</c:v>
                </c:pt>
                <c:pt idx="32">
                  <c:v>27</c:v>
                </c:pt>
                <c:pt idx="33">
                  <c:v>27.4</c:v>
                </c:pt>
                <c:pt idx="3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56-46F0-B85F-9F320E035024}"/>
            </c:ext>
          </c:extLst>
        </c:ser>
        <c:ser>
          <c:idx val="1"/>
          <c:order val="1"/>
          <c:tx>
            <c:strRef>
              <c:f>'Multiplier Weekly Report'!$A$30</c:f>
              <c:strCache>
                <c:ptCount val="1"/>
                <c:pt idx="0">
                  <c:v>Slow Growers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Report'!$Y$30:$BO$30</c:f>
              <c:numCache>
                <c:formatCode>0</c:formatCode>
                <c:ptCount val="43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56-46F0-B85F-9F320E035024}"/>
            </c:ext>
          </c:extLst>
        </c:ser>
        <c:ser>
          <c:idx val="2"/>
          <c:order val="2"/>
          <c:tx>
            <c:strRef>
              <c:f>'Multiplier Weekly Report'!$A$45</c:f>
              <c:strCache>
                <c:ptCount val="1"/>
                <c:pt idx="0">
                  <c:v>Slow Growers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  <a:effectLst/>
            </c:spPr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Report'!$Y$31:$BO$31</c:f>
              <c:numCache>
                <c:formatCode>0</c:formatCode>
                <c:ptCount val="43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29</c:v>
                </c:pt>
                <c:pt idx="38">
                  <c:v>29</c:v>
                </c:pt>
                <c:pt idx="39">
                  <c:v>29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56-46F0-B85F-9F320E035024}"/>
            </c:ext>
          </c:extLst>
        </c:ser>
        <c:ser>
          <c:idx val="3"/>
          <c:order val="3"/>
          <c:tx>
            <c:strRef>
              <c:f>'Multiplier Weekly Report'!$A$29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Report'!$R$29:$BG$29</c:f>
              <c:numCache>
                <c:formatCode>General</c:formatCode>
                <c:ptCount val="42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E-4382-A1BF-FEA902EFD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21120"/>
        <c:axId val="446321512"/>
      </c:lineChart>
      <c:catAx>
        <c:axId val="44632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21512"/>
        <c:crosses val="autoZero"/>
        <c:auto val="1"/>
        <c:lblAlgn val="ctr"/>
        <c:lblOffset val="100"/>
        <c:noMultiLvlLbl val="0"/>
      </c:catAx>
      <c:valAx>
        <c:axId val="446321512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16 weeks gilt variation chart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Report'!$A$55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Report'!$Y$55:$BO$55</c:f>
              <c:numCache>
                <c:formatCode>0</c:formatCode>
                <c:ptCount val="43"/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32">
                  <c:v>3</c:v>
                </c:pt>
                <c:pt idx="33">
                  <c:v>6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7-4AE4-B664-B75268C2C692}"/>
            </c:ext>
          </c:extLst>
        </c:ser>
        <c:ser>
          <c:idx val="1"/>
          <c:order val="1"/>
          <c:tx>
            <c:strRef>
              <c:f>'Multiplier Weekly Report'!$A$57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Report'!$Y$57:$BO$57</c:f>
              <c:numCache>
                <c:formatCode>0</c:formatCode>
                <c:ptCount val="43"/>
                <c:pt idx="10">
                  <c:v>2</c:v>
                </c:pt>
                <c:pt idx="12">
                  <c:v>1</c:v>
                </c:pt>
                <c:pt idx="13">
                  <c:v>2</c:v>
                </c:pt>
                <c:pt idx="15">
                  <c:v>2</c:v>
                </c:pt>
                <c:pt idx="17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97-4AE4-B664-B75268C2C692}"/>
            </c:ext>
          </c:extLst>
        </c:ser>
        <c:ser>
          <c:idx val="2"/>
          <c:order val="2"/>
          <c:tx>
            <c:strRef>
              <c:f>'Multiplier Weekly Report'!$A$59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Report'!$Y$59:$BO$59</c:f>
              <c:numCache>
                <c:formatCode>0.00</c:formatCode>
                <c:ptCount val="43"/>
                <c:pt idx="11" formatCode="General">
                  <c:v>3</c:v>
                </c:pt>
                <c:pt idx="12" formatCode="General">
                  <c:v>1</c:v>
                </c:pt>
                <c:pt idx="14" formatCode="General">
                  <c:v>1</c:v>
                </c:pt>
                <c:pt idx="15" formatCode="General">
                  <c:v>1</c:v>
                </c:pt>
                <c:pt idx="16" formatCode="General">
                  <c:v>3</c:v>
                </c:pt>
                <c:pt idx="17" formatCode="General">
                  <c:v>2</c:v>
                </c:pt>
                <c:pt idx="18" formatCode="General">
                  <c:v>3</c:v>
                </c:pt>
                <c:pt idx="19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97-4AE4-B664-B75268C2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9552"/>
        <c:axId val="446320336"/>
      </c:barChart>
      <c:catAx>
        <c:axId val="44631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0336"/>
        <c:crosses val="autoZero"/>
        <c:auto val="1"/>
        <c:lblAlgn val="ctr"/>
        <c:lblOffset val="100"/>
        <c:noMultiLvlLbl val="0"/>
      </c:catAx>
      <c:valAx>
        <c:axId val="44632033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195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Gilts - 16 week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Report'!$A$47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 cap="rnd">
              <a:solidFill>
                <a:srgbClr val="4F81BD"/>
              </a:solidFill>
              <a:round/>
            </a:ln>
            <a:effectLst/>
          </c:spPr>
          <c:marker>
            <c:symbol val="none"/>
          </c:marker>
          <c:trendline>
            <c:spPr>
              <a:ln w="12700"/>
            </c:spPr>
            <c:trendlineType val="linear"/>
            <c:dispRSqr val="0"/>
            <c:dispEq val="0"/>
          </c:trendline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Report'!$Y$47:$BO$47</c:f>
              <c:numCache>
                <c:formatCode>0.00</c:formatCode>
                <c:ptCount val="43"/>
                <c:pt idx="10" formatCode="General">
                  <c:v>58</c:v>
                </c:pt>
                <c:pt idx="11" formatCode="General">
                  <c:v>61</c:v>
                </c:pt>
                <c:pt idx="12" formatCode="General">
                  <c:v>58</c:v>
                </c:pt>
                <c:pt idx="13" formatCode="General">
                  <c:v>58</c:v>
                </c:pt>
                <c:pt idx="14" formatCode="General">
                  <c:v>57</c:v>
                </c:pt>
                <c:pt idx="15" formatCode="General">
                  <c:v>60</c:v>
                </c:pt>
                <c:pt idx="16" formatCode="General">
                  <c:v>59</c:v>
                </c:pt>
                <c:pt idx="17" formatCode="General">
                  <c:v>65</c:v>
                </c:pt>
                <c:pt idx="18" formatCode="General">
                  <c:v>67</c:v>
                </c:pt>
                <c:pt idx="19" formatCode="General">
                  <c:v>69</c:v>
                </c:pt>
                <c:pt idx="32" formatCode="General">
                  <c:v>63</c:v>
                </c:pt>
                <c:pt idx="33" formatCode="General">
                  <c:v>60</c:v>
                </c:pt>
                <c:pt idx="34" formatCode="General">
                  <c:v>66</c:v>
                </c:pt>
                <c:pt idx="35" formatCode="General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8-4548-AB42-20F5358505C6}"/>
            </c:ext>
          </c:extLst>
        </c:ser>
        <c:ser>
          <c:idx val="1"/>
          <c:order val="1"/>
          <c:tx>
            <c:strRef>
              <c:f>'Multiplier Weekly Report'!$A$45</c:f>
              <c:strCache>
                <c:ptCount val="1"/>
                <c:pt idx="0">
                  <c:v>Slow Growers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Report'!$Y$45:$BO$45</c:f>
              <c:numCache>
                <c:formatCode>0</c:formatCode>
                <c:ptCount val="43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61</c:v>
                </c:pt>
                <c:pt idx="19">
                  <c:v>61</c:v>
                </c:pt>
                <c:pt idx="20">
                  <c:v>61</c:v>
                </c:pt>
                <c:pt idx="21">
                  <c:v>61</c:v>
                </c:pt>
                <c:pt idx="22">
                  <c:v>61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61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8-4548-AB42-20F5358505C6}"/>
            </c:ext>
          </c:extLst>
        </c:ser>
        <c:ser>
          <c:idx val="2"/>
          <c:order val="2"/>
          <c:tx>
            <c:strRef>
              <c:f>'Multiplier Weekly Report'!$A$46</c:f>
              <c:strCache>
                <c:ptCount val="1"/>
                <c:pt idx="0">
                  <c:v>Fast Growers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Report'!$Y$46:$BO$46</c:f>
              <c:numCache>
                <c:formatCode>0</c:formatCode>
                <c:ptCount val="43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71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71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71</c:v>
                </c:pt>
                <c:pt idx="25">
                  <c:v>71</c:v>
                </c:pt>
                <c:pt idx="26">
                  <c:v>71</c:v>
                </c:pt>
                <c:pt idx="27">
                  <c:v>71</c:v>
                </c:pt>
                <c:pt idx="28">
                  <c:v>71</c:v>
                </c:pt>
                <c:pt idx="29">
                  <c:v>71</c:v>
                </c:pt>
                <c:pt idx="30">
                  <c:v>71</c:v>
                </c:pt>
                <c:pt idx="31">
                  <c:v>71</c:v>
                </c:pt>
                <c:pt idx="32">
                  <c:v>71</c:v>
                </c:pt>
                <c:pt idx="33">
                  <c:v>71</c:v>
                </c:pt>
                <c:pt idx="34">
                  <c:v>71</c:v>
                </c:pt>
                <c:pt idx="35">
                  <c:v>71</c:v>
                </c:pt>
                <c:pt idx="36">
                  <c:v>71</c:v>
                </c:pt>
                <c:pt idx="37">
                  <c:v>71</c:v>
                </c:pt>
                <c:pt idx="38">
                  <c:v>71</c:v>
                </c:pt>
                <c:pt idx="39">
                  <c:v>71</c:v>
                </c:pt>
                <c:pt idx="40">
                  <c:v>71</c:v>
                </c:pt>
                <c:pt idx="41">
                  <c:v>71</c:v>
                </c:pt>
                <c:pt idx="4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58-4548-AB42-20F5358505C6}"/>
            </c:ext>
          </c:extLst>
        </c:ser>
        <c:ser>
          <c:idx val="3"/>
          <c:order val="3"/>
          <c:tx>
            <c:strRef>
              <c:f>'Multiplier Weekly Report'!$A$44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Report'!$R$44:$BG$44</c:f>
              <c:numCache>
                <c:formatCode>General</c:formatCode>
                <c:ptCount val="4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EF-4B3E-BAA9-0352273CF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7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 to 16 week ADG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Report'!$A$53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Report'!$Y$53:$BO$53</c:f>
              <c:numCache>
                <c:formatCode>0.000</c:formatCode>
                <c:ptCount val="43"/>
                <c:pt idx="0">
                  <c:v>0.80900000000000005</c:v>
                </c:pt>
                <c:pt idx="1">
                  <c:v>0.80900000000000005</c:v>
                </c:pt>
                <c:pt idx="2">
                  <c:v>0.80900000000000005</c:v>
                </c:pt>
                <c:pt idx="3">
                  <c:v>0.80900000000000005</c:v>
                </c:pt>
                <c:pt idx="4">
                  <c:v>0.80900000000000005</c:v>
                </c:pt>
                <c:pt idx="5">
                  <c:v>0.80900000000000005</c:v>
                </c:pt>
                <c:pt idx="6">
                  <c:v>0.80900000000000005</c:v>
                </c:pt>
                <c:pt idx="7">
                  <c:v>0.80900000000000005</c:v>
                </c:pt>
                <c:pt idx="8">
                  <c:v>0.80900000000000005</c:v>
                </c:pt>
                <c:pt idx="9">
                  <c:v>0.80900000000000005</c:v>
                </c:pt>
                <c:pt idx="10">
                  <c:v>0.80900000000000005</c:v>
                </c:pt>
                <c:pt idx="11">
                  <c:v>0.80900000000000005</c:v>
                </c:pt>
                <c:pt idx="12">
                  <c:v>0.80900000000000005</c:v>
                </c:pt>
                <c:pt idx="13">
                  <c:v>0.80900000000000005</c:v>
                </c:pt>
                <c:pt idx="14">
                  <c:v>0.80900000000000005</c:v>
                </c:pt>
                <c:pt idx="15">
                  <c:v>0.80900000000000005</c:v>
                </c:pt>
                <c:pt idx="16">
                  <c:v>0.80900000000000005</c:v>
                </c:pt>
                <c:pt idx="17">
                  <c:v>0.80900000000000005</c:v>
                </c:pt>
                <c:pt idx="18">
                  <c:v>0.80900000000000005</c:v>
                </c:pt>
                <c:pt idx="19">
                  <c:v>0.80900000000000005</c:v>
                </c:pt>
                <c:pt idx="20">
                  <c:v>0.80900000000000005</c:v>
                </c:pt>
                <c:pt idx="21">
                  <c:v>0.80900000000000005</c:v>
                </c:pt>
                <c:pt idx="22">
                  <c:v>0.80900000000000005</c:v>
                </c:pt>
                <c:pt idx="23">
                  <c:v>0.80900000000000005</c:v>
                </c:pt>
                <c:pt idx="24">
                  <c:v>0.80900000000000005</c:v>
                </c:pt>
                <c:pt idx="25">
                  <c:v>0.80900000000000005</c:v>
                </c:pt>
                <c:pt idx="26">
                  <c:v>0.80900000000000005</c:v>
                </c:pt>
                <c:pt idx="27">
                  <c:v>0.80900000000000005</c:v>
                </c:pt>
                <c:pt idx="28">
                  <c:v>0.80900000000000005</c:v>
                </c:pt>
                <c:pt idx="29">
                  <c:v>0.80900000000000005</c:v>
                </c:pt>
                <c:pt idx="30">
                  <c:v>0.80900000000000005</c:v>
                </c:pt>
                <c:pt idx="31">
                  <c:v>0.80900000000000005</c:v>
                </c:pt>
                <c:pt idx="32">
                  <c:v>0.80900000000000005</c:v>
                </c:pt>
                <c:pt idx="33">
                  <c:v>0.80900000000000005</c:v>
                </c:pt>
                <c:pt idx="34">
                  <c:v>0.80900000000000005</c:v>
                </c:pt>
                <c:pt idx="35">
                  <c:v>0.80900000000000005</c:v>
                </c:pt>
                <c:pt idx="36">
                  <c:v>0.80900000000000005</c:v>
                </c:pt>
                <c:pt idx="37">
                  <c:v>0.80900000000000005</c:v>
                </c:pt>
                <c:pt idx="38">
                  <c:v>0.80900000000000005</c:v>
                </c:pt>
                <c:pt idx="39">
                  <c:v>0.80900000000000005</c:v>
                </c:pt>
                <c:pt idx="40">
                  <c:v>0.80900000000000005</c:v>
                </c:pt>
                <c:pt idx="41">
                  <c:v>0.80900000000000005</c:v>
                </c:pt>
                <c:pt idx="42">
                  <c:v>0.80900000000000005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B-496F-AA8B-11D04E7A4E9F}"/>
            </c:ext>
          </c:extLst>
        </c:ser>
        <c:ser>
          <c:idx val="1"/>
          <c:order val="1"/>
          <c:tx>
            <c:strRef>
              <c:f>'Multiplier Weekly Report'!$A$50</c:f>
              <c:strCache>
                <c:ptCount val="1"/>
                <c:pt idx="0">
                  <c:v>ADG 10-16Weeks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Report'!$Y$50:$BO$50</c:f>
              <c:numCache>
                <c:formatCode>0.00</c:formatCode>
                <c:ptCount val="43"/>
                <c:pt idx="11" formatCode="0.000">
                  <c:v>1.34</c:v>
                </c:pt>
                <c:pt idx="12" formatCode="0.000">
                  <c:v>1.048</c:v>
                </c:pt>
                <c:pt idx="13">
                  <c:v>0.95199999999999996</c:v>
                </c:pt>
                <c:pt idx="14" formatCode="0.000">
                  <c:v>0.96399999999999997</c:v>
                </c:pt>
                <c:pt idx="15" formatCode="0.000">
                  <c:v>0.94199999999999995</c:v>
                </c:pt>
                <c:pt idx="16">
                  <c:v>1.0569999999999999</c:v>
                </c:pt>
                <c:pt idx="17" formatCode="0.000">
                  <c:v>1.1419999999999999</c:v>
                </c:pt>
                <c:pt idx="18" formatCode="0.000">
                  <c:v>1.143</c:v>
                </c:pt>
                <c:pt idx="19" formatCode="0.000">
                  <c:v>0.95299999999999996</c:v>
                </c:pt>
                <c:pt idx="33" formatCode="0.000">
                  <c:v>1.143</c:v>
                </c:pt>
                <c:pt idx="34" formatCode="0.000">
                  <c:v>1.429</c:v>
                </c:pt>
                <c:pt idx="35" formatCode="0.00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B-496F-AA8B-11D04E7A4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25 week gilt variation chart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Report'!$A$73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'Multiplier 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'Multiplier Weekly Report'!$Y$73:$BO$73</c:f>
              <c:numCache>
                <c:formatCode>0</c:formatCode>
                <c:ptCount val="43"/>
                <c:pt idx="10">
                  <c:v>3</c:v>
                </c:pt>
                <c:pt idx="12">
                  <c:v>1</c:v>
                </c:pt>
                <c:pt idx="13">
                  <c:v>1</c:v>
                </c:pt>
                <c:pt idx="23">
                  <c:v>1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D-44F1-9C2D-A40B4D30E4D4}"/>
            </c:ext>
          </c:extLst>
        </c:ser>
        <c:ser>
          <c:idx val="1"/>
          <c:order val="1"/>
          <c:tx>
            <c:strRef>
              <c:f>'Multiplier Weekly Report'!$A$75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'Multiplier 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'Multiplier Weekly Report'!$Y$75:$BO$75</c:f>
              <c:numCache>
                <c:formatCode>0</c:formatCode>
                <c:ptCount val="43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11">
                  <c:v>2</c:v>
                </c:pt>
                <c:pt idx="12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D-44F1-9C2D-A40B4D30E4D4}"/>
            </c:ext>
          </c:extLst>
        </c:ser>
        <c:ser>
          <c:idx val="2"/>
          <c:order val="2"/>
          <c:tx>
            <c:strRef>
              <c:f>'Multiplier Weekly Report'!$A$77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'Multiplier 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'Multiplier Weekly Report'!$Y$77:$BO$77</c:f>
              <c:numCache>
                <c:formatCode>0</c:formatCode>
                <c:ptCount val="43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6">
                  <c:v>1</c:v>
                </c:pt>
                <c:pt idx="7">
                  <c:v>4</c:v>
                </c:pt>
                <c:pt idx="11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D-44F1-9C2D-A40B4D30E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9552"/>
        <c:axId val="446320336"/>
      </c:barChart>
      <c:catAx>
        <c:axId val="44631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0336"/>
        <c:crosses val="autoZero"/>
        <c:auto val="1"/>
        <c:lblAlgn val="ctr"/>
        <c:lblOffset val="100"/>
        <c:noMultiLvlLbl val="0"/>
      </c:catAx>
      <c:valAx>
        <c:axId val="4463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Gilts - 25 week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Report'!$A$65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/>
          </c:spPr>
          <c:marker>
            <c:symbol val="none"/>
          </c:marker>
          <c:cat>
            <c:numRef>
              <c:f>'Multiplier 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'Multiplier Weekly Report'!$Y$65:$BO$65</c:f>
              <c:numCache>
                <c:formatCode>0.00</c:formatCode>
                <c:ptCount val="43"/>
                <c:pt idx="0">
                  <c:v>119</c:v>
                </c:pt>
                <c:pt idx="1">
                  <c:v>127</c:v>
                </c:pt>
                <c:pt idx="2">
                  <c:v>118</c:v>
                </c:pt>
                <c:pt idx="3" formatCode="General">
                  <c:v>120</c:v>
                </c:pt>
                <c:pt idx="4" formatCode="General">
                  <c:v>127</c:v>
                </c:pt>
                <c:pt idx="5" formatCode="General">
                  <c:v>115</c:v>
                </c:pt>
                <c:pt idx="6" formatCode="General">
                  <c:v>119</c:v>
                </c:pt>
                <c:pt idx="7" formatCode="General">
                  <c:v>117</c:v>
                </c:pt>
                <c:pt idx="10" formatCode="General">
                  <c:v>104</c:v>
                </c:pt>
                <c:pt idx="11" formatCode="General">
                  <c:v>120</c:v>
                </c:pt>
                <c:pt idx="12" formatCode="General">
                  <c:v>114</c:v>
                </c:pt>
                <c:pt idx="13" formatCode="General">
                  <c:v>119</c:v>
                </c:pt>
                <c:pt idx="14" formatCode="General">
                  <c:v>122</c:v>
                </c:pt>
                <c:pt idx="15" formatCode="General">
                  <c:v>119</c:v>
                </c:pt>
                <c:pt idx="16" formatCode="General">
                  <c:v>122</c:v>
                </c:pt>
                <c:pt idx="17" formatCode="General">
                  <c:v>119</c:v>
                </c:pt>
                <c:pt idx="18" formatCode="General">
                  <c:v>118</c:v>
                </c:pt>
                <c:pt idx="19" formatCode="General">
                  <c:v>122</c:v>
                </c:pt>
                <c:pt idx="20" formatCode="General">
                  <c:v>132</c:v>
                </c:pt>
                <c:pt idx="21" formatCode="General">
                  <c:v>132</c:v>
                </c:pt>
                <c:pt idx="22" formatCode="General">
                  <c:v>133</c:v>
                </c:pt>
                <c:pt idx="23" formatCode="General">
                  <c:v>119</c:v>
                </c:pt>
                <c:pt idx="24" formatCode="General">
                  <c:v>124</c:v>
                </c:pt>
                <c:pt idx="25" formatCode="General">
                  <c:v>122</c:v>
                </c:pt>
                <c:pt idx="26" formatCode="General">
                  <c:v>137</c:v>
                </c:pt>
                <c:pt idx="27" formatCode="General">
                  <c:v>136</c:v>
                </c:pt>
                <c:pt idx="28" formatCode="General">
                  <c:v>143</c:v>
                </c:pt>
                <c:pt idx="32" formatCode="General">
                  <c:v>114</c:v>
                </c:pt>
                <c:pt idx="33" formatCode="General">
                  <c:v>115</c:v>
                </c:pt>
                <c:pt idx="34" formatCode="General">
                  <c:v>116</c:v>
                </c:pt>
                <c:pt idx="35" formatCode="General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5-4F82-A528-B29285BEFE9B}"/>
            </c:ext>
          </c:extLst>
        </c:ser>
        <c:ser>
          <c:idx val="1"/>
          <c:order val="1"/>
          <c:tx>
            <c:strRef>
              <c:f>'Multiplier Weekly Report'!$A$63</c:f>
              <c:strCache>
                <c:ptCount val="1"/>
                <c:pt idx="0">
                  <c:v>Slow Growers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'Multiplier Weekly Report'!$Y$63:$BO$63</c:f>
              <c:numCache>
                <c:formatCode>General</c:formatCode>
                <c:ptCount val="43"/>
                <c:pt idx="0">
                  <c:v>111</c:v>
                </c:pt>
                <c:pt idx="1">
                  <c:v>111</c:v>
                </c:pt>
                <c:pt idx="2">
                  <c:v>111</c:v>
                </c:pt>
                <c:pt idx="3">
                  <c:v>111</c:v>
                </c:pt>
                <c:pt idx="4">
                  <c:v>111</c:v>
                </c:pt>
                <c:pt idx="5">
                  <c:v>111</c:v>
                </c:pt>
                <c:pt idx="6">
                  <c:v>111</c:v>
                </c:pt>
                <c:pt idx="7">
                  <c:v>111</c:v>
                </c:pt>
                <c:pt idx="8">
                  <c:v>111</c:v>
                </c:pt>
                <c:pt idx="9">
                  <c:v>111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111</c:v>
                </c:pt>
                <c:pt idx="14">
                  <c:v>111</c:v>
                </c:pt>
                <c:pt idx="15">
                  <c:v>111</c:v>
                </c:pt>
                <c:pt idx="16">
                  <c:v>111</c:v>
                </c:pt>
                <c:pt idx="17">
                  <c:v>111</c:v>
                </c:pt>
                <c:pt idx="18">
                  <c:v>111</c:v>
                </c:pt>
                <c:pt idx="19">
                  <c:v>111</c:v>
                </c:pt>
                <c:pt idx="20">
                  <c:v>111</c:v>
                </c:pt>
                <c:pt idx="21">
                  <c:v>111</c:v>
                </c:pt>
                <c:pt idx="22">
                  <c:v>111</c:v>
                </c:pt>
                <c:pt idx="23">
                  <c:v>111</c:v>
                </c:pt>
                <c:pt idx="24">
                  <c:v>111</c:v>
                </c:pt>
                <c:pt idx="25">
                  <c:v>111</c:v>
                </c:pt>
                <c:pt idx="26">
                  <c:v>111</c:v>
                </c:pt>
                <c:pt idx="27">
                  <c:v>111</c:v>
                </c:pt>
                <c:pt idx="28">
                  <c:v>111</c:v>
                </c:pt>
                <c:pt idx="29">
                  <c:v>111</c:v>
                </c:pt>
                <c:pt idx="30">
                  <c:v>111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111</c:v>
                </c:pt>
                <c:pt idx="35">
                  <c:v>111</c:v>
                </c:pt>
                <c:pt idx="36">
                  <c:v>111</c:v>
                </c:pt>
                <c:pt idx="37">
                  <c:v>111</c:v>
                </c:pt>
                <c:pt idx="38">
                  <c:v>111</c:v>
                </c:pt>
                <c:pt idx="39">
                  <c:v>111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5-4F82-A528-B29285BEFE9B}"/>
            </c:ext>
          </c:extLst>
        </c:ser>
        <c:ser>
          <c:idx val="2"/>
          <c:order val="2"/>
          <c:tx>
            <c:strRef>
              <c:f>'Multiplier Weekly Report'!$A$64</c:f>
              <c:strCache>
                <c:ptCount val="1"/>
                <c:pt idx="0">
                  <c:v>Fast Growers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'Multiplier Weekly Report'!$Y$64:$BO$64</c:f>
              <c:numCache>
                <c:formatCode>General</c:formatCode>
                <c:ptCount val="43"/>
                <c:pt idx="0">
                  <c:v>118</c:v>
                </c:pt>
                <c:pt idx="1">
                  <c:v>118</c:v>
                </c:pt>
                <c:pt idx="2">
                  <c:v>118</c:v>
                </c:pt>
                <c:pt idx="3">
                  <c:v>118</c:v>
                </c:pt>
                <c:pt idx="4">
                  <c:v>118</c:v>
                </c:pt>
                <c:pt idx="5">
                  <c:v>118</c:v>
                </c:pt>
                <c:pt idx="6">
                  <c:v>118</c:v>
                </c:pt>
                <c:pt idx="7">
                  <c:v>118</c:v>
                </c:pt>
                <c:pt idx="8">
                  <c:v>118</c:v>
                </c:pt>
                <c:pt idx="9">
                  <c:v>118</c:v>
                </c:pt>
                <c:pt idx="10">
                  <c:v>118</c:v>
                </c:pt>
                <c:pt idx="11">
                  <c:v>118</c:v>
                </c:pt>
                <c:pt idx="12">
                  <c:v>118</c:v>
                </c:pt>
                <c:pt idx="13">
                  <c:v>118</c:v>
                </c:pt>
                <c:pt idx="14">
                  <c:v>118</c:v>
                </c:pt>
                <c:pt idx="15">
                  <c:v>118</c:v>
                </c:pt>
                <c:pt idx="16">
                  <c:v>118</c:v>
                </c:pt>
                <c:pt idx="17">
                  <c:v>118</c:v>
                </c:pt>
                <c:pt idx="18">
                  <c:v>118</c:v>
                </c:pt>
                <c:pt idx="19">
                  <c:v>118</c:v>
                </c:pt>
                <c:pt idx="20">
                  <c:v>118</c:v>
                </c:pt>
                <c:pt idx="21">
                  <c:v>118</c:v>
                </c:pt>
                <c:pt idx="22">
                  <c:v>118</c:v>
                </c:pt>
                <c:pt idx="23">
                  <c:v>118</c:v>
                </c:pt>
                <c:pt idx="24">
                  <c:v>118</c:v>
                </c:pt>
                <c:pt idx="25">
                  <c:v>118</c:v>
                </c:pt>
                <c:pt idx="26">
                  <c:v>118</c:v>
                </c:pt>
                <c:pt idx="27">
                  <c:v>118</c:v>
                </c:pt>
                <c:pt idx="28">
                  <c:v>118</c:v>
                </c:pt>
                <c:pt idx="29">
                  <c:v>118</c:v>
                </c:pt>
                <c:pt idx="30">
                  <c:v>118</c:v>
                </c:pt>
                <c:pt idx="31">
                  <c:v>118</c:v>
                </c:pt>
                <c:pt idx="32">
                  <c:v>118</c:v>
                </c:pt>
                <c:pt idx="33">
                  <c:v>118</c:v>
                </c:pt>
                <c:pt idx="34">
                  <c:v>118</c:v>
                </c:pt>
                <c:pt idx="35">
                  <c:v>118</c:v>
                </c:pt>
                <c:pt idx="36">
                  <c:v>118</c:v>
                </c:pt>
                <c:pt idx="37">
                  <c:v>118</c:v>
                </c:pt>
                <c:pt idx="38">
                  <c:v>118</c:v>
                </c:pt>
                <c:pt idx="39">
                  <c:v>118</c:v>
                </c:pt>
                <c:pt idx="40">
                  <c:v>118</c:v>
                </c:pt>
                <c:pt idx="41">
                  <c:v>118</c:v>
                </c:pt>
                <c:pt idx="42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C5-4F82-A528-B29285BEF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16W-25W ADG,target ADG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Report'!$A$68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'Multiplier Weekly Report'!$Y$68:$BO$68</c:f>
              <c:numCache>
                <c:formatCode>0.000</c:formatCode>
                <c:ptCount val="43"/>
                <c:pt idx="0">
                  <c:v>0.89600000000000002</c:v>
                </c:pt>
                <c:pt idx="1">
                  <c:v>0.89600000000000002</c:v>
                </c:pt>
                <c:pt idx="2">
                  <c:v>0.89600000000000002</c:v>
                </c:pt>
                <c:pt idx="3">
                  <c:v>0.89600000000000002</c:v>
                </c:pt>
                <c:pt idx="4">
                  <c:v>0.89600000000000002</c:v>
                </c:pt>
                <c:pt idx="5">
                  <c:v>0.89600000000000002</c:v>
                </c:pt>
                <c:pt idx="6">
                  <c:v>0.89600000000000002</c:v>
                </c:pt>
                <c:pt idx="7">
                  <c:v>0.89600000000000002</c:v>
                </c:pt>
                <c:pt idx="8">
                  <c:v>0.89600000000000002</c:v>
                </c:pt>
                <c:pt idx="9">
                  <c:v>0.89600000000000002</c:v>
                </c:pt>
                <c:pt idx="10">
                  <c:v>0.89600000000000002</c:v>
                </c:pt>
                <c:pt idx="11">
                  <c:v>0.89600000000000002</c:v>
                </c:pt>
                <c:pt idx="12">
                  <c:v>0.89600000000000002</c:v>
                </c:pt>
                <c:pt idx="13">
                  <c:v>0.89600000000000002</c:v>
                </c:pt>
                <c:pt idx="14">
                  <c:v>0.89600000000000002</c:v>
                </c:pt>
                <c:pt idx="15">
                  <c:v>0.89600000000000002</c:v>
                </c:pt>
                <c:pt idx="16">
                  <c:v>0.89600000000000002</c:v>
                </c:pt>
                <c:pt idx="17">
                  <c:v>0.89600000000000002</c:v>
                </c:pt>
                <c:pt idx="18">
                  <c:v>0.89600000000000002</c:v>
                </c:pt>
                <c:pt idx="19">
                  <c:v>0.89600000000000002</c:v>
                </c:pt>
                <c:pt idx="20">
                  <c:v>0.89600000000000002</c:v>
                </c:pt>
                <c:pt idx="21">
                  <c:v>0.89600000000000002</c:v>
                </c:pt>
                <c:pt idx="22">
                  <c:v>0.89600000000000002</c:v>
                </c:pt>
                <c:pt idx="23">
                  <c:v>0.89600000000000002</c:v>
                </c:pt>
                <c:pt idx="24">
                  <c:v>0.89600000000000002</c:v>
                </c:pt>
                <c:pt idx="25">
                  <c:v>0.89600000000000002</c:v>
                </c:pt>
                <c:pt idx="26">
                  <c:v>0.89600000000000002</c:v>
                </c:pt>
                <c:pt idx="27">
                  <c:v>0.89600000000000002</c:v>
                </c:pt>
                <c:pt idx="28">
                  <c:v>0.89600000000000002</c:v>
                </c:pt>
                <c:pt idx="29">
                  <c:v>0.89600000000000002</c:v>
                </c:pt>
                <c:pt idx="30">
                  <c:v>0.89600000000000002</c:v>
                </c:pt>
                <c:pt idx="31">
                  <c:v>0.89600000000000002</c:v>
                </c:pt>
                <c:pt idx="32">
                  <c:v>0.89600000000000002</c:v>
                </c:pt>
                <c:pt idx="33">
                  <c:v>0.89600000000000002</c:v>
                </c:pt>
                <c:pt idx="34">
                  <c:v>0.89600000000000002</c:v>
                </c:pt>
                <c:pt idx="35">
                  <c:v>0.89600000000000002</c:v>
                </c:pt>
                <c:pt idx="36">
                  <c:v>0.89600000000000002</c:v>
                </c:pt>
                <c:pt idx="37">
                  <c:v>0.89600000000000002</c:v>
                </c:pt>
                <c:pt idx="38">
                  <c:v>0.89600000000000002</c:v>
                </c:pt>
                <c:pt idx="39">
                  <c:v>0.89600000000000002</c:v>
                </c:pt>
                <c:pt idx="40">
                  <c:v>0.89600000000000002</c:v>
                </c:pt>
                <c:pt idx="41">
                  <c:v>0.89600000000000002</c:v>
                </c:pt>
                <c:pt idx="42">
                  <c:v>0.89600000000000002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5-4C95-99F3-4EE2C043994F}"/>
            </c:ext>
          </c:extLst>
        </c:ser>
        <c:ser>
          <c:idx val="1"/>
          <c:order val="1"/>
          <c:tx>
            <c:strRef>
              <c:f>'Multiplier Weekly Report'!$A$69</c:f>
              <c:strCache>
                <c:ptCount val="1"/>
                <c:pt idx="0">
                  <c:v>ADG 16-25 Weeks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'Multiplier Weekly Report'!$Y$69:$BO$69</c:f>
              <c:numCache>
                <c:formatCode>0.0</c:formatCode>
                <c:ptCount val="43"/>
                <c:pt idx="0">
                  <c:v>1.0206349206349206</c:v>
                </c:pt>
                <c:pt idx="3">
                  <c:v>0.93650793650793651</c:v>
                </c:pt>
                <c:pt idx="4">
                  <c:v>1.0269841269841271</c:v>
                </c:pt>
                <c:pt idx="5">
                  <c:v>0.87301587301587302</c:v>
                </c:pt>
                <c:pt idx="7">
                  <c:v>0.92</c:v>
                </c:pt>
                <c:pt idx="11" formatCode="0.000">
                  <c:v>0.71299999999999997</c:v>
                </c:pt>
                <c:pt idx="12" formatCode="0.000">
                  <c:v>1.143</c:v>
                </c:pt>
                <c:pt idx="13" formatCode="0.000">
                  <c:v>1.429</c:v>
                </c:pt>
                <c:pt idx="14">
                  <c:v>1.1000000000000001</c:v>
                </c:pt>
                <c:pt idx="15" formatCode="0.000">
                  <c:v>1.228</c:v>
                </c:pt>
                <c:pt idx="16" formatCode="0.000">
                  <c:v>1.0229999999999999</c:v>
                </c:pt>
                <c:pt idx="17" formatCode="0.000">
                  <c:v>1.429</c:v>
                </c:pt>
                <c:pt idx="18" formatCode="0.000">
                  <c:v>1.089</c:v>
                </c:pt>
                <c:pt idx="19" formatCode="0.000">
                  <c:v>1.016</c:v>
                </c:pt>
                <c:pt idx="20" formatCode="0.000">
                  <c:v>1.127</c:v>
                </c:pt>
                <c:pt idx="21" formatCode="0.000">
                  <c:v>1.286</c:v>
                </c:pt>
                <c:pt idx="22" formatCode="0.000">
                  <c:v>1.19</c:v>
                </c:pt>
                <c:pt idx="23" formatCode="0.000">
                  <c:v>0.88800000000000001</c:v>
                </c:pt>
                <c:pt idx="24" formatCode="0.000">
                  <c:v>1.0149999999999999</c:v>
                </c:pt>
                <c:pt idx="25" formatCode="0.000">
                  <c:v>1</c:v>
                </c:pt>
                <c:pt idx="26" formatCode="0.000">
                  <c:v>2.1</c:v>
                </c:pt>
                <c:pt idx="27" formatCode="0.000">
                  <c:v>1.095</c:v>
                </c:pt>
                <c:pt idx="28" formatCode="0.000">
                  <c:v>1.1739999999999999</c:v>
                </c:pt>
                <c:pt idx="33" formatCode="0.000">
                  <c:v>1.4279999999999999</c:v>
                </c:pt>
                <c:pt idx="34" formatCode="0.000">
                  <c:v>1.214</c:v>
                </c:pt>
                <c:pt idx="35" formatCode="0.000">
                  <c:v>1.333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5-4C95-99F3-4EE2C0439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28 week gilt variation chart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Report'!$A$91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Report'!$Y$91:$BO$91</c:f>
              <c:numCache>
                <c:formatCode>0</c:formatCode>
                <c:ptCount val="43"/>
                <c:pt idx="3">
                  <c:v>1</c:v>
                </c:pt>
                <c:pt idx="7">
                  <c:v>1</c:v>
                </c:pt>
                <c:pt idx="11">
                  <c:v>0</c:v>
                </c:pt>
                <c:pt idx="13">
                  <c:v>1</c:v>
                </c:pt>
                <c:pt idx="25">
                  <c:v>1</c:v>
                </c:pt>
                <c:pt idx="26">
                  <c:v>1</c:v>
                </c:pt>
                <c:pt idx="29">
                  <c:v>1</c:v>
                </c:pt>
                <c:pt idx="32">
                  <c:v>3</c:v>
                </c:pt>
                <c:pt idx="33">
                  <c:v>5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5-420E-A366-2A32F9E5C2A8}"/>
            </c:ext>
          </c:extLst>
        </c:ser>
        <c:ser>
          <c:idx val="1"/>
          <c:order val="1"/>
          <c:tx>
            <c:strRef>
              <c:f>'Multiplier Weekly Report'!$A$93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Report'!$Y$93:$BO$93</c:f>
              <c:numCache>
                <c:formatCode>0</c:formatCode>
                <c:ptCount val="43"/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21">
                  <c:v>1</c:v>
                </c:pt>
                <c:pt idx="26">
                  <c:v>1</c:v>
                </c:pt>
                <c:pt idx="27">
                  <c:v>2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5-420E-A366-2A32F9E5C2A8}"/>
            </c:ext>
          </c:extLst>
        </c:ser>
        <c:ser>
          <c:idx val="2"/>
          <c:order val="2"/>
          <c:tx>
            <c:strRef>
              <c:f>'Multiplier Weekly Report'!$A$95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Report'!$Y$95:$BO$95</c:f>
              <c:numCache>
                <c:formatCode>0</c:formatCode>
                <c:ptCount val="43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5">
                  <c:v>4</c:v>
                </c:pt>
                <c:pt idx="3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5-420E-A366-2A32F9E5C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9552"/>
        <c:axId val="446320336"/>
      </c:barChart>
      <c:catAx>
        <c:axId val="44631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0336"/>
        <c:crosses val="autoZero"/>
        <c:auto val="1"/>
        <c:lblAlgn val="ctr"/>
        <c:lblOffset val="100"/>
        <c:noMultiLvlLbl val="0"/>
      </c:catAx>
      <c:valAx>
        <c:axId val="4463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Gilts - 28 weeks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Report'!$A$76</c:f>
              <c:strCache>
                <c:ptCount val="1"/>
                <c:pt idx="0">
                  <c:v>% Over Target</c:v>
                </c:pt>
              </c:strCache>
            </c:strRef>
          </c:tx>
          <c:spPr>
            <a:ln w="22225"/>
          </c:spPr>
          <c:marker>
            <c:symbol val="none"/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Report'!$Y$83:$BO$83</c:f>
              <c:numCache>
                <c:formatCode>0.00</c:formatCode>
                <c:ptCount val="43"/>
                <c:pt idx="0">
                  <c:v>150</c:v>
                </c:pt>
                <c:pt idx="1">
                  <c:v>150</c:v>
                </c:pt>
                <c:pt idx="2">
                  <c:v>153</c:v>
                </c:pt>
                <c:pt idx="3">
                  <c:v>132</c:v>
                </c:pt>
                <c:pt idx="4">
                  <c:v>147</c:v>
                </c:pt>
                <c:pt idx="5">
                  <c:v>137</c:v>
                </c:pt>
                <c:pt idx="6">
                  <c:v>133</c:v>
                </c:pt>
                <c:pt idx="7">
                  <c:v>139</c:v>
                </c:pt>
                <c:pt idx="8">
                  <c:v>131</c:v>
                </c:pt>
                <c:pt idx="9">
                  <c:v>141</c:v>
                </c:pt>
                <c:pt idx="10">
                  <c:v>139</c:v>
                </c:pt>
                <c:pt idx="11">
                  <c:v>131</c:v>
                </c:pt>
                <c:pt idx="12">
                  <c:v>134</c:v>
                </c:pt>
                <c:pt idx="13">
                  <c:v>130</c:v>
                </c:pt>
                <c:pt idx="14">
                  <c:v>148</c:v>
                </c:pt>
                <c:pt idx="15">
                  <c:v>137</c:v>
                </c:pt>
                <c:pt idx="16">
                  <c:v>136</c:v>
                </c:pt>
                <c:pt idx="17">
                  <c:v>152</c:v>
                </c:pt>
                <c:pt idx="18">
                  <c:v>143</c:v>
                </c:pt>
                <c:pt idx="19">
                  <c:v>148</c:v>
                </c:pt>
                <c:pt idx="20">
                  <c:v>139</c:v>
                </c:pt>
                <c:pt idx="21">
                  <c:v>142</c:v>
                </c:pt>
                <c:pt idx="22">
                  <c:v>146</c:v>
                </c:pt>
                <c:pt idx="23">
                  <c:v>155</c:v>
                </c:pt>
                <c:pt idx="24">
                  <c:v>155</c:v>
                </c:pt>
                <c:pt idx="25">
                  <c:v>141</c:v>
                </c:pt>
                <c:pt idx="26">
                  <c:v>140</c:v>
                </c:pt>
                <c:pt idx="27">
                  <c:v>152</c:v>
                </c:pt>
                <c:pt idx="28">
                  <c:v>147</c:v>
                </c:pt>
                <c:pt idx="29">
                  <c:v>153</c:v>
                </c:pt>
                <c:pt idx="30">
                  <c:v>164</c:v>
                </c:pt>
                <c:pt idx="31">
                  <c:v>168</c:v>
                </c:pt>
                <c:pt idx="32">
                  <c:v>124</c:v>
                </c:pt>
                <c:pt idx="33">
                  <c:v>128</c:v>
                </c:pt>
                <c:pt idx="34">
                  <c:v>129</c:v>
                </c:pt>
                <c:pt idx="35">
                  <c:v>137</c:v>
                </c:pt>
                <c:pt idx="36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8-4487-AEE1-B410E68D6D8B}"/>
            </c:ext>
          </c:extLst>
        </c:ser>
        <c:ser>
          <c:idx val="1"/>
          <c:order val="1"/>
          <c:tx>
            <c:strRef>
              <c:f>'Multiplier Weekly Report'!$A$81</c:f>
              <c:strCache>
                <c:ptCount val="1"/>
                <c:pt idx="0">
                  <c:v>Slow Growers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Report'!$Y$81:$BO$81</c:f>
              <c:numCache>
                <c:formatCode>General</c:formatCode>
                <c:ptCount val="43"/>
                <c:pt idx="0">
                  <c:v>127</c:v>
                </c:pt>
                <c:pt idx="1">
                  <c:v>127</c:v>
                </c:pt>
                <c:pt idx="2">
                  <c:v>127</c:v>
                </c:pt>
                <c:pt idx="3">
                  <c:v>127</c:v>
                </c:pt>
                <c:pt idx="4">
                  <c:v>127</c:v>
                </c:pt>
                <c:pt idx="5">
                  <c:v>127</c:v>
                </c:pt>
                <c:pt idx="6">
                  <c:v>127</c:v>
                </c:pt>
                <c:pt idx="7">
                  <c:v>127</c:v>
                </c:pt>
                <c:pt idx="8">
                  <c:v>127</c:v>
                </c:pt>
                <c:pt idx="9">
                  <c:v>127</c:v>
                </c:pt>
                <c:pt idx="10">
                  <c:v>127</c:v>
                </c:pt>
                <c:pt idx="11">
                  <c:v>127</c:v>
                </c:pt>
                <c:pt idx="12">
                  <c:v>127</c:v>
                </c:pt>
                <c:pt idx="13">
                  <c:v>127</c:v>
                </c:pt>
                <c:pt idx="14">
                  <c:v>127</c:v>
                </c:pt>
                <c:pt idx="15">
                  <c:v>127</c:v>
                </c:pt>
                <c:pt idx="16">
                  <c:v>127</c:v>
                </c:pt>
                <c:pt idx="17">
                  <c:v>127</c:v>
                </c:pt>
                <c:pt idx="18">
                  <c:v>127</c:v>
                </c:pt>
                <c:pt idx="19">
                  <c:v>127</c:v>
                </c:pt>
                <c:pt idx="20">
                  <c:v>127</c:v>
                </c:pt>
                <c:pt idx="21">
                  <c:v>127</c:v>
                </c:pt>
                <c:pt idx="22">
                  <c:v>127</c:v>
                </c:pt>
                <c:pt idx="23">
                  <c:v>127</c:v>
                </c:pt>
                <c:pt idx="24">
                  <c:v>127</c:v>
                </c:pt>
                <c:pt idx="25">
                  <c:v>127</c:v>
                </c:pt>
                <c:pt idx="26">
                  <c:v>127</c:v>
                </c:pt>
                <c:pt idx="27">
                  <c:v>127</c:v>
                </c:pt>
                <c:pt idx="28">
                  <c:v>127</c:v>
                </c:pt>
                <c:pt idx="29">
                  <c:v>127</c:v>
                </c:pt>
                <c:pt idx="30">
                  <c:v>127</c:v>
                </c:pt>
                <c:pt idx="31">
                  <c:v>127</c:v>
                </c:pt>
                <c:pt idx="32">
                  <c:v>127</c:v>
                </c:pt>
                <c:pt idx="33">
                  <c:v>127</c:v>
                </c:pt>
                <c:pt idx="34">
                  <c:v>127</c:v>
                </c:pt>
                <c:pt idx="35">
                  <c:v>127</c:v>
                </c:pt>
                <c:pt idx="36">
                  <c:v>127</c:v>
                </c:pt>
                <c:pt idx="37">
                  <c:v>127</c:v>
                </c:pt>
                <c:pt idx="38">
                  <c:v>127</c:v>
                </c:pt>
                <c:pt idx="39">
                  <c:v>127</c:v>
                </c:pt>
                <c:pt idx="40">
                  <c:v>127</c:v>
                </c:pt>
                <c:pt idx="41">
                  <c:v>127</c:v>
                </c:pt>
                <c:pt idx="42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8-4487-AEE1-B410E68D6D8B}"/>
            </c:ext>
          </c:extLst>
        </c:ser>
        <c:ser>
          <c:idx val="2"/>
          <c:order val="2"/>
          <c:tx>
            <c:strRef>
              <c:f>'Multiplier Weekly Report'!$A$82</c:f>
              <c:strCache>
                <c:ptCount val="1"/>
                <c:pt idx="0">
                  <c:v>Fast Growers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Report'!$Y$82:$BO$82</c:f>
              <c:numCache>
                <c:formatCode>General</c:formatCode>
                <c:ptCount val="43"/>
                <c:pt idx="0">
                  <c:v>135</c:v>
                </c:pt>
                <c:pt idx="1">
                  <c:v>135</c:v>
                </c:pt>
                <c:pt idx="2">
                  <c:v>135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  <c:pt idx="11">
                  <c:v>135</c:v>
                </c:pt>
                <c:pt idx="12">
                  <c:v>135</c:v>
                </c:pt>
                <c:pt idx="13">
                  <c:v>135</c:v>
                </c:pt>
                <c:pt idx="14">
                  <c:v>135</c:v>
                </c:pt>
                <c:pt idx="15">
                  <c:v>135</c:v>
                </c:pt>
                <c:pt idx="16">
                  <c:v>135</c:v>
                </c:pt>
                <c:pt idx="17">
                  <c:v>135</c:v>
                </c:pt>
                <c:pt idx="18">
                  <c:v>135</c:v>
                </c:pt>
                <c:pt idx="19">
                  <c:v>135</c:v>
                </c:pt>
                <c:pt idx="20">
                  <c:v>135</c:v>
                </c:pt>
                <c:pt idx="21">
                  <c:v>135</c:v>
                </c:pt>
                <c:pt idx="22">
                  <c:v>135</c:v>
                </c:pt>
                <c:pt idx="23">
                  <c:v>135</c:v>
                </c:pt>
                <c:pt idx="24">
                  <c:v>135</c:v>
                </c:pt>
                <c:pt idx="25">
                  <c:v>135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135</c:v>
                </c:pt>
                <c:pt idx="30">
                  <c:v>135</c:v>
                </c:pt>
                <c:pt idx="31">
                  <c:v>135</c:v>
                </c:pt>
                <c:pt idx="32">
                  <c:v>135</c:v>
                </c:pt>
                <c:pt idx="33">
                  <c:v>135</c:v>
                </c:pt>
                <c:pt idx="34">
                  <c:v>135</c:v>
                </c:pt>
                <c:pt idx="35">
                  <c:v>135</c:v>
                </c:pt>
                <c:pt idx="36">
                  <c:v>135</c:v>
                </c:pt>
                <c:pt idx="37">
                  <c:v>135</c:v>
                </c:pt>
                <c:pt idx="38">
                  <c:v>135</c:v>
                </c:pt>
                <c:pt idx="39">
                  <c:v>135</c:v>
                </c:pt>
                <c:pt idx="40">
                  <c:v>135</c:v>
                </c:pt>
                <c:pt idx="41">
                  <c:v>135</c:v>
                </c:pt>
                <c:pt idx="4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8-4487-AEE1-B410E68D6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16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25W-28W ADG,target ADG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Report'!$A$86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Report'!$Y$86:$BO$86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E-4C99-B2DE-5FCE29027ED5}"/>
            </c:ext>
          </c:extLst>
        </c:ser>
        <c:ser>
          <c:idx val="1"/>
          <c:order val="1"/>
          <c:tx>
            <c:strRef>
              <c:f>'Multiplier Weekly Report'!$A$87</c:f>
              <c:strCache>
                <c:ptCount val="1"/>
                <c:pt idx="0">
                  <c:v>ADG 25 to 28 weeks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Report'!$Y$87:$BO$87</c:f>
              <c:numCache>
                <c:formatCode>0.000</c:formatCode>
                <c:ptCount val="43"/>
                <c:pt idx="0">
                  <c:v>0.76190476190476186</c:v>
                </c:pt>
                <c:pt idx="6">
                  <c:v>0.2857142857142857</c:v>
                </c:pt>
                <c:pt idx="7">
                  <c:v>0.56000000000000005</c:v>
                </c:pt>
                <c:pt idx="8">
                  <c:v>0.5714285714285714</c:v>
                </c:pt>
                <c:pt idx="9" formatCode="0.00">
                  <c:v>1.1428571428571428</c:v>
                </c:pt>
                <c:pt idx="11">
                  <c:v>0.71399999999999997</c:v>
                </c:pt>
                <c:pt idx="12">
                  <c:v>1.452</c:v>
                </c:pt>
                <c:pt idx="13">
                  <c:v>1.1950000000000001</c:v>
                </c:pt>
                <c:pt idx="14" formatCode="0.00">
                  <c:v>1.33</c:v>
                </c:pt>
                <c:pt idx="15">
                  <c:v>1.085</c:v>
                </c:pt>
                <c:pt idx="16">
                  <c:v>0.80900000000000005</c:v>
                </c:pt>
                <c:pt idx="17">
                  <c:v>1.429</c:v>
                </c:pt>
                <c:pt idx="18">
                  <c:v>1.143</c:v>
                </c:pt>
                <c:pt idx="19">
                  <c:v>1.238</c:v>
                </c:pt>
                <c:pt idx="20">
                  <c:v>0.95199999999999996</c:v>
                </c:pt>
                <c:pt idx="21">
                  <c:v>1.143</c:v>
                </c:pt>
                <c:pt idx="22">
                  <c:v>1.1419999999999999</c:v>
                </c:pt>
                <c:pt idx="23">
                  <c:v>1.095</c:v>
                </c:pt>
                <c:pt idx="24">
                  <c:v>1.048</c:v>
                </c:pt>
                <c:pt idx="25">
                  <c:v>0.38</c:v>
                </c:pt>
                <c:pt idx="26">
                  <c:v>1.4</c:v>
                </c:pt>
                <c:pt idx="27">
                  <c:v>1.333</c:v>
                </c:pt>
                <c:pt idx="28">
                  <c:v>1.19</c:v>
                </c:pt>
                <c:pt idx="29">
                  <c:v>0.76100000000000001</c:v>
                </c:pt>
                <c:pt idx="30">
                  <c:v>1.33</c:v>
                </c:pt>
                <c:pt idx="31">
                  <c:v>1.19</c:v>
                </c:pt>
                <c:pt idx="33">
                  <c:v>0.85699999999999998</c:v>
                </c:pt>
                <c:pt idx="34">
                  <c:v>1.071</c:v>
                </c:pt>
                <c:pt idx="35">
                  <c:v>1.2849999999999999</c:v>
                </c:pt>
                <c:pt idx="36" formatCode="0.00">
                  <c:v>1.333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2E-4C99-B2DE-5FCE29027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service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Report'!$A$105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/>
          </c:spPr>
          <c:marker>
            <c:symbol val="none"/>
          </c:marker>
          <c:trendline>
            <c:spPr>
              <a:ln w="12700"/>
            </c:spPr>
            <c:trendlineType val="linear"/>
            <c:dispRSqr val="0"/>
            <c:dispEq val="0"/>
          </c:trendline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Report'!$Y$105:$BO$105</c:f>
              <c:numCache>
                <c:formatCode>0.00</c:formatCode>
                <c:ptCount val="43"/>
                <c:pt idx="0">
                  <c:v>163</c:v>
                </c:pt>
                <c:pt idx="1">
                  <c:v>168</c:v>
                </c:pt>
                <c:pt idx="2">
                  <c:v>166</c:v>
                </c:pt>
                <c:pt idx="3">
                  <c:v>163</c:v>
                </c:pt>
                <c:pt idx="4">
                  <c:v>169</c:v>
                </c:pt>
                <c:pt idx="5">
                  <c:v>175</c:v>
                </c:pt>
                <c:pt idx="7">
                  <c:v>174</c:v>
                </c:pt>
                <c:pt idx="8">
                  <c:v>175</c:v>
                </c:pt>
                <c:pt idx="9">
                  <c:v>164</c:v>
                </c:pt>
                <c:pt idx="10">
                  <c:v>177</c:v>
                </c:pt>
                <c:pt idx="11">
                  <c:v>177</c:v>
                </c:pt>
                <c:pt idx="12">
                  <c:v>169</c:v>
                </c:pt>
                <c:pt idx="13">
                  <c:v>167</c:v>
                </c:pt>
                <c:pt idx="14">
                  <c:v>166</c:v>
                </c:pt>
                <c:pt idx="15">
                  <c:v>177</c:v>
                </c:pt>
                <c:pt idx="16">
                  <c:v>166</c:v>
                </c:pt>
                <c:pt idx="17">
                  <c:v>170</c:v>
                </c:pt>
                <c:pt idx="18">
                  <c:v>163</c:v>
                </c:pt>
                <c:pt idx="19">
                  <c:v>171</c:v>
                </c:pt>
                <c:pt idx="20">
                  <c:v>164</c:v>
                </c:pt>
                <c:pt idx="21">
                  <c:v>169</c:v>
                </c:pt>
                <c:pt idx="22">
                  <c:v>170</c:v>
                </c:pt>
                <c:pt idx="23">
                  <c:v>166</c:v>
                </c:pt>
                <c:pt idx="24">
                  <c:v>167</c:v>
                </c:pt>
                <c:pt idx="25">
                  <c:v>169</c:v>
                </c:pt>
                <c:pt idx="26">
                  <c:v>176</c:v>
                </c:pt>
                <c:pt idx="27">
                  <c:v>176</c:v>
                </c:pt>
                <c:pt idx="28">
                  <c:v>190</c:v>
                </c:pt>
                <c:pt idx="29">
                  <c:v>182</c:v>
                </c:pt>
                <c:pt idx="30">
                  <c:v>191</c:v>
                </c:pt>
                <c:pt idx="31">
                  <c:v>172</c:v>
                </c:pt>
                <c:pt idx="32">
                  <c:v>168</c:v>
                </c:pt>
                <c:pt idx="33">
                  <c:v>169</c:v>
                </c:pt>
                <c:pt idx="34">
                  <c:v>177</c:v>
                </c:pt>
                <c:pt idx="35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8-4FA4-98EF-63C033DA3D1A}"/>
            </c:ext>
          </c:extLst>
        </c:ser>
        <c:ser>
          <c:idx val="1"/>
          <c:order val="1"/>
          <c:tx>
            <c:strRef>
              <c:f>'Multiplier Weekly Report'!$A$100</c:f>
              <c:strCache>
                <c:ptCount val="1"/>
                <c:pt idx="0">
                  <c:v>Slow Growers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Report'!$Y$100:$BO$100</c:f>
              <c:numCache>
                <c:formatCode>General</c:formatCode>
                <c:ptCount val="43"/>
                <c:pt idx="0">
                  <c:v>155</c:v>
                </c:pt>
                <c:pt idx="1">
                  <c:v>155</c:v>
                </c:pt>
                <c:pt idx="2">
                  <c:v>155</c:v>
                </c:pt>
                <c:pt idx="3">
                  <c:v>155</c:v>
                </c:pt>
                <c:pt idx="4">
                  <c:v>155</c:v>
                </c:pt>
                <c:pt idx="5">
                  <c:v>155</c:v>
                </c:pt>
                <c:pt idx="6">
                  <c:v>155</c:v>
                </c:pt>
                <c:pt idx="7">
                  <c:v>155</c:v>
                </c:pt>
                <c:pt idx="8">
                  <c:v>155</c:v>
                </c:pt>
                <c:pt idx="9">
                  <c:v>155</c:v>
                </c:pt>
                <c:pt idx="10">
                  <c:v>155</c:v>
                </c:pt>
                <c:pt idx="11">
                  <c:v>155</c:v>
                </c:pt>
                <c:pt idx="12">
                  <c:v>155</c:v>
                </c:pt>
                <c:pt idx="13">
                  <c:v>155</c:v>
                </c:pt>
                <c:pt idx="14">
                  <c:v>155</c:v>
                </c:pt>
                <c:pt idx="15">
                  <c:v>155</c:v>
                </c:pt>
                <c:pt idx="16">
                  <c:v>155</c:v>
                </c:pt>
                <c:pt idx="17">
                  <c:v>155</c:v>
                </c:pt>
                <c:pt idx="18">
                  <c:v>155</c:v>
                </c:pt>
                <c:pt idx="19">
                  <c:v>155</c:v>
                </c:pt>
                <c:pt idx="20">
                  <c:v>155</c:v>
                </c:pt>
                <c:pt idx="21">
                  <c:v>155</c:v>
                </c:pt>
                <c:pt idx="22">
                  <c:v>155</c:v>
                </c:pt>
                <c:pt idx="23">
                  <c:v>155</c:v>
                </c:pt>
                <c:pt idx="24">
                  <c:v>155</c:v>
                </c:pt>
                <c:pt idx="25">
                  <c:v>155</c:v>
                </c:pt>
                <c:pt idx="26">
                  <c:v>155</c:v>
                </c:pt>
                <c:pt idx="27">
                  <c:v>155</c:v>
                </c:pt>
                <c:pt idx="28">
                  <c:v>155</c:v>
                </c:pt>
                <c:pt idx="29">
                  <c:v>155</c:v>
                </c:pt>
                <c:pt idx="30">
                  <c:v>155</c:v>
                </c:pt>
                <c:pt idx="31">
                  <c:v>155</c:v>
                </c:pt>
                <c:pt idx="32">
                  <c:v>155</c:v>
                </c:pt>
                <c:pt idx="33">
                  <c:v>155</c:v>
                </c:pt>
                <c:pt idx="34">
                  <c:v>155</c:v>
                </c:pt>
                <c:pt idx="35">
                  <c:v>155</c:v>
                </c:pt>
                <c:pt idx="36">
                  <c:v>155</c:v>
                </c:pt>
                <c:pt idx="37">
                  <c:v>155</c:v>
                </c:pt>
                <c:pt idx="38">
                  <c:v>155</c:v>
                </c:pt>
                <c:pt idx="39">
                  <c:v>155</c:v>
                </c:pt>
                <c:pt idx="40">
                  <c:v>155</c:v>
                </c:pt>
                <c:pt idx="41">
                  <c:v>155</c:v>
                </c:pt>
                <c:pt idx="42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8-4FA4-98EF-63C033DA3D1A}"/>
            </c:ext>
          </c:extLst>
        </c:ser>
        <c:ser>
          <c:idx val="2"/>
          <c:order val="2"/>
          <c:tx>
            <c:strRef>
              <c:f>'Multiplier Weekly Report'!$A$101</c:f>
              <c:strCache>
                <c:ptCount val="1"/>
                <c:pt idx="0">
                  <c:v>Fast Growers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Report'!$Y$101:$BO$101</c:f>
              <c:numCache>
                <c:formatCode>General</c:formatCode>
                <c:ptCount val="43"/>
                <c:pt idx="0">
                  <c:v>172</c:v>
                </c:pt>
                <c:pt idx="1">
                  <c:v>172</c:v>
                </c:pt>
                <c:pt idx="2">
                  <c:v>172</c:v>
                </c:pt>
                <c:pt idx="3">
                  <c:v>172</c:v>
                </c:pt>
                <c:pt idx="4">
                  <c:v>172</c:v>
                </c:pt>
                <c:pt idx="5">
                  <c:v>172</c:v>
                </c:pt>
                <c:pt idx="6">
                  <c:v>172</c:v>
                </c:pt>
                <c:pt idx="7">
                  <c:v>172</c:v>
                </c:pt>
                <c:pt idx="8">
                  <c:v>172</c:v>
                </c:pt>
                <c:pt idx="9">
                  <c:v>172</c:v>
                </c:pt>
                <c:pt idx="10">
                  <c:v>172</c:v>
                </c:pt>
                <c:pt idx="11">
                  <c:v>172</c:v>
                </c:pt>
                <c:pt idx="12">
                  <c:v>172</c:v>
                </c:pt>
                <c:pt idx="13">
                  <c:v>172</c:v>
                </c:pt>
                <c:pt idx="14">
                  <c:v>172</c:v>
                </c:pt>
                <c:pt idx="15">
                  <c:v>172</c:v>
                </c:pt>
                <c:pt idx="16">
                  <c:v>172</c:v>
                </c:pt>
                <c:pt idx="17">
                  <c:v>172</c:v>
                </c:pt>
                <c:pt idx="18">
                  <c:v>172</c:v>
                </c:pt>
                <c:pt idx="19">
                  <c:v>172</c:v>
                </c:pt>
                <c:pt idx="20">
                  <c:v>172</c:v>
                </c:pt>
                <c:pt idx="21">
                  <c:v>172</c:v>
                </c:pt>
                <c:pt idx="22">
                  <c:v>172</c:v>
                </c:pt>
                <c:pt idx="23">
                  <c:v>172</c:v>
                </c:pt>
                <c:pt idx="24">
                  <c:v>172</c:v>
                </c:pt>
                <c:pt idx="25">
                  <c:v>172</c:v>
                </c:pt>
                <c:pt idx="26">
                  <c:v>172</c:v>
                </c:pt>
                <c:pt idx="27">
                  <c:v>172</c:v>
                </c:pt>
                <c:pt idx="28">
                  <c:v>172</c:v>
                </c:pt>
                <c:pt idx="29">
                  <c:v>172</c:v>
                </c:pt>
                <c:pt idx="30">
                  <c:v>172</c:v>
                </c:pt>
                <c:pt idx="31">
                  <c:v>172</c:v>
                </c:pt>
                <c:pt idx="32">
                  <c:v>172</c:v>
                </c:pt>
                <c:pt idx="33">
                  <c:v>172</c:v>
                </c:pt>
                <c:pt idx="34">
                  <c:v>172</c:v>
                </c:pt>
                <c:pt idx="35">
                  <c:v>172</c:v>
                </c:pt>
                <c:pt idx="36">
                  <c:v>172</c:v>
                </c:pt>
                <c:pt idx="37">
                  <c:v>172</c:v>
                </c:pt>
                <c:pt idx="38">
                  <c:v>172</c:v>
                </c:pt>
                <c:pt idx="39">
                  <c:v>172</c:v>
                </c:pt>
                <c:pt idx="40">
                  <c:v>172</c:v>
                </c:pt>
                <c:pt idx="41">
                  <c:v>172</c:v>
                </c:pt>
                <c:pt idx="42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68-4FA4-98EF-63C033DA3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20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service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Report'!$A$127</c:f>
              <c:strCache>
                <c:ptCount val="1"/>
                <c:pt idx="0">
                  <c:v>traget gilts to be served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Report'!$Y$127:$BO$127</c:f>
              <c:numCache>
                <c:formatCode>0</c:formatCode>
                <c:ptCount val="4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D-4166-9FFF-90FA94EA3787}"/>
            </c:ext>
          </c:extLst>
        </c:ser>
        <c:ser>
          <c:idx val="1"/>
          <c:order val="1"/>
          <c:tx>
            <c:strRef>
              <c:f>'Multiplier Weekly Report'!$A$128</c:f>
              <c:strCache>
                <c:ptCount val="1"/>
                <c:pt idx="0">
                  <c:v># Of Gilts Served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Report'!$Y$128:$BO$128</c:f>
              <c:numCache>
                <c:formatCode>0.00</c:formatCode>
                <c:ptCount val="43"/>
                <c:pt idx="0">
                  <c:v>6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1</c:v>
                </c:pt>
                <c:pt idx="13">
                  <c:v>6</c:v>
                </c:pt>
                <c:pt idx="14">
                  <c:v>9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7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4</c:v>
                </c:pt>
                <c:pt idx="28">
                  <c:v>1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7</c:v>
                </c:pt>
                <c:pt idx="33">
                  <c:v>4</c:v>
                </c:pt>
                <c:pt idx="34">
                  <c:v>5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D-4166-9FFF-90FA94EA3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2nd Parity service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Report'!$A$129</c:f>
              <c:strCache>
                <c:ptCount val="1"/>
                <c:pt idx="0">
                  <c:v>Target 2nd parity services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Report'!$Y$129:$BO$129</c:f>
              <c:numCache>
                <c:formatCode>0</c:formatCode>
                <c:ptCount val="4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C-419B-870B-A1B24158EF3C}"/>
            </c:ext>
          </c:extLst>
        </c:ser>
        <c:ser>
          <c:idx val="1"/>
          <c:order val="1"/>
          <c:tx>
            <c:strRef>
              <c:f>'Multiplier Weekly Report'!$A$130</c:f>
              <c:strCache>
                <c:ptCount val="1"/>
                <c:pt idx="0">
                  <c:v>Actual 2nd parity services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Report'!$Y$130:$BO$130</c:f>
              <c:numCache>
                <c:formatCode>0.00</c:formatCode>
                <c:ptCount val="43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9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3</c:v>
                </c:pt>
                <c:pt idx="14">
                  <c:v>2</c:v>
                </c:pt>
                <c:pt idx="15">
                  <c:v>6</c:v>
                </c:pt>
                <c:pt idx="16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7</c:v>
                </c:pt>
                <c:pt idx="24">
                  <c:v>5</c:v>
                </c:pt>
                <c:pt idx="25">
                  <c:v>6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7</c:v>
                </c:pt>
                <c:pt idx="3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C-419B-870B-A1B24158E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3rd parity service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692492009856662E-2"/>
          <c:y val="0.13467042647818783"/>
          <c:w val="0.90330750799014337"/>
          <c:h val="0.61544208303324011"/>
        </c:manualLayout>
      </c:layout>
      <c:lineChart>
        <c:grouping val="standard"/>
        <c:varyColors val="0"/>
        <c:ser>
          <c:idx val="0"/>
          <c:order val="0"/>
          <c:tx>
            <c:strRef>
              <c:f>'Multiplier Weekly Report'!$A$131</c:f>
              <c:strCache>
                <c:ptCount val="1"/>
                <c:pt idx="0">
                  <c:v>Target 3rd+ parity services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Report'!$Y$131:$BO$131</c:f>
              <c:numCache>
                <c:formatCode>0</c:formatCode>
                <c:ptCount val="4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6-48A7-90CD-98EBCC323B8A}"/>
            </c:ext>
          </c:extLst>
        </c:ser>
        <c:ser>
          <c:idx val="1"/>
          <c:order val="1"/>
          <c:tx>
            <c:strRef>
              <c:f>'Multiplier Weekly Report'!$A$132</c:f>
              <c:strCache>
                <c:ptCount val="1"/>
                <c:pt idx="0">
                  <c:v>Actual 3rd+ parity services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Report'!$Y$132:$BO$132</c:f>
              <c:numCache>
                <c:formatCode>0.00</c:formatCode>
                <c:ptCount val="43"/>
                <c:pt idx="0" formatCode="0">
                  <c:v>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12</c:v>
                </c:pt>
                <c:pt idx="8">
                  <c:v>16</c:v>
                </c:pt>
                <c:pt idx="9">
                  <c:v>8</c:v>
                </c:pt>
                <c:pt idx="10">
                  <c:v>13</c:v>
                </c:pt>
                <c:pt idx="11">
                  <c:v>17</c:v>
                </c:pt>
                <c:pt idx="12">
                  <c:v>13</c:v>
                </c:pt>
                <c:pt idx="13">
                  <c:v>11</c:v>
                </c:pt>
                <c:pt idx="14">
                  <c:v>9</c:v>
                </c:pt>
                <c:pt idx="15">
                  <c:v>9</c:v>
                </c:pt>
                <c:pt idx="16">
                  <c:v>12</c:v>
                </c:pt>
                <c:pt idx="17">
                  <c:v>15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14</c:v>
                </c:pt>
                <c:pt idx="22">
                  <c:v>10</c:v>
                </c:pt>
                <c:pt idx="23">
                  <c:v>11</c:v>
                </c:pt>
                <c:pt idx="24">
                  <c:v>14</c:v>
                </c:pt>
                <c:pt idx="25">
                  <c:v>11</c:v>
                </c:pt>
                <c:pt idx="26">
                  <c:v>15</c:v>
                </c:pt>
                <c:pt idx="27">
                  <c:v>19</c:v>
                </c:pt>
                <c:pt idx="28">
                  <c:v>14</c:v>
                </c:pt>
                <c:pt idx="29">
                  <c:v>16</c:v>
                </c:pt>
                <c:pt idx="30">
                  <c:v>13</c:v>
                </c:pt>
                <c:pt idx="31">
                  <c:v>17</c:v>
                </c:pt>
                <c:pt idx="32">
                  <c:v>14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36-48A7-90CD-98EBCC323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Total service target, total served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Report'!$A$133</c:f>
              <c:strCache>
                <c:ptCount val="1"/>
                <c:pt idx="0">
                  <c:v>Total service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Report'!$Y$133:$BO$133</c:f>
              <c:numCache>
                <c:formatCode>0</c:formatCode>
                <c:ptCount val="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6-4ADE-9264-511EA27413A5}"/>
            </c:ext>
          </c:extLst>
        </c:ser>
        <c:ser>
          <c:idx val="1"/>
          <c:order val="1"/>
          <c:tx>
            <c:strRef>
              <c:f>'Multiplier Weekly Report'!$A$134</c:f>
              <c:strCache>
                <c:ptCount val="1"/>
                <c:pt idx="0">
                  <c:v>total served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Report'!$Y$134:$BO$134</c:f>
              <c:numCache>
                <c:formatCode>0.00</c:formatCode>
                <c:ptCount val="43"/>
                <c:pt idx="0">
                  <c:v>20</c:v>
                </c:pt>
                <c:pt idx="1">
                  <c:v>18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19</c:v>
                </c:pt>
                <c:pt idx="27">
                  <c:v>24</c:v>
                </c:pt>
                <c:pt idx="28">
                  <c:v>17</c:v>
                </c:pt>
                <c:pt idx="29">
                  <c:v>21</c:v>
                </c:pt>
                <c:pt idx="30">
                  <c:v>20</c:v>
                </c:pt>
                <c:pt idx="31">
                  <c:v>19</c:v>
                </c:pt>
                <c:pt idx="32">
                  <c:v>24</c:v>
                </c:pt>
                <c:pt idx="33">
                  <c:v>17</c:v>
                </c:pt>
                <c:pt idx="34">
                  <c:v>24</c:v>
                </c:pt>
                <c:pt idx="3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6-4ADE-9264-511EA2741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ax val="3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'Multiplier Weekly Report'!$A$135</c:f>
              <c:strCache>
                <c:ptCount val="1"/>
                <c:pt idx="0">
                  <c:v>Total stand overs for the week (Bar graph)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Report'!$Y$135:$BO$135</c:f>
              <c:numCache>
                <c:formatCode>0.00</c:formatCode>
                <c:ptCount val="43"/>
                <c:pt idx="3">
                  <c:v>1</c:v>
                </c:pt>
                <c:pt idx="4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2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E-4DBF-B449-9AD84074F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941168"/>
        <c:axId val="1485781632"/>
      </c:barChart>
      <c:catAx>
        <c:axId val="64794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81632"/>
        <c:crosses val="autoZero"/>
        <c:auto val="1"/>
        <c:lblAlgn val="ctr"/>
        <c:lblOffset val="100"/>
        <c:noMultiLvlLbl val="0"/>
      </c:catAx>
      <c:valAx>
        <c:axId val="1485781632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411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Gilts into farrow weight vs targets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Report'!$A$140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/>
          </c:spPr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Report'!$Y$140:$BO$140</c:f>
              <c:numCache>
                <c:formatCode>0.0</c:formatCode>
                <c:ptCount val="43"/>
                <c:pt idx="0">
                  <c:v>267</c:v>
                </c:pt>
                <c:pt idx="1">
                  <c:v>243</c:v>
                </c:pt>
                <c:pt idx="2">
                  <c:v>237</c:v>
                </c:pt>
                <c:pt idx="3">
                  <c:v>249</c:v>
                </c:pt>
                <c:pt idx="4">
                  <c:v>253</c:v>
                </c:pt>
                <c:pt idx="5">
                  <c:v>245</c:v>
                </c:pt>
                <c:pt idx="6">
                  <c:v>245</c:v>
                </c:pt>
                <c:pt idx="7">
                  <c:v>248</c:v>
                </c:pt>
                <c:pt idx="8">
                  <c:v>258</c:v>
                </c:pt>
                <c:pt idx="9">
                  <c:v>245</c:v>
                </c:pt>
                <c:pt idx="10">
                  <c:v>250</c:v>
                </c:pt>
                <c:pt idx="11">
                  <c:v>244</c:v>
                </c:pt>
                <c:pt idx="12">
                  <c:v>230</c:v>
                </c:pt>
                <c:pt idx="13">
                  <c:v>254</c:v>
                </c:pt>
                <c:pt idx="14">
                  <c:v>226</c:v>
                </c:pt>
                <c:pt idx="15">
                  <c:v>245</c:v>
                </c:pt>
                <c:pt idx="16">
                  <c:v>246</c:v>
                </c:pt>
                <c:pt idx="17">
                  <c:v>230</c:v>
                </c:pt>
                <c:pt idx="18">
                  <c:v>253</c:v>
                </c:pt>
                <c:pt idx="19">
                  <c:v>244</c:v>
                </c:pt>
                <c:pt idx="20">
                  <c:v>242</c:v>
                </c:pt>
                <c:pt idx="21">
                  <c:v>249</c:v>
                </c:pt>
                <c:pt idx="23">
                  <c:v>254</c:v>
                </c:pt>
                <c:pt idx="24">
                  <c:v>258</c:v>
                </c:pt>
                <c:pt idx="25">
                  <c:v>250</c:v>
                </c:pt>
                <c:pt idx="26">
                  <c:v>254</c:v>
                </c:pt>
                <c:pt idx="27">
                  <c:v>272</c:v>
                </c:pt>
                <c:pt idx="28">
                  <c:v>257</c:v>
                </c:pt>
                <c:pt idx="29">
                  <c:v>254</c:v>
                </c:pt>
                <c:pt idx="30">
                  <c:v>250</c:v>
                </c:pt>
                <c:pt idx="31">
                  <c:v>280</c:v>
                </c:pt>
                <c:pt idx="32">
                  <c:v>266</c:v>
                </c:pt>
                <c:pt idx="33">
                  <c:v>251</c:v>
                </c:pt>
                <c:pt idx="34">
                  <c:v>257</c:v>
                </c:pt>
                <c:pt idx="35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F-49A8-8933-451FEE31CA69}"/>
            </c:ext>
          </c:extLst>
        </c:ser>
        <c:ser>
          <c:idx val="1"/>
          <c:order val="1"/>
          <c:tx>
            <c:strRef>
              <c:f>'Multiplier Weekly Report'!$A$138</c:f>
              <c:strCache>
                <c:ptCount val="1"/>
                <c:pt idx="0">
                  <c:v>Min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Report'!$Y$138:$BO$138</c:f>
              <c:numCache>
                <c:formatCode>General</c:formatCode>
                <c:ptCount val="43"/>
                <c:pt idx="0">
                  <c:v>236</c:v>
                </c:pt>
                <c:pt idx="1">
                  <c:v>236</c:v>
                </c:pt>
                <c:pt idx="2">
                  <c:v>236</c:v>
                </c:pt>
                <c:pt idx="3">
                  <c:v>236</c:v>
                </c:pt>
                <c:pt idx="4">
                  <c:v>236</c:v>
                </c:pt>
                <c:pt idx="5">
                  <c:v>236</c:v>
                </c:pt>
                <c:pt idx="6">
                  <c:v>236</c:v>
                </c:pt>
                <c:pt idx="7">
                  <c:v>236</c:v>
                </c:pt>
                <c:pt idx="8">
                  <c:v>236</c:v>
                </c:pt>
                <c:pt idx="9">
                  <c:v>236</c:v>
                </c:pt>
                <c:pt idx="10">
                  <c:v>236</c:v>
                </c:pt>
                <c:pt idx="11">
                  <c:v>236</c:v>
                </c:pt>
                <c:pt idx="12">
                  <c:v>236</c:v>
                </c:pt>
                <c:pt idx="13">
                  <c:v>236</c:v>
                </c:pt>
                <c:pt idx="14">
                  <c:v>236</c:v>
                </c:pt>
                <c:pt idx="15">
                  <c:v>236</c:v>
                </c:pt>
                <c:pt idx="16">
                  <c:v>236</c:v>
                </c:pt>
                <c:pt idx="17">
                  <c:v>236</c:v>
                </c:pt>
                <c:pt idx="18">
                  <c:v>236</c:v>
                </c:pt>
                <c:pt idx="19">
                  <c:v>236</c:v>
                </c:pt>
                <c:pt idx="20">
                  <c:v>236</c:v>
                </c:pt>
                <c:pt idx="21">
                  <c:v>236</c:v>
                </c:pt>
                <c:pt idx="22">
                  <c:v>236</c:v>
                </c:pt>
                <c:pt idx="23">
                  <c:v>236</c:v>
                </c:pt>
                <c:pt idx="24">
                  <c:v>236</c:v>
                </c:pt>
                <c:pt idx="25">
                  <c:v>236</c:v>
                </c:pt>
                <c:pt idx="26">
                  <c:v>236</c:v>
                </c:pt>
                <c:pt idx="27">
                  <c:v>236</c:v>
                </c:pt>
                <c:pt idx="28">
                  <c:v>236</c:v>
                </c:pt>
                <c:pt idx="29">
                  <c:v>236</c:v>
                </c:pt>
                <c:pt idx="30">
                  <c:v>236</c:v>
                </c:pt>
                <c:pt idx="31">
                  <c:v>236</c:v>
                </c:pt>
                <c:pt idx="32">
                  <c:v>236</c:v>
                </c:pt>
                <c:pt idx="33">
                  <c:v>236</c:v>
                </c:pt>
                <c:pt idx="34">
                  <c:v>236</c:v>
                </c:pt>
                <c:pt idx="35">
                  <c:v>236</c:v>
                </c:pt>
                <c:pt idx="36">
                  <c:v>236</c:v>
                </c:pt>
                <c:pt idx="37">
                  <c:v>236</c:v>
                </c:pt>
                <c:pt idx="38">
                  <c:v>236</c:v>
                </c:pt>
                <c:pt idx="39">
                  <c:v>236</c:v>
                </c:pt>
                <c:pt idx="40">
                  <c:v>236</c:v>
                </c:pt>
                <c:pt idx="41">
                  <c:v>236</c:v>
                </c:pt>
                <c:pt idx="42">
                  <c:v>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3F-49A8-8933-451FEE31CA69}"/>
            </c:ext>
          </c:extLst>
        </c:ser>
        <c:ser>
          <c:idx val="2"/>
          <c:order val="2"/>
          <c:tx>
            <c:strRef>
              <c:f>'Multiplier Weekly Report'!$A$139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Report'!$Y$139:$BO$139</c:f>
              <c:numCache>
                <c:formatCode>General</c:formatCode>
                <c:ptCount val="43"/>
                <c:pt idx="0">
                  <c:v>246</c:v>
                </c:pt>
                <c:pt idx="1">
                  <c:v>246</c:v>
                </c:pt>
                <c:pt idx="2">
                  <c:v>246</c:v>
                </c:pt>
                <c:pt idx="3">
                  <c:v>246</c:v>
                </c:pt>
                <c:pt idx="4">
                  <c:v>246</c:v>
                </c:pt>
                <c:pt idx="5">
                  <c:v>246</c:v>
                </c:pt>
                <c:pt idx="6">
                  <c:v>246</c:v>
                </c:pt>
                <c:pt idx="7">
                  <c:v>246</c:v>
                </c:pt>
                <c:pt idx="8">
                  <c:v>246</c:v>
                </c:pt>
                <c:pt idx="9">
                  <c:v>246</c:v>
                </c:pt>
                <c:pt idx="10">
                  <c:v>246</c:v>
                </c:pt>
                <c:pt idx="11">
                  <c:v>246</c:v>
                </c:pt>
                <c:pt idx="12">
                  <c:v>246</c:v>
                </c:pt>
                <c:pt idx="13">
                  <c:v>246</c:v>
                </c:pt>
                <c:pt idx="14">
                  <c:v>246</c:v>
                </c:pt>
                <c:pt idx="15">
                  <c:v>246</c:v>
                </c:pt>
                <c:pt idx="16">
                  <c:v>246</c:v>
                </c:pt>
                <c:pt idx="17">
                  <c:v>246</c:v>
                </c:pt>
                <c:pt idx="18">
                  <c:v>246</c:v>
                </c:pt>
                <c:pt idx="19">
                  <c:v>246</c:v>
                </c:pt>
                <c:pt idx="20">
                  <c:v>246</c:v>
                </c:pt>
                <c:pt idx="21">
                  <c:v>246</c:v>
                </c:pt>
                <c:pt idx="22">
                  <c:v>246</c:v>
                </c:pt>
                <c:pt idx="23">
                  <c:v>246</c:v>
                </c:pt>
                <c:pt idx="24">
                  <c:v>246</c:v>
                </c:pt>
                <c:pt idx="25">
                  <c:v>246</c:v>
                </c:pt>
                <c:pt idx="26">
                  <c:v>246</c:v>
                </c:pt>
                <c:pt idx="27">
                  <c:v>246</c:v>
                </c:pt>
                <c:pt idx="28">
                  <c:v>246</c:v>
                </c:pt>
                <c:pt idx="29">
                  <c:v>246</c:v>
                </c:pt>
                <c:pt idx="30">
                  <c:v>246</c:v>
                </c:pt>
                <c:pt idx="31">
                  <c:v>246</c:v>
                </c:pt>
                <c:pt idx="32">
                  <c:v>246</c:v>
                </c:pt>
                <c:pt idx="33">
                  <c:v>246</c:v>
                </c:pt>
                <c:pt idx="34">
                  <c:v>246</c:v>
                </c:pt>
                <c:pt idx="35">
                  <c:v>246</c:v>
                </c:pt>
                <c:pt idx="36">
                  <c:v>246</c:v>
                </c:pt>
                <c:pt idx="37">
                  <c:v>246</c:v>
                </c:pt>
                <c:pt idx="38">
                  <c:v>246</c:v>
                </c:pt>
                <c:pt idx="39">
                  <c:v>246</c:v>
                </c:pt>
                <c:pt idx="40">
                  <c:v>246</c:v>
                </c:pt>
                <c:pt idx="41">
                  <c:v>246</c:v>
                </c:pt>
                <c:pt idx="42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3F-49A8-8933-451FEE31C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in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ZA"/>
              <a:t>GILTS</a:t>
            </a:r>
            <a:r>
              <a:rPr lang="en-ZA" baseline="0"/>
              <a:t> </a:t>
            </a:r>
            <a:r>
              <a:rPr lang="en-ZA"/>
              <a:t>FARROWING RATES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Report'!$A$163</c:f>
              <c:strCache>
                <c:ptCount val="1"/>
                <c:pt idx="0">
                  <c:v>Target Farrowing Rate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Report'!$Y$163:$BO$163</c:f>
              <c:numCache>
                <c:formatCode>General</c:formatCode>
                <c:ptCount val="4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435-8F88-01508074101D}"/>
            </c:ext>
          </c:extLst>
        </c:ser>
        <c:ser>
          <c:idx val="1"/>
          <c:order val="1"/>
          <c:tx>
            <c:strRef>
              <c:f>'Multiplier Weekly Report'!$A$160</c:f>
              <c:strCache>
                <c:ptCount val="1"/>
                <c:pt idx="0">
                  <c:v>gilt farrow rate</c:v>
                </c:pt>
              </c:strCache>
            </c:strRef>
          </c:tx>
          <c:spPr>
            <a:ln w="2222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Report'!$Y$160:$BO$160</c:f>
              <c:numCache>
                <c:formatCode>General</c:formatCode>
                <c:ptCount val="43"/>
                <c:pt idx="0">
                  <c:v>75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90</c:v>
                </c:pt>
                <c:pt idx="5">
                  <c:v>66.599999999999994</c:v>
                </c:pt>
                <c:pt idx="6">
                  <c:v>66.599999999999994</c:v>
                </c:pt>
                <c:pt idx="7">
                  <c:v>85.5</c:v>
                </c:pt>
                <c:pt idx="8">
                  <c:v>75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75</c:v>
                </c:pt>
                <c:pt idx="14">
                  <c:v>100</c:v>
                </c:pt>
                <c:pt idx="15">
                  <c:v>60</c:v>
                </c:pt>
                <c:pt idx="16">
                  <c:v>83.3</c:v>
                </c:pt>
                <c:pt idx="17">
                  <c:v>66.3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40</c:v>
                </c:pt>
                <c:pt idx="27">
                  <c:v>100</c:v>
                </c:pt>
                <c:pt idx="28">
                  <c:v>100</c:v>
                </c:pt>
                <c:pt idx="29">
                  <c:v>83.3</c:v>
                </c:pt>
                <c:pt idx="30">
                  <c:v>100</c:v>
                </c:pt>
                <c:pt idx="31">
                  <c:v>80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94-4435-8F88-015080741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farrowing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GILTS BORN ALIVE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263899163356198E-2"/>
          <c:y val="0.14514508125256334"/>
          <c:w val="0.90124001392020292"/>
          <c:h val="0.58436658853310808"/>
        </c:manualLayout>
      </c:layout>
      <c:lineChart>
        <c:grouping val="standard"/>
        <c:varyColors val="0"/>
        <c:ser>
          <c:idx val="0"/>
          <c:order val="0"/>
          <c:tx>
            <c:strRef>
              <c:f>'Multiplier Weekly Report'!$A$168</c:f>
              <c:strCache>
                <c:ptCount val="1"/>
                <c:pt idx="0">
                  <c:v>BA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Report'!$R$9:$BG$9</c:f>
              <c:numCache>
                <c:formatCode>General</c:formatCode>
                <c:ptCount val="42"/>
                <c:pt idx="0">
                  <c:v>2543</c:v>
                </c:pt>
                <c:pt idx="1">
                  <c:v>2544</c:v>
                </c:pt>
                <c:pt idx="2">
                  <c:v>2545</c:v>
                </c:pt>
                <c:pt idx="3">
                  <c:v>2546</c:v>
                </c:pt>
                <c:pt idx="4">
                  <c:v>2547</c:v>
                </c:pt>
                <c:pt idx="5">
                  <c:v>2548</c:v>
                </c:pt>
                <c:pt idx="6">
                  <c:v>2549</c:v>
                </c:pt>
                <c:pt idx="7">
                  <c:v>2550</c:v>
                </c:pt>
                <c:pt idx="8">
                  <c:v>2551</c:v>
                </c:pt>
                <c:pt idx="9">
                  <c:v>2552</c:v>
                </c:pt>
                <c:pt idx="10">
                  <c:v>2601</c:v>
                </c:pt>
                <c:pt idx="11">
                  <c:v>2602</c:v>
                </c:pt>
                <c:pt idx="12">
                  <c:v>2603</c:v>
                </c:pt>
                <c:pt idx="13">
                  <c:v>2604</c:v>
                </c:pt>
                <c:pt idx="14">
                  <c:v>2605</c:v>
                </c:pt>
                <c:pt idx="15">
                  <c:v>2606</c:v>
                </c:pt>
                <c:pt idx="16">
                  <c:v>2607</c:v>
                </c:pt>
                <c:pt idx="17">
                  <c:v>2608</c:v>
                </c:pt>
                <c:pt idx="18">
                  <c:v>2609</c:v>
                </c:pt>
                <c:pt idx="19">
                  <c:v>2610</c:v>
                </c:pt>
                <c:pt idx="20">
                  <c:v>2611</c:v>
                </c:pt>
                <c:pt idx="21">
                  <c:v>2612</c:v>
                </c:pt>
                <c:pt idx="22">
                  <c:v>2613</c:v>
                </c:pt>
                <c:pt idx="23">
                  <c:v>2614</c:v>
                </c:pt>
                <c:pt idx="24">
                  <c:v>2615</c:v>
                </c:pt>
                <c:pt idx="25">
                  <c:v>2616</c:v>
                </c:pt>
                <c:pt idx="26">
                  <c:v>2617</c:v>
                </c:pt>
                <c:pt idx="27">
                  <c:v>2618</c:v>
                </c:pt>
                <c:pt idx="28">
                  <c:v>2619</c:v>
                </c:pt>
                <c:pt idx="29">
                  <c:v>2620</c:v>
                </c:pt>
                <c:pt idx="30">
                  <c:v>2621</c:v>
                </c:pt>
                <c:pt idx="31">
                  <c:v>2622</c:v>
                </c:pt>
                <c:pt idx="32">
                  <c:v>2623</c:v>
                </c:pt>
                <c:pt idx="33">
                  <c:v>2624</c:v>
                </c:pt>
                <c:pt idx="34">
                  <c:v>2625</c:v>
                </c:pt>
                <c:pt idx="35">
                  <c:v>2626</c:v>
                </c:pt>
                <c:pt idx="36">
                  <c:v>2627</c:v>
                </c:pt>
                <c:pt idx="37">
                  <c:v>2628</c:v>
                </c:pt>
                <c:pt idx="38">
                  <c:v>2629</c:v>
                </c:pt>
                <c:pt idx="39">
                  <c:v>2630</c:v>
                </c:pt>
                <c:pt idx="40">
                  <c:v>2631</c:v>
                </c:pt>
                <c:pt idx="41">
                  <c:v>2632</c:v>
                </c:pt>
              </c:numCache>
            </c:numRef>
          </c:cat>
          <c:val>
            <c:numRef>
              <c:f>'Multiplier Weekly Report'!$Y$168:$BO$168</c:f>
              <c:numCache>
                <c:formatCode>0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F-4F0F-A5AF-3A96532208A2}"/>
            </c:ext>
          </c:extLst>
        </c:ser>
        <c:ser>
          <c:idx val="1"/>
          <c:order val="1"/>
          <c:tx>
            <c:strRef>
              <c:f>'Multiplier Weekly Report'!$A$165</c:f>
              <c:strCache>
                <c:ptCount val="1"/>
                <c:pt idx="0">
                  <c:v>Gilt BA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'Multiplier Weekly Report'!$R$9:$BG$9</c:f>
              <c:numCache>
                <c:formatCode>General</c:formatCode>
                <c:ptCount val="42"/>
                <c:pt idx="0">
                  <c:v>2543</c:v>
                </c:pt>
                <c:pt idx="1">
                  <c:v>2544</c:v>
                </c:pt>
                <c:pt idx="2">
                  <c:v>2545</c:v>
                </c:pt>
                <c:pt idx="3">
                  <c:v>2546</c:v>
                </c:pt>
                <c:pt idx="4">
                  <c:v>2547</c:v>
                </c:pt>
                <c:pt idx="5">
                  <c:v>2548</c:v>
                </c:pt>
                <c:pt idx="6">
                  <c:v>2549</c:v>
                </c:pt>
                <c:pt idx="7">
                  <c:v>2550</c:v>
                </c:pt>
                <c:pt idx="8">
                  <c:v>2551</c:v>
                </c:pt>
                <c:pt idx="9">
                  <c:v>2552</c:v>
                </c:pt>
                <c:pt idx="10">
                  <c:v>2601</c:v>
                </c:pt>
                <c:pt idx="11">
                  <c:v>2602</c:v>
                </c:pt>
                <c:pt idx="12">
                  <c:v>2603</c:v>
                </c:pt>
                <c:pt idx="13">
                  <c:v>2604</c:v>
                </c:pt>
                <c:pt idx="14">
                  <c:v>2605</c:v>
                </c:pt>
                <c:pt idx="15">
                  <c:v>2606</c:v>
                </c:pt>
                <c:pt idx="16">
                  <c:v>2607</c:v>
                </c:pt>
                <c:pt idx="17">
                  <c:v>2608</c:v>
                </c:pt>
                <c:pt idx="18">
                  <c:v>2609</c:v>
                </c:pt>
                <c:pt idx="19">
                  <c:v>2610</c:v>
                </c:pt>
                <c:pt idx="20">
                  <c:v>2611</c:v>
                </c:pt>
                <c:pt idx="21">
                  <c:v>2612</c:v>
                </c:pt>
                <c:pt idx="22">
                  <c:v>2613</c:v>
                </c:pt>
                <c:pt idx="23">
                  <c:v>2614</c:v>
                </c:pt>
                <c:pt idx="24">
                  <c:v>2615</c:v>
                </c:pt>
                <c:pt idx="25">
                  <c:v>2616</c:v>
                </c:pt>
                <c:pt idx="26">
                  <c:v>2617</c:v>
                </c:pt>
                <c:pt idx="27">
                  <c:v>2618</c:v>
                </c:pt>
                <c:pt idx="28">
                  <c:v>2619</c:v>
                </c:pt>
                <c:pt idx="29">
                  <c:v>2620</c:v>
                </c:pt>
                <c:pt idx="30">
                  <c:v>2621</c:v>
                </c:pt>
                <c:pt idx="31">
                  <c:v>2622</c:v>
                </c:pt>
                <c:pt idx="32">
                  <c:v>2623</c:v>
                </c:pt>
                <c:pt idx="33">
                  <c:v>2624</c:v>
                </c:pt>
                <c:pt idx="34">
                  <c:v>2625</c:v>
                </c:pt>
                <c:pt idx="35">
                  <c:v>2626</c:v>
                </c:pt>
                <c:pt idx="36">
                  <c:v>2627</c:v>
                </c:pt>
                <c:pt idx="37">
                  <c:v>2628</c:v>
                </c:pt>
                <c:pt idx="38">
                  <c:v>2629</c:v>
                </c:pt>
                <c:pt idx="39">
                  <c:v>2630</c:v>
                </c:pt>
                <c:pt idx="40">
                  <c:v>2631</c:v>
                </c:pt>
                <c:pt idx="41">
                  <c:v>2632</c:v>
                </c:pt>
              </c:numCache>
            </c:numRef>
          </c:cat>
          <c:val>
            <c:numRef>
              <c:f>'Multiplier Weekly Report'!$Y$165:$BO$165</c:f>
              <c:numCache>
                <c:formatCode>0.00</c:formatCode>
                <c:ptCount val="43"/>
                <c:pt idx="0">
                  <c:v>14</c:v>
                </c:pt>
                <c:pt idx="1">
                  <c:v>15</c:v>
                </c:pt>
                <c:pt idx="2">
                  <c:v>14.67</c:v>
                </c:pt>
                <c:pt idx="3" formatCode="General">
                  <c:v>17.5</c:v>
                </c:pt>
                <c:pt idx="4" formatCode="General">
                  <c:v>15.1</c:v>
                </c:pt>
                <c:pt idx="5" formatCode="General">
                  <c:v>8</c:v>
                </c:pt>
                <c:pt idx="6" formatCode="General">
                  <c:v>13.5</c:v>
                </c:pt>
                <c:pt idx="7" formatCode="General">
                  <c:v>16</c:v>
                </c:pt>
                <c:pt idx="8" formatCode="General">
                  <c:v>13.75</c:v>
                </c:pt>
                <c:pt idx="9" formatCode="General">
                  <c:v>14.5</c:v>
                </c:pt>
                <c:pt idx="10" formatCode="General">
                  <c:v>15</c:v>
                </c:pt>
                <c:pt idx="11" formatCode="General">
                  <c:v>15</c:v>
                </c:pt>
                <c:pt idx="12" formatCode="General">
                  <c:v>20</c:v>
                </c:pt>
                <c:pt idx="13" formatCode="General">
                  <c:v>14.7</c:v>
                </c:pt>
                <c:pt idx="14" formatCode="General">
                  <c:v>12.5</c:v>
                </c:pt>
                <c:pt idx="16" formatCode="General">
                  <c:v>15.3</c:v>
                </c:pt>
                <c:pt idx="17" formatCode="General">
                  <c:v>17</c:v>
                </c:pt>
                <c:pt idx="18" formatCode="General">
                  <c:v>17.399999999999999</c:v>
                </c:pt>
                <c:pt idx="19" formatCode="General">
                  <c:v>16.2</c:v>
                </c:pt>
                <c:pt idx="20" formatCode="General">
                  <c:v>14.7</c:v>
                </c:pt>
                <c:pt idx="21" formatCode="General">
                  <c:v>10</c:v>
                </c:pt>
                <c:pt idx="23" formatCode="General">
                  <c:v>16.5</c:v>
                </c:pt>
                <c:pt idx="24" formatCode="General">
                  <c:v>15</c:v>
                </c:pt>
                <c:pt idx="25" formatCode="General">
                  <c:v>16.7</c:v>
                </c:pt>
                <c:pt idx="26" formatCode="General">
                  <c:v>14.3</c:v>
                </c:pt>
                <c:pt idx="27" formatCode="General">
                  <c:v>14.5</c:v>
                </c:pt>
                <c:pt idx="28" formatCode="General">
                  <c:v>18</c:v>
                </c:pt>
                <c:pt idx="29" formatCode="General">
                  <c:v>17.399999999999999</c:v>
                </c:pt>
                <c:pt idx="30" formatCode="General">
                  <c:v>17</c:v>
                </c:pt>
                <c:pt idx="31" formatCode="General">
                  <c:v>16.5</c:v>
                </c:pt>
                <c:pt idx="32" formatCode="General">
                  <c:v>13</c:v>
                </c:pt>
                <c:pt idx="33" formatCode="General">
                  <c:v>14.3</c:v>
                </c:pt>
                <c:pt idx="34" formatCode="General">
                  <c:v>16.8</c:v>
                </c:pt>
                <c:pt idx="35" formatCode="General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F-4F0F-A5AF-3A9653220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2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ACTIVE WEEK 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Report'!$A$175</c:f>
              <c:strCache>
                <c:ptCount val="1"/>
                <c:pt idx="0">
                  <c:v>Active Week Mortality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Report'!$Y$175:$BO$175</c:f>
              <c:numCache>
                <c:formatCode>0.00%</c:formatCode>
                <c:ptCount val="43"/>
                <c:pt idx="0">
                  <c:v>5.5E-2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6.3E-2</c:v>
                </c:pt>
                <c:pt idx="4">
                  <c:v>3.7999999999999999E-2</c:v>
                </c:pt>
                <c:pt idx="5">
                  <c:v>4.4999999999999998E-2</c:v>
                </c:pt>
                <c:pt idx="6">
                  <c:v>3.2000000000000001E-2</c:v>
                </c:pt>
                <c:pt idx="7">
                  <c:v>1.7000000000000001E-2</c:v>
                </c:pt>
                <c:pt idx="8">
                  <c:v>3.5000000000000003E-2</c:v>
                </c:pt>
                <c:pt idx="9">
                  <c:v>5.2999999999999999E-2</c:v>
                </c:pt>
                <c:pt idx="10">
                  <c:v>3.1E-2</c:v>
                </c:pt>
                <c:pt idx="11">
                  <c:v>5.1999999999999998E-2</c:v>
                </c:pt>
                <c:pt idx="12">
                  <c:v>7.0000000000000007E-2</c:v>
                </c:pt>
                <c:pt idx="13">
                  <c:v>2.9000000000000001E-2</c:v>
                </c:pt>
                <c:pt idx="14">
                  <c:v>0.02</c:v>
                </c:pt>
                <c:pt idx="15">
                  <c:v>3.9E-2</c:v>
                </c:pt>
                <c:pt idx="16">
                  <c:v>4.2000000000000003E-2</c:v>
                </c:pt>
                <c:pt idx="17">
                  <c:v>3.0499999999999999E-2</c:v>
                </c:pt>
                <c:pt idx="18">
                  <c:v>7.1999999999999995E-2</c:v>
                </c:pt>
                <c:pt idx="19">
                  <c:v>4.4999999999999998E-2</c:v>
                </c:pt>
                <c:pt idx="20">
                  <c:v>3.3000000000000002E-2</c:v>
                </c:pt>
                <c:pt idx="21">
                  <c:v>3.3000000000000002E-2</c:v>
                </c:pt>
                <c:pt idx="22">
                  <c:v>2.5000000000000001E-2</c:v>
                </c:pt>
                <c:pt idx="23">
                  <c:v>2.5999999999999999E-2</c:v>
                </c:pt>
                <c:pt idx="24">
                  <c:v>2.1000000000000001E-2</c:v>
                </c:pt>
                <c:pt idx="25">
                  <c:v>5.2999999999999999E-2</c:v>
                </c:pt>
                <c:pt idx="26">
                  <c:v>3.5000000000000003E-2</c:v>
                </c:pt>
                <c:pt idx="27">
                  <c:v>4.4999999999999998E-2</c:v>
                </c:pt>
                <c:pt idx="28">
                  <c:v>4.3999999999999997E-2</c:v>
                </c:pt>
                <c:pt idx="29">
                  <c:v>3.5999999999999997E-2</c:v>
                </c:pt>
                <c:pt idx="30">
                  <c:v>0.05</c:v>
                </c:pt>
                <c:pt idx="31">
                  <c:v>0.02</c:v>
                </c:pt>
                <c:pt idx="32">
                  <c:v>3.9E-2</c:v>
                </c:pt>
                <c:pt idx="33">
                  <c:v>5.5E-2</c:v>
                </c:pt>
                <c:pt idx="34">
                  <c:v>5.8000000000000003E-2</c:v>
                </c:pt>
                <c:pt idx="35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9-4983-9365-4E27A600295A}"/>
            </c:ext>
          </c:extLst>
        </c:ser>
        <c:ser>
          <c:idx val="1"/>
          <c:order val="1"/>
          <c:tx>
            <c:strRef>
              <c:f>'Multiplier Weekly Report'!$A$176</c:f>
              <c:strCache>
                <c:ptCount val="1"/>
                <c:pt idx="0">
                  <c:v>Active Mortality Guideline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Report'!$Y$176:$BO$176</c:f>
              <c:numCache>
                <c:formatCode>0.00%</c:formatCode>
                <c:ptCount val="43"/>
                <c:pt idx="0">
                  <c:v>3.5000000000000003E-2</c:v>
                </c:pt>
                <c:pt idx="1">
                  <c:v>3.5000000000000003E-2</c:v>
                </c:pt>
                <c:pt idx="2">
                  <c:v>3.5000000000000003E-2</c:v>
                </c:pt>
                <c:pt idx="3">
                  <c:v>3.5000000000000003E-2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3.5000000000000003E-2</c:v>
                </c:pt>
                <c:pt idx="42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9-4983-9365-4E27A6002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PRE-WEAN 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Report'!$A$177</c:f>
              <c:strCache>
                <c:ptCount val="1"/>
                <c:pt idx="0">
                  <c:v>Pre wean mortaltiy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Report'!$Y$177:$BO$177</c:f>
              <c:numCache>
                <c:formatCode>0.00%</c:formatCode>
                <c:ptCount val="43"/>
                <c:pt idx="0">
                  <c:v>4.5999999999999999E-2</c:v>
                </c:pt>
                <c:pt idx="1">
                  <c:v>7.0000000000000007E-2</c:v>
                </c:pt>
                <c:pt idx="2">
                  <c:v>8.3000000000000004E-2</c:v>
                </c:pt>
                <c:pt idx="3">
                  <c:v>0.10100000000000001</c:v>
                </c:pt>
                <c:pt idx="4">
                  <c:v>0.1</c:v>
                </c:pt>
                <c:pt idx="5">
                  <c:v>0.09</c:v>
                </c:pt>
                <c:pt idx="6">
                  <c:v>0.1</c:v>
                </c:pt>
                <c:pt idx="7">
                  <c:v>9.6000000000000002E-2</c:v>
                </c:pt>
                <c:pt idx="8">
                  <c:v>7.5999999999999998E-2</c:v>
                </c:pt>
                <c:pt idx="9">
                  <c:v>9.6000000000000002E-2</c:v>
                </c:pt>
                <c:pt idx="10">
                  <c:v>7.2999999999999995E-2</c:v>
                </c:pt>
                <c:pt idx="11">
                  <c:v>6.7000000000000004E-2</c:v>
                </c:pt>
                <c:pt idx="12">
                  <c:v>8.6999999999999994E-2</c:v>
                </c:pt>
                <c:pt idx="13">
                  <c:v>0.12</c:v>
                </c:pt>
                <c:pt idx="14">
                  <c:v>0.14000000000000001</c:v>
                </c:pt>
                <c:pt idx="15">
                  <c:v>9.2999999999999999E-2</c:v>
                </c:pt>
                <c:pt idx="16">
                  <c:v>0.13200000000000001</c:v>
                </c:pt>
                <c:pt idx="17">
                  <c:v>6.9000000000000006E-2</c:v>
                </c:pt>
                <c:pt idx="18">
                  <c:v>5.7000000000000002E-2</c:v>
                </c:pt>
                <c:pt idx="19">
                  <c:v>6.9000000000000006E-2</c:v>
                </c:pt>
                <c:pt idx="20">
                  <c:v>0.127</c:v>
                </c:pt>
                <c:pt idx="21">
                  <c:v>9.0999999999999998E-2</c:v>
                </c:pt>
                <c:pt idx="22">
                  <c:v>0.13700000000000001</c:v>
                </c:pt>
                <c:pt idx="23">
                  <c:v>0.112</c:v>
                </c:pt>
                <c:pt idx="24">
                  <c:v>0.1111</c:v>
                </c:pt>
                <c:pt idx="25">
                  <c:v>8.5999999999999993E-2</c:v>
                </c:pt>
                <c:pt idx="26">
                  <c:v>3.4000000000000002E-2</c:v>
                </c:pt>
                <c:pt idx="27">
                  <c:v>7.0000000000000007E-2</c:v>
                </c:pt>
                <c:pt idx="28">
                  <c:v>4.1000000000000002E-2</c:v>
                </c:pt>
                <c:pt idx="29">
                  <c:v>9.7000000000000003E-2</c:v>
                </c:pt>
                <c:pt idx="30">
                  <c:v>8.5000000000000006E-2</c:v>
                </c:pt>
                <c:pt idx="31">
                  <c:v>0.13100000000000001</c:v>
                </c:pt>
                <c:pt idx="32">
                  <c:v>7.0000000000000007E-2</c:v>
                </c:pt>
                <c:pt idx="33">
                  <c:v>0.104</c:v>
                </c:pt>
                <c:pt idx="34">
                  <c:v>8.5999999999999993E-2</c:v>
                </c:pt>
                <c:pt idx="35">
                  <c:v>0.11899999999999999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9-4293-8330-7BD4CF666E07}"/>
            </c:ext>
          </c:extLst>
        </c:ser>
        <c:ser>
          <c:idx val="1"/>
          <c:order val="1"/>
          <c:tx>
            <c:strRef>
              <c:f>'Multiplier Weekly Report'!$A$178</c:f>
              <c:strCache>
                <c:ptCount val="1"/>
                <c:pt idx="0">
                  <c:v>target pre wean mortaltiy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Report'!$Y$178:$BO$178</c:f>
              <c:numCache>
                <c:formatCode>0.00%</c:formatCode>
                <c:ptCount val="43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9-4293-8330-7BD4CF666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WEANED PER SOW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Report'!$A$184</c:f>
              <c:strCache>
                <c:ptCount val="1"/>
                <c:pt idx="0">
                  <c:v>Average Weaned per Sow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Report'!$Y$184:$BO$184</c:f>
              <c:numCache>
                <c:formatCode>0.00</c:formatCode>
                <c:ptCount val="43"/>
                <c:pt idx="0">
                  <c:v>13.6</c:v>
                </c:pt>
                <c:pt idx="1">
                  <c:v>16.100000000000001</c:v>
                </c:pt>
                <c:pt idx="2">
                  <c:v>15</c:v>
                </c:pt>
                <c:pt idx="3" formatCode="General">
                  <c:v>14.95</c:v>
                </c:pt>
                <c:pt idx="4" formatCode="General">
                  <c:v>12.96</c:v>
                </c:pt>
                <c:pt idx="5" formatCode="General">
                  <c:v>13.5</c:v>
                </c:pt>
                <c:pt idx="6" formatCode="General">
                  <c:v>14.1</c:v>
                </c:pt>
                <c:pt idx="7" formatCode="General">
                  <c:v>15.5</c:v>
                </c:pt>
                <c:pt idx="8" formatCode="General">
                  <c:v>15.4</c:v>
                </c:pt>
                <c:pt idx="9" formatCode="General">
                  <c:v>14.3</c:v>
                </c:pt>
                <c:pt idx="10" formatCode="General">
                  <c:v>11.6</c:v>
                </c:pt>
                <c:pt idx="11" formatCode="General">
                  <c:v>15.5</c:v>
                </c:pt>
                <c:pt idx="12" formatCode="General">
                  <c:v>15</c:v>
                </c:pt>
                <c:pt idx="13" formatCode="General">
                  <c:v>13.4</c:v>
                </c:pt>
                <c:pt idx="14" formatCode="General">
                  <c:v>13.1</c:v>
                </c:pt>
                <c:pt idx="15" formatCode="General">
                  <c:v>14.7</c:v>
                </c:pt>
                <c:pt idx="16" formatCode="General">
                  <c:v>12.4</c:v>
                </c:pt>
                <c:pt idx="17" formatCode="General">
                  <c:v>13.9</c:v>
                </c:pt>
                <c:pt idx="18" formatCode="General">
                  <c:v>14.6</c:v>
                </c:pt>
                <c:pt idx="19" formatCode="General">
                  <c:v>14.1</c:v>
                </c:pt>
                <c:pt idx="20" formatCode="General">
                  <c:v>14.7</c:v>
                </c:pt>
                <c:pt idx="21" formatCode="General">
                  <c:v>14.2</c:v>
                </c:pt>
                <c:pt idx="22" formatCode="General">
                  <c:v>13.4</c:v>
                </c:pt>
                <c:pt idx="23" formatCode="General">
                  <c:v>14.8</c:v>
                </c:pt>
                <c:pt idx="24" formatCode="General">
                  <c:v>12.9</c:v>
                </c:pt>
                <c:pt idx="25" formatCode="General">
                  <c:v>14</c:v>
                </c:pt>
                <c:pt idx="26" formatCode="General">
                  <c:v>13.6</c:v>
                </c:pt>
                <c:pt idx="27" formatCode="General">
                  <c:v>12.5</c:v>
                </c:pt>
                <c:pt idx="28" formatCode="General">
                  <c:v>13.1</c:v>
                </c:pt>
                <c:pt idx="29" formatCode="General">
                  <c:v>15.9</c:v>
                </c:pt>
                <c:pt idx="30" formatCode="General">
                  <c:v>12.7</c:v>
                </c:pt>
                <c:pt idx="31" formatCode="General">
                  <c:v>14.3</c:v>
                </c:pt>
                <c:pt idx="32" formatCode="General">
                  <c:v>13.1</c:v>
                </c:pt>
                <c:pt idx="33" formatCode="General">
                  <c:v>14.3</c:v>
                </c:pt>
                <c:pt idx="34" formatCode="General">
                  <c:v>14.6</c:v>
                </c:pt>
                <c:pt idx="35" formatCode="General">
                  <c:v>15.2</c:v>
                </c:pt>
                <c:pt idx="36" formatCode="General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5-4E97-84E1-4AD805D5DDE3}"/>
            </c:ext>
          </c:extLst>
        </c:ser>
        <c:ser>
          <c:idx val="1"/>
          <c:order val="1"/>
          <c:tx>
            <c:strRef>
              <c:f>'Multiplier Weekly Report'!$A$185</c:f>
              <c:strCache>
                <c:ptCount val="1"/>
                <c:pt idx="0">
                  <c:v>Average Weaned per Sow Guideline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Report'!$Y$185:$BO$185</c:f>
              <c:numCache>
                <c:formatCode>0.0</c:formatCode>
                <c:ptCount val="43"/>
                <c:pt idx="0">
                  <c:v>14.2</c:v>
                </c:pt>
                <c:pt idx="1">
                  <c:v>14.2</c:v>
                </c:pt>
                <c:pt idx="2">
                  <c:v>14.2</c:v>
                </c:pt>
                <c:pt idx="3">
                  <c:v>14.2</c:v>
                </c:pt>
                <c:pt idx="4">
                  <c:v>14.2</c:v>
                </c:pt>
                <c:pt idx="5">
                  <c:v>14.2</c:v>
                </c:pt>
                <c:pt idx="6">
                  <c:v>14.2</c:v>
                </c:pt>
                <c:pt idx="7">
                  <c:v>14.2</c:v>
                </c:pt>
                <c:pt idx="8">
                  <c:v>14.2</c:v>
                </c:pt>
                <c:pt idx="9">
                  <c:v>14.2</c:v>
                </c:pt>
                <c:pt idx="10">
                  <c:v>14.2</c:v>
                </c:pt>
                <c:pt idx="11">
                  <c:v>14.2</c:v>
                </c:pt>
                <c:pt idx="12">
                  <c:v>14.2</c:v>
                </c:pt>
                <c:pt idx="13">
                  <c:v>14.2</c:v>
                </c:pt>
                <c:pt idx="14">
                  <c:v>14.2</c:v>
                </c:pt>
                <c:pt idx="15">
                  <c:v>14.2</c:v>
                </c:pt>
                <c:pt idx="16">
                  <c:v>14.2</c:v>
                </c:pt>
                <c:pt idx="17">
                  <c:v>14.2</c:v>
                </c:pt>
                <c:pt idx="18">
                  <c:v>14.2</c:v>
                </c:pt>
                <c:pt idx="19">
                  <c:v>14.2</c:v>
                </c:pt>
                <c:pt idx="20">
                  <c:v>14.2</c:v>
                </c:pt>
                <c:pt idx="21">
                  <c:v>14.2</c:v>
                </c:pt>
                <c:pt idx="22">
                  <c:v>14.2</c:v>
                </c:pt>
                <c:pt idx="23">
                  <c:v>14.2</c:v>
                </c:pt>
                <c:pt idx="24">
                  <c:v>14.2</c:v>
                </c:pt>
                <c:pt idx="25">
                  <c:v>14.2</c:v>
                </c:pt>
                <c:pt idx="26">
                  <c:v>14.2</c:v>
                </c:pt>
                <c:pt idx="27">
                  <c:v>14.2</c:v>
                </c:pt>
                <c:pt idx="28">
                  <c:v>14.2</c:v>
                </c:pt>
                <c:pt idx="29">
                  <c:v>14.2</c:v>
                </c:pt>
                <c:pt idx="30">
                  <c:v>14.2</c:v>
                </c:pt>
                <c:pt idx="31">
                  <c:v>14.2</c:v>
                </c:pt>
                <c:pt idx="32">
                  <c:v>14.2</c:v>
                </c:pt>
                <c:pt idx="33">
                  <c:v>14.2</c:v>
                </c:pt>
                <c:pt idx="34">
                  <c:v>14.2</c:v>
                </c:pt>
                <c:pt idx="35">
                  <c:v>14.2</c:v>
                </c:pt>
                <c:pt idx="36">
                  <c:v>14.2</c:v>
                </c:pt>
                <c:pt idx="37">
                  <c:v>14.2</c:v>
                </c:pt>
                <c:pt idx="38">
                  <c:v>14.2</c:v>
                </c:pt>
                <c:pt idx="39">
                  <c:v>14.2</c:v>
                </c:pt>
                <c:pt idx="40">
                  <c:v>14.2</c:v>
                </c:pt>
                <c:pt idx="41">
                  <c:v>14.2</c:v>
                </c:pt>
                <c:pt idx="42">
                  <c:v>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D5-4E97-84E1-4AD805D5D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W/S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AVG WEAN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Report'!$A$188</c:f>
              <c:strCache>
                <c:ptCount val="1"/>
                <c:pt idx="0">
                  <c:v>Wean Weight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Report'!$Y$188:$BO$188</c:f>
              <c:numCache>
                <c:formatCode>0.00</c:formatCode>
                <c:ptCount val="43"/>
                <c:pt idx="0">
                  <c:v>8.4</c:v>
                </c:pt>
                <c:pt idx="1">
                  <c:v>7.4</c:v>
                </c:pt>
                <c:pt idx="2">
                  <c:v>6.8</c:v>
                </c:pt>
                <c:pt idx="3" formatCode="General">
                  <c:v>7.6</c:v>
                </c:pt>
                <c:pt idx="4" formatCode="General">
                  <c:v>7.34</c:v>
                </c:pt>
                <c:pt idx="5" formatCode="General">
                  <c:v>7.7</c:v>
                </c:pt>
                <c:pt idx="6" formatCode="General">
                  <c:v>7.11</c:v>
                </c:pt>
                <c:pt idx="7" formatCode="General">
                  <c:v>7.2</c:v>
                </c:pt>
                <c:pt idx="8" formatCode="General">
                  <c:v>6.6</c:v>
                </c:pt>
                <c:pt idx="9" formatCode="General">
                  <c:v>6.8</c:v>
                </c:pt>
                <c:pt idx="10" formatCode="General">
                  <c:v>7.7</c:v>
                </c:pt>
                <c:pt idx="11" formatCode="General">
                  <c:v>6.6</c:v>
                </c:pt>
                <c:pt idx="12" formatCode="General">
                  <c:v>7.22</c:v>
                </c:pt>
                <c:pt idx="13" formatCode="General">
                  <c:v>7.1</c:v>
                </c:pt>
                <c:pt idx="14" formatCode="General">
                  <c:v>6.5</c:v>
                </c:pt>
                <c:pt idx="15" formatCode="General">
                  <c:v>6.8</c:v>
                </c:pt>
                <c:pt idx="16" formatCode="General">
                  <c:v>6.3</c:v>
                </c:pt>
                <c:pt idx="17" formatCode="General">
                  <c:v>7.1</c:v>
                </c:pt>
                <c:pt idx="18" formatCode="General">
                  <c:v>6.4</c:v>
                </c:pt>
                <c:pt idx="19" formatCode="General">
                  <c:v>6.7</c:v>
                </c:pt>
                <c:pt idx="20" formatCode="General">
                  <c:v>6.8</c:v>
                </c:pt>
                <c:pt idx="21" formatCode="General">
                  <c:v>6.8</c:v>
                </c:pt>
                <c:pt idx="22" formatCode="General">
                  <c:v>7.2</c:v>
                </c:pt>
                <c:pt idx="23" formatCode="General">
                  <c:v>6.9</c:v>
                </c:pt>
                <c:pt idx="24" formatCode="General">
                  <c:v>8.1</c:v>
                </c:pt>
                <c:pt idx="25" formatCode="General">
                  <c:v>7.3</c:v>
                </c:pt>
                <c:pt idx="26" formatCode="General">
                  <c:v>8</c:v>
                </c:pt>
                <c:pt idx="27" formatCode="General">
                  <c:v>7.3</c:v>
                </c:pt>
                <c:pt idx="28" formatCode="General">
                  <c:v>8.1</c:v>
                </c:pt>
                <c:pt idx="29" formatCode="General">
                  <c:v>7.2</c:v>
                </c:pt>
                <c:pt idx="30" formatCode="General">
                  <c:v>8.3000000000000007</c:v>
                </c:pt>
                <c:pt idx="31" formatCode="General">
                  <c:v>6.7</c:v>
                </c:pt>
                <c:pt idx="32" formatCode="General">
                  <c:v>8.1</c:v>
                </c:pt>
                <c:pt idx="33" formatCode="General">
                  <c:v>7.3</c:v>
                </c:pt>
                <c:pt idx="34" formatCode="General">
                  <c:v>7.4</c:v>
                </c:pt>
                <c:pt idx="35" formatCode="General">
                  <c:v>7.5</c:v>
                </c:pt>
                <c:pt idx="36" formatCode="General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0-4BAC-B09B-829918C8A794}"/>
            </c:ext>
          </c:extLst>
        </c:ser>
        <c:ser>
          <c:idx val="1"/>
          <c:order val="1"/>
          <c:tx>
            <c:strRef>
              <c:f>'Multiplier Weekly Report'!$A$189</c:f>
              <c:strCache>
                <c:ptCount val="1"/>
                <c:pt idx="0">
                  <c:v>Target Wean Weight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Report'!$Y$189:$BO$189</c:f>
              <c:numCache>
                <c:formatCode>General</c:formatCode>
                <c:ptCount val="43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0-4BAC-B09B-829918C8A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9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WEAN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TOTAL LITTER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Report'!$A$190</c:f>
              <c:strCache>
                <c:ptCount val="1"/>
                <c:pt idx="0">
                  <c:v>total litter mass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Report'!$Y$190:$BO$190</c:f>
              <c:numCache>
                <c:formatCode>General</c:formatCode>
                <c:ptCount val="43"/>
                <c:pt idx="0">
                  <c:v>108.6</c:v>
                </c:pt>
                <c:pt idx="1">
                  <c:v>111</c:v>
                </c:pt>
                <c:pt idx="2">
                  <c:v>101.7</c:v>
                </c:pt>
                <c:pt idx="3">
                  <c:v>105.7</c:v>
                </c:pt>
                <c:pt idx="4">
                  <c:v>95.13</c:v>
                </c:pt>
                <c:pt idx="5">
                  <c:v>103.6</c:v>
                </c:pt>
                <c:pt idx="6">
                  <c:v>115.5</c:v>
                </c:pt>
                <c:pt idx="7">
                  <c:v>111.7</c:v>
                </c:pt>
                <c:pt idx="8">
                  <c:v>101.3</c:v>
                </c:pt>
                <c:pt idx="9">
                  <c:v>96.4</c:v>
                </c:pt>
                <c:pt idx="10">
                  <c:v>89.1</c:v>
                </c:pt>
                <c:pt idx="11">
                  <c:v>101.5</c:v>
                </c:pt>
                <c:pt idx="12">
                  <c:v>108.2</c:v>
                </c:pt>
                <c:pt idx="13">
                  <c:v>94.3</c:v>
                </c:pt>
                <c:pt idx="14">
                  <c:v>84.7</c:v>
                </c:pt>
                <c:pt idx="15">
                  <c:v>99.4</c:v>
                </c:pt>
                <c:pt idx="16">
                  <c:v>78</c:v>
                </c:pt>
                <c:pt idx="17">
                  <c:v>98.8</c:v>
                </c:pt>
                <c:pt idx="18">
                  <c:v>92.3</c:v>
                </c:pt>
                <c:pt idx="19">
                  <c:v>94.8</c:v>
                </c:pt>
                <c:pt idx="20">
                  <c:v>100.8</c:v>
                </c:pt>
                <c:pt idx="21">
                  <c:v>96.5</c:v>
                </c:pt>
                <c:pt idx="22">
                  <c:v>96.04</c:v>
                </c:pt>
                <c:pt idx="23">
                  <c:v>101.8</c:v>
                </c:pt>
                <c:pt idx="24">
                  <c:v>104</c:v>
                </c:pt>
                <c:pt idx="25">
                  <c:v>101.6</c:v>
                </c:pt>
                <c:pt idx="26">
                  <c:v>108.3</c:v>
                </c:pt>
                <c:pt idx="27">
                  <c:v>91.2</c:v>
                </c:pt>
                <c:pt idx="28">
                  <c:v>106.5</c:v>
                </c:pt>
                <c:pt idx="29">
                  <c:v>114.7</c:v>
                </c:pt>
                <c:pt idx="30">
                  <c:v>104.9</c:v>
                </c:pt>
                <c:pt idx="31">
                  <c:v>96.5</c:v>
                </c:pt>
                <c:pt idx="32">
                  <c:v>106.3</c:v>
                </c:pt>
                <c:pt idx="33">
                  <c:v>105.5</c:v>
                </c:pt>
                <c:pt idx="34">
                  <c:v>108.5</c:v>
                </c:pt>
                <c:pt idx="35">
                  <c:v>113.5</c:v>
                </c:pt>
                <c:pt idx="36">
                  <c:v>108.9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D-4BFA-8A64-1958EE2317CD}"/>
            </c:ext>
          </c:extLst>
        </c:ser>
        <c:ser>
          <c:idx val="1"/>
          <c:order val="1"/>
          <c:tx>
            <c:strRef>
              <c:f>'Multiplier Weekly Report'!$A$191</c:f>
              <c:strCache>
                <c:ptCount val="1"/>
                <c:pt idx="0">
                  <c:v>target litter mass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Report'!$Y$191:$BO$191</c:f>
              <c:numCache>
                <c:formatCode>General</c:formatCode>
                <c:ptCount val="43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  <c:pt idx="12">
                  <c:v>105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  <c:pt idx="18">
                  <c:v>105</c:v>
                </c:pt>
                <c:pt idx="19">
                  <c:v>105</c:v>
                </c:pt>
                <c:pt idx="20">
                  <c:v>105</c:v>
                </c:pt>
                <c:pt idx="21">
                  <c:v>105</c:v>
                </c:pt>
                <c:pt idx="22">
                  <c:v>105</c:v>
                </c:pt>
                <c:pt idx="23">
                  <c:v>105</c:v>
                </c:pt>
                <c:pt idx="24">
                  <c:v>105</c:v>
                </c:pt>
                <c:pt idx="25">
                  <c:v>105</c:v>
                </c:pt>
                <c:pt idx="26">
                  <c:v>105</c:v>
                </c:pt>
                <c:pt idx="27">
                  <c:v>105</c:v>
                </c:pt>
                <c:pt idx="28">
                  <c:v>105</c:v>
                </c:pt>
                <c:pt idx="29">
                  <c:v>105</c:v>
                </c:pt>
                <c:pt idx="30">
                  <c:v>105</c:v>
                </c:pt>
                <c:pt idx="31">
                  <c:v>105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105</c:v>
                </c:pt>
                <c:pt idx="36">
                  <c:v>105</c:v>
                </c:pt>
                <c:pt idx="37">
                  <c:v>105</c:v>
                </c:pt>
                <c:pt idx="38">
                  <c:v>105</c:v>
                </c:pt>
                <c:pt idx="39">
                  <c:v>105</c:v>
                </c:pt>
                <c:pt idx="40">
                  <c:v>105</c:v>
                </c:pt>
                <c:pt idx="41">
                  <c:v>105</c:v>
                </c:pt>
                <c:pt idx="42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D-4BFA-8A64-1958EE231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13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Litter 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Avg maternal conditon loss % in farrow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Report'!$A$193</c:f>
              <c:strCache>
                <c:ptCount val="1"/>
                <c:pt idx="0">
                  <c:v>Avg gilt Body Condition Loss (as 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Report'!$Y$193:$BO$193</c:f>
              <c:numCache>
                <c:formatCode>0.00%</c:formatCode>
                <c:ptCount val="43"/>
                <c:pt idx="0">
                  <c:v>0.16600000000000001</c:v>
                </c:pt>
                <c:pt idx="1">
                  <c:v>0.14399999999999999</c:v>
                </c:pt>
                <c:pt idx="2">
                  <c:v>4.3999999999999997E-2</c:v>
                </c:pt>
                <c:pt idx="3">
                  <c:v>0.23699999999999999</c:v>
                </c:pt>
                <c:pt idx="4">
                  <c:v>0.14199999999999999</c:v>
                </c:pt>
                <c:pt idx="5">
                  <c:v>0.13200000000000001</c:v>
                </c:pt>
                <c:pt idx="6">
                  <c:v>0.13200000000000001</c:v>
                </c:pt>
                <c:pt idx="7">
                  <c:v>0.12</c:v>
                </c:pt>
                <c:pt idx="8">
                  <c:v>5.8999999999999997E-2</c:v>
                </c:pt>
                <c:pt idx="9">
                  <c:v>0.14399999999999999</c:v>
                </c:pt>
                <c:pt idx="10">
                  <c:v>5.6000000000000001E-2</c:v>
                </c:pt>
                <c:pt idx="11">
                  <c:v>0.109</c:v>
                </c:pt>
                <c:pt idx="12">
                  <c:v>0.153</c:v>
                </c:pt>
                <c:pt idx="13">
                  <c:v>5.2999999999999999E-2</c:v>
                </c:pt>
                <c:pt idx="15">
                  <c:v>0.152</c:v>
                </c:pt>
                <c:pt idx="17">
                  <c:v>0.13200000000000001</c:v>
                </c:pt>
                <c:pt idx="18">
                  <c:v>7.9000000000000001E-2</c:v>
                </c:pt>
                <c:pt idx="19">
                  <c:v>0.16200000000000001</c:v>
                </c:pt>
                <c:pt idx="20">
                  <c:v>0.19800000000000001</c:v>
                </c:pt>
                <c:pt idx="21">
                  <c:v>0.13300000000000001</c:v>
                </c:pt>
                <c:pt idx="22">
                  <c:v>0.16900000000000001</c:v>
                </c:pt>
                <c:pt idx="23">
                  <c:v>6.6000000000000003E-2</c:v>
                </c:pt>
                <c:pt idx="24">
                  <c:v>0.17299999999999999</c:v>
                </c:pt>
                <c:pt idx="25">
                  <c:v>0.11799999999999999</c:v>
                </c:pt>
                <c:pt idx="27">
                  <c:v>0.114</c:v>
                </c:pt>
                <c:pt idx="28">
                  <c:v>0.17499999999999999</c:v>
                </c:pt>
                <c:pt idx="29">
                  <c:v>0.14499999999999999</c:v>
                </c:pt>
                <c:pt idx="30">
                  <c:v>0.151</c:v>
                </c:pt>
                <c:pt idx="31">
                  <c:v>0.108</c:v>
                </c:pt>
                <c:pt idx="32">
                  <c:v>3.1E-2</c:v>
                </c:pt>
                <c:pt idx="33">
                  <c:v>0.14399999999999999</c:v>
                </c:pt>
                <c:pt idx="34">
                  <c:v>0.154</c:v>
                </c:pt>
                <c:pt idx="35">
                  <c:v>0.14099999999999999</c:v>
                </c:pt>
                <c:pt idx="36">
                  <c:v>0.105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E-4A3A-8C99-69DDCAC93CA6}"/>
            </c:ext>
          </c:extLst>
        </c:ser>
        <c:ser>
          <c:idx val="1"/>
          <c:order val="1"/>
          <c:tx>
            <c:strRef>
              <c:f>'Multiplier Weekly Report'!$A$194</c:f>
              <c:strCache>
                <c:ptCount val="1"/>
                <c:pt idx="0">
                  <c:v>upper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Report'!$Y$194:$BO$194</c:f>
              <c:numCache>
                <c:formatCode>0.00%</c:formatCode>
                <c:ptCount val="43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0.11</c:v>
                </c:pt>
                <c:pt idx="22">
                  <c:v>0.11</c:v>
                </c:pt>
                <c:pt idx="23">
                  <c:v>0.11</c:v>
                </c:pt>
                <c:pt idx="24">
                  <c:v>0.11</c:v>
                </c:pt>
                <c:pt idx="25">
                  <c:v>0.11</c:v>
                </c:pt>
                <c:pt idx="26">
                  <c:v>0.11</c:v>
                </c:pt>
                <c:pt idx="27">
                  <c:v>0.11</c:v>
                </c:pt>
                <c:pt idx="28">
                  <c:v>0.11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</c:v>
                </c:pt>
                <c:pt idx="42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E-4A3A-8C99-69DDCAC93CA6}"/>
            </c:ext>
          </c:extLst>
        </c:ser>
        <c:ser>
          <c:idx val="2"/>
          <c:order val="2"/>
          <c:tx>
            <c:strRef>
              <c:f>'Multiplier Weekly Report'!$A$195</c:f>
              <c:strCache>
                <c:ptCount val="1"/>
                <c:pt idx="0">
                  <c:v>lower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Report'!$Y$195:$BO$195</c:f>
              <c:numCache>
                <c:formatCode>0.00%</c:formatCode>
                <c:ptCount val="43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6E-4A3A-8C99-69DDCAC93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526832"/>
        <c:axId val="1495402368"/>
      </c:lineChart>
      <c:catAx>
        <c:axId val="14865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02368"/>
        <c:crosses val="autoZero"/>
        <c:auto val="1"/>
        <c:lblAlgn val="ctr"/>
        <c:lblOffset val="100"/>
        <c:noMultiLvlLbl val="0"/>
      </c:catAx>
      <c:valAx>
        <c:axId val="1495402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condition loss % variation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Report'!$A$203</c:f>
              <c:strCache>
                <c:ptCount val="1"/>
                <c:pt idx="0">
                  <c:v># animals lost less than 11%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Report'!$Y$203:$BO$203</c:f>
              <c:numCache>
                <c:formatCode>0.00</c:formatCode>
                <c:ptCount val="43"/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10">
                  <c:v>1</c:v>
                </c:pt>
                <c:pt idx="11">
                  <c:v>1</c:v>
                </c:pt>
                <c:pt idx="13">
                  <c:v>2</c:v>
                </c:pt>
                <c:pt idx="14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7">
                  <c:v>2</c:v>
                </c:pt>
                <c:pt idx="29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2-4793-9581-227013E6B1CA}"/>
            </c:ext>
          </c:extLst>
        </c:ser>
        <c:ser>
          <c:idx val="1"/>
          <c:order val="1"/>
          <c:tx>
            <c:strRef>
              <c:f>'Multiplier Weekly Report'!$A$201</c:f>
              <c:strCache>
                <c:ptCount val="1"/>
                <c:pt idx="0">
                  <c:v># Of Animals lost between 8 and 11%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Report'!$Y$201:$BO$201</c:f>
              <c:numCache>
                <c:formatCode>0.00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10">
                  <c:v>1</c:v>
                </c:pt>
                <c:pt idx="19">
                  <c:v>1</c:v>
                </c:pt>
                <c:pt idx="24">
                  <c:v>1</c:v>
                </c:pt>
                <c:pt idx="25">
                  <c:v>1</c:v>
                </c:pt>
                <c:pt idx="31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2-4793-9581-227013E6B1CA}"/>
            </c:ext>
          </c:extLst>
        </c:ser>
        <c:ser>
          <c:idx val="2"/>
          <c:order val="2"/>
          <c:tx>
            <c:strRef>
              <c:f>'Multiplier Weekly Report'!$A$199</c:f>
              <c:strCache>
                <c:ptCount val="1"/>
                <c:pt idx="0">
                  <c:v># Of Animals lost more than 11%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Report'!$Y$199:$BO$199</c:f>
              <c:numCache>
                <c:formatCode>0.00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1">
                  <c:v>2</c:v>
                </c:pt>
                <c:pt idx="12">
                  <c:v>4</c:v>
                </c:pt>
                <c:pt idx="15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6</c:v>
                </c:pt>
                <c:pt idx="23">
                  <c:v>1</c:v>
                </c:pt>
                <c:pt idx="24">
                  <c:v>5</c:v>
                </c:pt>
                <c:pt idx="25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92-4793-9581-227013E6B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9552"/>
        <c:axId val="446320336"/>
      </c:barChart>
      <c:catAx>
        <c:axId val="44631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20336"/>
        <c:crosses val="autoZero"/>
        <c:auto val="1"/>
        <c:lblAlgn val="ctr"/>
        <c:lblOffset val="100"/>
        <c:noMultiLvlLbl val="0"/>
      </c:catAx>
      <c:valAx>
        <c:axId val="4463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70 Day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Report'!$A$210</c:f>
              <c:strCache>
                <c:ptCount val="1"/>
                <c:pt idx="0">
                  <c:v>70 day weight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Report'!$Y$210:$BO$210</c:f>
              <c:numCache>
                <c:formatCode>General</c:formatCode>
                <c:ptCount val="43"/>
                <c:pt idx="1">
                  <c:v>26.5</c:v>
                </c:pt>
                <c:pt idx="2">
                  <c:v>25.2</c:v>
                </c:pt>
                <c:pt idx="3">
                  <c:v>24.37</c:v>
                </c:pt>
                <c:pt idx="4">
                  <c:v>26.58</c:v>
                </c:pt>
                <c:pt idx="5">
                  <c:v>25.82</c:v>
                </c:pt>
                <c:pt idx="6">
                  <c:v>29.05</c:v>
                </c:pt>
                <c:pt idx="7">
                  <c:v>26.16</c:v>
                </c:pt>
                <c:pt idx="8">
                  <c:v>25.14</c:v>
                </c:pt>
                <c:pt idx="9">
                  <c:v>27.21</c:v>
                </c:pt>
                <c:pt idx="10">
                  <c:v>26.33</c:v>
                </c:pt>
                <c:pt idx="11">
                  <c:v>26.7</c:v>
                </c:pt>
                <c:pt idx="12">
                  <c:v>26.17</c:v>
                </c:pt>
                <c:pt idx="13">
                  <c:v>25.3</c:v>
                </c:pt>
                <c:pt idx="14">
                  <c:v>23.4</c:v>
                </c:pt>
                <c:pt idx="15">
                  <c:v>24.44</c:v>
                </c:pt>
                <c:pt idx="16">
                  <c:v>25.67</c:v>
                </c:pt>
                <c:pt idx="17">
                  <c:v>24.44</c:v>
                </c:pt>
                <c:pt idx="18">
                  <c:v>26.48</c:v>
                </c:pt>
                <c:pt idx="19">
                  <c:v>25.01</c:v>
                </c:pt>
                <c:pt idx="20">
                  <c:v>23.9</c:v>
                </c:pt>
                <c:pt idx="21">
                  <c:v>24.85</c:v>
                </c:pt>
                <c:pt idx="22">
                  <c:v>23</c:v>
                </c:pt>
                <c:pt idx="23">
                  <c:v>21.8</c:v>
                </c:pt>
                <c:pt idx="24">
                  <c:v>22.24</c:v>
                </c:pt>
                <c:pt idx="25">
                  <c:v>23.01</c:v>
                </c:pt>
                <c:pt idx="26">
                  <c:v>24.61</c:v>
                </c:pt>
                <c:pt idx="27">
                  <c:v>24.97</c:v>
                </c:pt>
                <c:pt idx="28">
                  <c:v>26.5</c:v>
                </c:pt>
                <c:pt idx="29">
                  <c:v>25.22</c:v>
                </c:pt>
                <c:pt idx="30">
                  <c:v>28</c:v>
                </c:pt>
                <c:pt idx="31">
                  <c:v>26.4</c:v>
                </c:pt>
                <c:pt idx="32">
                  <c:v>28.3</c:v>
                </c:pt>
                <c:pt idx="33">
                  <c:v>27</c:v>
                </c:pt>
                <c:pt idx="34">
                  <c:v>28.3</c:v>
                </c:pt>
                <c:pt idx="35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6-4B2F-9FDD-CB1EC6DCE91F}"/>
            </c:ext>
          </c:extLst>
        </c:ser>
        <c:ser>
          <c:idx val="1"/>
          <c:order val="1"/>
          <c:tx>
            <c:strRef>
              <c:f>'Multiplier Weekly Report'!$A$209</c:f>
              <c:strCache>
                <c:ptCount val="1"/>
                <c:pt idx="0">
                  <c:v>70 day weight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Report'!$Y$209:$BO$209</c:f>
              <c:numCache>
                <c:formatCode>General</c:formatCode>
                <c:ptCount val="43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6-4B2F-9FDD-CB1EC6DCE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31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70 Day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Report'!$A$208</c:f>
              <c:strCache>
                <c:ptCount val="1"/>
                <c:pt idx="0">
                  <c:v>70 day gain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Report'!$Y$208:$BO$208</c:f>
              <c:numCache>
                <c:formatCode>General</c:formatCode>
                <c:ptCount val="43"/>
                <c:pt idx="1">
                  <c:v>19.100000000000001</c:v>
                </c:pt>
                <c:pt idx="2">
                  <c:v>17.7</c:v>
                </c:pt>
                <c:pt idx="3">
                  <c:v>17.47</c:v>
                </c:pt>
                <c:pt idx="4">
                  <c:v>18.84</c:v>
                </c:pt>
                <c:pt idx="5">
                  <c:v>18.440000000000001</c:v>
                </c:pt>
                <c:pt idx="6">
                  <c:v>20.75</c:v>
                </c:pt>
                <c:pt idx="7">
                  <c:v>18.760000000000002</c:v>
                </c:pt>
                <c:pt idx="8">
                  <c:v>18.600000000000001</c:v>
                </c:pt>
                <c:pt idx="9">
                  <c:v>19.670000000000002</c:v>
                </c:pt>
                <c:pt idx="10">
                  <c:v>19.37</c:v>
                </c:pt>
                <c:pt idx="11">
                  <c:v>19</c:v>
                </c:pt>
                <c:pt idx="12">
                  <c:v>18.600000000000001</c:v>
                </c:pt>
                <c:pt idx="13">
                  <c:v>18.2</c:v>
                </c:pt>
                <c:pt idx="14">
                  <c:v>16.899999999999999</c:v>
                </c:pt>
                <c:pt idx="15">
                  <c:v>18.14</c:v>
                </c:pt>
                <c:pt idx="16">
                  <c:v>18.09</c:v>
                </c:pt>
                <c:pt idx="17">
                  <c:v>18.14</c:v>
                </c:pt>
                <c:pt idx="18">
                  <c:v>19.5</c:v>
                </c:pt>
                <c:pt idx="19" formatCode="0.0">
                  <c:v>18.2</c:v>
                </c:pt>
                <c:pt idx="20">
                  <c:v>17.600000000000001</c:v>
                </c:pt>
                <c:pt idx="21">
                  <c:v>18.399999999999999</c:v>
                </c:pt>
                <c:pt idx="22">
                  <c:v>16.899999999999999</c:v>
                </c:pt>
                <c:pt idx="23">
                  <c:v>14.77</c:v>
                </c:pt>
                <c:pt idx="24">
                  <c:v>16.170000000000002</c:v>
                </c:pt>
                <c:pt idx="25">
                  <c:v>16.43</c:v>
                </c:pt>
                <c:pt idx="26">
                  <c:v>18.03</c:v>
                </c:pt>
                <c:pt idx="27">
                  <c:v>18.11</c:v>
                </c:pt>
                <c:pt idx="28">
                  <c:v>19.399999999999999</c:v>
                </c:pt>
                <c:pt idx="29">
                  <c:v>18.420000000000002</c:v>
                </c:pt>
                <c:pt idx="30">
                  <c:v>19.899999999999999</c:v>
                </c:pt>
                <c:pt idx="31">
                  <c:v>19.3</c:v>
                </c:pt>
                <c:pt idx="32">
                  <c:v>20.5</c:v>
                </c:pt>
                <c:pt idx="33">
                  <c:v>20</c:v>
                </c:pt>
                <c:pt idx="34">
                  <c:v>20.3</c:v>
                </c:pt>
                <c:pt idx="35">
                  <c:v>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2-4749-A018-01D6CF50F7F1}"/>
            </c:ext>
          </c:extLst>
        </c:ser>
        <c:ser>
          <c:idx val="1"/>
          <c:order val="1"/>
          <c:tx>
            <c:strRef>
              <c:f>'Multiplier Weekly Report'!$A$207</c:f>
              <c:strCache>
                <c:ptCount val="1"/>
                <c:pt idx="0">
                  <c:v>70 day gain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Report'!$Y$207:$BO$207</c:f>
              <c:numCache>
                <c:formatCode>General</c:formatCode>
                <c:ptCount val="43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E2-4749-A018-01D6CF50F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23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FCE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Report'!$A$214</c:f>
              <c:strCache>
                <c:ptCount val="1"/>
                <c:pt idx="0">
                  <c:v>FCE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Report'!$Y$214:$BO$214</c:f>
              <c:numCache>
                <c:formatCode>General</c:formatCode>
                <c:ptCount val="43"/>
                <c:pt idx="1">
                  <c:v>1.52</c:v>
                </c:pt>
                <c:pt idx="2">
                  <c:v>1.73</c:v>
                </c:pt>
                <c:pt idx="3">
                  <c:v>1.68</c:v>
                </c:pt>
                <c:pt idx="4">
                  <c:v>1.68</c:v>
                </c:pt>
                <c:pt idx="5">
                  <c:v>1.56</c:v>
                </c:pt>
                <c:pt idx="6">
                  <c:v>1.6</c:v>
                </c:pt>
                <c:pt idx="7">
                  <c:v>1.75</c:v>
                </c:pt>
                <c:pt idx="8">
                  <c:v>1.56</c:v>
                </c:pt>
                <c:pt idx="9">
                  <c:v>1.75</c:v>
                </c:pt>
                <c:pt idx="10">
                  <c:v>1.7</c:v>
                </c:pt>
                <c:pt idx="11">
                  <c:v>1.62</c:v>
                </c:pt>
                <c:pt idx="12">
                  <c:v>1.63</c:v>
                </c:pt>
                <c:pt idx="13">
                  <c:v>1.71</c:v>
                </c:pt>
                <c:pt idx="14">
                  <c:v>1.57</c:v>
                </c:pt>
                <c:pt idx="15">
                  <c:v>1.79</c:v>
                </c:pt>
                <c:pt idx="16">
                  <c:v>1.91</c:v>
                </c:pt>
                <c:pt idx="17">
                  <c:v>1.51</c:v>
                </c:pt>
                <c:pt idx="18">
                  <c:v>1.56</c:v>
                </c:pt>
                <c:pt idx="19">
                  <c:v>1.69</c:v>
                </c:pt>
                <c:pt idx="20">
                  <c:v>1.48</c:v>
                </c:pt>
                <c:pt idx="21">
                  <c:v>1.55</c:v>
                </c:pt>
                <c:pt idx="22">
                  <c:v>1.61</c:v>
                </c:pt>
                <c:pt idx="23">
                  <c:v>2.0699999999999998</c:v>
                </c:pt>
                <c:pt idx="24">
                  <c:v>1.71</c:v>
                </c:pt>
                <c:pt idx="25">
                  <c:v>1.73</c:v>
                </c:pt>
                <c:pt idx="26">
                  <c:v>1.39</c:v>
                </c:pt>
                <c:pt idx="27">
                  <c:v>1.78</c:v>
                </c:pt>
                <c:pt idx="28">
                  <c:v>1.67</c:v>
                </c:pt>
                <c:pt idx="29">
                  <c:v>1.63</c:v>
                </c:pt>
                <c:pt idx="30">
                  <c:v>1.67</c:v>
                </c:pt>
                <c:pt idx="31">
                  <c:v>1.77</c:v>
                </c:pt>
                <c:pt idx="32">
                  <c:v>1.6</c:v>
                </c:pt>
                <c:pt idx="33">
                  <c:v>1.57</c:v>
                </c:pt>
                <c:pt idx="34">
                  <c:v>1.52</c:v>
                </c:pt>
                <c:pt idx="35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1-49C4-B106-C5CD81A6D7D6}"/>
            </c:ext>
          </c:extLst>
        </c:ser>
        <c:ser>
          <c:idx val="1"/>
          <c:order val="1"/>
          <c:tx>
            <c:strRef>
              <c:f>'Multiplier Weekly Report'!$A$213</c:f>
              <c:strCache>
                <c:ptCount val="1"/>
                <c:pt idx="0">
                  <c:v>FCE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Report'!$Y$213:$BO$213</c:f>
              <c:numCache>
                <c:formatCode>General</c:formatCode>
                <c:ptCount val="43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1-49C4-B106-C5CD81A6D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Grower FCE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Report'!$A$222</c:f>
              <c:strCache>
                <c:ptCount val="1"/>
                <c:pt idx="0">
                  <c:v>FCE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Report'!$Y$8:$BO$8</c:f>
              <c:numCache>
                <c:formatCode>General</c:formatCode>
                <c:ptCount val="43"/>
                <c:pt idx="0">
                  <c:v>2527</c:v>
                </c:pt>
                <c:pt idx="1">
                  <c:v>2528</c:v>
                </c:pt>
                <c:pt idx="2">
                  <c:v>2529</c:v>
                </c:pt>
                <c:pt idx="3">
                  <c:v>2530</c:v>
                </c:pt>
                <c:pt idx="4">
                  <c:v>2531</c:v>
                </c:pt>
                <c:pt idx="5">
                  <c:v>2532</c:v>
                </c:pt>
                <c:pt idx="6">
                  <c:v>2533</c:v>
                </c:pt>
                <c:pt idx="7">
                  <c:v>2534</c:v>
                </c:pt>
                <c:pt idx="8">
                  <c:v>2535</c:v>
                </c:pt>
                <c:pt idx="9">
                  <c:v>2536</c:v>
                </c:pt>
                <c:pt idx="10">
                  <c:v>2537</c:v>
                </c:pt>
                <c:pt idx="11">
                  <c:v>2538</c:v>
                </c:pt>
                <c:pt idx="12">
                  <c:v>2539</c:v>
                </c:pt>
                <c:pt idx="13">
                  <c:v>2540</c:v>
                </c:pt>
                <c:pt idx="14">
                  <c:v>2541</c:v>
                </c:pt>
                <c:pt idx="15">
                  <c:v>2542</c:v>
                </c:pt>
                <c:pt idx="16">
                  <c:v>2543</c:v>
                </c:pt>
                <c:pt idx="17">
                  <c:v>2544</c:v>
                </c:pt>
                <c:pt idx="18">
                  <c:v>2545</c:v>
                </c:pt>
                <c:pt idx="19">
                  <c:v>2546</c:v>
                </c:pt>
                <c:pt idx="20">
                  <c:v>2547</c:v>
                </c:pt>
                <c:pt idx="21">
                  <c:v>2548</c:v>
                </c:pt>
                <c:pt idx="22">
                  <c:v>2549</c:v>
                </c:pt>
                <c:pt idx="23">
                  <c:v>2550</c:v>
                </c:pt>
                <c:pt idx="24">
                  <c:v>2551</c:v>
                </c:pt>
                <c:pt idx="25">
                  <c:v>2552</c:v>
                </c:pt>
                <c:pt idx="26">
                  <c:v>2601</c:v>
                </c:pt>
                <c:pt idx="27">
                  <c:v>2602</c:v>
                </c:pt>
                <c:pt idx="28">
                  <c:v>2603</c:v>
                </c:pt>
                <c:pt idx="29">
                  <c:v>2604</c:v>
                </c:pt>
                <c:pt idx="30">
                  <c:v>2605</c:v>
                </c:pt>
                <c:pt idx="31">
                  <c:v>2606</c:v>
                </c:pt>
                <c:pt idx="32">
                  <c:v>2607</c:v>
                </c:pt>
                <c:pt idx="33">
                  <c:v>2608</c:v>
                </c:pt>
                <c:pt idx="34">
                  <c:v>2609</c:v>
                </c:pt>
                <c:pt idx="35">
                  <c:v>2610</c:v>
                </c:pt>
                <c:pt idx="36">
                  <c:v>2611</c:v>
                </c:pt>
                <c:pt idx="37">
                  <c:v>2612</c:v>
                </c:pt>
                <c:pt idx="38">
                  <c:v>2613</c:v>
                </c:pt>
                <c:pt idx="39">
                  <c:v>2614</c:v>
                </c:pt>
                <c:pt idx="40">
                  <c:v>2615</c:v>
                </c:pt>
                <c:pt idx="41">
                  <c:v>2616</c:v>
                </c:pt>
                <c:pt idx="42">
                  <c:v>2617</c:v>
                </c:pt>
              </c:numCache>
            </c:numRef>
          </c:cat>
          <c:val>
            <c:numRef>
              <c:f>'Multiplier Weekly Report'!$Y$222:$BO$222</c:f>
              <c:numCache>
                <c:formatCode>General</c:formatCode>
                <c:ptCount val="43"/>
                <c:pt idx="14">
                  <c:v>2.7</c:v>
                </c:pt>
                <c:pt idx="15">
                  <c:v>2.31</c:v>
                </c:pt>
                <c:pt idx="16">
                  <c:v>2.11</c:v>
                </c:pt>
                <c:pt idx="17">
                  <c:v>2.82</c:v>
                </c:pt>
                <c:pt idx="18">
                  <c:v>2.58</c:v>
                </c:pt>
                <c:pt idx="19" formatCode="0.00">
                  <c:v>2.6</c:v>
                </c:pt>
                <c:pt idx="20">
                  <c:v>2.52</c:v>
                </c:pt>
                <c:pt idx="21">
                  <c:v>2.57</c:v>
                </c:pt>
                <c:pt idx="22">
                  <c:v>2.34</c:v>
                </c:pt>
                <c:pt idx="23">
                  <c:v>2.3199999999999998</c:v>
                </c:pt>
                <c:pt idx="24">
                  <c:v>2.4</c:v>
                </c:pt>
                <c:pt idx="25">
                  <c:v>2.4700000000000002</c:v>
                </c:pt>
                <c:pt idx="26">
                  <c:v>2.67</c:v>
                </c:pt>
                <c:pt idx="27">
                  <c:v>2.42</c:v>
                </c:pt>
                <c:pt idx="28">
                  <c:v>2.4700000000000002</c:v>
                </c:pt>
                <c:pt idx="29">
                  <c:v>2.4700000000000002</c:v>
                </c:pt>
                <c:pt idx="31">
                  <c:v>2.42</c:v>
                </c:pt>
                <c:pt idx="32">
                  <c:v>2.35</c:v>
                </c:pt>
                <c:pt idx="33">
                  <c:v>2.62</c:v>
                </c:pt>
                <c:pt idx="34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0-41EE-84EF-64855995ED3C}"/>
            </c:ext>
          </c:extLst>
        </c:ser>
        <c:ser>
          <c:idx val="1"/>
          <c:order val="1"/>
          <c:tx>
            <c:strRef>
              <c:f>'Multiplier Weekly Report'!$A$221</c:f>
              <c:strCache>
                <c:ptCount val="1"/>
                <c:pt idx="0">
                  <c:v>FCE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Report'!$Y$8:$BO$8</c:f>
              <c:numCache>
                <c:formatCode>General</c:formatCode>
                <c:ptCount val="43"/>
                <c:pt idx="0">
                  <c:v>2527</c:v>
                </c:pt>
                <c:pt idx="1">
                  <c:v>2528</c:v>
                </c:pt>
                <c:pt idx="2">
                  <c:v>2529</c:v>
                </c:pt>
                <c:pt idx="3">
                  <c:v>2530</c:v>
                </c:pt>
                <c:pt idx="4">
                  <c:v>2531</c:v>
                </c:pt>
                <c:pt idx="5">
                  <c:v>2532</c:v>
                </c:pt>
                <c:pt idx="6">
                  <c:v>2533</c:v>
                </c:pt>
                <c:pt idx="7">
                  <c:v>2534</c:v>
                </c:pt>
                <c:pt idx="8">
                  <c:v>2535</c:v>
                </c:pt>
                <c:pt idx="9">
                  <c:v>2536</c:v>
                </c:pt>
                <c:pt idx="10">
                  <c:v>2537</c:v>
                </c:pt>
                <c:pt idx="11">
                  <c:v>2538</c:v>
                </c:pt>
                <c:pt idx="12">
                  <c:v>2539</c:v>
                </c:pt>
                <c:pt idx="13">
                  <c:v>2540</c:v>
                </c:pt>
                <c:pt idx="14">
                  <c:v>2541</c:v>
                </c:pt>
                <c:pt idx="15">
                  <c:v>2542</c:v>
                </c:pt>
                <c:pt idx="16">
                  <c:v>2543</c:v>
                </c:pt>
                <c:pt idx="17">
                  <c:v>2544</c:v>
                </c:pt>
                <c:pt idx="18">
                  <c:v>2545</c:v>
                </c:pt>
                <c:pt idx="19">
                  <c:v>2546</c:v>
                </c:pt>
                <c:pt idx="20">
                  <c:v>2547</c:v>
                </c:pt>
                <c:pt idx="21">
                  <c:v>2548</c:v>
                </c:pt>
                <c:pt idx="22">
                  <c:v>2549</c:v>
                </c:pt>
                <c:pt idx="23">
                  <c:v>2550</c:v>
                </c:pt>
                <c:pt idx="24">
                  <c:v>2551</c:v>
                </c:pt>
                <c:pt idx="25">
                  <c:v>2552</c:v>
                </c:pt>
                <c:pt idx="26">
                  <c:v>2601</c:v>
                </c:pt>
                <c:pt idx="27">
                  <c:v>2602</c:v>
                </c:pt>
                <c:pt idx="28">
                  <c:v>2603</c:v>
                </c:pt>
                <c:pt idx="29">
                  <c:v>2604</c:v>
                </c:pt>
                <c:pt idx="30">
                  <c:v>2605</c:v>
                </c:pt>
                <c:pt idx="31">
                  <c:v>2606</c:v>
                </c:pt>
                <c:pt idx="32">
                  <c:v>2607</c:v>
                </c:pt>
                <c:pt idx="33">
                  <c:v>2608</c:v>
                </c:pt>
                <c:pt idx="34">
                  <c:v>2609</c:v>
                </c:pt>
                <c:pt idx="35">
                  <c:v>2610</c:v>
                </c:pt>
                <c:pt idx="36">
                  <c:v>2611</c:v>
                </c:pt>
                <c:pt idx="37">
                  <c:v>2612</c:v>
                </c:pt>
                <c:pt idx="38">
                  <c:v>2613</c:v>
                </c:pt>
                <c:pt idx="39">
                  <c:v>2614</c:v>
                </c:pt>
                <c:pt idx="40">
                  <c:v>2615</c:v>
                </c:pt>
                <c:pt idx="41">
                  <c:v>2616</c:v>
                </c:pt>
                <c:pt idx="42">
                  <c:v>2617</c:v>
                </c:pt>
              </c:numCache>
            </c:numRef>
          </c:cat>
          <c:val>
            <c:numRef>
              <c:f>'Multiplier Weekly Report'!$Y$221:$BO$221</c:f>
              <c:numCache>
                <c:formatCode>General</c:formatCode>
                <c:ptCount val="43"/>
                <c:pt idx="0">
                  <c:v>2.4500000000000002</c:v>
                </c:pt>
                <c:pt idx="1">
                  <c:v>2.4500000000000002</c:v>
                </c:pt>
                <c:pt idx="2">
                  <c:v>2.4500000000000002</c:v>
                </c:pt>
                <c:pt idx="3">
                  <c:v>2.4500000000000002</c:v>
                </c:pt>
                <c:pt idx="4">
                  <c:v>2.4500000000000002</c:v>
                </c:pt>
                <c:pt idx="5">
                  <c:v>2.4500000000000002</c:v>
                </c:pt>
                <c:pt idx="6">
                  <c:v>2.4500000000000002</c:v>
                </c:pt>
                <c:pt idx="7">
                  <c:v>2.4500000000000002</c:v>
                </c:pt>
                <c:pt idx="8">
                  <c:v>2.4500000000000002</c:v>
                </c:pt>
                <c:pt idx="9">
                  <c:v>2.4500000000000002</c:v>
                </c:pt>
                <c:pt idx="10">
                  <c:v>2.4500000000000002</c:v>
                </c:pt>
                <c:pt idx="11">
                  <c:v>2.4500000000000002</c:v>
                </c:pt>
                <c:pt idx="12">
                  <c:v>2.4500000000000002</c:v>
                </c:pt>
                <c:pt idx="13">
                  <c:v>2.4500000000000002</c:v>
                </c:pt>
                <c:pt idx="14">
                  <c:v>2.4500000000000002</c:v>
                </c:pt>
                <c:pt idx="15">
                  <c:v>2.4500000000000002</c:v>
                </c:pt>
                <c:pt idx="16">
                  <c:v>2.4500000000000002</c:v>
                </c:pt>
                <c:pt idx="17">
                  <c:v>2.4500000000000002</c:v>
                </c:pt>
                <c:pt idx="18">
                  <c:v>2.4500000000000002</c:v>
                </c:pt>
                <c:pt idx="19">
                  <c:v>2.4500000000000002</c:v>
                </c:pt>
                <c:pt idx="20">
                  <c:v>2.4500000000000002</c:v>
                </c:pt>
                <c:pt idx="21">
                  <c:v>2.4500000000000002</c:v>
                </c:pt>
                <c:pt idx="22">
                  <c:v>2.4500000000000002</c:v>
                </c:pt>
                <c:pt idx="23">
                  <c:v>2.4500000000000002</c:v>
                </c:pt>
                <c:pt idx="24">
                  <c:v>2.4500000000000002</c:v>
                </c:pt>
                <c:pt idx="25">
                  <c:v>2.4500000000000002</c:v>
                </c:pt>
                <c:pt idx="26">
                  <c:v>2.4500000000000002</c:v>
                </c:pt>
                <c:pt idx="27">
                  <c:v>2.4500000000000002</c:v>
                </c:pt>
                <c:pt idx="28">
                  <c:v>2.4500000000000002</c:v>
                </c:pt>
                <c:pt idx="29">
                  <c:v>2.4500000000000002</c:v>
                </c:pt>
                <c:pt idx="30">
                  <c:v>2.4500000000000002</c:v>
                </c:pt>
                <c:pt idx="31">
                  <c:v>2.4500000000000002</c:v>
                </c:pt>
                <c:pt idx="32">
                  <c:v>2.4500000000000002</c:v>
                </c:pt>
                <c:pt idx="33">
                  <c:v>2.4500000000000002</c:v>
                </c:pt>
                <c:pt idx="34">
                  <c:v>2.4500000000000002</c:v>
                </c:pt>
                <c:pt idx="35">
                  <c:v>2.4500000000000002</c:v>
                </c:pt>
                <c:pt idx="36">
                  <c:v>2.4500000000000002</c:v>
                </c:pt>
                <c:pt idx="37">
                  <c:v>2.4500000000000002</c:v>
                </c:pt>
                <c:pt idx="38">
                  <c:v>2.4500000000000002</c:v>
                </c:pt>
                <c:pt idx="39">
                  <c:v>2.4500000000000002</c:v>
                </c:pt>
                <c:pt idx="40">
                  <c:v>2.4500000000000002</c:v>
                </c:pt>
                <c:pt idx="41">
                  <c:v>2.4500000000000002</c:v>
                </c:pt>
                <c:pt idx="42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0-41EE-84EF-64855995E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2.8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Grower CDM against budgeted CDM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Report'!$A$218</c:f>
              <c:strCache>
                <c:ptCount val="1"/>
                <c:pt idx="0">
                  <c:v>CDM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Report'!$Y$8:$BO$8</c:f>
              <c:numCache>
                <c:formatCode>General</c:formatCode>
                <c:ptCount val="43"/>
                <c:pt idx="0">
                  <c:v>2527</c:v>
                </c:pt>
                <c:pt idx="1">
                  <c:v>2528</c:v>
                </c:pt>
                <c:pt idx="2">
                  <c:v>2529</c:v>
                </c:pt>
                <c:pt idx="3">
                  <c:v>2530</c:v>
                </c:pt>
                <c:pt idx="4">
                  <c:v>2531</c:v>
                </c:pt>
                <c:pt idx="5">
                  <c:v>2532</c:v>
                </c:pt>
                <c:pt idx="6">
                  <c:v>2533</c:v>
                </c:pt>
                <c:pt idx="7">
                  <c:v>2534</c:v>
                </c:pt>
                <c:pt idx="8">
                  <c:v>2535</c:v>
                </c:pt>
                <c:pt idx="9">
                  <c:v>2536</c:v>
                </c:pt>
                <c:pt idx="10">
                  <c:v>2537</c:v>
                </c:pt>
                <c:pt idx="11">
                  <c:v>2538</c:v>
                </c:pt>
                <c:pt idx="12">
                  <c:v>2539</c:v>
                </c:pt>
                <c:pt idx="13">
                  <c:v>2540</c:v>
                </c:pt>
                <c:pt idx="14">
                  <c:v>2541</c:v>
                </c:pt>
                <c:pt idx="15">
                  <c:v>2542</c:v>
                </c:pt>
                <c:pt idx="16">
                  <c:v>2543</c:v>
                </c:pt>
                <c:pt idx="17">
                  <c:v>2544</c:v>
                </c:pt>
                <c:pt idx="18">
                  <c:v>2545</c:v>
                </c:pt>
                <c:pt idx="19">
                  <c:v>2546</c:v>
                </c:pt>
                <c:pt idx="20">
                  <c:v>2547</c:v>
                </c:pt>
                <c:pt idx="21">
                  <c:v>2548</c:v>
                </c:pt>
                <c:pt idx="22">
                  <c:v>2549</c:v>
                </c:pt>
                <c:pt idx="23">
                  <c:v>2550</c:v>
                </c:pt>
                <c:pt idx="24">
                  <c:v>2551</c:v>
                </c:pt>
                <c:pt idx="25">
                  <c:v>2552</c:v>
                </c:pt>
                <c:pt idx="26">
                  <c:v>2601</c:v>
                </c:pt>
                <c:pt idx="27">
                  <c:v>2602</c:v>
                </c:pt>
                <c:pt idx="28">
                  <c:v>2603</c:v>
                </c:pt>
                <c:pt idx="29">
                  <c:v>2604</c:v>
                </c:pt>
                <c:pt idx="30">
                  <c:v>2605</c:v>
                </c:pt>
                <c:pt idx="31">
                  <c:v>2606</c:v>
                </c:pt>
                <c:pt idx="32">
                  <c:v>2607</c:v>
                </c:pt>
                <c:pt idx="33">
                  <c:v>2608</c:v>
                </c:pt>
                <c:pt idx="34">
                  <c:v>2609</c:v>
                </c:pt>
                <c:pt idx="35">
                  <c:v>2610</c:v>
                </c:pt>
                <c:pt idx="36">
                  <c:v>2611</c:v>
                </c:pt>
                <c:pt idx="37">
                  <c:v>2612</c:v>
                </c:pt>
                <c:pt idx="38">
                  <c:v>2613</c:v>
                </c:pt>
                <c:pt idx="39">
                  <c:v>2614</c:v>
                </c:pt>
                <c:pt idx="40">
                  <c:v>2615</c:v>
                </c:pt>
                <c:pt idx="41">
                  <c:v>2616</c:v>
                </c:pt>
                <c:pt idx="42">
                  <c:v>2617</c:v>
                </c:pt>
              </c:numCache>
            </c:numRef>
          </c:cat>
          <c:val>
            <c:numRef>
              <c:f>'Multiplier Weekly Report'!$Y$218:$BO$218</c:f>
              <c:numCache>
                <c:formatCode>General</c:formatCode>
                <c:ptCount val="43"/>
                <c:pt idx="14">
                  <c:v>79.5</c:v>
                </c:pt>
                <c:pt idx="15">
                  <c:v>86.07</c:v>
                </c:pt>
                <c:pt idx="16">
                  <c:v>85.84</c:v>
                </c:pt>
                <c:pt idx="17">
                  <c:v>85.03</c:v>
                </c:pt>
                <c:pt idx="18">
                  <c:v>85.2</c:v>
                </c:pt>
                <c:pt idx="19">
                  <c:v>85.72</c:v>
                </c:pt>
                <c:pt idx="20">
                  <c:v>83.72</c:v>
                </c:pt>
                <c:pt idx="21">
                  <c:v>86.04</c:v>
                </c:pt>
                <c:pt idx="22">
                  <c:v>92.84</c:v>
                </c:pt>
                <c:pt idx="23">
                  <c:v>90.27</c:v>
                </c:pt>
                <c:pt idx="24">
                  <c:v>87.54</c:v>
                </c:pt>
                <c:pt idx="25">
                  <c:v>89</c:v>
                </c:pt>
                <c:pt idx="26">
                  <c:v>81.489999999999995</c:v>
                </c:pt>
                <c:pt idx="27">
                  <c:v>87.3</c:v>
                </c:pt>
                <c:pt idx="28">
                  <c:v>90.47</c:v>
                </c:pt>
                <c:pt idx="29">
                  <c:v>87.22</c:v>
                </c:pt>
                <c:pt idx="31">
                  <c:v>99.53</c:v>
                </c:pt>
                <c:pt idx="32">
                  <c:v>101.9</c:v>
                </c:pt>
                <c:pt idx="33">
                  <c:v>94.86</c:v>
                </c:pt>
                <c:pt idx="34">
                  <c:v>94.23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F-4061-8755-244B7A34FD5A}"/>
            </c:ext>
          </c:extLst>
        </c:ser>
        <c:ser>
          <c:idx val="1"/>
          <c:order val="1"/>
          <c:tx>
            <c:strRef>
              <c:f>'Multiplier Weekly Report'!$A$217</c:f>
              <c:strCache>
                <c:ptCount val="1"/>
                <c:pt idx="0">
                  <c:v>CDM budget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Report'!$Y$8:$BO$8</c:f>
              <c:numCache>
                <c:formatCode>General</c:formatCode>
                <c:ptCount val="43"/>
                <c:pt idx="0">
                  <c:v>2527</c:v>
                </c:pt>
                <c:pt idx="1">
                  <c:v>2528</c:v>
                </c:pt>
                <c:pt idx="2">
                  <c:v>2529</c:v>
                </c:pt>
                <c:pt idx="3">
                  <c:v>2530</c:v>
                </c:pt>
                <c:pt idx="4">
                  <c:v>2531</c:v>
                </c:pt>
                <c:pt idx="5">
                  <c:v>2532</c:v>
                </c:pt>
                <c:pt idx="6">
                  <c:v>2533</c:v>
                </c:pt>
                <c:pt idx="7">
                  <c:v>2534</c:v>
                </c:pt>
                <c:pt idx="8">
                  <c:v>2535</c:v>
                </c:pt>
                <c:pt idx="9">
                  <c:v>2536</c:v>
                </c:pt>
                <c:pt idx="10">
                  <c:v>2537</c:v>
                </c:pt>
                <c:pt idx="11">
                  <c:v>2538</c:v>
                </c:pt>
                <c:pt idx="12">
                  <c:v>2539</c:v>
                </c:pt>
                <c:pt idx="13">
                  <c:v>2540</c:v>
                </c:pt>
                <c:pt idx="14">
                  <c:v>2541</c:v>
                </c:pt>
                <c:pt idx="15">
                  <c:v>2542</c:v>
                </c:pt>
                <c:pt idx="16">
                  <c:v>2543</c:v>
                </c:pt>
                <c:pt idx="17">
                  <c:v>2544</c:v>
                </c:pt>
                <c:pt idx="18">
                  <c:v>2545</c:v>
                </c:pt>
                <c:pt idx="19">
                  <c:v>2546</c:v>
                </c:pt>
                <c:pt idx="20">
                  <c:v>2547</c:v>
                </c:pt>
                <c:pt idx="21">
                  <c:v>2548</c:v>
                </c:pt>
                <c:pt idx="22">
                  <c:v>2549</c:v>
                </c:pt>
                <c:pt idx="23">
                  <c:v>2550</c:v>
                </c:pt>
                <c:pt idx="24">
                  <c:v>2551</c:v>
                </c:pt>
                <c:pt idx="25">
                  <c:v>2552</c:v>
                </c:pt>
                <c:pt idx="26">
                  <c:v>2601</c:v>
                </c:pt>
                <c:pt idx="27">
                  <c:v>2602</c:v>
                </c:pt>
                <c:pt idx="28">
                  <c:v>2603</c:v>
                </c:pt>
                <c:pt idx="29">
                  <c:v>2604</c:v>
                </c:pt>
                <c:pt idx="30">
                  <c:v>2605</c:v>
                </c:pt>
                <c:pt idx="31">
                  <c:v>2606</c:v>
                </c:pt>
                <c:pt idx="32">
                  <c:v>2607</c:v>
                </c:pt>
                <c:pt idx="33">
                  <c:v>2608</c:v>
                </c:pt>
                <c:pt idx="34">
                  <c:v>2609</c:v>
                </c:pt>
                <c:pt idx="35">
                  <c:v>2610</c:v>
                </c:pt>
                <c:pt idx="36">
                  <c:v>2611</c:v>
                </c:pt>
                <c:pt idx="37">
                  <c:v>2612</c:v>
                </c:pt>
                <c:pt idx="38">
                  <c:v>2613</c:v>
                </c:pt>
                <c:pt idx="39">
                  <c:v>2614</c:v>
                </c:pt>
                <c:pt idx="40">
                  <c:v>2615</c:v>
                </c:pt>
                <c:pt idx="41">
                  <c:v>2616</c:v>
                </c:pt>
                <c:pt idx="42">
                  <c:v>2617</c:v>
                </c:pt>
              </c:numCache>
            </c:numRef>
          </c:cat>
          <c:val>
            <c:numRef>
              <c:f>'Multiplier Weekly Report'!$Y$217:$BO$217</c:f>
              <c:numCache>
                <c:formatCode>General</c:formatCode>
                <c:ptCount val="43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92</c:v>
                </c:pt>
                <c:pt idx="25">
                  <c:v>92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92</c:v>
                </c:pt>
                <c:pt idx="40">
                  <c:v>92</c:v>
                </c:pt>
                <c:pt idx="41">
                  <c:v>92</c:v>
                </c:pt>
                <c:pt idx="42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9F-4061-8755-244B7A34F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98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CDM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Body conditon loss % in farrow,More than 9-12%, Less than</a:t>
            </a:r>
            <a:r>
              <a:rPr lang="en-US" b="1" baseline="0"/>
              <a:t> 9-12%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'Multiplier Weekly Report'!$A$196</c:f>
              <c:strCache>
                <c:ptCount val="1"/>
                <c:pt idx="0">
                  <c:v>Avg % body cond loss of all gilts lost more than 11%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Report'!$Y$196:$BO$196</c:f>
              <c:numCache>
                <c:formatCode>0.00%</c:formatCode>
                <c:ptCount val="43"/>
                <c:pt idx="0">
                  <c:v>0.221</c:v>
                </c:pt>
                <c:pt idx="1">
                  <c:v>0.188</c:v>
                </c:pt>
                <c:pt idx="2">
                  <c:v>0.17199999999999999</c:v>
                </c:pt>
                <c:pt idx="3">
                  <c:v>0.23300000000000001</c:v>
                </c:pt>
                <c:pt idx="5">
                  <c:v>0.17699999999999999</c:v>
                </c:pt>
                <c:pt idx="6">
                  <c:v>0.159</c:v>
                </c:pt>
                <c:pt idx="7">
                  <c:v>0.161</c:v>
                </c:pt>
                <c:pt idx="8">
                  <c:v>0.16800000000000001</c:v>
                </c:pt>
                <c:pt idx="9">
                  <c:v>0.14399999999999999</c:v>
                </c:pt>
                <c:pt idx="11">
                  <c:v>0.13600000000000001</c:v>
                </c:pt>
                <c:pt idx="12">
                  <c:v>0.153</c:v>
                </c:pt>
                <c:pt idx="14">
                  <c:v>0.152</c:v>
                </c:pt>
                <c:pt idx="15">
                  <c:v>0.152</c:v>
                </c:pt>
                <c:pt idx="17">
                  <c:v>0.16200000000000001</c:v>
                </c:pt>
                <c:pt idx="18">
                  <c:v>0.14299999999999999</c:v>
                </c:pt>
                <c:pt idx="19">
                  <c:v>0.19800000000000001</c:v>
                </c:pt>
                <c:pt idx="20">
                  <c:v>0.247</c:v>
                </c:pt>
                <c:pt idx="21">
                  <c:v>0.16900000000000001</c:v>
                </c:pt>
                <c:pt idx="22">
                  <c:v>0.185</c:v>
                </c:pt>
                <c:pt idx="23">
                  <c:v>0.114</c:v>
                </c:pt>
                <c:pt idx="24">
                  <c:v>0.20899999999999999</c:v>
                </c:pt>
                <c:pt idx="25">
                  <c:v>0.13</c:v>
                </c:pt>
                <c:pt idx="27">
                  <c:v>0.159</c:v>
                </c:pt>
                <c:pt idx="28">
                  <c:v>0.17499999999999999</c:v>
                </c:pt>
                <c:pt idx="29">
                  <c:v>0.19400000000000001</c:v>
                </c:pt>
                <c:pt idx="30">
                  <c:v>0.151</c:v>
                </c:pt>
                <c:pt idx="33">
                  <c:v>0.23100000000000001</c:v>
                </c:pt>
                <c:pt idx="34">
                  <c:v>0.17499999999999999</c:v>
                </c:pt>
                <c:pt idx="35">
                  <c:v>0.14099999999999999</c:v>
                </c:pt>
                <c:pt idx="3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A-4C23-96B4-C3FD21969BED}"/>
            </c:ext>
          </c:extLst>
        </c:ser>
        <c:ser>
          <c:idx val="2"/>
          <c:order val="1"/>
          <c:tx>
            <c:strRef>
              <c:f>'Multiplier Weekly Report'!$A$197</c:f>
              <c:strCache>
                <c:ptCount val="1"/>
                <c:pt idx="0">
                  <c:v>Avg % body cond loss of all gilts lost less than 8%</c:v>
                </c:pt>
              </c:strCache>
            </c:strRef>
          </c:tx>
          <c:spPr>
            <a:ln w="222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Report'!$Y$197:$BO$197</c:f>
              <c:numCache>
                <c:formatCode>0.00%</c:formatCode>
                <c:ptCount val="43"/>
                <c:pt idx="2">
                  <c:v>0.01</c:v>
                </c:pt>
                <c:pt idx="3">
                  <c:v>4.0000000000000001E-3</c:v>
                </c:pt>
                <c:pt idx="4">
                  <c:v>2.5000000000000001E-2</c:v>
                </c:pt>
                <c:pt idx="5">
                  <c:v>7.4999999999999997E-2</c:v>
                </c:pt>
                <c:pt idx="6">
                  <c:v>7.6999999999999999E-2</c:v>
                </c:pt>
                <c:pt idx="7">
                  <c:v>7.9000000000000001E-2</c:v>
                </c:pt>
                <c:pt idx="8">
                  <c:v>2.3E-2</c:v>
                </c:pt>
                <c:pt idx="10">
                  <c:v>2.4E-2</c:v>
                </c:pt>
                <c:pt idx="11">
                  <c:v>5.7000000000000002E-2</c:v>
                </c:pt>
                <c:pt idx="13">
                  <c:v>5.2999999999999999E-2</c:v>
                </c:pt>
                <c:pt idx="17">
                  <c:v>7.2999999999999995E-2</c:v>
                </c:pt>
                <c:pt idx="18">
                  <c:v>1.4999999999999999E-2</c:v>
                </c:pt>
                <c:pt idx="20">
                  <c:v>5.1999999999999998E-2</c:v>
                </c:pt>
                <c:pt idx="21">
                  <c:v>6.0999999999999999E-2</c:v>
                </c:pt>
                <c:pt idx="22">
                  <c:v>1.4999999999999999E-2</c:v>
                </c:pt>
                <c:pt idx="23">
                  <c:v>0.05</c:v>
                </c:pt>
                <c:pt idx="24">
                  <c:v>7.3999999999999996E-2</c:v>
                </c:pt>
                <c:pt idx="27">
                  <c:v>6.9000000000000006E-2</c:v>
                </c:pt>
                <c:pt idx="29">
                  <c:v>4.8000000000000001E-2</c:v>
                </c:pt>
                <c:pt idx="32">
                  <c:v>3.1E-2</c:v>
                </c:pt>
                <c:pt idx="34">
                  <c:v>4.8000000000000001E-2</c:v>
                </c:pt>
                <c:pt idx="36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A-4C23-96B4-C3FD2196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526832"/>
        <c:axId val="1495402368"/>
      </c:lineChart>
      <c:catAx>
        <c:axId val="148652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02368"/>
        <c:crosses val="autoZero"/>
        <c:auto val="1"/>
        <c:lblAlgn val="ctr"/>
        <c:lblOffset val="100"/>
        <c:noMultiLvlLbl val="0"/>
      </c:catAx>
      <c:valAx>
        <c:axId val="1495402368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 to 16 week ADG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Report'!$A$53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Report'!$Y$53:$BO$53</c:f>
              <c:numCache>
                <c:formatCode>0.000</c:formatCode>
                <c:ptCount val="43"/>
                <c:pt idx="0">
                  <c:v>0.80900000000000005</c:v>
                </c:pt>
                <c:pt idx="1">
                  <c:v>0.80900000000000005</c:v>
                </c:pt>
                <c:pt idx="2">
                  <c:v>0.80900000000000005</c:v>
                </c:pt>
                <c:pt idx="3">
                  <c:v>0.80900000000000005</c:v>
                </c:pt>
                <c:pt idx="4">
                  <c:v>0.80900000000000005</c:v>
                </c:pt>
                <c:pt idx="5">
                  <c:v>0.80900000000000005</c:v>
                </c:pt>
                <c:pt idx="6">
                  <c:v>0.80900000000000005</c:v>
                </c:pt>
                <c:pt idx="7">
                  <c:v>0.80900000000000005</c:v>
                </c:pt>
                <c:pt idx="8">
                  <c:v>0.80900000000000005</c:v>
                </c:pt>
                <c:pt idx="9">
                  <c:v>0.80900000000000005</c:v>
                </c:pt>
                <c:pt idx="10">
                  <c:v>0.80900000000000005</c:v>
                </c:pt>
                <c:pt idx="11">
                  <c:v>0.80900000000000005</c:v>
                </c:pt>
                <c:pt idx="12">
                  <c:v>0.80900000000000005</c:v>
                </c:pt>
                <c:pt idx="13">
                  <c:v>0.80900000000000005</c:v>
                </c:pt>
                <c:pt idx="14">
                  <c:v>0.80900000000000005</c:v>
                </c:pt>
                <c:pt idx="15">
                  <c:v>0.80900000000000005</c:v>
                </c:pt>
                <c:pt idx="16">
                  <c:v>0.80900000000000005</c:v>
                </c:pt>
                <c:pt idx="17">
                  <c:v>0.80900000000000005</c:v>
                </c:pt>
                <c:pt idx="18">
                  <c:v>0.80900000000000005</c:v>
                </c:pt>
                <c:pt idx="19">
                  <c:v>0.80900000000000005</c:v>
                </c:pt>
                <c:pt idx="20">
                  <c:v>0.80900000000000005</c:v>
                </c:pt>
                <c:pt idx="21">
                  <c:v>0.80900000000000005</c:v>
                </c:pt>
                <c:pt idx="22">
                  <c:v>0.80900000000000005</c:v>
                </c:pt>
                <c:pt idx="23">
                  <c:v>0.80900000000000005</c:v>
                </c:pt>
                <c:pt idx="24">
                  <c:v>0.80900000000000005</c:v>
                </c:pt>
                <c:pt idx="25">
                  <c:v>0.80900000000000005</c:v>
                </c:pt>
                <c:pt idx="26">
                  <c:v>0.80900000000000005</c:v>
                </c:pt>
                <c:pt idx="27">
                  <c:v>0.80900000000000005</c:v>
                </c:pt>
                <c:pt idx="28">
                  <c:v>0.80900000000000005</c:v>
                </c:pt>
                <c:pt idx="29">
                  <c:v>0.80900000000000005</c:v>
                </c:pt>
                <c:pt idx="30">
                  <c:v>0.80900000000000005</c:v>
                </c:pt>
                <c:pt idx="31">
                  <c:v>0.80900000000000005</c:v>
                </c:pt>
                <c:pt idx="32">
                  <c:v>0.80900000000000005</c:v>
                </c:pt>
                <c:pt idx="33">
                  <c:v>0.80900000000000005</c:v>
                </c:pt>
                <c:pt idx="34">
                  <c:v>0.80900000000000005</c:v>
                </c:pt>
                <c:pt idx="35">
                  <c:v>0.80900000000000005</c:v>
                </c:pt>
                <c:pt idx="36">
                  <c:v>0.80900000000000005</c:v>
                </c:pt>
                <c:pt idx="37">
                  <c:v>0.80900000000000005</c:v>
                </c:pt>
                <c:pt idx="38">
                  <c:v>0.80900000000000005</c:v>
                </c:pt>
                <c:pt idx="39">
                  <c:v>0.80900000000000005</c:v>
                </c:pt>
                <c:pt idx="40">
                  <c:v>0.80900000000000005</c:v>
                </c:pt>
                <c:pt idx="41">
                  <c:v>0.80900000000000005</c:v>
                </c:pt>
                <c:pt idx="42">
                  <c:v>0.80900000000000005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1-4403-BF81-39877DEC647F}"/>
            </c:ext>
          </c:extLst>
        </c:ser>
        <c:ser>
          <c:idx val="2"/>
          <c:order val="1"/>
          <c:tx>
            <c:strRef>
              <c:f>'Multiplier Weekly Report'!$A$51</c:f>
              <c:strCache>
                <c:ptCount val="1"/>
                <c:pt idx="0">
                  <c:v>ADG of pigs under target</c:v>
                </c:pt>
              </c:strCache>
            </c:strRef>
          </c:tx>
          <c:spPr>
            <a:ln w="2222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Report'!$Y$51:$BO$51</c:f>
              <c:numCache>
                <c:formatCode>0.00</c:formatCode>
                <c:ptCount val="43"/>
                <c:pt idx="11" formatCode="0.000">
                  <c:v>1.429</c:v>
                </c:pt>
                <c:pt idx="12" formatCode="0.000">
                  <c:v>0.78600000000000003</c:v>
                </c:pt>
                <c:pt idx="13" formatCode="0.000">
                  <c:v>0.85699999999999998</c:v>
                </c:pt>
                <c:pt idx="14" formatCode="0.000">
                  <c:v>0.89200000000000002</c:v>
                </c:pt>
                <c:pt idx="33" formatCode="0.000">
                  <c:v>1.143</c:v>
                </c:pt>
                <c:pt idx="34" formatCode="0.000">
                  <c:v>1.429</c:v>
                </c:pt>
                <c:pt idx="35" formatCode="0.00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1-4403-BF81-39877DEC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 to 16 week ADG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Report'!$A$53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Report'!$Y$53:$BO$53</c:f>
              <c:numCache>
                <c:formatCode>0.000</c:formatCode>
                <c:ptCount val="43"/>
                <c:pt idx="0">
                  <c:v>0.80900000000000005</c:v>
                </c:pt>
                <c:pt idx="1">
                  <c:v>0.80900000000000005</c:v>
                </c:pt>
                <c:pt idx="2">
                  <c:v>0.80900000000000005</c:v>
                </c:pt>
                <c:pt idx="3">
                  <c:v>0.80900000000000005</c:v>
                </c:pt>
                <c:pt idx="4">
                  <c:v>0.80900000000000005</c:v>
                </c:pt>
                <c:pt idx="5">
                  <c:v>0.80900000000000005</c:v>
                </c:pt>
                <c:pt idx="6">
                  <c:v>0.80900000000000005</c:v>
                </c:pt>
                <c:pt idx="7">
                  <c:v>0.80900000000000005</c:v>
                </c:pt>
                <c:pt idx="8">
                  <c:v>0.80900000000000005</c:v>
                </c:pt>
                <c:pt idx="9">
                  <c:v>0.80900000000000005</c:v>
                </c:pt>
                <c:pt idx="10">
                  <c:v>0.80900000000000005</c:v>
                </c:pt>
                <c:pt idx="11">
                  <c:v>0.80900000000000005</c:v>
                </c:pt>
                <c:pt idx="12">
                  <c:v>0.80900000000000005</c:v>
                </c:pt>
                <c:pt idx="13">
                  <c:v>0.80900000000000005</c:v>
                </c:pt>
                <c:pt idx="14">
                  <c:v>0.80900000000000005</c:v>
                </c:pt>
                <c:pt idx="15">
                  <c:v>0.80900000000000005</c:v>
                </c:pt>
                <c:pt idx="16">
                  <c:v>0.80900000000000005</c:v>
                </c:pt>
                <c:pt idx="17">
                  <c:v>0.80900000000000005</c:v>
                </c:pt>
                <c:pt idx="18">
                  <c:v>0.80900000000000005</c:v>
                </c:pt>
                <c:pt idx="19">
                  <c:v>0.80900000000000005</c:v>
                </c:pt>
                <c:pt idx="20">
                  <c:v>0.80900000000000005</c:v>
                </c:pt>
                <c:pt idx="21">
                  <c:v>0.80900000000000005</c:v>
                </c:pt>
                <c:pt idx="22">
                  <c:v>0.80900000000000005</c:v>
                </c:pt>
                <c:pt idx="23">
                  <c:v>0.80900000000000005</c:v>
                </c:pt>
                <c:pt idx="24">
                  <c:v>0.80900000000000005</c:v>
                </c:pt>
                <c:pt idx="25">
                  <c:v>0.80900000000000005</c:v>
                </c:pt>
                <c:pt idx="26">
                  <c:v>0.80900000000000005</c:v>
                </c:pt>
                <c:pt idx="27">
                  <c:v>0.80900000000000005</c:v>
                </c:pt>
                <c:pt idx="28">
                  <c:v>0.80900000000000005</c:v>
                </c:pt>
                <c:pt idx="29">
                  <c:v>0.80900000000000005</c:v>
                </c:pt>
                <c:pt idx="30">
                  <c:v>0.80900000000000005</c:v>
                </c:pt>
                <c:pt idx="31">
                  <c:v>0.80900000000000005</c:v>
                </c:pt>
                <c:pt idx="32">
                  <c:v>0.80900000000000005</c:v>
                </c:pt>
                <c:pt idx="33">
                  <c:v>0.80900000000000005</c:v>
                </c:pt>
                <c:pt idx="34">
                  <c:v>0.80900000000000005</c:v>
                </c:pt>
                <c:pt idx="35">
                  <c:v>0.80900000000000005</c:v>
                </c:pt>
                <c:pt idx="36">
                  <c:v>0.80900000000000005</c:v>
                </c:pt>
                <c:pt idx="37">
                  <c:v>0.80900000000000005</c:v>
                </c:pt>
                <c:pt idx="38">
                  <c:v>0.80900000000000005</c:v>
                </c:pt>
                <c:pt idx="39">
                  <c:v>0.80900000000000005</c:v>
                </c:pt>
                <c:pt idx="40">
                  <c:v>0.80900000000000005</c:v>
                </c:pt>
                <c:pt idx="41">
                  <c:v>0.80900000000000005</c:v>
                </c:pt>
                <c:pt idx="42">
                  <c:v>0.80900000000000005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3-4788-9755-C0B894AC3223}"/>
            </c:ext>
          </c:extLst>
        </c:ser>
        <c:ser>
          <c:idx val="3"/>
          <c:order val="1"/>
          <c:tx>
            <c:strRef>
              <c:f>'Multiplier Weekly Report'!$A$52</c:f>
              <c:strCache>
                <c:ptCount val="1"/>
                <c:pt idx="0">
                  <c:v>ADG of pigs over target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'Multiplier Weekly Report'!$Y$52:$BO$52</c:f>
              <c:numCache>
                <c:formatCode>0.00</c:formatCode>
                <c:ptCount val="43"/>
                <c:pt idx="11">
                  <c:v>1.286</c:v>
                </c:pt>
                <c:pt idx="12" formatCode="0.000">
                  <c:v>1.214</c:v>
                </c:pt>
                <c:pt idx="14" formatCode="0.000">
                  <c:v>1</c:v>
                </c:pt>
                <c:pt idx="15" formatCode="0.000">
                  <c:v>0.94199999999999995</c:v>
                </c:pt>
                <c:pt idx="17">
                  <c:v>1.2</c:v>
                </c:pt>
                <c:pt idx="18" formatCode="0.000">
                  <c:v>1.143</c:v>
                </c:pt>
                <c:pt idx="19" formatCode="0.000">
                  <c:v>0.95199999999999996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33-4788-9755-C0B894AC3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16W-25W Avg ADG under Target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Report'!$A$68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'Multiplier Weekly Report'!$Y$4:$BO$4</c15:sqref>
                  </c15:fullRef>
                </c:ext>
              </c:extLst>
              <c:f>('Multiplier Weekly Report'!$Y$4:$AP$4,'Multiplier Weekly Report'!$AW$4:$BO$4)</c:f>
              <c:numCache>
                <c:formatCode>General</c:formatCode>
                <c:ptCount val="37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2549</c:v>
                </c:pt>
                <c:pt idx="19">
                  <c:v>2550</c:v>
                </c:pt>
                <c:pt idx="20">
                  <c:v>2551</c:v>
                </c:pt>
                <c:pt idx="21">
                  <c:v>2552</c:v>
                </c:pt>
                <c:pt idx="22">
                  <c:v>2601</c:v>
                </c:pt>
                <c:pt idx="23">
                  <c:v>2602</c:v>
                </c:pt>
                <c:pt idx="24">
                  <c:v>2603</c:v>
                </c:pt>
                <c:pt idx="25">
                  <c:v>2604</c:v>
                </c:pt>
                <c:pt idx="26">
                  <c:v>2605</c:v>
                </c:pt>
                <c:pt idx="27">
                  <c:v>2606</c:v>
                </c:pt>
                <c:pt idx="28">
                  <c:v>2607</c:v>
                </c:pt>
                <c:pt idx="29">
                  <c:v>2608</c:v>
                </c:pt>
                <c:pt idx="30">
                  <c:v>2609</c:v>
                </c:pt>
                <c:pt idx="31">
                  <c:v>2610</c:v>
                </c:pt>
                <c:pt idx="32">
                  <c:v>2611</c:v>
                </c:pt>
                <c:pt idx="33">
                  <c:v>2612</c:v>
                </c:pt>
                <c:pt idx="34">
                  <c:v>2613</c:v>
                </c:pt>
                <c:pt idx="35">
                  <c:v>2614</c:v>
                </c:pt>
                <c:pt idx="36">
                  <c:v>2615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Weekly Report'!$Y$68:$BO$68</c15:sqref>
                  </c15:fullRef>
                </c:ext>
              </c:extLst>
              <c:f>('Multiplier Weekly Report'!$Y$68:$AP$68,'Multiplier Weekly Report'!$AW$68:$BO$68)</c:f>
              <c:numCache>
                <c:formatCode>0.000</c:formatCode>
                <c:ptCount val="37"/>
                <c:pt idx="0">
                  <c:v>0.89600000000000002</c:v>
                </c:pt>
                <c:pt idx="1">
                  <c:v>0.89600000000000002</c:v>
                </c:pt>
                <c:pt idx="2">
                  <c:v>0.89600000000000002</c:v>
                </c:pt>
                <c:pt idx="3">
                  <c:v>0.89600000000000002</c:v>
                </c:pt>
                <c:pt idx="4">
                  <c:v>0.89600000000000002</c:v>
                </c:pt>
                <c:pt idx="5">
                  <c:v>0.89600000000000002</c:v>
                </c:pt>
                <c:pt idx="6">
                  <c:v>0.89600000000000002</c:v>
                </c:pt>
                <c:pt idx="7">
                  <c:v>0.89600000000000002</c:v>
                </c:pt>
                <c:pt idx="8">
                  <c:v>0.89600000000000002</c:v>
                </c:pt>
                <c:pt idx="9">
                  <c:v>0.89600000000000002</c:v>
                </c:pt>
                <c:pt idx="10">
                  <c:v>0.89600000000000002</c:v>
                </c:pt>
                <c:pt idx="11">
                  <c:v>0.89600000000000002</c:v>
                </c:pt>
                <c:pt idx="12">
                  <c:v>0.89600000000000002</c:v>
                </c:pt>
                <c:pt idx="13">
                  <c:v>0.89600000000000002</c:v>
                </c:pt>
                <c:pt idx="14">
                  <c:v>0.89600000000000002</c:v>
                </c:pt>
                <c:pt idx="15">
                  <c:v>0.89600000000000002</c:v>
                </c:pt>
                <c:pt idx="16">
                  <c:v>0.89600000000000002</c:v>
                </c:pt>
                <c:pt idx="17">
                  <c:v>0.89600000000000002</c:v>
                </c:pt>
                <c:pt idx="18">
                  <c:v>0.89600000000000002</c:v>
                </c:pt>
                <c:pt idx="19">
                  <c:v>0.89600000000000002</c:v>
                </c:pt>
                <c:pt idx="20">
                  <c:v>0.89600000000000002</c:v>
                </c:pt>
                <c:pt idx="21">
                  <c:v>0.89600000000000002</c:v>
                </c:pt>
                <c:pt idx="22">
                  <c:v>0.89600000000000002</c:v>
                </c:pt>
                <c:pt idx="23">
                  <c:v>0.89600000000000002</c:v>
                </c:pt>
                <c:pt idx="24">
                  <c:v>0.89600000000000002</c:v>
                </c:pt>
                <c:pt idx="25">
                  <c:v>0.89600000000000002</c:v>
                </c:pt>
                <c:pt idx="26">
                  <c:v>0.89600000000000002</c:v>
                </c:pt>
                <c:pt idx="27">
                  <c:v>0.89600000000000002</c:v>
                </c:pt>
                <c:pt idx="28">
                  <c:v>0.89600000000000002</c:v>
                </c:pt>
                <c:pt idx="29">
                  <c:v>0.89600000000000002</c:v>
                </c:pt>
                <c:pt idx="30">
                  <c:v>0.89600000000000002</c:v>
                </c:pt>
                <c:pt idx="31">
                  <c:v>0.89600000000000002</c:v>
                </c:pt>
                <c:pt idx="32">
                  <c:v>0.89600000000000002</c:v>
                </c:pt>
                <c:pt idx="33">
                  <c:v>0.89600000000000002</c:v>
                </c:pt>
                <c:pt idx="34">
                  <c:v>0.89600000000000002</c:v>
                </c:pt>
                <c:pt idx="35">
                  <c:v>0.89600000000000002</c:v>
                </c:pt>
                <c:pt idx="36">
                  <c:v>0.89600000000000002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C-4CF7-AC7B-6855B3B2BF24}"/>
            </c:ext>
          </c:extLst>
        </c:ser>
        <c:ser>
          <c:idx val="2"/>
          <c:order val="1"/>
          <c:tx>
            <c:strRef>
              <c:f>'Multiplier Weekly Report'!$A$70</c:f>
              <c:strCache>
                <c:ptCount val="1"/>
                <c:pt idx="0">
                  <c:v>Avg ADG of gilts grew less than 0.896</c:v>
                </c:pt>
              </c:strCache>
            </c:strRef>
          </c:tx>
          <c:spPr>
            <a:ln w="2222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'Multiplier Weekly Report'!$Y$4:$BO$4</c15:sqref>
                  </c15:fullRef>
                </c:ext>
              </c:extLst>
              <c:f>('Multiplier Weekly Report'!$Y$4:$AP$4,'Multiplier Weekly Report'!$AW$4:$BO$4)</c:f>
              <c:numCache>
                <c:formatCode>General</c:formatCode>
                <c:ptCount val="37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2549</c:v>
                </c:pt>
                <c:pt idx="19">
                  <c:v>2550</c:v>
                </c:pt>
                <c:pt idx="20">
                  <c:v>2551</c:v>
                </c:pt>
                <c:pt idx="21">
                  <c:v>2552</c:v>
                </c:pt>
                <c:pt idx="22">
                  <c:v>2601</c:v>
                </c:pt>
                <c:pt idx="23">
                  <c:v>2602</c:v>
                </c:pt>
                <c:pt idx="24">
                  <c:v>2603</c:v>
                </c:pt>
                <c:pt idx="25">
                  <c:v>2604</c:v>
                </c:pt>
                <c:pt idx="26">
                  <c:v>2605</c:v>
                </c:pt>
                <c:pt idx="27">
                  <c:v>2606</c:v>
                </c:pt>
                <c:pt idx="28">
                  <c:v>2607</c:v>
                </c:pt>
                <c:pt idx="29">
                  <c:v>2608</c:v>
                </c:pt>
                <c:pt idx="30">
                  <c:v>2609</c:v>
                </c:pt>
                <c:pt idx="31">
                  <c:v>2610</c:v>
                </c:pt>
                <c:pt idx="32">
                  <c:v>2611</c:v>
                </c:pt>
                <c:pt idx="33">
                  <c:v>2612</c:v>
                </c:pt>
                <c:pt idx="34">
                  <c:v>2613</c:v>
                </c:pt>
                <c:pt idx="35">
                  <c:v>2614</c:v>
                </c:pt>
                <c:pt idx="36">
                  <c:v>2615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Weekly Report'!$Y$70:$BO$70</c15:sqref>
                  </c15:fullRef>
                </c:ext>
              </c:extLst>
              <c:f>('Multiplier Weekly Report'!$Y$70:$AP$70,'Multiplier Weekly Report'!$AW$70:$BO$70)</c:f>
              <c:numCache>
                <c:formatCode>0.0</c:formatCode>
                <c:ptCount val="37"/>
                <c:pt idx="11" formatCode="0.000">
                  <c:v>0.28499999999999998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AC-4CF7-AC7B-6855B3B2B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16W-25W Avg ADG over Target 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Report'!$A$68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'Multiplier Weekly Report'!$Y$4:$BO$4</c15:sqref>
                  </c15:fullRef>
                </c:ext>
              </c:extLst>
              <c:f>('Multiplier Weekly Report'!$Y$4:$AO$4,'Multiplier Weekly Report'!$AW$4:$BO$4)</c:f>
              <c:numCache>
                <c:formatCode>General</c:formatCode>
                <c:ptCount val="36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2549</c:v>
                </c:pt>
                <c:pt idx="18">
                  <c:v>2550</c:v>
                </c:pt>
                <c:pt idx="19">
                  <c:v>2551</c:v>
                </c:pt>
                <c:pt idx="20">
                  <c:v>2552</c:v>
                </c:pt>
                <c:pt idx="21">
                  <c:v>2601</c:v>
                </c:pt>
                <c:pt idx="22">
                  <c:v>2602</c:v>
                </c:pt>
                <c:pt idx="23">
                  <c:v>2603</c:v>
                </c:pt>
                <c:pt idx="24">
                  <c:v>2604</c:v>
                </c:pt>
                <c:pt idx="25">
                  <c:v>2605</c:v>
                </c:pt>
                <c:pt idx="26">
                  <c:v>2606</c:v>
                </c:pt>
                <c:pt idx="27">
                  <c:v>2607</c:v>
                </c:pt>
                <c:pt idx="28">
                  <c:v>2608</c:v>
                </c:pt>
                <c:pt idx="29">
                  <c:v>2609</c:v>
                </c:pt>
                <c:pt idx="30">
                  <c:v>2610</c:v>
                </c:pt>
                <c:pt idx="31">
                  <c:v>2611</c:v>
                </c:pt>
                <c:pt idx="32">
                  <c:v>2612</c:v>
                </c:pt>
                <c:pt idx="33">
                  <c:v>2613</c:v>
                </c:pt>
                <c:pt idx="34">
                  <c:v>2614</c:v>
                </c:pt>
                <c:pt idx="35">
                  <c:v>2615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Weekly Report'!$Y$68:$BO$68</c15:sqref>
                  </c15:fullRef>
                </c:ext>
              </c:extLst>
              <c:f>('Multiplier Weekly Report'!$Y$68:$AO$68,'Multiplier Weekly Report'!$AW$68:$BO$68)</c:f>
              <c:numCache>
                <c:formatCode>0.000</c:formatCode>
                <c:ptCount val="36"/>
                <c:pt idx="0">
                  <c:v>0.89600000000000002</c:v>
                </c:pt>
                <c:pt idx="1">
                  <c:v>0.89600000000000002</c:v>
                </c:pt>
                <c:pt idx="2">
                  <c:v>0.89600000000000002</c:v>
                </c:pt>
                <c:pt idx="3">
                  <c:v>0.89600000000000002</c:v>
                </c:pt>
                <c:pt idx="4">
                  <c:v>0.89600000000000002</c:v>
                </c:pt>
                <c:pt idx="5">
                  <c:v>0.89600000000000002</c:v>
                </c:pt>
                <c:pt idx="6">
                  <c:v>0.89600000000000002</c:v>
                </c:pt>
                <c:pt idx="7">
                  <c:v>0.89600000000000002</c:v>
                </c:pt>
                <c:pt idx="8">
                  <c:v>0.89600000000000002</c:v>
                </c:pt>
                <c:pt idx="9">
                  <c:v>0.89600000000000002</c:v>
                </c:pt>
                <c:pt idx="10">
                  <c:v>0.89600000000000002</c:v>
                </c:pt>
                <c:pt idx="11">
                  <c:v>0.89600000000000002</c:v>
                </c:pt>
                <c:pt idx="12">
                  <c:v>0.89600000000000002</c:v>
                </c:pt>
                <c:pt idx="13">
                  <c:v>0.89600000000000002</c:v>
                </c:pt>
                <c:pt idx="14">
                  <c:v>0.89600000000000002</c:v>
                </c:pt>
                <c:pt idx="15">
                  <c:v>0.89600000000000002</c:v>
                </c:pt>
                <c:pt idx="16">
                  <c:v>0.89600000000000002</c:v>
                </c:pt>
                <c:pt idx="17">
                  <c:v>0.89600000000000002</c:v>
                </c:pt>
                <c:pt idx="18">
                  <c:v>0.89600000000000002</c:v>
                </c:pt>
                <c:pt idx="19">
                  <c:v>0.89600000000000002</c:v>
                </c:pt>
                <c:pt idx="20">
                  <c:v>0.89600000000000002</c:v>
                </c:pt>
                <c:pt idx="21">
                  <c:v>0.89600000000000002</c:v>
                </c:pt>
                <c:pt idx="22">
                  <c:v>0.89600000000000002</c:v>
                </c:pt>
                <c:pt idx="23">
                  <c:v>0.89600000000000002</c:v>
                </c:pt>
                <c:pt idx="24">
                  <c:v>0.89600000000000002</c:v>
                </c:pt>
                <c:pt idx="25">
                  <c:v>0.89600000000000002</c:v>
                </c:pt>
                <c:pt idx="26">
                  <c:v>0.89600000000000002</c:v>
                </c:pt>
                <c:pt idx="27">
                  <c:v>0.89600000000000002</c:v>
                </c:pt>
                <c:pt idx="28">
                  <c:v>0.89600000000000002</c:v>
                </c:pt>
                <c:pt idx="29">
                  <c:v>0.89600000000000002</c:v>
                </c:pt>
                <c:pt idx="30">
                  <c:v>0.89600000000000002</c:v>
                </c:pt>
                <c:pt idx="31">
                  <c:v>0.89600000000000002</c:v>
                </c:pt>
                <c:pt idx="32">
                  <c:v>0.89600000000000002</c:v>
                </c:pt>
                <c:pt idx="33">
                  <c:v>0.89600000000000002</c:v>
                </c:pt>
                <c:pt idx="34">
                  <c:v>0.89600000000000002</c:v>
                </c:pt>
                <c:pt idx="35">
                  <c:v>0.89600000000000002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D-4F48-8E35-27314D36A447}"/>
            </c:ext>
          </c:extLst>
        </c:ser>
        <c:ser>
          <c:idx val="3"/>
          <c:order val="1"/>
          <c:tx>
            <c:strRef>
              <c:f>'Multiplier Weekly Report'!$A$71</c:f>
              <c:strCache>
                <c:ptCount val="1"/>
                <c:pt idx="0">
                  <c:v>Avg ADG of gilts gre more than 0.896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'Multiplier Weekly Report'!$Y$4:$BO$4</c15:sqref>
                  </c15:fullRef>
                </c:ext>
              </c:extLst>
              <c:f>('Multiplier Weekly Report'!$Y$4:$AO$4,'Multiplier Weekly Report'!$AW$4:$BO$4)</c:f>
              <c:numCache>
                <c:formatCode>General</c:formatCode>
                <c:ptCount val="36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2549</c:v>
                </c:pt>
                <c:pt idx="18">
                  <c:v>2550</c:v>
                </c:pt>
                <c:pt idx="19">
                  <c:v>2551</c:v>
                </c:pt>
                <c:pt idx="20">
                  <c:v>2552</c:v>
                </c:pt>
                <c:pt idx="21">
                  <c:v>2601</c:v>
                </c:pt>
                <c:pt idx="22">
                  <c:v>2602</c:v>
                </c:pt>
                <c:pt idx="23">
                  <c:v>2603</c:v>
                </c:pt>
                <c:pt idx="24">
                  <c:v>2604</c:v>
                </c:pt>
                <c:pt idx="25">
                  <c:v>2605</c:v>
                </c:pt>
                <c:pt idx="26">
                  <c:v>2606</c:v>
                </c:pt>
                <c:pt idx="27">
                  <c:v>2607</c:v>
                </c:pt>
                <c:pt idx="28">
                  <c:v>2608</c:v>
                </c:pt>
                <c:pt idx="29">
                  <c:v>2609</c:v>
                </c:pt>
                <c:pt idx="30">
                  <c:v>2610</c:v>
                </c:pt>
                <c:pt idx="31">
                  <c:v>2611</c:v>
                </c:pt>
                <c:pt idx="32">
                  <c:v>2612</c:v>
                </c:pt>
                <c:pt idx="33">
                  <c:v>2613</c:v>
                </c:pt>
                <c:pt idx="34">
                  <c:v>2614</c:v>
                </c:pt>
                <c:pt idx="35">
                  <c:v>2615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Weekly Report'!$Y$71:$BO$71</c15:sqref>
                  </c15:fullRef>
                </c:ext>
              </c:extLst>
              <c:f>('Multiplier Weekly Report'!$Y$71:$AO$71,'Multiplier Weekly Report'!$AW$71:$BO$71)</c:f>
              <c:numCache>
                <c:formatCode>0.0</c:formatCode>
                <c:ptCount val="36"/>
                <c:pt idx="0">
                  <c:v>1.0952380952380953</c:v>
                </c:pt>
                <c:pt idx="3">
                  <c:v>1.0079365079365079</c:v>
                </c:pt>
                <c:pt idx="4">
                  <c:v>1.0746031746031746</c:v>
                </c:pt>
                <c:pt idx="7">
                  <c:v>0.9</c:v>
                </c:pt>
                <c:pt idx="11" formatCode="0.000">
                  <c:v>1.571</c:v>
                </c:pt>
                <c:pt idx="12">
                  <c:v>1.143</c:v>
                </c:pt>
                <c:pt idx="13">
                  <c:v>1.429</c:v>
                </c:pt>
                <c:pt idx="14">
                  <c:v>1.1000000000000001</c:v>
                </c:pt>
                <c:pt idx="15" formatCode="0.000">
                  <c:v>1.228</c:v>
                </c:pt>
                <c:pt idx="16" formatCode="0.000">
                  <c:v>1.0229999999999999</c:v>
                </c:pt>
                <c:pt idx="17" formatCode="0.000">
                  <c:v>1.0149999999999999</c:v>
                </c:pt>
                <c:pt idx="18" formatCode="0.000">
                  <c:v>1</c:v>
                </c:pt>
                <c:pt idx="19" formatCode="0.000">
                  <c:v>2.1</c:v>
                </c:pt>
                <c:pt idx="20" formatCode="0.000">
                  <c:v>1.095</c:v>
                </c:pt>
                <c:pt idx="21" formatCode="0.000">
                  <c:v>1.1739999999999999</c:v>
                </c:pt>
                <c:pt idx="26" formatCode="0.000">
                  <c:v>1.4279999999999999</c:v>
                </c:pt>
                <c:pt idx="27" formatCode="0.000">
                  <c:v>1.214</c:v>
                </c:pt>
                <c:pt idx="28" formatCode="0.000">
                  <c:v>1.333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9D-4F48-8E35-27314D36A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'Multiplier Weekly Report'!$A$96</c:f>
              <c:strCache>
                <c:ptCount val="1"/>
                <c:pt idx="0">
                  <c:v>% of gilts on heat by 28 weeks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Report'!$Y$96:$BO$96</c:f>
              <c:numCache>
                <c:formatCode>0.00%</c:formatCode>
                <c:ptCount val="43"/>
                <c:pt idx="0">
                  <c:v>0.75</c:v>
                </c:pt>
                <c:pt idx="1">
                  <c:v>1</c:v>
                </c:pt>
                <c:pt idx="2">
                  <c:v>0.75</c:v>
                </c:pt>
                <c:pt idx="3">
                  <c:v>1</c:v>
                </c:pt>
                <c:pt idx="4">
                  <c:v>0.6</c:v>
                </c:pt>
                <c:pt idx="5">
                  <c:v>0.5</c:v>
                </c:pt>
                <c:pt idx="6">
                  <c:v>1</c:v>
                </c:pt>
                <c:pt idx="7">
                  <c:v>0.75</c:v>
                </c:pt>
                <c:pt idx="8">
                  <c:v>0.5</c:v>
                </c:pt>
                <c:pt idx="9">
                  <c:v>0.75</c:v>
                </c:pt>
                <c:pt idx="10">
                  <c:v>0.75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3-40CC-8632-792F7EAF8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332352"/>
        <c:axId val="706261664"/>
      </c:bar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25W-28W </a:t>
            </a:r>
            <a:r>
              <a:rPr lang="en-ZW" sz="1400" b="1" i="0" u="none" strike="noStrike" baseline="0">
                <a:effectLst/>
              </a:rPr>
              <a:t>Avg ADG under Target 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314700669029131E-2"/>
          <c:y val="0.13122528893717511"/>
          <c:w val="0.88370193953663745"/>
          <c:h val="0.61544208303324011"/>
        </c:manualLayout>
      </c:layout>
      <c:lineChart>
        <c:grouping val="standard"/>
        <c:varyColors val="0"/>
        <c:ser>
          <c:idx val="0"/>
          <c:order val="0"/>
          <c:tx>
            <c:strRef>
              <c:f>'Multiplier Weekly Report'!$A$86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Report'!$Y$86:$BO$86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F-47AB-97DE-9BF571CE7E7B}"/>
            </c:ext>
          </c:extLst>
        </c:ser>
        <c:ser>
          <c:idx val="2"/>
          <c:order val="1"/>
          <c:tx>
            <c:strRef>
              <c:f>'Multiplier Weekly Report'!$A$88</c:f>
              <c:strCache>
                <c:ptCount val="1"/>
                <c:pt idx="0">
                  <c:v>Avg ADG of gilts grew less than 0.760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Report'!$Y$88:$BO$88</c:f>
              <c:numCache>
                <c:formatCode>0.000</c:formatCode>
                <c:ptCount val="43"/>
                <c:pt idx="3">
                  <c:v>0.52400000000000002</c:v>
                </c:pt>
                <c:pt idx="5">
                  <c:v>0.50800000000000001</c:v>
                </c:pt>
                <c:pt idx="6">
                  <c:v>0.28999999999999998</c:v>
                </c:pt>
                <c:pt idx="7">
                  <c:v>0.45200000000000001</c:v>
                </c:pt>
                <c:pt idx="8">
                  <c:v>0.61899999999999999</c:v>
                </c:pt>
                <c:pt idx="11">
                  <c:v>0.57099999999999995</c:v>
                </c:pt>
                <c:pt idx="16" formatCode="0.00">
                  <c:v>0.57099999999999995</c:v>
                </c:pt>
                <c:pt idx="25">
                  <c:v>0.38</c:v>
                </c:pt>
                <c:pt idx="29">
                  <c:v>0.66700000000000004</c:v>
                </c:pt>
                <c:pt idx="33">
                  <c:v>0.57099999999999995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2F-47AB-97DE-9BF571CE7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25W-28W </a:t>
            </a:r>
            <a:r>
              <a:rPr lang="en-ZW" sz="1400" b="1" i="0" u="none" strike="noStrike" baseline="0">
                <a:effectLst/>
              </a:rPr>
              <a:t>Avg ADG over Target 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Report'!$A$86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Report'!$Y$86:$BO$86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B-4EA2-91D8-D94910DA9E61}"/>
            </c:ext>
          </c:extLst>
        </c:ser>
        <c:ser>
          <c:idx val="3"/>
          <c:order val="1"/>
          <c:tx>
            <c:strRef>
              <c:f>'Multiplier Weekly Report'!$A$89</c:f>
              <c:strCache>
                <c:ptCount val="1"/>
                <c:pt idx="0">
                  <c:v>Avg ADG of gilts gre more than 0.760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Report'!$Y$89:$BO$89</c:f>
              <c:numCache>
                <c:formatCode>0.000</c:formatCode>
                <c:ptCount val="43"/>
                <c:pt idx="0">
                  <c:v>0.97599999999999998</c:v>
                </c:pt>
                <c:pt idx="1">
                  <c:v>0.82499999999999996</c:v>
                </c:pt>
                <c:pt idx="2">
                  <c:v>1.19</c:v>
                </c:pt>
                <c:pt idx="3">
                  <c:v>0.76</c:v>
                </c:pt>
                <c:pt idx="4">
                  <c:v>0.97099999999999997</c:v>
                </c:pt>
                <c:pt idx="5">
                  <c:v>1.048</c:v>
                </c:pt>
                <c:pt idx="8">
                  <c:v>0.85699999999999998</c:v>
                </c:pt>
                <c:pt idx="9" formatCode="0.00">
                  <c:v>1.0952380952380953</c:v>
                </c:pt>
                <c:pt idx="10" formatCode="0.00">
                  <c:v>1</c:v>
                </c:pt>
                <c:pt idx="11" formatCode="0.00">
                  <c:v>1</c:v>
                </c:pt>
                <c:pt idx="12">
                  <c:v>1.452</c:v>
                </c:pt>
                <c:pt idx="13" formatCode="0.00">
                  <c:v>1.1950000000000001</c:v>
                </c:pt>
                <c:pt idx="14" formatCode="0.00">
                  <c:v>1.33</c:v>
                </c:pt>
                <c:pt idx="15">
                  <c:v>1.085</c:v>
                </c:pt>
                <c:pt idx="16" formatCode="0.00">
                  <c:v>0.90500000000000003</c:v>
                </c:pt>
                <c:pt idx="17" formatCode="0.00">
                  <c:v>1.129</c:v>
                </c:pt>
                <c:pt idx="18">
                  <c:v>1.143</c:v>
                </c:pt>
                <c:pt idx="19">
                  <c:v>1.238</c:v>
                </c:pt>
                <c:pt idx="20">
                  <c:v>0.95199999999999996</c:v>
                </c:pt>
                <c:pt idx="21">
                  <c:v>1.143</c:v>
                </c:pt>
                <c:pt idx="22">
                  <c:v>1.1419999999999999</c:v>
                </c:pt>
                <c:pt idx="23">
                  <c:v>1.095</c:v>
                </c:pt>
                <c:pt idx="24">
                  <c:v>1.048</c:v>
                </c:pt>
                <c:pt idx="26">
                  <c:v>1.4</c:v>
                </c:pt>
                <c:pt idx="27">
                  <c:v>1.333</c:v>
                </c:pt>
                <c:pt idx="28">
                  <c:v>1.19</c:v>
                </c:pt>
                <c:pt idx="29">
                  <c:v>0.85699999999999998</c:v>
                </c:pt>
                <c:pt idx="31">
                  <c:v>1.19</c:v>
                </c:pt>
                <c:pt idx="33">
                  <c:v>1.19</c:v>
                </c:pt>
                <c:pt idx="34" formatCode="0.00">
                  <c:v>1.071</c:v>
                </c:pt>
                <c:pt idx="35">
                  <c:v>1.2849999999999999</c:v>
                </c:pt>
                <c:pt idx="36" formatCode="0.00">
                  <c:v>1.333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1B-4EA2-91D8-D94910DA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ZA"/>
              <a:t>2ND PARITY FARROWING RATES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Report'!$A$163</c:f>
              <c:strCache>
                <c:ptCount val="1"/>
                <c:pt idx="0">
                  <c:v>Target Farrowing Rate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Report'!$Y$163:$BO$163</c:f>
              <c:numCache>
                <c:formatCode>General</c:formatCode>
                <c:ptCount val="4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0-4967-93E4-06E12EAE835E}"/>
            </c:ext>
          </c:extLst>
        </c:ser>
        <c:ser>
          <c:idx val="2"/>
          <c:order val="1"/>
          <c:tx>
            <c:strRef>
              <c:f>'Multiplier Weekly Report'!$A$161</c:f>
              <c:strCache>
                <c:ptCount val="1"/>
                <c:pt idx="0">
                  <c:v>2nd farrow rate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Report'!$Y$161:$BO$161</c:f>
              <c:numCache>
                <c:formatCode>General</c:formatCode>
                <c:ptCount val="4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66.599999999999994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83.3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88</c:v>
                </c:pt>
                <c:pt idx="26">
                  <c:v>50</c:v>
                </c:pt>
                <c:pt idx="27">
                  <c:v>100</c:v>
                </c:pt>
                <c:pt idx="28">
                  <c:v>100</c:v>
                </c:pt>
                <c:pt idx="29">
                  <c:v>66.7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0-4967-93E4-06E12EAE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farrowing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ZA"/>
              <a:t>3RD PLUS PARITY FARROWING RATES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Report'!$A$163</c:f>
              <c:strCache>
                <c:ptCount val="1"/>
                <c:pt idx="0">
                  <c:v>Target Farrowing Rate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Report'!$Y$163:$BO$163</c:f>
              <c:numCache>
                <c:formatCode>General</c:formatCode>
                <c:ptCount val="4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2-4442-A0E7-7B78E0B9FBFC}"/>
            </c:ext>
          </c:extLst>
        </c:ser>
        <c:ser>
          <c:idx val="3"/>
          <c:order val="1"/>
          <c:tx>
            <c:strRef>
              <c:f>'Multiplier Weekly Report'!$A$162</c:f>
              <c:strCache>
                <c:ptCount val="1"/>
                <c:pt idx="0">
                  <c:v>3rd plus farrow rate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Report'!$Y$162:$BO$162</c:f>
              <c:numCache>
                <c:formatCode>General</c:formatCode>
                <c:ptCount val="43"/>
                <c:pt idx="0">
                  <c:v>100</c:v>
                </c:pt>
                <c:pt idx="1">
                  <c:v>91.6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92.8</c:v>
                </c:pt>
                <c:pt idx="7">
                  <c:v>100</c:v>
                </c:pt>
                <c:pt idx="8">
                  <c:v>92.9</c:v>
                </c:pt>
                <c:pt idx="9">
                  <c:v>93</c:v>
                </c:pt>
                <c:pt idx="10">
                  <c:v>92.3</c:v>
                </c:pt>
                <c:pt idx="11">
                  <c:v>80</c:v>
                </c:pt>
                <c:pt idx="12">
                  <c:v>94.4</c:v>
                </c:pt>
                <c:pt idx="13">
                  <c:v>92</c:v>
                </c:pt>
                <c:pt idx="14">
                  <c:v>91</c:v>
                </c:pt>
                <c:pt idx="15">
                  <c:v>100</c:v>
                </c:pt>
                <c:pt idx="16">
                  <c:v>100</c:v>
                </c:pt>
                <c:pt idx="17">
                  <c:v>91.6</c:v>
                </c:pt>
                <c:pt idx="18">
                  <c:v>91.6</c:v>
                </c:pt>
                <c:pt idx="19">
                  <c:v>100</c:v>
                </c:pt>
                <c:pt idx="20">
                  <c:v>81.8</c:v>
                </c:pt>
                <c:pt idx="21">
                  <c:v>80</c:v>
                </c:pt>
                <c:pt idx="22">
                  <c:v>92.8</c:v>
                </c:pt>
                <c:pt idx="23">
                  <c:v>75</c:v>
                </c:pt>
                <c:pt idx="24">
                  <c:v>93.7</c:v>
                </c:pt>
                <c:pt idx="25">
                  <c:v>87</c:v>
                </c:pt>
                <c:pt idx="26">
                  <c:v>69.2</c:v>
                </c:pt>
                <c:pt idx="27">
                  <c:v>75</c:v>
                </c:pt>
                <c:pt idx="28">
                  <c:v>100</c:v>
                </c:pt>
                <c:pt idx="29">
                  <c:v>81</c:v>
                </c:pt>
                <c:pt idx="30">
                  <c:v>88.8</c:v>
                </c:pt>
                <c:pt idx="31">
                  <c:v>77</c:v>
                </c:pt>
                <c:pt idx="32">
                  <c:v>91.6</c:v>
                </c:pt>
                <c:pt idx="33">
                  <c:v>71.400000000000006</c:v>
                </c:pt>
                <c:pt idx="34">
                  <c:v>92.3</c:v>
                </c:pt>
                <c:pt idx="35">
                  <c:v>92.8</c:v>
                </c:pt>
                <c:pt idx="36">
                  <c:v>73.3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E2-4442-A0E7-7B78E0B9F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farrowing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2ND PARITY</a:t>
            </a:r>
            <a:r>
              <a:rPr lang="en-US" baseline="0"/>
              <a:t> </a:t>
            </a:r>
            <a:r>
              <a:rPr lang="en-US"/>
              <a:t>BORN ALIVE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Report'!$A$168</c:f>
              <c:strCache>
                <c:ptCount val="1"/>
                <c:pt idx="0">
                  <c:v>BA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Report'!$Y$168:$BO$168</c:f>
              <c:numCache>
                <c:formatCode>0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8-4E6A-ABA3-549B17A00DCA}"/>
            </c:ext>
          </c:extLst>
        </c:ser>
        <c:ser>
          <c:idx val="2"/>
          <c:order val="1"/>
          <c:tx>
            <c:strRef>
              <c:f>'Multiplier Weekly Report'!$A$166</c:f>
              <c:strCache>
                <c:ptCount val="1"/>
                <c:pt idx="0">
                  <c:v>2nd parity BA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Report'!$Y$166:$BO$166</c:f>
              <c:numCache>
                <c:formatCode>0.00</c:formatCode>
                <c:ptCount val="43"/>
                <c:pt idx="0">
                  <c:v>15.5</c:v>
                </c:pt>
                <c:pt idx="1">
                  <c:v>15</c:v>
                </c:pt>
                <c:pt idx="2">
                  <c:v>17</c:v>
                </c:pt>
                <c:pt idx="3" formatCode="General">
                  <c:v>20</c:v>
                </c:pt>
                <c:pt idx="4" formatCode="General">
                  <c:v>17</c:v>
                </c:pt>
                <c:pt idx="5" formatCode="General">
                  <c:v>17.25</c:v>
                </c:pt>
                <c:pt idx="6" formatCode="General">
                  <c:v>17</c:v>
                </c:pt>
                <c:pt idx="7" formatCode="General">
                  <c:v>19</c:v>
                </c:pt>
                <c:pt idx="8" formatCode="General">
                  <c:v>15.5</c:v>
                </c:pt>
                <c:pt idx="9" formatCode="General">
                  <c:v>15.5</c:v>
                </c:pt>
                <c:pt idx="10" formatCode="General">
                  <c:v>18</c:v>
                </c:pt>
                <c:pt idx="11" formatCode="General">
                  <c:v>18.5</c:v>
                </c:pt>
                <c:pt idx="13" formatCode="General">
                  <c:v>17.5</c:v>
                </c:pt>
                <c:pt idx="14" formatCode="General">
                  <c:v>16</c:v>
                </c:pt>
                <c:pt idx="15" formatCode="General">
                  <c:v>20</c:v>
                </c:pt>
                <c:pt idx="16" formatCode="General">
                  <c:v>18</c:v>
                </c:pt>
                <c:pt idx="17" formatCode="General">
                  <c:v>19</c:v>
                </c:pt>
                <c:pt idx="18" formatCode="General">
                  <c:v>16.7</c:v>
                </c:pt>
                <c:pt idx="19" formatCode="General">
                  <c:v>17</c:v>
                </c:pt>
                <c:pt idx="20" formatCode="General">
                  <c:v>19</c:v>
                </c:pt>
                <c:pt idx="21" formatCode="General">
                  <c:v>20</c:v>
                </c:pt>
                <c:pt idx="22" formatCode="General">
                  <c:v>14.3</c:v>
                </c:pt>
                <c:pt idx="23" formatCode="General">
                  <c:v>12.2</c:v>
                </c:pt>
                <c:pt idx="24" formatCode="General">
                  <c:v>14.5</c:v>
                </c:pt>
                <c:pt idx="25" formatCode="General">
                  <c:v>17.5</c:v>
                </c:pt>
                <c:pt idx="26">
                  <c:v>12</c:v>
                </c:pt>
                <c:pt idx="27" formatCode="General">
                  <c:v>15</c:v>
                </c:pt>
                <c:pt idx="28" formatCode="General">
                  <c:v>15</c:v>
                </c:pt>
                <c:pt idx="29" formatCode="General">
                  <c:v>15.5</c:v>
                </c:pt>
                <c:pt idx="30" formatCode="General">
                  <c:v>6.5</c:v>
                </c:pt>
                <c:pt idx="31" formatCode="General">
                  <c:v>18</c:v>
                </c:pt>
                <c:pt idx="32" formatCode="General">
                  <c:v>10.3</c:v>
                </c:pt>
                <c:pt idx="34" formatCode="General">
                  <c:v>15.7</c:v>
                </c:pt>
                <c:pt idx="35" formatCode="General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38-4E6A-ABA3-549B17A00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2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3RD PLUS PARITY BORN ALIVE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Report'!$A$168</c:f>
              <c:strCache>
                <c:ptCount val="1"/>
                <c:pt idx="0">
                  <c:v>BA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Report'!$Y$168:$BO$168</c:f>
              <c:numCache>
                <c:formatCode>0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9-4D55-95B6-9F523DCAC627}"/>
            </c:ext>
          </c:extLst>
        </c:ser>
        <c:ser>
          <c:idx val="3"/>
          <c:order val="1"/>
          <c:tx>
            <c:strRef>
              <c:f>'Multiplier Weekly Report'!$A$167</c:f>
              <c:strCache>
                <c:ptCount val="1"/>
                <c:pt idx="0">
                  <c:v>3rd plus BA</c:v>
                </c:pt>
              </c:strCache>
            </c:strRef>
          </c:tx>
          <c:spPr>
            <a:ln w="2222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Report'!$Y$167:$BO$167</c:f>
              <c:numCache>
                <c:formatCode>0.0</c:formatCode>
                <c:ptCount val="43"/>
                <c:pt idx="0">
                  <c:v>16.100000000000001</c:v>
                </c:pt>
                <c:pt idx="1">
                  <c:v>17</c:v>
                </c:pt>
                <c:pt idx="2">
                  <c:v>16.55</c:v>
                </c:pt>
                <c:pt idx="3">
                  <c:v>15.2</c:v>
                </c:pt>
                <c:pt idx="4">
                  <c:v>16</c:v>
                </c:pt>
                <c:pt idx="5">
                  <c:v>18</c:v>
                </c:pt>
                <c:pt idx="6">
                  <c:v>17</c:v>
                </c:pt>
                <c:pt idx="7">
                  <c:v>15.7</c:v>
                </c:pt>
                <c:pt idx="8">
                  <c:v>16.2</c:v>
                </c:pt>
                <c:pt idx="9">
                  <c:v>15</c:v>
                </c:pt>
                <c:pt idx="10">
                  <c:v>17.3</c:v>
                </c:pt>
                <c:pt idx="11">
                  <c:v>16.600000000000001</c:v>
                </c:pt>
                <c:pt idx="12">
                  <c:v>16.100000000000001</c:v>
                </c:pt>
                <c:pt idx="13">
                  <c:v>14.9</c:v>
                </c:pt>
                <c:pt idx="14">
                  <c:v>17.5</c:v>
                </c:pt>
                <c:pt idx="15">
                  <c:v>15.5</c:v>
                </c:pt>
                <c:pt idx="16">
                  <c:v>15.6</c:v>
                </c:pt>
                <c:pt idx="17">
                  <c:v>13.3</c:v>
                </c:pt>
                <c:pt idx="18">
                  <c:v>13.8</c:v>
                </c:pt>
                <c:pt idx="19">
                  <c:v>15.3</c:v>
                </c:pt>
                <c:pt idx="20">
                  <c:v>13.1</c:v>
                </c:pt>
                <c:pt idx="21">
                  <c:v>15.8</c:v>
                </c:pt>
                <c:pt idx="22">
                  <c:v>13.8</c:v>
                </c:pt>
                <c:pt idx="23">
                  <c:v>12.2</c:v>
                </c:pt>
                <c:pt idx="24">
                  <c:v>13.3</c:v>
                </c:pt>
                <c:pt idx="25">
                  <c:v>17</c:v>
                </c:pt>
                <c:pt idx="26">
                  <c:v>10.9</c:v>
                </c:pt>
                <c:pt idx="27">
                  <c:v>15</c:v>
                </c:pt>
                <c:pt idx="28">
                  <c:v>15.9</c:v>
                </c:pt>
                <c:pt idx="29">
                  <c:v>17.2</c:v>
                </c:pt>
                <c:pt idx="30">
                  <c:v>18</c:v>
                </c:pt>
                <c:pt idx="31">
                  <c:v>16.5</c:v>
                </c:pt>
                <c:pt idx="32">
                  <c:v>14.6</c:v>
                </c:pt>
                <c:pt idx="33">
                  <c:v>15.2</c:v>
                </c:pt>
                <c:pt idx="34">
                  <c:v>16.7</c:v>
                </c:pt>
                <c:pt idx="35">
                  <c:v>18.399999999999999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A9-4D55-95B6-9F523DCAC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28w-Service</a:t>
            </a:r>
            <a:r>
              <a:rPr lang="en-ZW" b="1" baseline="0"/>
              <a:t> ADG,target ADG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Report'!$A$112</c:f>
              <c:strCache>
                <c:ptCount val="1"/>
                <c:pt idx="0">
                  <c:v>ADG 28 to service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Report'!$Y$112:$BO$112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7-4DCB-8E15-504365885F7C}"/>
            </c:ext>
          </c:extLst>
        </c:ser>
        <c:ser>
          <c:idx val="1"/>
          <c:order val="1"/>
          <c:tx>
            <c:strRef>
              <c:f>'Multiplier Weekly Report'!$A$113</c:f>
              <c:strCache>
                <c:ptCount val="1"/>
                <c:pt idx="0">
                  <c:v>ADG 28 weeks to service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'Multiplier Weekly Report'!$Y$113:$BO$113</c:f>
              <c:numCache>
                <c:formatCode>0.000</c:formatCode>
                <c:ptCount val="43"/>
                <c:pt idx="0">
                  <c:v>0.85099999999999998</c:v>
                </c:pt>
                <c:pt idx="1">
                  <c:v>0.90300000000000002</c:v>
                </c:pt>
                <c:pt idx="2">
                  <c:v>0.58899999999999997</c:v>
                </c:pt>
                <c:pt idx="3">
                  <c:v>0.8</c:v>
                </c:pt>
                <c:pt idx="4">
                  <c:v>0.76600000000000001</c:v>
                </c:pt>
                <c:pt idx="5">
                  <c:v>0.72099999999999997</c:v>
                </c:pt>
                <c:pt idx="7">
                  <c:v>0.81499999999999995</c:v>
                </c:pt>
                <c:pt idx="8">
                  <c:v>1.0609999999999999</c:v>
                </c:pt>
                <c:pt idx="9">
                  <c:v>1.1459999999999999</c:v>
                </c:pt>
                <c:pt idx="10">
                  <c:v>1.139</c:v>
                </c:pt>
                <c:pt idx="11">
                  <c:v>1.1200000000000001</c:v>
                </c:pt>
                <c:pt idx="12">
                  <c:v>0.69599999999999995</c:v>
                </c:pt>
                <c:pt idx="13">
                  <c:v>0.95299999999999996</c:v>
                </c:pt>
                <c:pt idx="14">
                  <c:v>0.84099999999999997</c:v>
                </c:pt>
                <c:pt idx="15">
                  <c:v>0.8</c:v>
                </c:pt>
                <c:pt idx="16">
                  <c:v>1</c:v>
                </c:pt>
                <c:pt idx="17">
                  <c:v>1.0129999999999999</c:v>
                </c:pt>
                <c:pt idx="18">
                  <c:v>0.999</c:v>
                </c:pt>
                <c:pt idx="19" formatCode="0.00">
                  <c:v>0.95799999999999996</c:v>
                </c:pt>
                <c:pt idx="20">
                  <c:v>0.86699999999999999</c:v>
                </c:pt>
                <c:pt idx="21" formatCode="0.00">
                  <c:v>0.70099999999999996</c:v>
                </c:pt>
                <c:pt idx="22">
                  <c:v>0.92</c:v>
                </c:pt>
                <c:pt idx="23">
                  <c:v>0.77100000000000002</c:v>
                </c:pt>
                <c:pt idx="24">
                  <c:v>0.90800000000000003</c:v>
                </c:pt>
                <c:pt idx="25">
                  <c:v>0.95799999999999996</c:v>
                </c:pt>
                <c:pt idx="26">
                  <c:v>1.075</c:v>
                </c:pt>
                <c:pt idx="27">
                  <c:v>0.91100000000000003</c:v>
                </c:pt>
                <c:pt idx="28">
                  <c:v>1.139</c:v>
                </c:pt>
                <c:pt idx="29">
                  <c:v>0.86599999999999999</c:v>
                </c:pt>
                <c:pt idx="30">
                  <c:v>1.214</c:v>
                </c:pt>
                <c:pt idx="31">
                  <c:v>0.76100000000000001</c:v>
                </c:pt>
                <c:pt idx="32">
                  <c:v>0.76400000000000001</c:v>
                </c:pt>
                <c:pt idx="33">
                  <c:v>0.63300000000000001</c:v>
                </c:pt>
                <c:pt idx="34">
                  <c:v>0.78</c:v>
                </c:pt>
                <c:pt idx="35">
                  <c:v>1.083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7-4DCB-8E15-504365885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28w-Service</a:t>
            </a:r>
            <a:r>
              <a:rPr lang="en-ZW" b="1" baseline="0"/>
              <a:t> </a:t>
            </a:r>
            <a:r>
              <a:rPr lang="en-ZW" sz="1400" b="1" i="0" u="none" strike="noStrike" baseline="0">
                <a:effectLst/>
              </a:rPr>
              <a:t>Avg ADG under Target 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Report'!$A$112</c:f>
              <c:strCache>
                <c:ptCount val="1"/>
                <c:pt idx="0">
                  <c:v>ADG 28 to service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Report'!$Y$112:$BO$112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D-452C-8193-177814B23FD1}"/>
            </c:ext>
          </c:extLst>
        </c:ser>
        <c:ser>
          <c:idx val="2"/>
          <c:order val="1"/>
          <c:tx>
            <c:strRef>
              <c:f>'Multiplier Weekly Report'!$A$115</c:f>
              <c:strCache>
                <c:ptCount val="1"/>
                <c:pt idx="0">
                  <c:v>Avg ADG of gilts grew less than 0.642</c:v>
                </c:pt>
              </c:strCache>
            </c:strRef>
          </c:tx>
          <c:spPr>
            <a:ln w="2222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Report'!$Y$115:$BO$115</c:f>
              <c:numCache>
                <c:formatCode>0.000</c:formatCode>
                <c:ptCount val="43"/>
                <c:pt idx="0">
                  <c:v>0.72599999999999998</c:v>
                </c:pt>
                <c:pt idx="1">
                  <c:v>0.61</c:v>
                </c:pt>
                <c:pt idx="2">
                  <c:v>0.54800000000000004</c:v>
                </c:pt>
                <c:pt idx="3">
                  <c:v>0.6</c:v>
                </c:pt>
                <c:pt idx="4">
                  <c:v>0.55900000000000005</c:v>
                </c:pt>
                <c:pt idx="5">
                  <c:v>0.72099999999999997</c:v>
                </c:pt>
                <c:pt idx="15">
                  <c:v>0.57799999999999996</c:v>
                </c:pt>
                <c:pt idx="19">
                  <c:v>0.42299999999999999</c:v>
                </c:pt>
                <c:pt idx="20">
                  <c:v>0.625</c:v>
                </c:pt>
                <c:pt idx="21" formatCode="0.00">
                  <c:v>0.53600000000000003</c:v>
                </c:pt>
                <c:pt idx="25">
                  <c:v>0.52800000000000002</c:v>
                </c:pt>
                <c:pt idx="29">
                  <c:v>7.0999999999999994E-2</c:v>
                </c:pt>
                <c:pt idx="32">
                  <c:v>0.55800000000000005</c:v>
                </c:pt>
                <c:pt idx="33">
                  <c:v>0.53800000000000003</c:v>
                </c:pt>
                <c:pt idx="34">
                  <c:v>0.45500000000000002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D-452C-8193-177814B23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28w-Service</a:t>
            </a:r>
            <a:r>
              <a:rPr lang="en-ZW" b="1" baseline="0"/>
              <a:t> </a:t>
            </a:r>
            <a:r>
              <a:rPr lang="en-ZW" sz="1400" b="1" i="0" u="none" strike="noStrike" baseline="0">
                <a:effectLst/>
              </a:rPr>
              <a:t>Avg ADG over Target 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Report'!$A$112</c:f>
              <c:strCache>
                <c:ptCount val="1"/>
                <c:pt idx="0">
                  <c:v>ADG 28 to service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Report'!$Y$112:$BO$112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1-4972-98CC-1FD0EFD26E39}"/>
            </c:ext>
          </c:extLst>
        </c:ser>
        <c:ser>
          <c:idx val="3"/>
          <c:order val="1"/>
          <c:tx>
            <c:strRef>
              <c:f>'Multiplier Weekly Report'!$A$117</c:f>
              <c:strCache>
                <c:ptCount val="1"/>
                <c:pt idx="0">
                  <c:v>Avg ADG of gilts gre more than 0.678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Report'!$Y$117:$BO$117</c:f>
              <c:numCache>
                <c:formatCode>0.000</c:formatCode>
                <c:ptCount val="43"/>
                <c:pt idx="0">
                  <c:v>0.93500000000000005</c:v>
                </c:pt>
                <c:pt idx="1">
                  <c:v>1.05</c:v>
                </c:pt>
                <c:pt idx="2">
                  <c:v>0.83699999999999997</c:v>
                </c:pt>
                <c:pt idx="3">
                  <c:v>1</c:v>
                </c:pt>
                <c:pt idx="4">
                  <c:v>1.05</c:v>
                </c:pt>
                <c:pt idx="7">
                  <c:v>1</c:v>
                </c:pt>
                <c:pt idx="8">
                  <c:v>1.06</c:v>
                </c:pt>
                <c:pt idx="9">
                  <c:v>1.1459999999999999</c:v>
                </c:pt>
                <c:pt idx="10">
                  <c:v>1.1399999999999999</c:v>
                </c:pt>
                <c:pt idx="11">
                  <c:v>1.1200000000000001</c:v>
                </c:pt>
                <c:pt idx="12">
                  <c:v>0.69599999999999995</c:v>
                </c:pt>
                <c:pt idx="13">
                  <c:v>0.95299999999999996</c:v>
                </c:pt>
                <c:pt idx="14">
                  <c:v>0.91700000000000004</c:v>
                </c:pt>
                <c:pt idx="15">
                  <c:v>0.94799999999999995</c:v>
                </c:pt>
                <c:pt idx="16" formatCode="0.00">
                  <c:v>1</c:v>
                </c:pt>
                <c:pt idx="17" formatCode="0.00">
                  <c:v>1.0129999999999999</c:v>
                </c:pt>
                <c:pt idx="18">
                  <c:v>0.999</c:v>
                </c:pt>
                <c:pt idx="19" formatCode="0.00">
                  <c:v>1.226</c:v>
                </c:pt>
                <c:pt idx="20">
                  <c:v>0.98799999999999999</c:v>
                </c:pt>
                <c:pt idx="21" formatCode="0.00">
                  <c:v>0.9</c:v>
                </c:pt>
                <c:pt idx="22">
                  <c:v>0.92</c:v>
                </c:pt>
                <c:pt idx="23">
                  <c:v>0.77100000000000002</c:v>
                </c:pt>
                <c:pt idx="24">
                  <c:v>0.90800000000000003</c:v>
                </c:pt>
                <c:pt idx="25">
                  <c:v>1.173</c:v>
                </c:pt>
                <c:pt idx="26">
                  <c:v>1.075</c:v>
                </c:pt>
                <c:pt idx="27">
                  <c:v>0.91100000000000003</c:v>
                </c:pt>
                <c:pt idx="28">
                  <c:v>1.139</c:v>
                </c:pt>
                <c:pt idx="29">
                  <c:v>1.1299999999999999</c:v>
                </c:pt>
                <c:pt idx="30">
                  <c:v>1.214</c:v>
                </c:pt>
                <c:pt idx="31">
                  <c:v>0.76100000000000001</c:v>
                </c:pt>
                <c:pt idx="32">
                  <c:v>0.747</c:v>
                </c:pt>
                <c:pt idx="33">
                  <c:v>0.82399999999999995</c:v>
                </c:pt>
                <c:pt idx="34">
                  <c:v>0.88900000000000001</c:v>
                </c:pt>
                <c:pt idx="35">
                  <c:v>1.083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A1-4972-98CC-1FD0EFD26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Gilts at service ADG variation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Report'!$A$119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Report'!$Y$119:$BO$119</c:f>
              <c:numCache>
                <c:formatCode>0</c:formatCode>
                <c:ptCount val="43"/>
                <c:pt idx="15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5">
                  <c:v>1</c:v>
                </c:pt>
                <c:pt idx="29" formatCode="0.000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5-4F8C-A2E1-C7D7CB71D3E2}"/>
            </c:ext>
          </c:extLst>
        </c:ser>
        <c:ser>
          <c:idx val="1"/>
          <c:order val="1"/>
          <c:tx>
            <c:strRef>
              <c:f>'Multiplier Weekly Report'!$A$121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Report'!$Y$121:$BO$121</c:f>
              <c:numCache>
                <c:formatCode>0</c:formatCode>
                <c:ptCount val="43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14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5-4F8C-A2E1-C7D7CB71D3E2}"/>
            </c:ext>
          </c:extLst>
        </c:ser>
        <c:ser>
          <c:idx val="2"/>
          <c:order val="2"/>
          <c:tx>
            <c:strRef>
              <c:f>'Multiplier Weekly Report'!$A$123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Report'!$Y$123:$BO$123</c:f>
              <c:numCache>
                <c:formatCode>0</c:formatCode>
                <c:ptCount val="43"/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1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6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5-4F8C-A2E1-C7D7CB71D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9552"/>
        <c:axId val="446320336"/>
      </c:barChart>
      <c:catAx>
        <c:axId val="44631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20336"/>
        <c:crosses val="autoZero"/>
        <c:auto val="1"/>
        <c:lblAlgn val="ctr"/>
        <c:lblOffset val="100"/>
        <c:noMultiLvlLbl val="0"/>
      </c:catAx>
      <c:valAx>
        <c:axId val="4463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Age at Service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Report'!$A$102</c:f>
              <c:strCache>
                <c:ptCount val="1"/>
                <c:pt idx="0">
                  <c:v>Under 31 weeks at Service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Report'!$Y$102:$BO$102</c:f>
              <c:numCache>
                <c:formatCode>General</c:formatCode>
                <c:ptCount val="43"/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29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C-4A27-8111-A27459728BB5}"/>
            </c:ext>
          </c:extLst>
        </c:ser>
        <c:ser>
          <c:idx val="1"/>
          <c:order val="1"/>
          <c:tx>
            <c:strRef>
              <c:f>'Multiplier Weekly Report'!$A$103</c:f>
              <c:strCache>
                <c:ptCount val="1"/>
                <c:pt idx="0">
                  <c:v>31-33 weeks at Service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Report'!$Y$103:$BO$103</c:f>
              <c:numCache>
                <c:formatCode>General</c:formatCode>
                <c:ptCount val="43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C-4A27-8111-A27459728BB5}"/>
            </c:ext>
          </c:extLst>
        </c:ser>
        <c:ser>
          <c:idx val="2"/>
          <c:order val="2"/>
          <c:tx>
            <c:strRef>
              <c:f>'Multiplier Weekly Report'!$A$104</c:f>
              <c:strCache>
                <c:ptCount val="1"/>
                <c:pt idx="0">
                  <c:v>Over 33 weeks at Service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Report'!$Y$104:$BO$104</c:f>
              <c:numCache>
                <c:formatCode>General</c:formatCode>
                <c:ptCount val="43"/>
                <c:pt idx="0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8">
                  <c:v>1</c:v>
                </c:pt>
                <c:pt idx="30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C-4A27-8111-A27459728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835056"/>
        <c:axId val="249415408"/>
      </c:barChart>
      <c:catAx>
        <c:axId val="213083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415408"/>
        <c:crosses val="autoZero"/>
        <c:auto val="1"/>
        <c:lblAlgn val="ctr"/>
        <c:lblOffset val="100"/>
        <c:noMultiLvlLbl val="0"/>
      </c:catAx>
      <c:valAx>
        <c:axId val="249415408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3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Weight at Service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Report'!$A$107</c:f>
              <c:strCache>
                <c:ptCount val="1"/>
                <c:pt idx="0">
                  <c:v># of Pigs Under target weight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Report'!$Y$107:$BO$107</c:f>
              <c:numCache>
                <c:formatCode>0.00</c:formatCode>
                <c:ptCount val="43"/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4-4445-AD66-EC1E4D7BE1F0}"/>
            </c:ext>
          </c:extLst>
        </c:ser>
        <c:ser>
          <c:idx val="1"/>
          <c:order val="1"/>
          <c:tx>
            <c:strRef>
              <c:f>'Multiplier Weekly Report'!$A$109</c:f>
              <c:strCache>
                <c:ptCount val="1"/>
                <c:pt idx="0">
                  <c:v># of Pigs within target weight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Report'!$Y$109:$BO$109</c:f>
              <c:numCache>
                <c:formatCode>0.00</c:formatCode>
                <c:ptCount val="43"/>
                <c:pt idx="0" formatCode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5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7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2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4-4445-AD66-EC1E4D7BE1F0}"/>
            </c:ext>
          </c:extLst>
        </c:ser>
        <c:ser>
          <c:idx val="2"/>
          <c:order val="2"/>
          <c:tx>
            <c:strRef>
              <c:f>'Multiplier Weekly Report'!$A$111</c:f>
              <c:strCache>
                <c:ptCount val="1"/>
                <c:pt idx="0">
                  <c:v># of Pigs Over target weight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Report'!$Y$111:$BO$111</c:f>
              <c:numCache>
                <c:formatCode>0.00</c:formatCode>
                <c:ptCount val="43"/>
                <c:pt idx="0" formatCode="0">
                  <c:v>0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4-4445-AD66-EC1E4D7BE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835056"/>
        <c:axId val="249415408"/>
      </c:barChart>
      <c:catAx>
        <c:axId val="213083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415408"/>
        <c:crosses val="autoZero"/>
        <c:auto val="1"/>
        <c:lblAlgn val="ctr"/>
        <c:lblOffset val="100"/>
        <c:noMultiLvlLbl val="0"/>
      </c:catAx>
      <c:valAx>
        <c:axId val="249415408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3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Under 31 weeks, Over 33 weeks Avg ADG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Report'!$A$124</c:f>
              <c:strCache>
                <c:ptCount val="1"/>
                <c:pt idx="0">
                  <c:v>Under 31 weeks at Service Avg 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Report'!$Y$124:$BO$124</c:f>
              <c:numCache>
                <c:formatCode>0.000</c:formatCode>
                <c:ptCount val="43"/>
                <c:pt idx="2">
                  <c:v>0.2</c:v>
                </c:pt>
                <c:pt idx="4">
                  <c:v>0.6</c:v>
                </c:pt>
                <c:pt idx="5">
                  <c:v>0.7</c:v>
                </c:pt>
                <c:pt idx="29">
                  <c:v>7.0999999999999994E-2</c:v>
                </c:pt>
                <c:pt idx="32">
                  <c:v>0.55800000000000005</c:v>
                </c:pt>
                <c:pt idx="33">
                  <c:v>0.82399999999999995</c:v>
                </c:pt>
                <c:pt idx="3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2-4975-BF7A-37DAE574B938}"/>
            </c:ext>
          </c:extLst>
        </c:ser>
        <c:ser>
          <c:idx val="1"/>
          <c:order val="1"/>
          <c:tx>
            <c:strRef>
              <c:f>'Multiplier Weekly Report'!$A$125</c:f>
              <c:strCache>
                <c:ptCount val="1"/>
                <c:pt idx="0">
                  <c:v>Over 33 weeks at Service Avg ADG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2602</c:v>
                </c:pt>
                <c:pt idx="37">
                  <c:v>2603</c:v>
                </c:pt>
                <c:pt idx="38">
                  <c:v>2604</c:v>
                </c:pt>
                <c:pt idx="39">
                  <c:v>2605</c:v>
                </c:pt>
                <c:pt idx="40">
                  <c:v>2606</c:v>
                </c:pt>
                <c:pt idx="41">
                  <c:v>2607</c:v>
                </c:pt>
                <c:pt idx="42">
                  <c:v>2608</c:v>
                </c:pt>
              </c:numCache>
            </c:numRef>
          </c:cat>
          <c:val>
            <c:numRef>
              <c:f>'Multiplier Weekly Report'!$Y$125:$BO$125</c:f>
              <c:numCache>
                <c:formatCode>0.000</c:formatCode>
                <c:ptCount val="43"/>
                <c:pt idx="0">
                  <c:v>1.0569999999999999</c:v>
                </c:pt>
                <c:pt idx="3">
                  <c:v>0.67900000000000005</c:v>
                </c:pt>
                <c:pt idx="4">
                  <c:v>1.07</c:v>
                </c:pt>
                <c:pt idx="5">
                  <c:v>0.72499999999999998</c:v>
                </c:pt>
                <c:pt idx="7">
                  <c:v>0.871</c:v>
                </c:pt>
                <c:pt idx="10">
                  <c:v>1.25</c:v>
                </c:pt>
                <c:pt idx="12">
                  <c:v>0.69599999999999995</c:v>
                </c:pt>
                <c:pt idx="13">
                  <c:v>0.81100000000000005</c:v>
                </c:pt>
                <c:pt idx="14">
                  <c:v>0.82899999999999996</c:v>
                </c:pt>
                <c:pt idx="15">
                  <c:v>0.72699999999999998</c:v>
                </c:pt>
                <c:pt idx="16">
                  <c:v>0.93600000000000005</c:v>
                </c:pt>
                <c:pt idx="17" formatCode="0">
                  <c:v>0.89500000000000002</c:v>
                </c:pt>
                <c:pt idx="18">
                  <c:v>1.2090000000000001</c:v>
                </c:pt>
                <c:pt idx="20">
                  <c:v>0.89400000000000002</c:v>
                </c:pt>
                <c:pt idx="22">
                  <c:v>0.9</c:v>
                </c:pt>
                <c:pt idx="28">
                  <c:v>1.139</c:v>
                </c:pt>
                <c:pt idx="30">
                  <c:v>1.073</c:v>
                </c:pt>
                <c:pt idx="32">
                  <c:v>0.78600000000000003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22-4975-BF7A-37DAE574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204800"/>
        <c:axId val="195222768"/>
      </c:lineChart>
      <c:catAx>
        <c:axId val="2060204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2768"/>
        <c:crosses val="autoZero"/>
        <c:auto val="1"/>
        <c:lblAlgn val="ctr"/>
        <c:lblOffset val="100"/>
        <c:noMultiLvlLbl val="0"/>
      </c:catAx>
      <c:valAx>
        <c:axId val="1952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0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into farrowing variation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Report'!$A$142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Report'!$Y$142:$BO$142</c:f>
              <c:numCache>
                <c:formatCode>0</c:formatCode>
                <c:ptCount val="43"/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E-4F52-99A6-8E58550EC9E2}"/>
            </c:ext>
          </c:extLst>
        </c:ser>
        <c:ser>
          <c:idx val="1"/>
          <c:order val="1"/>
          <c:tx>
            <c:strRef>
              <c:f>'Multiplier Weekly Report'!$A$144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Report'!$Y$144:$BO$144</c:f>
              <c:numCache>
                <c:formatCode>0</c:formatCode>
                <c:ptCount val="43"/>
                <c:pt idx="1">
                  <c:v>3</c:v>
                </c:pt>
                <c:pt idx="2">
                  <c:v>1</c:v>
                </c:pt>
                <c:pt idx="4">
                  <c:v>3</c:v>
                </c:pt>
                <c:pt idx="7">
                  <c:v>2</c:v>
                </c:pt>
                <c:pt idx="8">
                  <c:v>1</c:v>
                </c:pt>
                <c:pt idx="10">
                  <c:v>1</c:v>
                </c:pt>
                <c:pt idx="13">
                  <c:v>1</c:v>
                </c:pt>
                <c:pt idx="15">
                  <c:v>2</c:v>
                </c:pt>
                <c:pt idx="16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3">
                  <c:v>1</c:v>
                </c:pt>
                <c:pt idx="25">
                  <c:v>2</c:v>
                </c:pt>
                <c:pt idx="26">
                  <c:v>1</c:v>
                </c:pt>
                <c:pt idx="29">
                  <c:v>1</c:v>
                </c:pt>
                <c:pt idx="30">
                  <c:v>4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E-4F52-99A6-8E58550EC9E2}"/>
            </c:ext>
          </c:extLst>
        </c:ser>
        <c:ser>
          <c:idx val="2"/>
          <c:order val="2"/>
          <c:tx>
            <c:strRef>
              <c:f>'Multiplier Weekly Report'!$A$146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Report'!$Y$146:$BO$146</c:f>
              <c:numCache>
                <c:formatCode>0</c:formatCode>
                <c:ptCount val="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3">
                  <c:v>2</c:v>
                </c:pt>
                <c:pt idx="15">
                  <c:v>2</c:v>
                </c:pt>
                <c:pt idx="16">
                  <c:v>2</c:v>
                </c:pt>
                <c:pt idx="18">
                  <c:v>5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EE-4F52-99A6-8E58550EC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9552"/>
        <c:axId val="446320336"/>
      </c:barChart>
      <c:catAx>
        <c:axId val="44631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20336"/>
        <c:crosses val="autoZero"/>
        <c:auto val="1"/>
        <c:lblAlgn val="ctr"/>
        <c:lblOffset val="100"/>
        <c:noMultiLvlLbl val="0"/>
      </c:catAx>
      <c:valAx>
        <c:axId val="44632033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gain in gestation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Report'!$A$157</c:f>
              <c:strCache>
                <c:ptCount val="1"/>
                <c:pt idx="0">
                  <c:v>upper gestation gain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Report'!$Y$157:$BO$157</c:f>
              <c:numCache>
                <c:formatCode>0</c:formatCode>
                <c:ptCount val="43"/>
                <c:pt idx="0">
                  <c:v>81</c:v>
                </c:pt>
                <c:pt idx="1">
                  <c:v>81</c:v>
                </c:pt>
                <c:pt idx="2">
                  <c:v>81</c:v>
                </c:pt>
                <c:pt idx="3">
                  <c:v>81</c:v>
                </c:pt>
                <c:pt idx="4">
                  <c:v>81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</c:v>
                </c:pt>
                <c:pt idx="25">
                  <c:v>81</c:v>
                </c:pt>
                <c:pt idx="26">
                  <c:v>81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81</c:v>
                </c:pt>
                <c:pt idx="31">
                  <c:v>81</c:v>
                </c:pt>
                <c:pt idx="32">
                  <c:v>81</c:v>
                </c:pt>
                <c:pt idx="33">
                  <c:v>81</c:v>
                </c:pt>
                <c:pt idx="34">
                  <c:v>81</c:v>
                </c:pt>
                <c:pt idx="35">
                  <c:v>81</c:v>
                </c:pt>
                <c:pt idx="36">
                  <c:v>81</c:v>
                </c:pt>
                <c:pt idx="37">
                  <c:v>81</c:v>
                </c:pt>
                <c:pt idx="38">
                  <c:v>81</c:v>
                </c:pt>
                <c:pt idx="39">
                  <c:v>81</c:v>
                </c:pt>
                <c:pt idx="40">
                  <c:v>81</c:v>
                </c:pt>
                <c:pt idx="41">
                  <c:v>81</c:v>
                </c:pt>
                <c:pt idx="42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B-4131-BF70-3A927C4801F0}"/>
            </c:ext>
          </c:extLst>
        </c:ser>
        <c:ser>
          <c:idx val="2"/>
          <c:order val="1"/>
          <c:tx>
            <c:strRef>
              <c:f>'Multiplier Weekly Report'!$A$147</c:f>
              <c:strCache>
                <c:ptCount val="1"/>
                <c:pt idx="0">
                  <c:v>Avg Gain In Gestation</c:v>
                </c:pt>
              </c:strCache>
            </c:strRef>
          </c:tx>
          <c:spPr>
            <a:ln w="2222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Report'!$Y$147:$BO$147</c:f>
              <c:numCache>
                <c:formatCode>0.0</c:formatCode>
                <c:ptCount val="43"/>
                <c:pt idx="0">
                  <c:v>113</c:v>
                </c:pt>
                <c:pt idx="1">
                  <c:v>84</c:v>
                </c:pt>
                <c:pt idx="2">
                  <c:v>76</c:v>
                </c:pt>
                <c:pt idx="3">
                  <c:v>83</c:v>
                </c:pt>
                <c:pt idx="4">
                  <c:v>74</c:v>
                </c:pt>
                <c:pt idx="5">
                  <c:v>90.5</c:v>
                </c:pt>
                <c:pt idx="6">
                  <c:v>70</c:v>
                </c:pt>
                <c:pt idx="7">
                  <c:v>64</c:v>
                </c:pt>
                <c:pt idx="8">
                  <c:v>81</c:v>
                </c:pt>
                <c:pt idx="9">
                  <c:v>81</c:v>
                </c:pt>
                <c:pt idx="10">
                  <c:v>78</c:v>
                </c:pt>
                <c:pt idx="11">
                  <c:v>74</c:v>
                </c:pt>
                <c:pt idx="12">
                  <c:v>77</c:v>
                </c:pt>
                <c:pt idx="13">
                  <c:v>89</c:v>
                </c:pt>
                <c:pt idx="14">
                  <c:v>61</c:v>
                </c:pt>
                <c:pt idx="15">
                  <c:v>79</c:v>
                </c:pt>
                <c:pt idx="16">
                  <c:v>79</c:v>
                </c:pt>
                <c:pt idx="17">
                  <c:v>60</c:v>
                </c:pt>
                <c:pt idx="18">
                  <c:v>87</c:v>
                </c:pt>
                <c:pt idx="19">
                  <c:v>79</c:v>
                </c:pt>
                <c:pt idx="20">
                  <c:v>73</c:v>
                </c:pt>
                <c:pt idx="21">
                  <c:v>75</c:v>
                </c:pt>
                <c:pt idx="23">
                  <c:v>80</c:v>
                </c:pt>
                <c:pt idx="24">
                  <c:v>83</c:v>
                </c:pt>
                <c:pt idx="25">
                  <c:v>87</c:v>
                </c:pt>
                <c:pt idx="26">
                  <c:v>90</c:v>
                </c:pt>
                <c:pt idx="27">
                  <c:v>95</c:v>
                </c:pt>
                <c:pt idx="28">
                  <c:v>88</c:v>
                </c:pt>
                <c:pt idx="29">
                  <c:v>87</c:v>
                </c:pt>
                <c:pt idx="30">
                  <c:v>79</c:v>
                </c:pt>
                <c:pt idx="31">
                  <c:v>88</c:v>
                </c:pt>
                <c:pt idx="32">
                  <c:v>83</c:v>
                </c:pt>
                <c:pt idx="33">
                  <c:v>79</c:v>
                </c:pt>
                <c:pt idx="34">
                  <c:v>75</c:v>
                </c:pt>
                <c:pt idx="35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B-4131-BF70-3A927C4801F0}"/>
            </c:ext>
          </c:extLst>
        </c:ser>
        <c:ser>
          <c:idx val="1"/>
          <c:order val="2"/>
          <c:tx>
            <c:strRef>
              <c:f>'Multiplier Weekly Report'!$A$156</c:f>
              <c:strCache>
                <c:ptCount val="1"/>
                <c:pt idx="0">
                  <c:v>lower gestation gain target</c:v>
                </c:pt>
              </c:strCache>
            </c:strRef>
          </c:tx>
          <c:spPr>
            <a:ln w="2540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cap="rnd">
                <a:solidFill>
                  <a:srgbClr val="FF0000"/>
                </a:solidFill>
              </a:ln>
            </c:spPr>
          </c:marker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Report'!$Y$156:$BO$156</c:f>
              <c:numCache>
                <c:formatCode>0</c:formatCode>
                <c:ptCount val="43"/>
                <c:pt idx="0">
                  <c:v>74</c:v>
                </c:pt>
                <c:pt idx="1">
                  <c:v>74</c:v>
                </c:pt>
                <c:pt idx="2">
                  <c:v>74</c:v>
                </c:pt>
                <c:pt idx="3">
                  <c:v>74</c:v>
                </c:pt>
                <c:pt idx="4">
                  <c:v>74</c:v>
                </c:pt>
                <c:pt idx="5">
                  <c:v>74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74</c:v>
                </c:pt>
                <c:pt idx="11">
                  <c:v>74</c:v>
                </c:pt>
                <c:pt idx="12">
                  <c:v>74</c:v>
                </c:pt>
                <c:pt idx="13">
                  <c:v>74</c:v>
                </c:pt>
                <c:pt idx="14">
                  <c:v>74</c:v>
                </c:pt>
                <c:pt idx="15">
                  <c:v>74</c:v>
                </c:pt>
                <c:pt idx="16">
                  <c:v>74</c:v>
                </c:pt>
                <c:pt idx="17">
                  <c:v>74</c:v>
                </c:pt>
                <c:pt idx="18">
                  <c:v>74</c:v>
                </c:pt>
                <c:pt idx="19">
                  <c:v>74</c:v>
                </c:pt>
                <c:pt idx="20">
                  <c:v>74</c:v>
                </c:pt>
                <c:pt idx="21">
                  <c:v>74</c:v>
                </c:pt>
                <c:pt idx="22">
                  <c:v>74</c:v>
                </c:pt>
                <c:pt idx="23">
                  <c:v>74</c:v>
                </c:pt>
                <c:pt idx="24">
                  <c:v>74</c:v>
                </c:pt>
                <c:pt idx="25">
                  <c:v>74</c:v>
                </c:pt>
                <c:pt idx="26">
                  <c:v>74</c:v>
                </c:pt>
                <c:pt idx="27">
                  <c:v>74</c:v>
                </c:pt>
                <c:pt idx="28">
                  <c:v>74</c:v>
                </c:pt>
                <c:pt idx="29">
                  <c:v>74</c:v>
                </c:pt>
                <c:pt idx="30">
                  <c:v>74</c:v>
                </c:pt>
                <c:pt idx="31">
                  <c:v>74</c:v>
                </c:pt>
                <c:pt idx="32">
                  <c:v>74</c:v>
                </c:pt>
                <c:pt idx="33">
                  <c:v>74</c:v>
                </c:pt>
                <c:pt idx="34">
                  <c:v>74</c:v>
                </c:pt>
                <c:pt idx="35">
                  <c:v>74</c:v>
                </c:pt>
                <c:pt idx="36">
                  <c:v>74</c:v>
                </c:pt>
                <c:pt idx="37">
                  <c:v>74</c:v>
                </c:pt>
                <c:pt idx="38">
                  <c:v>74</c:v>
                </c:pt>
                <c:pt idx="39">
                  <c:v>74</c:v>
                </c:pt>
                <c:pt idx="40">
                  <c:v>74</c:v>
                </c:pt>
                <c:pt idx="41">
                  <c:v>74</c:v>
                </c:pt>
                <c:pt idx="42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B-4131-BF70-3A927C480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GAIN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Into</a:t>
            </a:r>
            <a:r>
              <a:rPr lang="en-US" b="1" baseline="0"/>
              <a:t> Farrowing Gestational Gain</a:t>
            </a:r>
            <a:r>
              <a:rPr lang="en-US" b="1"/>
              <a:t> Weight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Report'!$A$149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Report'!$Y$149:$BO$149</c:f>
              <c:numCache>
                <c:formatCode>0</c:formatCode>
                <c:ptCount val="43"/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10">
                  <c:v>2</c:v>
                </c:pt>
                <c:pt idx="11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2</c:v>
                </c:pt>
                <c:pt idx="20">
                  <c:v>5</c:v>
                </c:pt>
                <c:pt idx="21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9">
                  <c:v>1</c:v>
                </c:pt>
                <c:pt idx="30">
                  <c:v>3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F-4E13-9E77-4125042AD493}"/>
            </c:ext>
          </c:extLst>
        </c:ser>
        <c:ser>
          <c:idx val="1"/>
          <c:order val="1"/>
          <c:tx>
            <c:strRef>
              <c:f>'Multiplier Weekly Report'!$A$151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Report'!$Y$151:$BO$151</c:f>
              <c:numCache>
                <c:formatCode>0</c:formatCode>
                <c:ptCount val="43"/>
                <c:pt idx="1">
                  <c:v>2</c:v>
                </c:pt>
                <c:pt idx="4">
                  <c:v>2</c:v>
                </c:pt>
                <c:pt idx="6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2</c:v>
                </c:pt>
                <c:pt idx="16">
                  <c:v>2</c:v>
                </c:pt>
                <c:pt idx="18">
                  <c:v>3</c:v>
                </c:pt>
                <c:pt idx="20">
                  <c:v>1</c:v>
                </c:pt>
                <c:pt idx="23">
                  <c:v>1</c:v>
                </c:pt>
                <c:pt idx="29">
                  <c:v>1</c:v>
                </c:pt>
                <c:pt idx="30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F-4E13-9E77-4125042AD493}"/>
            </c:ext>
          </c:extLst>
        </c:ser>
        <c:ser>
          <c:idx val="2"/>
          <c:order val="2"/>
          <c:tx>
            <c:strRef>
              <c:f>'Multiplier Weekly Report'!$A$153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'Multiplier 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'Multiplier Weekly Report'!$Y$153:$BO$153</c:f>
              <c:numCache>
                <c:formatCode>0</c:formatCode>
                <c:ptCount val="43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3">
                  <c:v>3</c:v>
                </c:pt>
                <c:pt idx="15">
                  <c:v>2</c:v>
                </c:pt>
                <c:pt idx="16">
                  <c:v>2</c:v>
                </c:pt>
                <c:pt idx="18">
                  <c:v>4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4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BF-4E13-9E77-4125042AD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0242096"/>
        <c:axId val="2075503104"/>
      </c:barChart>
      <c:catAx>
        <c:axId val="201024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03104"/>
        <c:crosses val="autoZero"/>
        <c:auto val="1"/>
        <c:lblAlgn val="ctr"/>
        <c:lblOffset val="100"/>
        <c:noMultiLvlLbl val="0"/>
      </c:catAx>
      <c:valAx>
        <c:axId val="207550310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3rd plus BORN DEAD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Report'!$A$173</c:f>
              <c:strCache>
                <c:ptCount val="1"/>
                <c:pt idx="0">
                  <c:v>BD target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Report'!$Y$173:$BO$173</c:f>
              <c:numCache>
                <c:formatCode>0.0</c:formatCode>
                <c:ptCount val="43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1-4465-8536-EB7A79429DB3}"/>
            </c:ext>
          </c:extLst>
        </c:ser>
        <c:ser>
          <c:idx val="3"/>
          <c:order val="1"/>
          <c:tx>
            <c:strRef>
              <c:f>'Multiplier Weekly Report'!$A$172</c:f>
              <c:strCache>
                <c:ptCount val="1"/>
                <c:pt idx="0">
                  <c:v>3rd plus BD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Report'!$Y$172:$BO$172</c:f>
              <c:numCache>
                <c:formatCode>0.0</c:formatCode>
                <c:ptCount val="43"/>
                <c:pt idx="0">
                  <c:v>1.8</c:v>
                </c:pt>
                <c:pt idx="1">
                  <c:v>0.9</c:v>
                </c:pt>
                <c:pt idx="2">
                  <c:v>1.6</c:v>
                </c:pt>
                <c:pt idx="3">
                  <c:v>1.4</c:v>
                </c:pt>
                <c:pt idx="4">
                  <c:v>1.89</c:v>
                </c:pt>
                <c:pt idx="5" formatCode="0.00">
                  <c:v>7.0000000000000007E-2</c:v>
                </c:pt>
                <c:pt idx="6">
                  <c:v>1.4</c:v>
                </c:pt>
                <c:pt idx="7">
                  <c:v>1.3</c:v>
                </c:pt>
                <c:pt idx="8">
                  <c:v>2.58</c:v>
                </c:pt>
                <c:pt idx="9">
                  <c:v>1.1000000000000001</c:v>
                </c:pt>
                <c:pt idx="10">
                  <c:v>2.0699999999999998</c:v>
                </c:pt>
                <c:pt idx="11">
                  <c:v>1</c:v>
                </c:pt>
                <c:pt idx="12">
                  <c:v>1.9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2.75</c:v>
                </c:pt>
                <c:pt idx="17">
                  <c:v>2.7</c:v>
                </c:pt>
                <c:pt idx="18">
                  <c:v>2.2999999999999998</c:v>
                </c:pt>
                <c:pt idx="19">
                  <c:v>1.6</c:v>
                </c:pt>
                <c:pt idx="20">
                  <c:v>1.8</c:v>
                </c:pt>
                <c:pt idx="21">
                  <c:v>2</c:v>
                </c:pt>
                <c:pt idx="22">
                  <c:v>1.3</c:v>
                </c:pt>
                <c:pt idx="23">
                  <c:v>1.1000000000000001</c:v>
                </c:pt>
                <c:pt idx="24">
                  <c:v>2.9</c:v>
                </c:pt>
                <c:pt idx="25">
                  <c:v>1.8</c:v>
                </c:pt>
                <c:pt idx="26">
                  <c:v>0.6</c:v>
                </c:pt>
                <c:pt idx="27">
                  <c:v>3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 formatCode="0.00">
                  <c:v>0.56999999999999995</c:v>
                </c:pt>
                <c:pt idx="32">
                  <c:v>1.9</c:v>
                </c:pt>
                <c:pt idx="33">
                  <c:v>1.9</c:v>
                </c:pt>
                <c:pt idx="34">
                  <c:v>2.2000000000000002</c:v>
                </c:pt>
                <c:pt idx="3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61-4465-8536-EB7A79429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BORN</a:t>
            </a:r>
            <a:r>
              <a:rPr lang="en-US" baseline="0"/>
              <a:t> DEAD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Report'!$A$173</c:f>
              <c:strCache>
                <c:ptCount val="1"/>
                <c:pt idx="0">
                  <c:v>BD target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Report'!$Y$173:$BO$173</c:f>
              <c:numCache>
                <c:formatCode>0.0</c:formatCode>
                <c:ptCount val="43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0-4C7A-AB03-7A04E095FCF6}"/>
            </c:ext>
          </c:extLst>
        </c:ser>
        <c:ser>
          <c:idx val="1"/>
          <c:order val="1"/>
          <c:tx>
            <c:strRef>
              <c:f>'Multiplier Weekly Report'!$A$170</c:f>
              <c:strCache>
                <c:ptCount val="1"/>
                <c:pt idx="0">
                  <c:v>Gilt BD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Report'!$Y$170:$BO$170</c:f>
              <c:numCache>
                <c:formatCode>0.0</c:formatCode>
                <c:ptCount val="43"/>
                <c:pt idx="0">
                  <c:v>1.5</c:v>
                </c:pt>
                <c:pt idx="1">
                  <c:v>1.7</c:v>
                </c:pt>
                <c:pt idx="2">
                  <c:v>1</c:v>
                </c:pt>
                <c:pt idx="3">
                  <c:v>4</c:v>
                </c:pt>
                <c:pt idx="4">
                  <c:v>0.67</c:v>
                </c:pt>
                <c:pt idx="5" formatCode="0.00">
                  <c:v>0.1</c:v>
                </c:pt>
                <c:pt idx="6">
                  <c:v>0.5</c:v>
                </c:pt>
                <c:pt idx="7">
                  <c:v>1.3</c:v>
                </c:pt>
                <c:pt idx="8" formatCode="0">
                  <c:v>1.75</c:v>
                </c:pt>
                <c:pt idx="9">
                  <c:v>1</c:v>
                </c:pt>
                <c:pt idx="10">
                  <c:v>2.25</c:v>
                </c:pt>
                <c:pt idx="11">
                  <c:v>1</c:v>
                </c:pt>
                <c:pt idx="13">
                  <c:v>1</c:v>
                </c:pt>
                <c:pt idx="14">
                  <c:v>0.5</c:v>
                </c:pt>
                <c:pt idx="15">
                  <c:v>1.25</c:v>
                </c:pt>
                <c:pt idx="16">
                  <c:v>1.25</c:v>
                </c:pt>
                <c:pt idx="17">
                  <c:v>1.67</c:v>
                </c:pt>
                <c:pt idx="18">
                  <c:v>1.25</c:v>
                </c:pt>
                <c:pt idx="19">
                  <c:v>0.5</c:v>
                </c:pt>
                <c:pt idx="20">
                  <c:v>0.85</c:v>
                </c:pt>
                <c:pt idx="23">
                  <c:v>2</c:v>
                </c:pt>
                <c:pt idx="24">
                  <c:v>2</c:v>
                </c:pt>
                <c:pt idx="25">
                  <c:v>0.7</c:v>
                </c:pt>
                <c:pt idx="26">
                  <c:v>3</c:v>
                </c:pt>
                <c:pt idx="27">
                  <c:v>0.5</c:v>
                </c:pt>
                <c:pt idx="28">
                  <c:v>2</c:v>
                </c:pt>
                <c:pt idx="29">
                  <c:v>0.6</c:v>
                </c:pt>
                <c:pt idx="30">
                  <c:v>1</c:v>
                </c:pt>
                <c:pt idx="31" formatCode="0.00">
                  <c:v>0.25</c:v>
                </c:pt>
                <c:pt idx="32">
                  <c:v>1.5</c:v>
                </c:pt>
                <c:pt idx="33">
                  <c:v>2</c:v>
                </c:pt>
                <c:pt idx="34">
                  <c:v>2.8</c:v>
                </c:pt>
                <c:pt idx="35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30-4C7A-AB03-7A04E095F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2nd BORN DEAD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Report'!$A$173</c:f>
              <c:strCache>
                <c:ptCount val="1"/>
                <c:pt idx="0">
                  <c:v>BD target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Report'!$Y$173:$BO$173</c:f>
              <c:numCache>
                <c:formatCode>0.0</c:formatCode>
                <c:ptCount val="43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3-46AE-83C2-3E7D673E8C4C}"/>
            </c:ext>
          </c:extLst>
        </c:ser>
        <c:ser>
          <c:idx val="2"/>
          <c:order val="1"/>
          <c:tx>
            <c:strRef>
              <c:f>'Multiplier Weekly Report'!$A$171</c:f>
              <c:strCache>
                <c:ptCount val="1"/>
                <c:pt idx="0">
                  <c:v>2nd BD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Report'!$Y$171:$BO$171</c:f>
              <c:numCache>
                <c:formatCode>0.0</c:formatCode>
                <c:ptCount val="43"/>
                <c:pt idx="0">
                  <c:v>1.5</c:v>
                </c:pt>
                <c:pt idx="2">
                  <c:v>0.3</c:v>
                </c:pt>
                <c:pt idx="3">
                  <c:v>0.8</c:v>
                </c:pt>
                <c:pt idx="4">
                  <c:v>1.5</c:v>
                </c:pt>
                <c:pt idx="5" formatCode="0.00">
                  <c:v>7.0000000000000007E-2</c:v>
                </c:pt>
                <c:pt idx="8">
                  <c:v>2.5</c:v>
                </c:pt>
                <c:pt idx="9">
                  <c:v>0.3</c:v>
                </c:pt>
                <c:pt idx="10">
                  <c:v>1</c:v>
                </c:pt>
                <c:pt idx="11">
                  <c:v>1.5</c:v>
                </c:pt>
                <c:pt idx="13">
                  <c:v>2</c:v>
                </c:pt>
                <c:pt idx="14">
                  <c:v>0.86</c:v>
                </c:pt>
                <c:pt idx="15">
                  <c:v>0.3</c:v>
                </c:pt>
                <c:pt idx="16">
                  <c:v>1.4</c:v>
                </c:pt>
                <c:pt idx="17">
                  <c:v>1.5</c:v>
                </c:pt>
                <c:pt idx="18">
                  <c:v>1.7</c:v>
                </c:pt>
                <c:pt idx="19">
                  <c:v>1</c:v>
                </c:pt>
                <c:pt idx="20">
                  <c:v>1</c:v>
                </c:pt>
                <c:pt idx="21">
                  <c:v>0.5</c:v>
                </c:pt>
                <c:pt idx="22">
                  <c:v>1.8</c:v>
                </c:pt>
                <c:pt idx="23">
                  <c:v>2</c:v>
                </c:pt>
                <c:pt idx="24">
                  <c:v>0.75</c:v>
                </c:pt>
                <c:pt idx="25">
                  <c:v>0.6</c:v>
                </c:pt>
                <c:pt idx="26">
                  <c:v>0.5</c:v>
                </c:pt>
                <c:pt idx="28">
                  <c:v>1.7</c:v>
                </c:pt>
                <c:pt idx="29">
                  <c:v>1.5</c:v>
                </c:pt>
                <c:pt idx="30">
                  <c:v>2.5</c:v>
                </c:pt>
                <c:pt idx="31" formatCode="0.00">
                  <c:v>0.67</c:v>
                </c:pt>
                <c:pt idx="32">
                  <c:v>1</c:v>
                </c:pt>
                <c:pt idx="34">
                  <c:v>1.3</c:v>
                </c:pt>
                <c:pt idx="3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3-46AE-83C2-3E7D673E8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HERD</a:t>
            </a:r>
            <a:r>
              <a:rPr lang="en-US" baseline="0"/>
              <a:t> </a:t>
            </a:r>
            <a:r>
              <a:rPr lang="en-US"/>
              <a:t>BORN ALIVE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Report'!$A$168</c:f>
              <c:strCache>
                <c:ptCount val="1"/>
                <c:pt idx="0">
                  <c:v>BA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Report'!$Y$168:$BO$168</c:f>
              <c:numCache>
                <c:formatCode>0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2-460B-9F60-B344CC31490C}"/>
            </c:ext>
          </c:extLst>
        </c:ser>
        <c:ser>
          <c:idx val="3"/>
          <c:order val="1"/>
          <c:tx>
            <c:strRef>
              <c:f>'Multiplier Weekly Report'!$A$169</c:f>
              <c:strCache>
                <c:ptCount val="1"/>
                <c:pt idx="0">
                  <c:v>Herd BA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'Multiplier 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'Multiplier Weekly Report'!$Y$169:$BO$169</c:f>
              <c:numCache>
                <c:formatCode>0.0</c:formatCode>
                <c:ptCount val="43"/>
                <c:pt idx="0">
                  <c:v>16.399999999999999</c:v>
                </c:pt>
                <c:pt idx="1">
                  <c:v>16.2</c:v>
                </c:pt>
                <c:pt idx="2">
                  <c:v>16</c:v>
                </c:pt>
                <c:pt idx="3">
                  <c:v>15.7</c:v>
                </c:pt>
                <c:pt idx="4">
                  <c:v>15.7</c:v>
                </c:pt>
                <c:pt idx="5" formatCode="0">
                  <c:v>16.7</c:v>
                </c:pt>
                <c:pt idx="6" formatCode="0">
                  <c:v>15</c:v>
                </c:pt>
                <c:pt idx="7">
                  <c:v>16.899999999999999</c:v>
                </c:pt>
                <c:pt idx="8">
                  <c:v>15.6</c:v>
                </c:pt>
                <c:pt idx="9">
                  <c:v>15.7</c:v>
                </c:pt>
                <c:pt idx="10">
                  <c:v>15.4</c:v>
                </c:pt>
                <c:pt idx="11">
                  <c:v>16.5</c:v>
                </c:pt>
                <c:pt idx="12">
                  <c:v>16.3</c:v>
                </c:pt>
                <c:pt idx="13">
                  <c:v>15.2</c:v>
                </c:pt>
                <c:pt idx="14">
                  <c:v>16.399999999999999</c:v>
                </c:pt>
                <c:pt idx="15">
                  <c:v>16</c:v>
                </c:pt>
                <c:pt idx="16">
                  <c:v>16.2</c:v>
                </c:pt>
                <c:pt idx="17">
                  <c:v>14.7</c:v>
                </c:pt>
                <c:pt idx="18">
                  <c:v>15.4</c:v>
                </c:pt>
                <c:pt idx="19">
                  <c:v>15.9</c:v>
                </c:pt>
                <c:pt idx="20">
                  <c:v>14.1</c:v>
                </c:pt>
                <c:pt idx="21">
                  <c:v>15.6</c:v>
                </c:pt>
                <c:pt idx="22" formatCode="0">
                  <c:v>14</c:v>
                </c:pt>
                <c:pt idx="23">
                  <c:v>13.2</c:v>
                </c:pt>
                <c:pt idx="24">
                  <c:v>13.3</c:v>
                </c:pt>
                <c:pt idx="25">
                  <c:v>16.899999999999999</c:v>
                </c:pt>
                <c:pt idx="26">
                  <c:v>11.7</c:v>
                </c:pt>
                <c:pt idx="27">
                  <c:v>14.8</c:v>
                </c:pt>
                <c:pt idx="28">
                  <c:v>15.8</c:v>
                </c:pt>
                <c:pt idx="29">
                  <c:v>16.899999999999999</c:v>
                </c:pt>
                <c:pt idx="30">
                  <c:v>16.3</c:v>
                </c:pt>
                <c:pt idx="31">
                  <c:v>16.899999999999999</c:v>
                </c:pt>
                <c:pt idx="32">
                  <c:v>13.3</c:v>
                </c:pt>
                <c:pt idx="33">
                  <c:v>14.9</c:v>
                </c:pt>
                <c:pt idx="34">
                  <c:v>16.600000000000001</c:v>
                </c:pt>
                <c:pt idx="35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2-460B-9F60-B344CC314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328176"/>
        <c:axId val="446330528"/>
      </c:lineChart>
      <c:catAx>
        <c:axId val="446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46330528"/>
        <c:crosses val="autoZero"/>
        <c:auto val="1"/>
        <c:lblAlgn val="ctr"/>
        <c:lblOffset val="100"/>
        <c:noMultiLvlLbl val="0"/>
      </c:catAx>
      <c:valAx>
        <c:axId val="44633052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63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70 Day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Report'!$A$212</c:f>
              <c:strCache>
                <c:ptCount val="1"/>
                <c:pt idx="0">
                  <c:v>Mortaltiy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Report'!$Y$212:$BO$212</c:f>
              <c:numCache>
                <c:formatCode>General</c:formatCode>
                <c:ptCount val="43"/>
                <c:pt idx="1">
                  <c:v>0</c:v>
                </c:pt>
                <c:pt idx="2">
                  <c:v>0.43</c:v>
                </c:pt>
                <c:pt idx="3">
                  <c:v>0.82</c:v>
                </c:pt>
                <c:pt idx="4">
                  <c:v>0</c:v>
                </c:pt>
                <c:pt idx="5">
                  <c:v>0</c:v>
                </c:pt>
                <c:pt idx="6">
                  <c:v>0.47</c:v>
                </c:pt>
                <c:pt idx="7">
                  <c:v>1.25</c:v>
                </c:pt>
                <c:pt idx="8">
                  <c:v>0.45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0.8</c:v>
                </c:pt>
                <c:pt idx="13">
                  <c:v>0.4</c:v>
                </c:pt>
                <c:pt idx="14">
                  <c:v>0</c:v>
                </c:pt>
                <c:pt idx="15">
                  <c:v>1.79</c:v>
                </c:pt>
                <c:pt idx="16">
                  <c:v>1.5</c:v>
                </c:pt>
                <c:pt idx="17">
                  <c:v>0.84</c:v>
                </c:pt>
                <c:pt idx="18">
                  <c:v>2.1</c:v>
                </c:pt>
                <c:pt idx="19">
                  <c:v>2.2000000000000002</c:v>
                </c:pt>
                <c:pt idx="20">
                  <c:v>0.92</c:v>
                </c:pt>
                <c:pt idx="21">
                  <c:v>0.88</c:v>
                </c:pt>
                <c:pt idx="22">
                  <c:v>0.48</c:v>
                </c:pt>
                <c:pt idx="23">
                  <c:v>2</c:v>
                </c:pt>
                <c:pt idx="24">
                  <c:v>1.24</c:v>
                </c:pt>
                <c:pt idx="25">
                  <c:v>0.85</c:v>
                </c:pt>
                <c:pt idx="26">
                  <c:v>1.8</c:v>
                </c:pt>
                <c:pt idx="27">
                  <c:v>0</c:v>
                </c:pt>
                <c:pt idx="28">
                  <c:v>0.88</c:v>
                </c:pt>
                <c:pt idx="29">
                  <c:v>0.44</c:v>
                </c:pt>
                <c:pt idx="30">
                  <c:v>1.1000000000000001</c:v>
                </c:pt>
                <c:pt idx="31">
                  <c:v>1.48</c:v>
                </c:pt>
                <c:pt idx="32">
                  <c:v>1.46</c:v>
                </c:pt>
                <c:pt idx="33">
                  <c:v>1.7</c:v>
                </c:pt>
                <c:pt idx="34">
                  <c:v>0</c:v>
                </c:pt>
                <c:pt idx="35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82-411E-98B5-C4FE9B4CDE4D}"/>
            </c:ext>
          </c:extLst>
        </c:ser>
        <c:ser>
          <c:idx val="1"/>
          <c:order val="1"/>
          <c:tx>
            <c:strRef>
              <c:f>'Multiplier Weekly Report'!$A$211</c:f>
              <c:strCache>
                <c:ptCount val="1"/>
                <c:pt idx="0">
                  <c:v>Mortaltiy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Report'!$Y$211:$BO$211</c:f>
              <c:numCache>
                <c:formatCode>General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82-411E-98B5-C4FE9B4CD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4  week wean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Report'!$A$10</c:f>
              <c:strCache>
                <c:ptCount val="1"/>
                <c:pt idx="0">
                  <c:v>4 Week Wean Weight</c:v>
                </c:pt>
              </c:strCache>
            </c:strRef>
          </c:tx>
          <c:marker>
            <c:symbol val="none"/>
          </c:marker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Report'!$Y$10:$BO$10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9-44E5-8EC2-727133B72AC4}"/>
            </c:ext>
          </c:extLst>
        </c:ser>
        <c:ser>
          <c:idx val="1"/>
          <c:order val="1"/>
          <c:tx>
            <c:strRef>
              <c:f>'Multiplier Weekly Report'!$A$12</c:f>
              <c:strCache>
                <c:ptCount val="1"/>
                <c:pt idx="0">
                  <c:v>Slow Growers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marker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Report'!$Y$12:$BO$12</c:f>
              <c:numCache>
                <c:formatCode>General</c:formatCode>
                <c:ptCount val="43"/>
                <c:pt idx="0">
                  <c:v>6.8</c:v>
                </c:pt>
                <c:pt idx="1">
                  <c:v>6.8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6.8</c:v>
                </c:pt>
                <c:pt idx="14">
                  <c:v>6.8</c:v>
                </c:pt>
                <c:pt idx="15">
                  <c:v>6.8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  <c:pt idx="24">
                  <c:v>6.8</c:v>
                </c:pt>
                <c:pt idx="25">
                  <c:v>6.8</c:v>
                </c:pt>
                <c:pt idx="26">
                  <c:v>6.8</c:v>
                </c:pt>
                <c:pt idx="27">
                  <c:v>6.8</c:v>
                </c:pt>
                <c:pt idx="28">
                  <c:v>6.8</c:v>
                </c:pt>
                <c:pt idx="29">
                  <c:v>6.8</c:v>
                </c:pt>
                <c:pt idx="30">
                  <c:v>6.8</c:v>
                </c:pt>
                <c:pt idx="31">
                  <c:v>6.8</c:v>
                </c:pt>
                <c:pt idx="32">
                  <c:v>6.8</c:v>
                </c:pt>
                <c:pt idx="33">
                  <c:v>6.8</c:v>
                </c:pt>
                <c:pt idx="34">
                  <c:v>6.8</c:v>
                </c:pt>
                <c:pt idx="35">
                  <c:v>6.8</c:v>
                </c:pt>
                <c:pt idx="36">
                  <c:v>6.8</c:v>
                </c:pt>
                <c:pt idx="37">
                  <c:v>6.8</c:v>
                </c:pt>
                <c:pt idx="38">
                  <c:v>6.8</c:v>
                </c:pt>
                <c:pt idx="39">
                  <c:v>6.8</c:v>
                </c:pt>
                <c:pt idx="40">
                  <c:v>6.8</c:v>
                </c:pt>
                <c:pt idx="41">
                  <c:v>6.8</c:v>
                </c:pt>
                <c:pt idx="42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79-44E5-8EC2-727133B72AC4}"/>
            </c:ext>
          </c:extLst>
        </c:ser>
        <c:ser>
          <c:idx val="2"/>
          <c:order val="2"/>
          <c:tx>
            <c:strRef>
              <c:f>'Multiplier Weekly Report'!$A$13</c:f>
              <c:strCache>
                <c:ptCount val="1"/>
                <c:pt idx="0">
                  <c:v>Fast Growers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  <a:effectLst/>
            </c:spPr>
          </c:marker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Report'!$Y$13:$BO$13</c:f>
              <c:numCache>
                <c:formatCode>General</c:formatCode>
                <c:ptCount val="43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  <c:pt idx="24">
                  <c:v>7.3</c:v>
                </c:pt>
                <c:pt idx="25">
                  <c:v>7.3</c:v>
                </c:pt>
                <c:pt idx="26">
                  <c:v>7.3</c:v>
                </c:pt>
                <c:pt idx="27">
                  <c:v>7.3</c:v>
                </c:pt>
                <c:pt idx="28">
                  <c:v>7.3</c:v>
                </c:pt>
                <c:pt idx="29">
                  <c:v>7.3</c:v>
                </c:pt>
                <c:pt idx="30">
                  <c:v>7.3</c:v>
                </c:pt>
                <c:pt idx="31">
                  <c:v>7.3</c:v>
                </c:pt>
                <c:pt idx="32">
                  <c:v>7.3</c:v>
                </c:pt>
                <c:pt idx="33">
                  <c:v>7.3</c:v>
                </c:pt>
                <c:pt idx="34">
                  <c:v>7.3</c:v>
                </c:pt>
                <c:pt idx="35">
                  <c:v>7.3</c:v>
                </c:pt>
                <c:pt idx="36">
                  <c:v>7.3</c:v>
                </c:pt>
                <c:pt idx="37">
                  <c:v>7.3</c:v>
                </c:pt>
                <c:pt idx="38">
                  <c:v>7.3</c:v>
                </c:pt>
                <c:pt idx="39">
                  <c:v>7.3</c:v>
                </c:pt>
                <c:pt idx="40">
                  <c:v>7.3</c:v>
                </c:pt>
                <c:pt idx="41">
                  <c:v>7.3</c:v>
                </c:pt>
                <c:pt idx="4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79-44E5-8EC2-727133B72AC4}"/>
            </c:ext>
          </c:extLst>
        </c:ser>
        <c:ser>
          <c:idx val="3"/>
          <c:order val="3"/>
          <c:tx>
            <c:strRef>
              <c:f>'Multiplier Weekly Report'!$A$11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Report'!$R$11:$BG$11</c:f>
              <c:numCache>
                <c:formatCode>General</c:formatCode>
                <c:ptCount val="42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7.2</c:v>
                </c:pt>
                <c:pt idx="26">
                  <c:v>7.2</c:v>
                </c:pt>
                <c:pt idx="27">
                  <c:v>7.2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79-44E5-8EC2-727133B7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74656"/>
        <c:axId val="88377216"/>
      </c:lineChart>
      <c:catAx>
        <c:axId val="8837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88377216"/>
        <c:crosses val="autoZero"/>
        <c:auto val="1"/>
        <c:lblAlgn val="ctr"/>
        <c:lblOffset val="100"/>
        <c:noMultiLvlLbl val="0"/>
      </c:catAx>
      <c:valAx>
        <c:axId val="88377216"/>
        <c:scaling>
          <c:orientation val="minMax"/>
          <c:max val="8"/>
          <c:min val="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837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0">
                <a:solidFill>
                  <a:sysClr val="windowText" lastClr="000000"/>
                </a:solidFill>
              </a:rPr>
              <a:t>4 week wean weight - variation chart</a:t>
            </a:r>
          </a:p>
        </c:rich>
      </c:tx>
      <c:layout>
        <c:manualLayout>
          <c:xMode val="edge"/>
          <c:yMode val="edge"/>
          <c:x val="0.19413465721944101"/>
          <c:y val="2.77777777777778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Report'!$A$15</c:f>
              <c:strCache>
                <c:ptCount val="1"/>
                <c:pt idx="0">
                  <c:v># Of Animals Under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Report'!$Y$15:$BO$15</c:f>
              <c:numCache>
                <c:formatCode>0</c:formatCode>
                <c:ptCount val="43"/>
              </c:numCache>
            </c:numRef>
          </c:val>
          <c:extLst>
            <c:ext xmlns:c16="http://schemas.microsoft.com/office/drawing/2014/chart" uri="{C3380CC4-5D6E-409C-BE32-E72D297353CC}">
              <c16:uniqueId val="{00000000-3661-4614-890F-B4985B5332A8}"/>
            </c:ext>
          </c:extLst>
        </c:ser>
        <c:ser>
          <c:idx val="1"/>
          <c:order val="1"/>
          <c:tx>
            <c:strRef>
              <c:f>'Multiplier Weekly Report'!$A$17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Report'!$Y$17:$BO$17</c:f>
              <c:numCache>
                <c:formatCode>0</c:formatCode>
                <c:ptCount val="43"/>
              </c:numCache>
            </c:numRef>
          </c:val>
          <c:extLst>
            <c:ext xmlns:c16="http://schemas.microsoft.com/office/drawing/2014/chart" uri="{C3380CC4-5D6E-409C-BE32-E72D297353CC}">
              <c16:uniqueId val="{00000001-3661-4614-890F-B4985B5332A8}"/>
            </c:ext>
          </c:extLst>
        </c:ser>
        <c:ser>
          <c:idx val="2"/>
          <c:order val="2"/>
          <c:tx>
            <c:strRef>
              <c:f>'Multiplier Weekly Report'!$A$19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Report'!$Y$19:$BO$19</c:f>
              <c:numCache>
                <c:formatCode>0</c:formatCode>
                <c:ptCount val="43"/>
              </c:numCache>
            </c:numRef>
          </c:val>
          <c:extLst>
            <c:ext xmlns:c16="http://schemas.microsoft.com/office/drawing/2014/chart" uri="{C3380CC4-5D6E-409C-BE32-E72D297353CC}">
              <c16:uniqueId val="{00000002-3661-4614-890F-B4985B533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239232"/>
        <c:axId val="102245504"/>
      </c:barChart>
      <c:catAx>
        <c:axId val="10223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45504"/>
        <c:crosses val="autoZero"/>
        <c:auto val="1"/>
        <c:lblAlgn val="ctr"/>
        <c:lblOffset val="100"/>
        <c:noMultiLvlLbl val="0"/>
      </c:catAx>
      <c:valAx>
        <c:axId val="1022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>
                <a:solidFill>
                  <a:sysClr val="windowText" lastClr="000000"/>
                </a:solidFill>
              </a:rPr>
              <a:t>4 -</a:t>
            </a:r>
            <a:r>
              <a:rPr lang="en-ZW" b="1" baseline="0">
                <a:solidFill>
                  <a:sysClr val="windowText" lastClr="000000"/>
                </a:solidFill>
              </a:rPr>
              <a:t> 10 week ADG under Target(small)</a:t>
            </a:r>
            <a:endParaRPr lang="en-ZW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Report'!$A$24</c:f>
              <c:strCache>
                <c:ptCount val="1"/>
                <c:pt idx="0">
                  <c:v>Gilts 4-10 Weeks ADG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Report'!$Y$24:$BO$24</c:f>
              <c:numCache>
                <c:formatCode>General</c:formatCode>
                <c:ptCount val="43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2-4D61-889B-A0AA1B610344}"/>
            </c:ext>
          </c:extLst>
        </c:ser>
        <c:ser>
          <c:idx val="2"/>
          <c:order val="1"/>
          <c:tx>
            <c:strRef>
              <c:f>'Multiplier Weekly Report'!$A$22</c:f>
              <c:strCache>
                <c:ptCount val="1"/>
                <c:pt idx="0">
                  <c:v>ADG of pigs under target (small)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Report'!$Y$22:$BO$22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2-4D61-889B-A0AA1B610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30496"/>
        <c:axId val="100332672"/>
      </c:lineChart>
      <c:catAx>
        <c:axId val="10033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2672"/>
        <c:crosses val="autoZero"/>
        <c:auto val="1"/>
        <c:lblAlgn val="ctr"/>
        <c:lblOffset val="100"/>
        <c:noMultiLvlLbl val="0"/>
      </c:catAx>
      <c:valAx>
        <c:axId val="100332672"/>
        <c:scaling>
          <c:orientation val="minMax"/>
          <c:max val="0.60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>
                <a:solidFill>
                  <a:sysClr val="windowText" lastClr="000000"/>
                </a:solidFill>
              </a:rPr>
              <a:t>4 -</a:t>
            </a:r>
            <a:r>
              <a:rPr lang="en-ZW" b="1" baseline="0">
                <a:solidFill>
                  <a:sysClr val="windowText" lastClr="000000"/>
                </a:solidFill>
              </a:rPr>
              <a:t> 10 week ADG over Target(large)</a:t>
            </a:r>
            <a:endParaRPr lang="en-ZW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Report'!$A$23</c:f>
              <c:strCache>
                <c:ptCount val="1"/>
                <c:pt idx="0">
                  <c:v>ADG of pigs over target (large)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Report'!$Y$23:$BO$23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2-477B-B13C-F3F3B6E1FDB0}"/>
            </c:ext>
          </c:extLst>
        </c:ser>
        <c:ser>
          <c:idx val="2"/>
          <c:order val="1"/>
          <c:tx>
            <c:strRef>
              <c:f>'Multiplier Weekly Report'!$A$24</c:f>
              <c:strCache>
                <c:ptCount val="1"/>
                <c:pt idx="0">
                  <c:v>Gilts 4-10 Weeks ADG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Report'!$Y$1:$BO$1</c:f>
              <c:numCache>
                <c:formatCode>General</c:formatCode>
                <c:ptCount val="43"/>
                <c:pt idx="0">
                  <c:v>2546</c:v>
                </c:pt>
                <c:pt idx="1">
                  <c:v>2547</c:v>
                </c:pt>
                <c:pt idx="2">
                  <c:v>2548</c:v>
                </c:pt>
                <c:pt idx="3">
                  <c:v>2549</c:v>
                </c:pt>
                <c:pt idx="4">
                  <c:v>2550</c:v>
                </c:pt>
                <c:pt idx="5">
                  <c:v>2551</c:v>
                </c:pt>
                <c:pt idx="6">
                  <c:v>2552</c:v>
                </c:pt>
                <c:pt idx="7">
                  <c:v>2601</c:v>
                </c:pt>
                <c:pt idx="8">
                  <c:v>2602</c:v>
                </c:pt>
                <c:pt idx="9">
                  <c:v>2603</c:v>
                </c:pt>
                <c:pt idx="10">
                  <c:v>2604</c:v>
                </c:pt>
                <c:pt idx="11">
                  <c:v>2605</c:v>
                </c:pt>
                <c:pt idx="12">
                  <c:v>2606</c:v>
                </c:pt>
                <c:pt idx="13">
                  <c:v>2607</c:v>
                </c:pt>
                <c:pt idx="14">
                  <c:v>2608</c:v>
                </c:pt>
                <c:pt idx="15">
                  <c:v>2609</c:v>
                </c:pt>
                <c:pt idx="16">
                  <c:v>2610</c:v>
                </c:pt>
                <c:pt idx="17">
                  <c:v>2611</c:v>
                </c:pt>
                <c:pt idx="18">
                  <c:v>2612</c:v>
                </c:pt>
                <c:pt idx="19">
                  <c:v>2613</c:v>
                </c:pt>
                <c:pt idx="20">
                  <c:v>2614</c:v>
                </c:pt>
                <c:pt idx="21">
                  <c:v>2615</c:v>
                </c:pt>
                <c:pt idx="22">
                  <c:v>2616</c:v>
                </c:pt>
                <c:pt idx="23">
                  <c:v>2617</c:v>
                </c:pt>
                <c:pt idx="24">
                  <c:v>2618</c:v>
                </c:pt>
                <c:pt idx="25">
                  <c:v>2619</c:v>
                </c:pt>
                <c:pt idx="26">
                  <c:v>2620</c:v>
                </c:pt>
                <c:pt idx="27">
                  <c:v>2621</c:v>
                </c:pt>
                <c:pt idx="28">
                  <c:v>2622</c:v>
                </c:pt>
                <c:pt idx="29">
                  <c:v>2623</c:v>
                </c:pt>
                <c:pt idx="30">
                  <c:v>2624</c:v>
                </c:pt>
                <c:pt idx="31">
                  <c:v>2625</c:v>
                </c:pt>
                <c:pt idx="32">
                  <c:v>2626</c:v>
                </c:pt>
                <c:pt idx="33">
                  <c:v>2627</c:v>
                </c:pt>
                <c:pt idx="34">
                  <c:v>2628</c:v>
                </c:pt>
                <c:pt idx="35">
                  <c:v>2629</c:v>
                </c:pt>
                <c:pt idx="36">
                  <c:v>2630</c:v>
                </c:pt>
                <c:pt idx="37">
                  <c:v>2631</c:v>
                </c:pt>
                <c:pt idx="38">
                  <c:v>2632</c:v>
                </c:pt>
                <c:pt idx="39">
                  <c:v>2633</c:v>
                </c:pt>
                <c:pt idx="40">
                  <c:v>2634</c:v>
                </c:pt>
                <c:pt idx="41">
                  <c:v>2635</c:v>
                </c:pt>
                <c:pt idx="42">
                  <c:v>2636</c:v>
                </c:pt>
              </c:numCache>
            </c:numRef>
          </c:cat>
          <c:val>
            <c:numRef>
              <c:f>'Multiplier Weekly Report'!$Y$24:$BO$24</c:f>
              <c:numCache>
                <c:formatCode>General</c:formatCode>
                <c:ptCount val="43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2-477B-B13C-F3F3B6E1F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30496"/>
        <c:axId val="100332672"/>
      </c:lineChart>
      <c:catAx>
        <c:axId val="10033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2672"/>
        <c:crosses val="autoZero"/>
        <c:auto val="1"/>
        <c:lblAlgn val="ctr"/>
        <c:lblOffset val="100"/>
        <c:noMultiLvlLbl val="0"/>
      </c:catAx>
      <c:valAx>
        <c:axId val="100332672"/>
        <c:scaling>
          <c:orientation val="minMax"/>
          <c:max val="0.60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 week gilts - variation chart</a:t>
            </a:r>
          </a:p>
        </c:rich>
      </c:tx>
      <c:layout>
        <c:manualLayout>
          <c:xMode val="edge"/>
          <c:yMode val="edge"/>
          <c:x val="0.19413465721944101"/>
          <c:y val="2.77777777777778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'Multiplier Weekly Report'!$A$36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Report'!$Y$36:$BO$36</c:f>
              <c:numCache>
                <c:formatCode>0</c:formatCode>
                <c:ptCount val="43"/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E-4250-8C11-01F1A7FC89B6}"/>
            </c:ext>
          </c:extLst>
        </c:ser>
        <c:ser>
          <c:idx val="1"/>
          <c:order val="1"/>
          <c:tx>
            <c:strRef>
              <c:f>'Multiplier Weekly Report'!$A$38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Report'!$Y$38:$BO$38</c:f>
              <c:numCache>
                <c:formatCode>0</c:formatCode>
                <c:ptCount val="43"/>
                <c:pt idx="12">
                  <c:v>2</c:v>
                </c:pt>
                <c:pt idx="13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E-4250-8C11-01F1A7FC89B6}"/>
            </c:ext>
          </c:extLst>
        </c:ser>
        <c:ser>
          <c:idx val="2"/>
          <c:order val="2"/>
          <c:tx>
            <c:strRef>
              <c:f>'Multiplier Weekly Report'!$A$40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Report'!$Y$40:$BO$40</c:f>
              <c:numCache>
                <c:formatCode>0</c:formatCode>
                <c:ptCount val="43"/>
                <c:pt idx="13">
                  <c:v>2</c:v>
                </c:pt>
                <c:pt idx="32">
                  <c:v>2</c:v>
                </c:pt>
                <c:pt idx="3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BE-4250-8C11-01F1A7FC8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17200"/>
        <c:axId val="446314456"/>
      </c:barChart>
      <c:catAx>
        <c:axId val="44631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14456"/>
        <c:crosses val="autoZero"/>
        <c:auto val="1"/>
        <c:lblAlgn val="ctr"/>
        <c:lblOffset val="100"/>
        <c:noMultiLvlLbl val="0"/>
      </c:catAx>
      <c:valAx>
        <c:axId val="44631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17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Gilts</a:t>
            </a:r>
            <a:r>
              <a:rPr lang="en-US" b="1" baseline="0"/>
              <a:t> 4</a:t>
            </a:r>
            <a:r>
              <a:rPr lang="en-US" b="1"/>
              <a:t> to 10 week ADG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Report'!$A$21</c:f>
              <c:strCache>
                <c:ptCount val="1"/>
                <c:pt idx="0">
                  <c:v>Gilts 4-10 Weeks ADG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Report'!$Y$21:$BO$21</c:f>
              <c:numCache>
                <c:formatCode>0.00</c:formatCode>
                <c:ptCount val="43"/>
                <c:pt idx="11" formatCode="0.000">
                  <c:v>0.71399999999999997</c:v>
                </c:pt>
                <c:pt idx="12" formatCode="0.000">
                  <c:v>0.57099999999999995</c:v>
                </c:pt>
                <c:pt idx="13" formatCode="General">
                  <c:v>0.71399999999999997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A-41EF-A5FB-C73A948E6322}"/>
            </c:ext>
          </c:extLst>
        </c:ser>
        <c:ser>
          <c:idx val="1"/>
          <c:order val="1"/>
          <c:tx>
            <c:strRef>
              <c:f>'Multiplier Weekly Report'!$A$24</c:f>
              <c:strCache>
                <c:ptCount val="1"/>
                <c:pt idx="0">
                  <c:v>Gilts 4-10 Weeks ADG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Report'!$Y$24:$BO$24</c:f>
              <c:numCache>
                <c:formatCode>General</c:formatCode>
                <c:ptCount val="43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8A-41EF-A5FB-C73A948E6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661392"/>
        <c:axId val="1223617968"/>
      </c:lineChart>
      <c:catAx>
        <c:axId val="5216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7968"/>
        <c:crosses val="autoZero"/>
        <c:auto val="1"/>
        <c:lblAlgn val="ctr"/>
        <c:lblOffset val="100"/>
        <c:noMultiLvlLbl val="0"/>
      </c:catAx>
      <c:valAx>
        <c:axId val="12236179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Gilts</a:t>
            </a:r>
            <a:r>
              <a:rPr lang="en-ZW" b="1" baseline="0"/>
              <a:t> 4 to 10 weeks</a:t>
            </a:r>
            <a:r>
              <a:rPr lang="en-ZW" b="1"/>
              <a:t>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Report'!$A$26</c:f>
              <c:strCache>
                <c:ptCount val="1"/>
                <c:pt idx="0">
                  <c:v>Gilts 4-10 Weeks Gain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Report'!$Y$26:$BO$26</c:f>
              <c:numCache>
                <c:formatCode>General</c:formatCode>
                <c:ptCount val="43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1-42CA-AE8D-54215529ADDD}"/>
            </c:ext>
          </c:extLst>
        </c:ser>
        <c:ser>
          <c:idx val="1"/>
          <c:order val="1"/>
          <c:tx>
            <c:strRef>
              <c:f>'Multiplier Weekly Report'!$A$25</c:f>
              <c:strCache>
                <c:ptCount val="1"/>
                <c:pt idx="0">
                  <c:v>Gilts 4-10 Weeks Gain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'Multiplier Weekly Report'!$Y$25:$BO$25</c:f>
              <c:numCache>
                <c:formatCode>General</c:formatCode>
                <c:ptCount val="43"/>
                <c:pt idx="11">
                  <c:v>1.7</c:v>
                </c:pt>
                <c:pt idx="12">
                  <c:v>1.3</c:v>
                </c:pt>
                <c:pt idx="1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71-42CA-AE8D-54215529A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30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Grower 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'Multiplier Weekly Report'!$A$220</c:f>
              <c:strCache>
                <c:ptCount val="1"/>
                <c:pt idx="0">
                  <c:v>Mortaltiy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'Multiplier Weekly Report'!$Y$8:$BO$8</c:f>
              <c:numCache>
                <c:formatCode>General</c:formatCode>
                <c:ptCount val="43"/>
                <c:pt idx="0">
                  <c:v>2527</c:v>
                </c:pt>
                <c:pt idx="1">
                  <c:v>2528</c:v>
                </c:pt>
                <c:pt idx="2">
                  <c:v>2529</c:v>
                </c:pt>
                <c:pt idx="3">
                  <c:v>2530</c:v>
                </c:pt>
                <c:pt idx="4">
                  <c:v>2531</c:v>
                </c:pt>
                <c:pt idx="5">
                  <c:v>2532</c:v>
                </c:pt>
                <c:pt idx="6">
                  <c:v>2533</c:v>
                </c:pt>
                <c:pt idx="7">
                  <c:v>2534</c:v>
                </c:pt>
                <c:pt idx="8">
                  <c:v>2535</c:v>
                </c:pt>
                <c:pt idx="9">
                  <c:v>2536</c:v>
                </c:pt>
                <c:pt idx="10">
                  <c:v>2537</c:v>
                </c:pt>
                <c:pt idx="11">
                  <c:v>2538</c:v>
                </c:pt>
                <c:pt idx="12">
                  <c:v>2539</c:v>
                </c:pt>
                <c:pt idx="13">
                  <c:v>2540</c:v>
                </c:pt>
                <c:pt idx="14">
                  <c:v>2541</c:v>
                </c:pt>
                <c:pt idx="15">
                  <c:v>2542</c:v>
                </c:pt>
                <c:pt idx="16">
                  <c:v>2543</c:v>
                </c:pt>
                <c:pt idx="17">
                  <c:v>2544</c:v>
                </c:pt>
                <c:pt idx="18">
                  <c:v>2545</c:v>
                </c:pt>
                <c:pt idx="19">
                  <c:v>2546</c:v>
                </c:pt>
                <c:pt idx="20">
                  <c:v>2547</c:v>
                </c:pt>
                <c:pt idx="21">
                  <c:v>2548</c:v>
                </c:pt>
                <c:pt idx="22">
                  <c:v>2549</c:v>
                </c:pt>
                <c:pt idx="23">
                  <c:v>2550</c:v>
                </c:pt>
                <c:pt idx="24">
                  <c:v>2551</c:v>
                </c:pt>
                <c:pt idx="25">
                  <c:v>2552</c:v>
                </c:pt>
                <c:pt idx="26">
                  <c:v>2601</c:v>
                </c:pt>
                <c:pt idx="27">
                  <c:v>2602</c:v>
                </c:pt>
                <c:pt idx="28">
                  <c:v>2603</c:v>
                </c:pt>
                <c:pt idx="29">
                  <c:v>2604</c:v>
                </c:pt>
                <c:pt idx="30">
                  <c:v>2605</c:v>
                </c:pt>
                <c:pt idx="31">
                  <c:v>2606</c:v>
                </c:pt>
                <c:pt idx="32">
                  <c:v>2607</c:v>
                </c:pt>
                <c:pt idx="33">
                  <c:v>2608</c:v>
                </c:pt>
                <c:pt idx="34">
                  <c:v>2609</c:v>
                </c:pt>
                <c:pt idx="35">
                  <c:v>2610</c:v>
                </c:pt>
                <c:pt idx="36">
                  <c:v>2611</c:v>
                </c:pt>
                <c:pt idx="37">
                  <c:v>2612</c:v>
                </c:pt>
                <c:pt idx="38">
                  <c:v>2613</c:v>
                </c:pt>
                <c:pt idx="39">
                  <c:v>2614</c:v>
                </c:pt>
                <c:pt idx="40">
                  <c:v>2615</c:v>
                </c:pt>
                <c:pt idx="41">
                  <c:v>2616</c:v>
                </c:pt>
                <c:pt idx="42">
                  <c:v>2617</c:v>
                </c:pt>
              </c:numCache>
            </c:numRef>
          </c:cat>
          <c:val>
            <c:numRef>
              <c:f>'Multiplier Weekly Report'!$Y$220:$BO$220</c:f>
              <c:numCache>
                <c:formatCode>0.00</c:formatCode>
                <c:ptCount val="43"/>
                <c:pt idx="14">
                  <c:v>4.07</c:v>
                </c:pt>
                <c:pt idx="15">
                  <c:v>1.29</c:v>
                </c:pt>
                <c:pt idx="16">
                  <c:v>1.2</c:v>
                </c:pt>
                <c:pt idx="17">
                  <c:v>2.2599999999999998</c:v>
                </c:pt>
                <c:pt idx="18">
                  <c:v>4.3899999999999997</c:v>
                </c:pt>
                <c:pt idx="19">
                  <c:v>3.17</c:v>
                </c:pt>
                <c:pt idx="20">
                  <c:v>2.4500000000000002</c:v>
                </c:pt>
                <c:pt idx="21">
                  <c:v>1.33</c:v>
                </c:pt>
                <c:pt idx="22">
                  <c:v>2.38</c:v>
                </c:pt>
                <c:pt idx="23">
                  <c:v>0.79</c:v>
                </c:pt>
                <c:pt idx="24">
                  <c:v>1.96</c:v>
                </c:pt>
                <c:pt idx="25">
                  <c:v>0.78</c:v>
                </c:pt>
                <c:pt idx="26">
                  <c:v>4.43</c:v>
                </c:pt>
                <c:pt idx="27">
                  <c:v>1.3</c:v>
                </c:pt>
                <c:pt idx="28">
                  <c:v>0.97</c:v>
                </c:pt>
                <c:pt idx="29">
                  <c:v>2.06</c:v>
                </c:pt>
                <c:pt idx="31">
                  <c:v>2.09</c:v>
                </c:pt>
                <c:pt idx="32">
                  <c:v>1.32</c:v>
                </c:pt>
                <c:pt idx="33">
                  <c:v>1.34</c:v>
                </c:pt>
                <c:pt idx="34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7-46DE-9853-3DA199BA8590}"/>
            </c:ext>
          </c:extLst>
        </c:ser>
        <c:ser>
          <c:idx val="1"/>
          <c:order val="1"/>
          <c:tx>
            <c:strRef>
              <c:f>'Multiplier Weekly Report'!$A$219</c:f>
              <c:strCache>
                <c:ptCount val="1"/>
                <c:pt idx="0">
                  <c:v>Mortaltiy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'Multiplier Weekly Report'!$Y$8:$BO$8</c:f>
              <c:numCache>
                <c:formatCode>General</c:formatCode>
                <c:ptCount val="43"/>
                <c:pt idx="0">
                  <c:v>2527</c:v>
                </c:pt>
                <c:pt idx="1">
                  <c:v>2528</c:v>
                </c:pt>
                <c:pt idx="2">
                  <c:v>2529</c:v>
                </c:pt>
                <c:pt idx="3">
                  <c:v>2530</c:v>
                </c:pt>
                <c:pt idx="4">
                  <c:v>2531</c:v>
                </c:pt>
                <c:pt idx="5">
                  <c:v>2532</c:v>
                </c:pt>
                <c:pt idx="6">
                  <c:v>2533</c:v>
                </c:pt>
                <c:pt idx="7">
                  <c:v>2534</c:v>
                </c:pt>
                <c:pt idx="8">
                  <c:v>2535</c:v>
                </c:pt>
                <c:pt idx="9">
                  <c:v>2536</c:v>
                </c:pt>
                <c:pt idx="10">
                  <c:v>2537</c:v>
                </c:pt>
                <c:pt idx="11">
                  <c:v>2538</c:v>
                </c:pt>
                <c:pt idx="12">
                  <c:v>2539</c:v>
                </c:pt>
                <c:pt idx="13">
                  <c:v>2540</c:v>
                </c:pt>
                <c:pt idx="14">
                  <c:v>2541</c:v>
                </c:pt>
                <c:pt idx="15">
                  <c:v>2542</c:v>
                </c:pt>
                <c:pt idx="16">
                  <c:v>2543</c:v>
                </c:pt>
                <c:pt idx="17">
                  <c:v>2544</c:v>
                </c:pt>
                <c:pt idx="18">
                  <c:v>2545</c:v>
                </c:pt>
                <c:pt idx="19">
                  <c:v>2546</c:v>
                </c:pt>
                <c:pt idx="20">
                  <c:v>2547</c:v>
                </c:pt>
                <c:pt idx="21">
                  <c:v>2548</c:v>
                </c:pt>
                <c:pt idx="22">
                  <c:v>2549</c:v>
                </c:pt>
                <c:pt idx="23">
                  <c:v>2550</c:v>
                </c:pt>
                <c:pt idx="24">
                  <c:v>2551</c:v>
                </c:pt>
                <c:pt idx="25">
                  <c:v>2552</c:v>
                </c:pt>
                <c:pt idx="26">
                  <c:v>2601</c:v>
                </c:pt>
                <c:pt idx="27">
                  <c:v>2602</c:v>
                </c:pt>
                <c:pt idx="28">
                  <c:v>2603</c:v>
                </c:pt>
                <c:pt idx="29">
                  <c:v>2604</c:v>
                </c:pt>
                <c:pt idx="30">
                  <c:v>2605</c:v>
                </c:pt>
                <c:pt idx="31">
                  <c:v>2606</c:v>
                </c:pt>
                <c:pt idx="32">
                  <c:v>2607</c:v>
                </c:pt>
                <c:pt idx="33">
                  <c:v>2608</c:v>
                </c:pt>
                <c:pt idx="34">
                  <c:v>2609</c:v>
                </c:pt>
                <c:pt idx="35">
                  <c:v>2610</c:v>
                </c:pt>
                <c:pt idx="36">
                  <c:v>2611</c:v>
                </c:pt>
                <c:pt idx="37">
                  <c:v>2612</c:v>
                </c:pt>
                <c:pt idx="38">
                  <c:v>2613</c:v>
                </c:pt>
                <c:pt idx="39">
                  <c:v>2614</c:v>
                </c:pt>
                <c:pt idx="40">
                  <c:v>2615</c:v>
                </c:pt>
                <c:pt idx="41">
                  <c:v>2616</c:v>
                </c:pt>
                <c:pt idx="42">
                  <c:v>2617</c:v>
                </c:pt>
              </c:numCache>
            </c:numRef>
          </c:cat>
          <c:val>
            <c:numRef>
              <c:f>'Multiplier Weekly Report'!$Y$219:$BO$219</c:f>
              <c:numCache>
                <c:formatCode>0.00</c:formatCode>
                <c:ptCount val="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7-46DE-9853-3DA199BA8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32352"/>
        <c:axId val="706261664"/>
      </c:lineChart>
      <c:catAx>
        <c:axId val="11233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61664"/>
        <c:crosses val="autoZero"/>
        <c:auto val="1"/>
        <c:lblAlgn val="ctr"/>
        <c:lblOffset val="100"/>
        <c:noMultiLvlLbl val="0"/>
      </c:catAx>
      <c:valAx>
        <c:axId val="706261664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12</xdr:col>
      <xdr:colOff>429108</xdr:colOff>
      <xdr:row>42</xdr:row>
      <xdr:rowOff>177536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944C026-4D8E-42FB-BF5F-93C973642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438893</xdr:colOff>
      <xdr:row>44</xdr:row>
      <xdr:rowOff>0</xdr:rowOff>
    </xdr:from>
    <xdr:to>
      <xdr:col>26</xdr:col>
      <xdr:colOff>138776</xdr:colOff>
      <xdr:row>63</xdr:row>
      <xdr:rowOff>113030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9ABD1ED5-F993-436D-BDA4-0AD08B7FE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12</xdr:col>
      <xdr:colOff>405476</xdr:colOff>
      <xdr:row>63</xdr:row>
      <xdr:rowOff>119380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E34FC4E7-C285-4FF9-A1B3-3CF29ED1B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44</xdr:row>
      <xdr:rowOff>0</xdr:rowOff>
    </xdr:from>
    <xdr:to>
      <xdr:col>40</xdr:col>
      <xdr:colOff>309600</xdr:colOff>
      <xdr:row>63</xdr:row>
      <xdr:rowOff>114480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FB01D16-A9F0-4815-BB7D-1D0CD8FA2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438893</xdr:colOff>
      <xdr:row>66</xdr:row>
      <xdr:rowOff>0</xdr:rowOff>
    </xdr:from>
    <xdr:to>
      <xdr:col>26</xdr:col>
      <xdr:colOff>138776</xdr:colOff>
      <xdr:row>85</xdr:row>
      <xdr:rowOff>113030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6DDBBA40-A38A-4543-9665-2B63C4C99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12</xdr:col>
      <xdr:colOff>405476</xdr:colOff>
      <xdr:row>85</xdr:row>
      <xdr:rowOff>119380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34F42A4B-3DC8-4D7C-B12C-5F67EFCE6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0</xdr:colOff>
      <xdr:row>66</xdr:row>
      <xdr:rowOff>0</xdr:rowOff>
    </xdr:from>
    <xdr:to>
      <xdr:col>40</xdr:col>
      <xdr:colOff>309600</xdr:colOff>
      <xdr:row>85</xdr:row>
      <xdr:rowOff>114480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BB78894-B2AA-4FA5-9121-39E09A149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438893</xdr:colOff>
      <xdr:row>88</xdr:row>
      <xdr:rowOff>0</xdr:rowOff>
    </xdr:from>
    <xdr:to>
      <xdr:col>26</xdr:col>
      <xdr:colOff>138776</xdr:colOff>
      <xdr:row>107</xdr:row>
      <xdr:rowOff>113030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A85DF2F8-294B-49F4-B5A6-EEFD03C27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12</xdr:col>
      <xdr:colOff>405476</xdr:colOff>
      <xdr:row>107</xdr:row>
      <xdr:rowOff>119380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663DB0C3-BB41-4C5D-ABAF-E42DB1A83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88</xdr:row>
      <xdr:rowOff>0</xdr:rowOff>
    </xdr:from>
    <xdr:to>
      <xdr:col>40</xdr:col>
      <xdr:colOff>309600</xdr:colOff>
      <xdr:row>107</xdr:row>
      <xdr:rowOff>114480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A1F7621-0D75-4989-8ADD-2E6443943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12</xdr:col>
      <xdr:colOff>405476</xdr:colOff>
      <xdr:row>129</xdr:row>
      <xdr:rowOff>119380</xdr:rowOff>
    </xdr:to>
    <xdr:graphicFrame macro="">
      <xdr:nvGraphicFramePr>
        <xdr:cNvPr id="26" name="Chart 3">
          <a:extLst>
            <a:ext uri="{FF2B5EF4-FFF2-40B4-BE49-F238E27FC236}">
              <a16:creationId xmlns:a16="http://schemas.microsoft.com/office/drawing/2014/main" id="{52DBC4AA-1D20-45EE-898D-0ACB6C2F4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132</xdr:row>
      <xdr:rowOff>0</xdr:rowOff>
    </xdr:from>
    <xdr:to>
      <xdr:col>12</xdr:col>
      <xdr:colOff>309600</xdr:colOff>
      <xdr:row>151</xdr:row>
      <xdr:rowOff>114480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5A0ADB5-E7A6-4ACA-9A4A-86F6F566A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396240</xdr:colOff>
      <xdr:row>132</xdr:row>
      <xdr:rowOff>7620</xdr:rowOff>
    </xdr:from>
    <xdr:to>
      <xdr:col>26</xdr:col>
      <xdr:colOff>96240</xdr:colOff>
      <xdr:row>151</xdr:row>
      <xdr:rowOff>122100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BC90BE6-07F7-4A41-A397-DBDB1F868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0</xdr:colOff>
      <xdr:row>132</xdr:row>
      <xdr:rowOff>0</xdr:rowOff>
    </xdr:from>
    <xdr:to>
      <xdr:col>39</xdr:col>
      <xdr:colOff>309600</xdr:colOff>
      <xdr:row>151</xdr:row>
      <xdr:rowOff>114480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6029CC5-A857-4AC3-9778-D184AFBFB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41</xdr:col>
      <xdr:colOff>0</xdr:colOff>
      <xdr:row>132</xdr:row>
      <xdr:rowOff>0</xdr:rowOff>
    </xdr:from>
    <xdr:to>
      <xdr:col>53</xdr:col>
      <xdr:colOff>309600</xdr:colOff>
      <xdr:row>151</xdr:row>
      <xdr:rowOff>114480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82A5B99-CE96-4449-B467-585FA32B3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55</xdr:col>
      <xdr:colOff>0</xdr:colOff>
      <xdr:row>132</xdr:row>
      <xdr:rowOff>0</xdr:rowOff>
    </xdr:from>
    <xdr:to>
      <xdr:col>67</xdr:col>
      <xdr:colOff>309600</xdr:colOff>
      <xdr:row>151</xdr:row>
      <xdr:rowOff>114480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887C331-17FC-4331-B477-99D90F53B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154</xdr:row>
      <xdr:rowOff>0</xdr:rowOff>
    </xdr:from>
    <xdr:to>
      <xdr:col>12</xdr:col>
      <xdr:colOff>405476</xdr:colOff>
      <xdr:row>173</xdr:row>
      <xdr:rowOff>119380</xdr:rowOff>
    </xdr:to>
    <xdr:graphicFrame macro="">
      <xdr:nvGraphicFramePr>
        <xdr:cNvPr id="34" name="Chart 3">
          <a:extLst>
            <a:ext uri="{FF2B5EF4-FFF2-40B4-BE49-F238E27FC236}">
              <a16:creationId xmlns:a16="http://schemas.microsoft.com/office/drawing/2014/main" id="{B398EC40-7BF8-4255-BD37-1C86ADAA8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12</xdr:col>
      <xdr:colOff>405476</xdr:colOff>
      <xdr:row>195</xdr:row>
      <xdr:rowOff>119380</xdr:rowOff>
    </xdr:to>
    <xdr:graphicFrame macro="">
      <xdr:nvGraphicFramePr>
        <xdr:cNvPr id="38" name="Chart 3">
          <a:extLst>
            <a:ext uri="{FF2B5EF4-FFF2-40B4-BE49-F238E27FC236}">
              <a16:creationId xmlns:a16="http://schemas.microsoft.com/office/drawing/2014/main" id="{A2CC26D4-0372-4E77-B3F6-AF1281797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198</xdr:row>
      <xdr:rowOff>0</xdr:rowOff>
    </xdr:from>
    <xdr:to>
      <xdr:col>12</xdr:col>
      <xdr:colOff>405476</xdr:colOff>
      <xdr:row>217</xdr:row>
      <xdr:rowOff>119380</xdr:rowOff>
    </xdr:to>
    <xdr:graphicFrame macro="">
      <xdr:nvGraphicFramePr>
        <xdr:cNvPr id="39" name="Chart 3">
          <a:extLst>
            <a:ext uri="{FF2B5EF4-FFF2-40B4-BE49-F238E27FC236}">
              <a16:creationId xmlns:a16="http://schemas.microsoft.com/office/drawing/2014/main" id="{B9BAA6E3-48B8-4968-84DE-9158DFA81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220</xdr:row>
      <xdr:rowOff>0</xdr:rowOff>
    </xdr:from>
    <xdr:to>
      <xdr:col>12</xdr:col>
      <xdr:colOff>309600</xdr:colOff>
      <xdr:row>239</xdr:row>
      <xdr:rowOff>114479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B6B0D56A-EF93-4071-AD72-779FA58E6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0</xdr:colOff>
      <xdr:row>220</xdr:row>
      <xdr:rowOff>0</xdr:rowOff>
    </xdr:from>
    <xdr:to>
      <xdr:col>26</xdr:col>
      <xdr:colOff>309600</xdr:colOff>
      <xdr:row>239</xdr:row>
      <xdr:rowOff>114479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FC27449-69F8-4D7A-9748-D3AD99781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12</xdr:col>
      <xdr:colOff>309600</xdr:colOff>
      <xdr:row>261</xdr:row>
      <xdr:rowOff>114480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86488D7-1C11-4A9C-BEDE-C52CBDA85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264</xdr:row>
      <xdr:rowOff>0</xdr:rowOff>
    </xdr:from>
    <xdr:to>
      <xdr:col>12</xdr:col>
      <xdr:colOff>309600</xdr:colOff>
      <xdr:row>283</xdr:row>
      <xdr:rowOff>114480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D425C2E-3001-4463-92D3-8B5013AB3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</xdr:col>
      <xdr:colOff>42333</xdr:colOff>
      <xdr:row>263</xdr:row>
      <xdr:rowOff>211666</xdr:rowOff>
    </xdr:from>
    <xdr:to>
      <xdr:col>26</xdr:col>
      <xdr:colOff>351933</xdr:colOff>
      <xdr:row>283</xdr:row>
      <xdr:rowOff>93313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13B0829-00C4-416E-B2B4-BBF77C5C9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286</xdr:row>
      <xdr:rowOff>0</xdr:rowOff>
    </xdr:from>
    <xdr:to>
      <xdr:col>12</xdr:col>
      <xdr:colOff>346922</xdr:colOff>
      <xdr:row>305</xdr:row>
      <xdr:rowOff>43567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56EDF19-9C29-403F-AD30-FA06AEFEB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0</xdr:colOff>
      <xdr:row>286</xdr:row>
      <xdr:rowOff>0</xdr:rowOff>
    </xdr:from>
    <xdr:to>
      <xdr:col>26</xdr:col>
      <xdr:colOff>306373</xdr:colOff>
      <xdr:row>305</xdr:row>
      <xdr:rowOff>113030</xdr:rowOff>
    </xdr:to>
    <xdr:graphicFrame macro="">
      <xdr:nvGraphicFramePr>
        <xdr:cNvPr id="48" name="Chart 1">
          <a:extLst>
            <a:ext uri="{FF2B5EF4-FFF2-40B4-BE49-F238E27FC236}">
              <a16:creationId xmlns:a16="http://schemas.microsoft.com/office/drawing/2014/main" id="{18541713-1D80-4211-9232-D626F3BA0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308</xdr:row>
      <xdr:rowOff>0</xdr:rowOff>
    </xdr:from>
    <xdr:to>
      <xdr:col>12</xdr:col>
      <xdr:colOff>309600</xdr:colOff>
      <xdr:row>327</xdr:row>
      <xdr:rowOff>114480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39A7EE5-21A1-4CD3-BB20-5CB156F43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14</xdr:col>
      <xdr:colOff>0</xdr:colOff>
      <xdr:row>308</xdr:row>
      <xdr:rowOff>0</xdr:rowOff>
    </xdr:from>
    <xdr:to>
      <xdr:col>26</xdr:col>
      <xdr:colOff>309600</xdr:colOff>
      <xdr:row>327</xdr:row>
      <xdr:rowOff>114480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34E095F4-6B79-4F94-94CD-708B21EAF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42</xdr:col>
      <xdr:colOff>0</xdr:colOff>
      <xdr:row>308</xdr:row>
      <xdr:rowOff>0</xdr:rowOff>
    </xdr:from>
    <xdr:to>
      <xdr:col>54</xdr:col>
      <xdr:colOff>309600</xdr:colOff>
      <xdr:row>327</xdr:row>
      <xdr:rowOff>114480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BC135355-831D-4ADA-8651-566774E28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28</xdr:col>
      <xdr:colOff>0</xdr:colOff>
      <xdr:row>330</xdr:row>
      <xdr:rowOff>0</xdr:rowOff>
    </xdr:from>
    <xdr:to>
      <xdr:col>40</xdr:col>
      <xdr:colOff>309600</xdr:colOff>
      <xdr:row>349</xdr:row>
      <xdr:rowOff>114480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06D9101-D894-458B-844D-A9856AF66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330</xdr:row>
      <xdr:rowOff>0</xdr:rowOff>
    </xdr:from>
    <xdr:to>
      <xdr:col>12</xdr:col>
      <xdr:colOff>309600</xdr:colOff>
      <xdr:row>349</xdr:row>
      <xdr:rowOff>114480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E1D49C6F-FB56-4A95-B92A-42D6898EE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28</xdr:col>
      <xdr:colOff>0</xdr:colOff>
      <xdr:row>286</xdr:row>
      <xdr:rowOff>0</xdr:rowOff>
    </xdr:from>
    <xdr:to>
      <xdr:col>40</xdr:col>
      <xdr:colOff>346922</xdr:colOff>
      <xdr:row>305</xdr:row>
      <xdr:rowOff>35947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27EC53DF-0626-4ACF-A527-E4437C999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42</xdr:col>
      <xdr:colOff>0</xdr:colOff>
      <xdr:row>44</xdr:row>
      <xdr:rowOff>0</xdr:rowOff>
    </xdr:from>
    <xdr:to>
      <xdr:col>54</xdr:col>
      <xdr:colOff>309601</xdr:colOff>
      <xdr:row>63</xdr:row>
      <xdr:rowOff>114480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F412EAE-0C1E-4DA8-B83B-70D8B80B7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56</xdr:col>
      <xdr:colOff>0</xdr:colOff>
      <xdr:row>44</xdr:row>
      <xdr:rowOff>0</xdr:rowOff>
    </xdr:from>
    <xdr:to>
      <xdr:col>68</xdr:col>
      <xdr:colOff>309601</xdr:colOff>
      <xdr:row>63</xdr:row>
      <xdr:rowOff>114480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E51AD6B0-2FD7-46A1-BE08-AEF691487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42</xdr:col>
      <xdr:colOff>0</xdr:colOff>
      <xdr:row>66</xdr:row>
      <xdr:rowOff>0</xdr:rowOff>
    </xdr:from>
    <xdr:to>
      <xdr:col>54</xdr:col>
      <xdr:colOff>309601</xdr:colOff>
      <xdr:row>85</xdr:row>
      <xdr:rowOff>114480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2AF1C4A3-6A7E-4351-9BCB-74A0C47C5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0</xdr:colOff>
      <xdr:row>66</xdr:row>
      <xdr:rowOff>0</xdr:rowOff>
    </xdr:from>
    <xdr:to>
      <xdr:col>68</xdr:col>
      <xdr:colOff>309601</xdr:colOff>
      <xdr:row>85</xdr:row>
      <xdr:rowOff>114480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1246DC75-40F0-4ED8-85EE-369B07DB7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70</xdr:col>
      <xdr:colOff>0</xdr:colOff>
      <xdr:row>88</xdr:row>
      <xdr:rowOff>0</xdr:rowOff>
    </xdr:from>
    <xdr:to>
      <xdr:col>82</xdr:col>
      <xdr:colOff>309599</xdr:colOff>
      <xdr:row>107</xdr:row>
      <xdr:rowOff>114480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16E8A904-AE29-4CF1-B9C2-896BAEB65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42</xdr:col>
      <xdr:colOff>0</xdr:colOff>
      <xdr:row>88</xdr:row>
      <xdr:rowOff>0</xdr:rowOff>
    </xdr:from>
    <xdr:to>
      <xdr:col>54</xdr:col>
      <xdr:colOff>309601</xdr:colOff>
      <xdr:row>107</xdr:row>
      <xdr:rowOff>114480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393CFA6-4E67-4823-AC12-7FCD5E7E2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56</xdr:col>
      <xdr:colOff>0</xdr:colOff>
      <xdr:row>88</xdr:row>
      <xdr:rowOff>0</xdr:rowOff>
    </xdr:from>
    <xdr:to>
      <xdr:col>68</xdr:col>
      <xdr:colOff>309601</xdr:colOff>
      <xdr:row>107</xdr:row>
      <xdr:rowOff>114480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3B38146B-2E44-4AA0-ACCC-4E3B8D76B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14</xdr:col>
      <xdr:colOff>0</xdr:colOff>
      <xdr:row>176</xdr:row>
      <xdr:rowOff>0</xdr:rowOff>
    </xdr:from>
    <xdr:to>
      <xdr:col>26</xdr:col>
      <xdr:colOff>405476</xdr:colOff>
      <xdr:row>195</xdr:row>
      <xdr:rowOff>119380</xdr:rowOff>
    </xdr:to>
    <xdr:graphicFrame macro="">
      <xdr:nvGraphicFramePr>
        <xdr:cNvPr id="66" name="Chart 3">
          <a:extLst>
            <a:ext uri="{FF2B5EF4-FFF2-40B4-BE49-F238E27FC236}">
              <a16:creationId xmlns:a16="http://schemas.microsoft.com/office/drawing/2014/main" id="{320EC741-561D-4B8B-8EBA-14137BDF0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28</xdr:col>
      <xdr:colOff>0</xdr:colOff>
      <xdr:row>176</xdr:row>
      <xdr:rowOff>0</xdr:rowOff>
    </xdr:from>
    <xdr:to>
      <xdr:col>40</xdr:col>
      <xdr:colOff>405475</xdr:colOff>
      <xdr:row>195</xdr:row>
      <xdr:rowOff>119380</xdr:rowOff>
    </xdr:to>
    <xdr:graphicFrame macro="">
      <xdr:nvGraphicFramePr>
        <xdr:cNvPr id="67" name="Chart 3">
          <a:extLst>
            <a:ext uri="{FF2B5EF4-FFF2-40B4-BE49-F238E27FC236}">
              <a16:creationId xmlns:a16="http://schemas.microsoft.com/office/drawing/2014/main" id="{FF058E2B-45DE-4F9E-8FB9-A9176EF24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14</xdr:col>
      <xdr:colOff>0</xdr:colOff>
      <xdr:row>198</xdr:row>
      <xdr:rowOff>0</xdr:rowOff>
    </xdr:from>
    <xdr:to>
      <xdr:col>26</xdr:col>
      <xdr:colOff>405476</xdr:colOff>
      <xdr:row>217</xdr:row>
      <xdr:rowOff>119380</xdr:rowOff>
    </xdr:to>
    <xdr:graphicFrame macro="">
      <xdr:nvGraphicFramePr>
        <xdr:cNvPr id="68" name="Chart 3">
          <a:extLst>
            <a:ext uri="{FF2B5EF4-FFF2-40B4-BE49-F238E27FC236}">
              <a16:creationId xmlns:a16="http://schemas.microsoft.com/office/drawing/2014/main" id="{117553A9-86DB-41D4-A607-3E082B857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28</xdr:col>
      <xdr:colOff>0</xdr:colOff>
      <xdr:row>198</xdr:row>
      <xdr:rowOff>0</xdr:rowOff>
    </xdr:from>
    <xdr:to>
      <xdr:col>40</xdr:col>
      <xdr:colOff>405475</xdr:colOff>
      <xdr:row>217</xdr:row>
      <xdr:rowOff>119380</xdr:rowOff>
    </xdr:to>
    <xdr:graphicFrame macro="">
      <xdr:nvGraphicFramePr>
        <xdr:cNvPr id="69" name="Chart 3">
          <a:extLst>
            <a:ext uri="{FF2B5EF4-FFF2-40B4-BE49-F238E27FC236}">
              <a16:creationId xmlns:a16="http://schemas.microsoft.com/office/drawing/2014/main" id="{2F1AE1A5-21D3-4681-9D63-CB59D8C46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28</xdr:col>
      <xdr:colOff>0</xdr:colOff>
      <xdr:row>110</xdr:row>
      <xdr:rowOff>0</xdr:rowOff>
    </xdr:from>
    <xdr:to>
      <xdr:col>40</xdr:col>
      <xdr:colOff>309600</xdr:colOff>
      <xdr:row>130</xdr:row>
      <xdr:rowOff>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B90B2A7E-0EBC-43F0-A748-C62E681BE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42</xdr:col>
      <xdr:colOff>0</xdr:colOff>
      <xdr:row>110</xdr:row>
      <xdr:rowOff>0</xdr:rowOff>
    </xdr:from>
    <xdr:to>
      <xdr:col>54</xdr:col>
      <xdr:colOff>309601</xdr:colOff>
      <xdr:row>129</xdr:row>
      <xdr:rowOff>114480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3340D040-3A64-4C29-8ACB-6D14D1B58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56</xdr:col>
      <xdr:colOff>0</xdr:colOff>
      <xdr:row>110</xdr:row>
      <xdr:rowOff>0</xdr:rowOff>
    </xdr:from>
    <xdr:to>
      <xdr:col>68</xdr:col>
      <xdr:colOff>309601</xdr:colOff>
      <xdr:row>129</xdr:row>
      <xdr:rowOff>114480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824146B-1A7C-46F9-B36C-EC938C34B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70</xdr:col>
      <xdr:colOff>0</xdr:colOff>
      <xdr:row>110</xdr:row>
      <xdr:rowOff>0</xdr:rowOff>
    </xdr:from>
    <xdr:to>
      <xdr:col>82</xdr:col>
      <xdr:colOff>311488</xdr:colOff>
      <xdr:row>129</xdr:row>
      <xdr:rowOff>113030</xdr:rowOff>
    </xdr:to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126740E4-9A81-468D-9653-95139F762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13</xdr:col>
      <xdr:colOff>411080</xdr:colOff>
      <xdr:row>110</xdr:row>
      <xdr:rowOff>10027</xdr:rowOff>
    </xdr:from>
    <xdr:to>
      <xdr:col>26</xdr:col>
      <xdr:colOff>85011</xdr:colOff>
      <xdr:row>130</xdr:row>
      <xdr:rowOff>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75EC59C7-EFE1-4159-865E-3065D7F11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84</xdr:col>
      <xdr:colOff>0</xdr:colOff>
      <xdr:row>110</xdr:row>
      <xdr:rowOff>0</xdr:rowOff>
    </xdr:from>
    <xdr:to>
      <xdr:col>96</xdr:col>
      <xdr:colOff>285537</xdr:colOff>
      <xdr:row>130</xdr:row>
      <xdr:rowOff>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2E205E12-B0B4-46F6-8767-8C5EB38FF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98</xdr:col>
      <xdr:colOff>0</xdr:colOff>
      <xdr:row>110</xdr:row>
      <xdr:rowOff>0</xdr:rowOff>
    </xdr:from>
    <xdr:to>
      <xdr:col>110</xdr:col>
      <xdr:colOff>285537</xdr:colOff>
      <xdr:row>129</xdr:row>
      <xdr:rowOff>124200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0C2592CF-DDDB-4288-BECB-6951A650D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27</xdr:col>
      <xdr:colOff>0</xdr:colOff>
      <xdr:row>154</xdr:row>
      <xdr:rowOff>10026</xdr:rowOff>
    </xdr:from>
    <xdr:to>
      <xdr:col>39</xdr:col>
      <xdr:colOff>311489</xdr:colOff>
      <xdr:row>173</xdr:row>
      <xdr:rowOff>119046</xdr:rowOff>
    </xdr:to>
    <xdr:graphicFrame macro="">
      <xdr:nvGraphicFramePr>
        <xdr:cNvPr id="80" name="Chart 1">
          <a:extLst>
            <a:ext uri="{FF2B5EF4-FFF2-40B4-BE49-F238E27FC236}">
              <a16:creationId xmlns:a16="http://schemas.microsoft.com/office/drawing/2014/main" id="{26A0B54D-AD8D-48AA-B23A-809813288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13</xdr:col>
      <xdr:colOff>391027</xdr:colOff>
      <xdr:row>154</xdr:row>
      <xdr:rowOff>10026</xdr:rowOff>
    </xdr:from>
    <xdr:to>
      <xdr:col>26</xdr:col>
      <xdr:colOff>184897</xdr:colOff>
      <xdr:row>173</xdr:row>
      <xdr:rowOff>129406</xdr:rowOff>
    </xdr:to>
    <xdr:graphicFrame macro="">
      <xdr:nvGraphicFramePr>
        <xdr:cNvPr id="81" name="Chart 3">
          <a:extLst>
            <a:ext uri="{FF2B5EF4-FFF2-40B4-BE49-F238E27FC236}">
              <a16:creationId xmlns:a16="http://schemas.microsoft.com/office/drawing/2014/main" id="{D46272FA-F12F-409B-AB2A-BF663D735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41</xdr:col>
      <xdr:colOff>0</xdr:colOff>
      <xdr:row>154</xdr:row>
      <xdr:rowOff>0</xdr:rowOff>
    </xdr:from>
    <xdr:to>
      <xdr:col>53</xdr:col>
      <xdr:colOff>285537</xdr:colOff>
      <xdr:row>174</xdr:row>
      <xdr:rowOff>10026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C6D83D82-EF2D-400E-8A9C-573BFC684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83</xdr:col>
      <xdr:colOff>51134</xdr:colOff>
      <xdr:row>198</xdr:row>
      <xdr:rowOff>0</xdr:rowOff>
    </xdr:from>
    <xdr:to>
      <xdr:col>95</xdr:col>
      <xdr:colOff>432547</xdr:colOff>
      <xdr:row>218</xdr:row>
      <xdr:rowOff>8589</xdr:rowOff>
    </xdr:to>
    <xdr:graphicFrame macro="">
      <xdr:nvGraphicFramePr>
        <xdr:cNvPr id="83" name="Chart 3">
          <a:extLst>
            <a:ext uri="{FF2B5EF4-FFF2-40B4-BE49-F238E27FC236}">
              <a16:creationId xmlns:a16="http://schemas.microsoft.com/office/drawing/2014/main" id="{8517AA77-B2E0-4EF7-B74A-8449F7362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55</xdr:col>
      <xdr:colOff>107282</xdr:colOff>
      <xdr:row>198</xdr:row>
      <xdr:rowOff>0</xdr:rowOff>
    </xdr:from>
    <xdr:to>
      <xdr:col>67</xdr:col>
      <xdr:colOff>488694</xdr:colOff>
      <xdr:row>218</xdr:row>
      <xdr:rowOff>8589</xdr:rowOff>
    </xdr:to>
    <xdr:graphicFrame macro="">
      <xdr:nvGraphicFramePr>
        <xdr:cNvPr id="84" name="Chart 3">
          <a:extLst>
            <a:ext uri="{FF2B5EF4-FFF2-40B4-BE49-F238E27FC236}">
              <a16:creationId xmlns:a16="http://schemas.microsoft.com/office/drawing/2014/main" id="{42D182F2-8287-4ED7-AE40-0058F8C8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69</xdr:col>
      <xdr:colOff>79208</xdr:colOff>
      <xdr:row>198</xdr:row>
      <xdr:rowOff>0</xdr:rowOff>
    </xdr:from>
    <xdr:to>
      <xdr:col>81</xdr:col>
      <xdr:colOff>460620</xdr:colOff>
      <xdr:row>218</xdr:row>
      <xdr:rowOff>8589</xdr:rowOff>
    </xdr:to>
    <xdr:graphicFrame macro="">
      <xdr:nvGraphicFramePr>
        <xdr:cNvPr id="85" name="Chart 3">
          <a:extLst>
            <a:ext uri="{FF2B5EF4-FFF2-40B4-BE49-F238E27FC236}">
              <a16:creationId xmlns:a16="http://schemas.microsoft.com/office/drawing/2014/main" id="{6F71B390-62BD-44DF-BC81-AF9E12B19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42</xdr:col>
      <xdr:colOff>0</xdr:colOff>
      <xdr:row>198</xdr:row>
      <xdr:rowOff>0</xdr:rowOff>
    </xdr:from>
    <xdr:to>
      <xdr:col>54</xdr:col>
      <xdr:colOff>381413</xdr:colOff>
      <xdr:row>218</xdr:row>
      <xdr:rowOff>8589</xdr:rowOff>
    </xdr:to>
    <xdr:graphicFrame macro="">
      <xdr:nvGraphicFramePr>
        <xdr:cNvPr id="86" name="Chart 3">
          <a:extLst>
            <a:ext uri="{FF2B5EF4-FFF2-40B4-BE49-F238E27FC236}">
              <a16:creationId xmlns:a16="http://schemas.microsoft.com/office/drawing/2014/main" id="{6C033011-E35A-4E18-925D-C017FDCB0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28</xdr:col>
      <xdr:colOff>0</xdr:colOff>
      <xdr:row>308</xdr:row>
      <xdr:rowOff>31750</xdr:rowOff>
    </xdr:from>
    <xdr:to>
      <xdr:col>40</xdr:col>
      <xdr:colOff>309599</xdr:colOff>
      <xdr:row>328</xdr:row>
      <xdr:rowOff>35941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B1683875-82AD-4363-AEB0-F3C5FD6EF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429108</xdr:colOff>
      <xdr:row>20</xdr:row>
      <xdr:rowOff>177536</xdr:rowOff>
    </xdr:to>
    <xdr:graphicFrame macro="">
      <xdr:nvGraphicFramePr>
        <xdr:cNvPr id="71" name="Chart 1">
          <a:extLst>
            <a:ext uri="{FF2B5EF4-FFF2-40B4-BE49-F238E27FC236}">
              <a16:creationId xmlns:a16="http://schemas.microsoft.com/office/drawing/2014/main" id="{E629F3C7-7596-4BC9-ACBF-28ABD0A29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26</xdr:col>
      <xdr:colOff>353209</xdr:colOff>
      <xdr:row>20</xdr:row>
      <xdr:rowOff>177910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80F9C159-77D8-453C-BBEA-E418C485D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42</xdr:col>
      <xdr:colOff>0</xdr:colOff>
      <xdr:row>0</xdr:row>
      <xdr:rowOff>0</xdr:rowOff>
    </xdr:from>
    <xdr:to>
      <xdr:col>54</xdr:col>
      <xdr:colOff>309599</xdr:colOff>
      <xdr:row>20</xdr:row>
      <xdr:rowOff>176463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96C00773-6DC5-4521-9EF1-13BC80794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56</xdr:col>
      <xdr:colOff>0</xdr:colOff>
      <xdr:row>0</xdr:row>
      <xdr:rowOff>0</xdr:rowOff>
    </xdr:from>
    <xdr:to>
      <xdr:col>68</xdr:col>
      <xdr:colOff>309599</xdr:colOff>
      <xdr:row>20</xdr:row>
      <xdr:rowOff>176463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6E00CE97-14BD-4215-AEFB-242A29EA8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26</xdr:col>
      <xdr:colOff>355215</xdr:colOff>
      <xdr:row>42</xdr:row>
      <xdr:rowOff>173900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EDD69432-2FFB-49F5-A380-2D1C326B3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40</xdr:col>
      <xdr:colOff>285536</xdr:colOff>
      <xdr:row>21</xdr:row>
      <xdr:rowOff>1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DE0EF51C-4832-4945-8F82-E76A0F025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70</xdr:col>
      <xdr:colOff>0</xdr:colOff>
      <xdr:row>0</xdr:row>
      <xdr:rowOff>0</xdr:rowOff>
    </xdr:from>
    <xdr:to>
      <xdr:col>82</xdr:col>
      <xdr:colOff>285536</xdr:colOff>
      <xdr:row>21</xdr:row>
      <xdr:rowOff>9523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767F2ACF-33E2-4D3C-98F8-229EFD2AD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14</xdr:col>
      <xdr:colOff>0</xdr:colOff>
      <xdr:row>330</xdr:row>
      <xdr:rowOff>0</xdr:rowOff>
    </xdr:from>
    <xdr:to>
      <xdr:col>26</xdr:col>
      <xdr:colOff>309600</xdr:colOff>
      <xdr:row>349</xdr:row>
      <xdr:rowOff>114480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74F256E9-7B7D-425E-B76F-1069209DA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ra Baum" id="{AAF435D1-7B68-4D00-85FB-30BC9F6C178B}" userId="S::lara@grasmere.co.zw::77f1e3be-13a4-4ac1-b63b-6f9061c8bba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166" dT="2026-05-26T07:29:35.36" personId="{AAF435D1-7B68-4D00-85FB-30BC9F6C178B}" id="{E4AE9D32-6D78-4A84-B80F-B7288ED13E44}">
    <text>NO 2NDS</text>
  </threadedComment>
  <threadedComment ref="BE169" dT="2026-08-17T14:37:48.10" personId="{AAF435D1-7B68-4D00-85FB-30BC9F6C178B}" id="{8421EE12-4482-4A0E-A51A-13E8038275D0}">
    <text>8 sows farrowed less than 13 BA piglets all parities</text>
  </threadedComment>
  <threadedComment ref="BG170" dT="2026-08-17T14:42:27.96" personId="{AAF435D1-7B68-4D00-85FB-30BC9F6C178B}" id="{59138720-9F96-4E2F-A664-80D23341AF7A}">
    <text>TB 16 BD 3
TB 18 BD 4
TB 22 BD 3
TB 23 BD 1</text>
  </threadedComment>
  <threadedComment ref="BF193" dT="2026-08-17T14:50:16.21" personId="{AAF435D1-7B68-4D00-85FB-30BC9F6C178B}" id="{BEF241E1-1B89-4F0C-8DFE-7C094C805A23}">
    <text>New Topigs formula used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84B1-C75B-4E9D-AE97-F601A0A89E44}">
  <sheetPr>
    <pageSetUpPr fitToPage="1"/>
  </sheetPr>
  <dimension ref="A1:M330"/>
  <sheetViews>
    <sheetView showGridLines="0" topLeftCell="A65" zoomScale="98" zoomScaleNormal="98" workbookViewId="0">
      <selection activeCell="Q1" sqref="Q1"/>
    </sheetView>
  </sheetViews>
  <sheetFormatPr defaultColWidth="8.85546875" defaultRowHeight="15"/>
  <cols>
    <col min="1" max="16384" width="8.85546875" style="65"/>
  </cols>
  <sheetData>
    <row r="1" spans="1:1">
      <c r="A1" s="64"/>
    </row>
    <row r="9" spans="1:1">
      <c r="A9" s="64"/>
    </row>
    <row r="17" spans="1:1">
      <c r="A17" s="64"/>
    </row>
    <row r="22" spans="1:1" s="63" customFormat="1" ht="24.6" customHeight="1">
      <c r="A22" s="62" t="s">
        <v>68</v>
      </c>
    </row>
    <row r="23" spans="1:1">
      <c r="A23" s="64"/>
    </row>
    <row r="31" spans="1:1">
      <c r="A31" s="64"/>
    </row>
    <row r="37" spans="1:13">
      <c r="M37" s="65" t="s">
        <v>136</v>
      </c>
    </row>
    <row r="39" spans="1:13">
      <c r="A39" s="64"/>
    </row>
    <row r="44" spans="1:13" s="63" customFormat="1" ht="25.9" customHeight="1">
      <c r="A44" s="62" t="s">
        <v>69</v>
      </c>
    </row>
    <row r="45" spans="1:13">
      <c r="A45" s="64"/>
    </row>
    <row r="50" spans="1:1">
      <c r="A50" s="64"/>
    </row>
    <row r="56" spans="1:1">
      <c r="A56" s="64"/>
    </row>
    <row r="62" spans="1:1">
      <c r="A62" s="64"/>
    </row>
    <row r="64" spans="1:1" ht="9.6" customHeight="1"/>
    <row r="65" spans="1:1" s="63" customFormat="1"/>
    <row r="66" spans="1:1" s="63" customFormat="1" ht="18">
      <c r="A66" s="62" t="s">
        <v>70</v>
      </c>
    </row>
    <row r="68" spans="1:1">
      <c r="A68" s="64"/>
    </row>
    <row r="73" spans="1:1">
      <c r="A73" s="64"/>
    </row>
    <row r="78" spans="1:1">
      <c r="A78" s="64"/>
    </row>
    <row r="84" spans="1:1">
      <c r="A84" s="64"/>
    </row>
    <row r="86" spans="1:1" ht="9.6" customHeight="1"/>
    <row r="87" spans="1:1" s="63" customFormat="1"/>
    <row r="88" spans="1:1" s="63" customFormat="1" ht="18">
      <c r="A88" s="62" t="s">
        <v>72</v>
      </c>
    </row>
    <row r="89" spans="1:1">
      <c r="A89" s="64"/>
    </row>
    <row r="95" spans="1:1">
      <c r="A95" s="64"/>
    </row>
    <row r="101" spans="1:1">
      <c r="A101" s="64"/>
    </row>
    <row r="107" spans="1:1">
      <c r="A107" s="64"/>
    </row>
    <row r="108" spans="1:1" ht="9.6" customHeight="1"/>
    <row r="109" spans="1:1" s="63" customFormat="1"/>
    <row r="110" spans="1:1" s="63" customFormat="1" ht="18">
      <c r="A110" s="62" t="s">
        <v>73</v>
      </c>
    </row>
    <row r="130" spans="1:1" ht="10.15" customHeight="1"/>
    <row r="131" spans="1:1" s="63" customFormat="1"/>
    <row r="132" spans="1:1" s="63" customFormat="1" ht="18">
      <c r="A132" s="62" t="s">
        <v>74</v>
      </c>
    </row>
    <row r="152" spans="1:1" ht="9.6" customHeight="1"/>
    <row r="153" spans="1:1" s="63" customFormat="1"/>
    <row r="154" spans="1:1" s="63" customFormat="1" ht="18">
      <c r="A154" s="62" t="s">
        <v>75</v>
      </c>
    </row>
    <row r="174" spans="1:1" ht="10.15" customHeight="1"/>
    <row r="175" spans="1:1" s="63" customFormat="1"/>
    <row r="176" spans="1:1" s="63" customFormat="1" ht="18">
      <c r="A176" s="62" t="s">
        <v>76</v>
      </c>
    </row>
    <row r="196" spans="1:1" ht="10.15" customHeight="1"/>
    <row r="197" spans="1:1" s="63" customFormat="1"/>
    <row r="198" spans="1:1" s="63" customFormat="1" ht="18">
      <c r="A198" s="62" t="s">
        <v>77</v>
      </c>
    </row>
    <row r="218" spans="1:1" ht="9.6" customHeight="1"/>
    <row r="219" spans="1:1" s="63" customFormat="1"/>
    <row r="220" spans="1:1" s="63" customFormat="1" ht="18">
      <c r="A220" s="62" t="s">
        <v>78</v>
      </c>
    </row>
    <row r="240" ht="9.6" customHeight="1"/>
    <row r="241" spans="1:1" s="63" customFormat="1"/>
    <row r="242" spans="1:1" s="63" customFormat="1" ht="18">
      <c r="A242" s="62" t="s">
        <v>79</v>
      </c>
    </row>
    <row r="262" spans="1:1" ht="9" customHeight="1"/>
    <row r="263" spans="1:1" s="63" customFormat="1"/>
    <row r="264" spans="1:1" s="63" customFormat="1" ht="18">
      <c r="A264" s="62" t="s">
        <v>80</v>
      </c>
    </row>
    <row r="284" spans="1:1" ht="9.6" customHeight="1"/>
    <row r="285" spans="1:1" s="63" customFormat="1"/>
    <row r="286" spans="1:1" s="63" customFormat="1" ht="18">
      <c r="A286" s="62" t="s">
        <v>81</v>
      </c>
    </row>
    <row r="306" spans="1:1" ht="3" customHeight="1"/>
    <row r="307" spans="1:1" s="63" customFormat="1"/>
    <row r="308" spans="1:1" s="63" customFormat="1" ht="18">
      <c r="A308" s="62" t="s">
        <v>82</v>
      </c>
    </row>
    <row r="328" spans="1:1" ht="9" customHeight="1"/>
    <row r="329" spans="1:1" s="63" customFormat="1"/>
    <row r="330" spans="1:1" s="63" customFormat="1" ht="18">
      <c r="A330" s="62" t="s">
        <v>83</v>
      </c>
    </row>
  </sheetData>
  <sheetProtection selectLockedCells="1" selectUn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303"/>
  <sheetViews>
    <sheetView tabSelected="1" zoomScale="80" zoomScaleNormal="80" workbookViewId="0">
      <pane xSplit="1" ySplit="9" topLeftCell="AX151" activePane="bottomRight" state="frozen"/>
      <selection pane="topRight" activeCell="B1" sqref="B1"/>
      <selection pane="bottomLeft" activeCell="A5" sqref="A5"/>
      <selection pane="bottomRight" activeCell="BI165" sqref="BI165"/>
    </sheetView>
  </sheetViews>
  <sheetFormatPr defaultColWidth="8.7109375" defaultRowHeight="18.75"/>
  <cols>
    <col min="1" max="1" width="65.5703125" customWidth="1"/>
    <col min="2" max="2" width="16.140625" style="4" customWidth="1"/>
    <col min="3" max="3" width="14.28515625" style="4" customWidth="1"/>
    <col min="4" max="4" width="12" style="4" customWidth="1"/>
    <col min="5" max="5" width="10.7109375" style="4" customWidth="1"/>
    <col min="6" max="6" width="12.42578125" customWidth="1"/>
    <col min="7" max="7" width="12.85546875" customWidth="1"/>
    <col min="8" max="8" width="13.42578125" customWidth="1"/>
    <col min="9" max="9" width="12.85546875" customWidth="1"/>
    <col min="10" max="11" width="12.5703125" customWidth="1"/>
    <col min="12" max="12" width="12.85546875" customWidth="1"/>
    <col min="13" max="13" width="13.42578125" customWidth="1"/>
    <col min="14" max="14" width="14.28515625" customWidth="1"/>
    <col min="15" max="15" width="13.85546875" customWidth="1"/>
    <col min="16" max="16" width="12" customWidth="1"/>
    <col min="17" max="18" width="11.140625" customWidth="1"/>
    <col min="19" max="19" width="10.7109375" customWidth="1"/>
    <col min="20" max="20" width="13" bestFit="1" customWidth="1"/>
    <col min="21" max="21" width="10.85546875" bestFit="1" customWidth="1"/>
    <col min="22" max="23" width="13.42578125" bestFit="1" customWidth="1"/>
    <col min="24" max="27" width="11.140625" customWidth="1"/>
    <col min="28" max="28" width="11.140625" bestFit="1" customWidth="1"/>
    <col min="29" max="29" width="10.7109375" bestFit="1" customWidth="1"/>
    <col min="30" max="47" width="11.140625" bestFit="1" customWidth="1"/>
    <col min="48" max="48" width="12" bestFit="1" customWidth="1"/>
    <col min="49" max="50" width="11.140625" bestFit="1" customWidth="1"/>
    <col min="51" max="51" width="12" bestFit="1" customWidth="1"/>
    <col min="52" max="61" width="11.140625" bestFit="1" customWidth="1"/>
    <col min="62" max="63" width="10.85546875" bestFit="1" customWidth="1"/>
    <col min="64" max="79" width="10.7109375" customWidth="1"/>
  </cols>
  <sheetData>
    <row r="1" spans="1:79" s="4" customFormat="1" ht="18.600000000000001" customHeight="1">
      <c r="A1" s="192" t="s">
        <v>142</v>
      </c>
      <c r="B1" s="4">
        <v>2523</v>
      </c>
      <c r="C1" s="4">
        <v>2524</v>
      </c>
      <c r="D1" s="4">
        <v>2525</v>
      </c>
      <c r="E1" s="4">
        <v>2526</v>
      </c>
      <c r="F1" s="4">
        <v>2527</v>
      </c>
      <c r="G1" s="4">
        <v>2528</v>
      </c>
      <c r="H1" s="4">
        <v>2529</v>
      </c>
      <c r="I1" s="4">
        <v>2530</v>
      </c>
      <c r="J1" s="4">
        <v>2531</v>
      </c>
      <c r="K1" s="4">
        <v>2532</v>
      </c>
      <c r="L1" s="4">
        <v>2533</v>
      </c>
      <c r="M1" s="4">
        <v>2534</v>
      </c>
      <c r="N1" s="4">
        <v>2535</v>
      </c>
      <c r="O1" s="4">
        <v>2536</v>
      </c>
      <c r="P1" s="4">
        <v>2537</v>
      </c>
      <c r="Q1" s="4">
        <v>2538</v>
      </c>
      <c r="R1" s="4">
        <v>2539</v>
      </c>
      <c r="S1" s="4">
        <v>2540</v>
      </c>
      <c r="T1" s="4">
        <v>2541</v>
      </c>
      <c r="U1" s="4">
        <v>2542</v>
      </c>
      <c r="V1" s="4">
        <v>2543</v>
      </c>
      <c r="W1" s="4">
        <v>2544</v>
      </c>
      <c r="X1" s="4">
        <v>2545</v>
      </c>
      <c r="Y1" s="4">
        <v>2546</v>
      </c>
      <c r="Z1" s="4">
        <v>2547</v>
      </c>
      <c r="AA1" s="4">
        <v>2548</v>
      </c>
      <c r="AB1" s="4">
        <v>2549</v>
      </c>
      <c r="AC1" s="4">
        <v>2550</v>
      </c>
      <c r="AD1" s="4">
        <v>2551</v>
      </c>
      <c r="AE1" s="4">
        <v>2552</v>
      </c>
      <c r="AF1" s="4">
        <v>2601</v>
      </c>
      <c r="AG1" s="4">
        <v>2602</v>
      </c>
      <c r="AH1" s="4">
        <v>2603</v>
      </c>
      <c r="AI1" s="4">
        <v>2604</v>
      </c>
      <c r="AJ1" s="4">
        <v>2605</v>
      </c>
      <c r="AK1" s="4">
        <v>2606</v>
      </c>
      <c r="AL1" s="4">
        <v>2607</v>
      </c>
      <c r="AM1" s="4">
        <v>2608</v>
      </c>
      <c r="AN1" s="4">
        <v>2609</v>
      </c>
      <c r="AO1" s="4">
        <v>2610</v>
      </c>
      <c r="AP1" s="4">
        <v>2611</v>
      </c>
      <c r="AQ1" s="4">
        <v>2612</v>
      </c>
      <c r="AR1" s="4">
        <v>2613</v>
      </c>
      <c r="AS1" s="4">
        <v>2614</v>
      </c>
      <c r="AT1" s="4">
        <v>2615</v>
      </c>
      <c r="AU1" s="4">
        <v>2616</v>
      </c>
      <c r="AV1" s="4">
        <v>2617</v>
      </c>
      <c r="AW1" s="4">
        <v>2618</v>
      </c>
      <c r="AX1" s="4">
        <v>2619</v>
      </c>
      <c r="AY1" s="4">
        <v>2620</v>
      </c>
      <c r="AZ1" s="4">
        <v>2621</v>
      </c>
      <c r="BA1" s="4">
        <v>2622</v>
      </c>
      <c r="BB1" s="4">
        <v>2623</v>
      </c>
      <c r="BC1" s="4">
        <v>2624</v>
      </c>
      <c r="BD1" s="4">
        <v>2625</v>
      </c>
      <c r="BE1" s="4">
        <v>2626</v>
      </c>
      <c r="BF1" s="4">
        <v>2627</v>
      </c>
      <c r="BG1" s="4">
        <v>2628</v>
      </c>
      <c r="BH1" s="4">
        <v>2629</v>
      </c>
      <c r="BI1" s="4">
        <v>2630</v>
      </c>
      <c r="BJ1" s="4">
        <v>2631</v>
      </c>
      <c r="BK1" s="4">
        <v>2632</v>
      </c>
      <c r="BL1" s="4">
        <v>2633</v>
      </c>
      <c r="BM1" s="4">
        <v>2634</v>
      </c>
      <c r="BN1" s="4">
        <v>2635</v>
      </c>
      <c r="BO1" s="4">
        <v>2636</v>
      </c>
      <c r="BP1" s="4">
        <v>2637</v>
      </c>
      <c r="BQ1" s="4">
        <v>2638</v>
      </c>
      <c r="BR1" s="4">
        <v>2639</v>
      </c>
      <c r="BS1" s="4">
        <v>2640</v>
      </c>
      <c r="BT1" s="4">
        <v>2641</v>
      </c>
      <c r="BU1" s="4">
        <v>2642</v>
      </c>
      <c r="BV1" s="4">
        <v>2643</v>
      </c>
      <c r="BW1" s="4">
        <v>2644</v>
      </c>
      <c r="BX1" s="4">
        <v>2645</v>
      </c>
      <c r="BY1" s="4">
        <v>2646</v>
      </c>
      <c r="BZ1" s="4">
        <v>2647</v>
      </c>
      <c r="CA1" s="4">
        <v>2648</v>
      </c>
    </row>
    <row r="2" spans="1:79" s="4" customFormat="1" ht="18.600000000000001" customHeight="1">
      <c r="A2" s="192" t="s">
        <v>68</v>
      </c>
      <c r="B2" s="4">
        <v>2517</v>
      </c>
      <c r="C2" s="4">
        <v>2518</v>
      </c>
      <c r="D2" s="4">
        <v>2519</v>
      </c>
      <c r="E2" s="4">
        <v>2520</v>
      </c>
      <c r="F2" s="4">
        <v>2521</v>
      </c>
      <c r="G2" s="4">
        <v>2522</v>
      </c>
      <c r="H2" s="4">
        <v>2523</v>
      </c>
      <c r="I2" s="4">
        <v>2524</v>
      </c>
      <c r="J2" s="4">
        <v>2525</v>
      </c>
      <c r="K2" s="4">
        <v>2526</v>
      </c>
      <c r="L2" s="4">
        <v>2527</v>
      </c>
      <c r="M2" s="4">
        <v>2528</v>
      </c>
      <c r="N2" s="4">
        <v>2529</v>
      </c>
      <c r="O2" s="4">
        <v>2530</v>
      </c>
      <c r="P2" s="4">
        <v>2531</v>
      </c>
      <c r="Q2" s="4">
        <v>2532</v>
      </c>
      <c r="R2" s="4">
        <v>2533</v>
      </c>
      <c r="S2" s="4">
        <v>2534</v>
      </c>
      <c r="T2" s="4">
        <v>2535</v>
      </c>
      <c r="U2" s="4">
        <v>2536</v>
      </c>
      <c r="V2" s="4">
        <v>2537</v>
      </c>
      <c r="W2" s="4">
        <v>2538</v>
      </c>
      <c r="X2" s="4">
        <v>2539</v>
      </c>
      <c r="Y2" s="4">
        <v>2540</v>
      </c>
      <c r="Z2" s="4">
        <v>2541</v>
      </c>
      <c r="AA2" s="4">
        <v>2542</v>
      </c>
      <c r="AB2" s="4">
        <v>2543</v>
      </c>
      <c r="AC2" s="4">
        <v>2544</v>
      </c>
      <c r="AD2" s="4">
        <v>2545</v>
      </c>
      <c r="AE2" s="4">
        <v>2546</v>
      </c>
      <c r="AF2" s="4">
        <v>2547</v>
      </c>
      <c r="AG2" s="4">
        <v>2548</v>
      </c>
      <c r="AH2" s="4">
        <v>2549</v>
      </c>
      <c r="AI2" s="4">
        <v>2550</v>
      </c>
      <c r="AJ2" s="4">
        <v>2551</v>
      </c>
      <c r="AK2" s="4">
        <v>2552</v>
      </c>
      <c r="AL2" s="4">
        <v>2601</v>
      </c>
      <c r="AM2" s="4">
        <v>2602</v>
      </c>
      <c r="AN2" s="4">
        <v>2603</v>
      </c>
      <c r="AO2" s="4">
        <v>2604</v>
      </c>
      <c r="AP2" s="4">
        <v>2605</v>
      </c>
      <c r="AQ2" s="4">
        <v>2606</v>
      </c>
      <c r="AR2" s="4">
        <v>2607</v>
      </c>
      <c r="AS2" s="4">
        <v>2608</v>
      </c>
      <c r="AT2" s="4">
        <v>2609</v>
      </c>
      <c r="AU2" s="4">
        <v>2610</v>
      </c>
      <c r="AV2" s="4">
        <v>2611</v>
      </c>
      <c r="AW2" s="4">
        <v>2612</v>
      </c>
      <c r="AX2" s="4">
        <v>2613</v>
      </c>
      <c r="AY2" s="4">
        <v>2614</v>
      </c>
      <c r="AZ2" s="4">
        <v>2615</v>
      </c>
      <c r="BA2" s="4">
        <v>2616</v>
      </c>
      <c r="BB2" s="4">
        <v>2617</v>
      </c>
      <c r="BC2" s="4">
        <v>2618</v>
      </c>
      <c r="BD2" s="4">
        <v>2619</v>
      </c>
      <c r="BE2" s="4">
        <v>2620</v>
      </c>
      <c r="BF2" s="4">
        <v>2621</v>
      </c>
      <c r="BG2" s="4">
        <v>2622</v>
      </c>
      <c r="BH2" s="4">
        <v>2623</v>
      </c>
      <c r="BI2" s="4">
        <v>2624</v>
      </c>
      <c r="BJ2" s="4">
        <v>2625</v>
      </c>
      <c r="BK2" s="4">
        <v>2626</v>
      </c>
      <c r="BL2" s="4">
        <v>2627</v>
      </c>
      <c r="BM2" s="4">
        <v>2628</v>
      </c>
      <c r="BN2" s="4">
        <v>2629</v>
      </c>
      <c r="BO2" s="4">
        <v>2630</v>
      </c>
      <c r="BP2" s="4">
        <v>2631</v>
      </c>
      <c r="BQ2" s="4">
        <v>2632</v>
      </c>
      <c r="BR2" s="4">
        <v>2633</v>
      </c>
      <c r="BS2" s="4">
        <v>2634</v>
      </c>
      <c r="BT2" s="4">
        <v>2635</v>
      </c>
      <c r="BU2" s="4">
        <v>2636</v>
      </c>
      <c r="BV2" s="4">
        <v>2637</v>
      </c>
      <c r="BW2" s="4">
        <v>2638</v>
      </c>
      <c r="BX2" s="4">
        <v>2639</v>
      </c>
      <c r="BY2" s="4">
        <v>2640</v>
      </c>
      <c r="BZ2" s="4">
        <v>2641</v>
      </c>
      <c r="CA2" s="4">
        <v>2642</v>
      </c>
    </row>
    <row r="3" spans="1:79" s="4" customFormat="1" ht="18.600000000000001" customHeight="1">
      <c r="A3" s="192" t="s">
        <v>69</v>
      </c>
      <c r="B3" s="4">
        <v>2511</v>
      </c>
      <c r="C3" s="4">
        <v>2512</v>
      </c>
      <c r="D3" s="4">
        <v>2513</v>
      </c>
      <c r="E3" s="4">
        <v>2514</v>
      </c>
      <c r="F3" s="4">
        <v>2515</v>
      </c>
      <c r="G3" s="4">
        <v>2516</v>
      </c>
      <c r="H3" s="4">
        <v>2517</v>
      </c>
      <c r="I3" s="4">
        <v>2518</v>
      </c>
      <c r="J3" s="4">
        <v>2519</v>
      </c>
      <c r="K3" s="4">
        <v>2520</v>
      </c>
      <c r="L3" s="4">
        <v>2521</v>
      </c>
      <c r="M3" s="4">
        <v>2522</v>
      </c>
      <c r="N3" s="4">
        <v>2523</v>
      </c>
      <c r="O3" s="4">
        <v>2524</v>
      </c>
      <c r="P3" s="4">
        <v>2525</v>
      </c>
      <c r="Q3" s="4">
        <v>2526</v>
      </c>
      <c r="R3" s="4">
        <v>2527</v>
      </c>
      <c r="S3" s="4">
        <v>2528</v>
      </c>
      <c r="T3" s="4">
        <v>2529</v>
      </c>
      <c r="U3" s="4">
        <v>2530</v>
      </c>
      <c r="V3" s="4">
        <v>2531</v>
      </c>
      <c r="W3" s="4">
        <v>2532</v>
      </c>
      <c r="X3" s="4">
        <v>2533</v>
      </c>
      <c r="Y3" s="4">
        <v>2534</v>
      </c>
      <c r="Z3" s="4">
        <v>2535</v>
      </c>
      <c r="AA3" s="4">
        <v>2536</v>
      </c>
      <c r="AB3" s="4">
        <v>2537</v>
      </c>
      <c r="AC3" s="4">
        <v>2538</v>
      </c>
      <c r="AD3" s="4">
        <v>2539</v>
      </c>
      <c r="AE3" s="4">
        <v>2540</v>
      </c>
      <c r="AF3" s="4">
        <v>2541</v>
      </c>
      <c r="AG3" s="4">
        <v>2542</v>
      </c>
      <c r="AH3" s="4">
        <v>2543</v>
      </c>
      <c r="AI3" s="4">
        <v>2544</v>
      </c>
      <c r="AJ3" s="4">
        <v>2545</v>
      </c>
      <c r="AK3" s="4">
        <v>2546</v>
      </c>
      <c r="AL3" s="4">
        <v>2547</v>
      </c>
      <c r="AM3" s="4">
        <v>2548</v>
      </c>
      <c r="AN3" s="4">
        <v>2549</v>
      </c>
      <c r="AO3" s="4">
        <v>2550</v>
      </c>
      <c r="AP3" s="4">
        <v>2551</v>
      </c>
      <c r="AQ3" s="4">
        <v>2552</v>
      </c>
      <c r="AR3" s="4">
        <v>2601</v>
      </c>
      <c r="AS3" s="4">
        <v>2602</v>
      </c>
      <c r="AT3" s="4">
        <v>2603</v>
      </c>
      <c r="AU3" s="4">
        <v>2604</v>
      </c>
      <c r="AV3" s="4">
        <v>2605</v>
      </c>
      <c r="AW3" s="4">
        <v>2606</v>
      </c>
      <c r="AX3" s="4">
        <v>2607</v>
      </c>
      <c r="AY3" s="4">
        <v>2608</v>
      </c>
      <c r="AZ3" s="4">
        <v>2609</v>
      </c>
      <c r="BA3" s="4">
        <v>2610</v>
      </c>
      <c r="BB3" s="4">
        <v>2611</v>
      </c>
      <c r="BC3" s="4">
        <v>2612</v>
      </c>
      <c r="BD3" s="4">
        <v>2613</v>
      </c>
      <c r="BE3" s="4">
        <v>2614</v>
      </c>
      <c r="BF3" s="4">
        <v>2615</v>
      </c>
      <c r="BG3" s="4">
        <v>2616</v>
      </c>
      <c r="BH3" s="4">
        <v>2617</v>
      </c>
      <c r="BI3" s="4">
        <v>2618</v>
      </c>
      <c r="BJ3" s="4">
        <v>2619</v>
      </c>
      <c r="BK3" s="4">
        <v>2620</v>
      </c>
      <c r="BL3" s="4">
        <v>2621</v>
      </c>
      <c r="BM3" s="4">
        <v>2622</v>
      </c>
      <c r="BN3" s="4">
        <v>2623</v>
      </c>
      <c r="BO3" s="4">
        <v>2624</v>
      </c>
      <c r="BP3" s="4">
        <v>2625</v>
      </c>
      <c r="BQ3" s="4">
        <v>2626</v>
      </c>
      <c r="BR3" s="4">
        <v>2627</v>
      </c>
      <c r="BS3" s="4">
        <v>2628</v>
      </c>
      <c r="BT3" s="4">
        <v>2629</v>
      </c>
      <c r="BU3" s="4">
        <v>2630</v>
      </c>
      <c r="BV3" s="4">
        <v>2631</v>
      </c>
      <c r="BW3" s="4">
        <v>2632</v>
      </c>
      <c r="BX3" s="4">
        <v>2633</v>
      </c>
      <c r="BY3" s="4">
        <v>2634</v>
      </c>
      <c r="BZ3" s="4">
        <v>2635</v>
      </c>
      <c r="CA3" s="4">
        <v>2636</v>
      </c>
    </row>
    <row r="4" spans="1:79" s="4" customFormat="1" ht="18.600000000000001" customHeight="1">
      <c r="A4" s="192" t="s">
        <v>70</v>
      </c>
      <c r="B4" s="4">
        <v>2502</v>
      </c>
      <c r="C4" s="4">
        <v>2503</v>
      </c>
      <c r="D4" s="4">
        <v>2504</v>
      </c>
      <c r="E4" s="4">
        <v>2505</v>
      </c>
      <c r="F4" s="4">
        <v>2506</v>
      </c>
      <c r="G4" s="4">
        <v>2507</v>
      </c>
      <c r="H4" s="4">
        <v>2508</v>
      </c>
      <c r="I4" s="4">
        <v>2509</v>
      </c>
      <c r="J4" s="4">
        <v>2510</v>
      </c>
      <c r="K4" s="4">
        <v>2511</v>
      </c>
      <c r="L4" s="4">
        <v>2512</v>
      </c>
      <c r="M4" s="4">
        <v>2513</v>
      </c>
      <c r="N4" s="4">
        <v>2514</v>
      </c>
      <c r="O4" s="4">
        <v>2515</v>
      </c>
      <c r="P4" s="4">
        <v>2516</v>
      </c>
      <c r="Q4" s="4">
        <v>2517</v>
      </c>
      <c r="R4" s="4">
        <v>2518</v>
      </c>
      <c r="S4" s="4">
        <v>2519</v>
      </c>
      <c r="T4" s="4">
        <v>2520</v>
      </c>
      <c r="U4" s="4">
        <v>2521</v>
      </c>
      <c r="V4" s="4">
        <v>2522</v>
      </c>
      <c r="W4" s="4">
        <v>2523</v>
      </c>
      <c r="X4" s="4">
        <v>2524</v>
      </c>
      <c r="Y4" s="4">
        <v>2525</v>
      </c>
      <c r="Z4" s="4">
        <v>2526</v>
      </c>
      <c r="AA4" s="4">
        <v>2527</v>
      </c>
      <c r="AB4" s="4">
        <v>2528</v>
      </c>
      <c r="AC4" s="4">
        <v>2529</v>
      </c>
      <c r="AD4" s="4">
        <v>2530</v>
      </c>
      <c r="AE4" s="4">
        <v>2531</v>
      </c>
      <c r="AF4" s="4">
        <v>2532</v>
      </c>
      <c r="AG4" s="4">
        <v>2533</v>
      </c>
      <c r="AH4" s="4">
        <v>2534</v>
      </c>
      <c r="AI4" s="4">
        <v>2535</v>
      </c>
      <c r="AJ4" s="4">
        <v>2536</v>
      </c>
      <c r="AK4" s="4">
        <v>2537</v>
      </c>
      <c r="AL4" s="4">
        <v>2538</v>
      </c>
      <c r="AM4" s="4">
        <v>2539</v>
      </c>
      <c r="AN4" s="4">
        <v>2540</v>
      </c>
      <c r="AO4" s="4">
        <v>2541</v>
      </c>
      <c r="AP4" s="4">
        <v>2542</v>
      </c>
      <c r="AQ4" s="4">
        <v>2543</v>
      </c>
      <c r="AR4" s="4">
        <v>2544</v>
      </c>
      <c r="AS4" s="4">
        <v>2545</v>
      </c>
      <c r="AT4" s="4">
        <v>2546</v>
      </c>
      <c r="AU4" s="4">
        <v>2547</v>
      </c>
      <c r="AV4" s="4">
        <v>2548</v>
      </c>
      <c r="AW4" s="4">
        <v>2549</v>
      </c>
      <c r="AX4" s="4">
        <v>2550</v>
      </c>
      <c r="AY4" s="4">
        <v>2551</v>
      </c>
      <c r="AZ4" s="4">
        <v>2552</v>
      </c>
      <c r="BA4" s="4">
        <v>2601</v>
      </c>
      <c r="BB4" s="4">
        <v>2602</v>
      </c>
      <c r="BC4" s="4">
        <v>2603</v>
      </c>
      <c r="BD4" s="4">
        <v>2604</v>
      </c>
      <c r="BE4" s="4">
        <v>2605</v>
      </c>
      <c r="BF4" s="4">
        <v>2606</v>
      </c>
      <c r="BG4" s="4">
        <v>2607</v>
      </c>
      <c r="BH4" s="4">
        <v>2608</v>
      </c>
      <c r="BI4" s="4">
        <v>2609</v>
      </c>
      <c r="BJ4" s="4">
        <v>2610</v>
      </c>
      <c r="BK4" s="4">
        <v>2611</v>
      </c>
      <c r="BL4" s="4">
        <v>2612</v>
      </c>
      <c r="BM4" s="4">
        <v>2613</v>
      </c>
      <c r="BN4" s="4">
        <v>2614</v>
      </c>
      <c r="BO4" s="4">
        <v>2615</v>
      </c>
      <c r="BP4" s="4">
        <v>2616</v>
      </c>
      <c r="BQ4" s="4">
        <v>2617</v>
      </c>
      <c r="BR4" s="4">
        <v>2618</v>
      </c>
      <c r="BS4" s="4">
        <v>2619</v>
      </c>
      <c r="BT4" s="4">
        <v>2620</v>
      </c>
      <c r="BU4" s="4">
        <v>2621</v>
      </c>
      <c r="BV4" s="4">
        <v>2622</v>
      </c>
      <c r="BW4" s="4">
        <v>2623</v>
      </c>
      <c r="BX4" s="4">
        <v>2624</v>
      </c>
      <c r="BY4" s="4">
        <v>2625</v>
      </c>
      <c r="BZ4" s="4">
        <v>2626</v>
      </c>
      <c r="CA4" s="4">
        <v>2627</v>
      </c>
    </row>
    <row r="5" spans="1:79" s="4" customFormat="1" ht="18.600000000000001" customHeight="1">
      <c r="A5" s="192" t="s">
        <v>72</v>
      </c>
      <c r="B5" s="4">
        <v>2451</v>
      </c>
      <c r="C5" s="4">
        <v>2452</v>
      </c>
      <c r="D5" s="4">
        <v>2501</v>
      </c>
      <c r="E5" s="4">
        <v>2502</v>
      </c>
      <c r="F5" s="4">
        <v>2503</v>
      </c>
      <c r="G5" s="4">
        <v>2504</v>
      </c>
      <c r="H5" s="4">
        <v>2505</v>
      </c>
      <c r="I5" s="4">
        <v>2506</v>
      </c>
      <c r="J5" s="4">
        <v>2507</v>
      </c>
      <c r="K5" s="4">
        <v>2508</v>
      </c>
      <c r="L5" s="4">
        <v>2509</v>
      </c>
      <c r="M5" s="4">
        <v>2510</v>
      </c>
      <c r="N5" s="4">
        <v>2511</v>
      </c>
      <c r="O5" s="4">
        <v>2512</v>
      </c>
      <c r="P5" s="4">
        <v>2513</v>
      </c>
      <c r="Q5" s="4">
        <v>2514</v>
      </c>
      <c r="R5" s="4">
        <v>2515</v>
      </c>
      <c r="S5" s="4">
        <v>2516</v>
      </c>
      <c r="T5" s="4">
        <v>2517</v>
      </c>
      <c r="U5" s="4">
        <v>2518</v>
      </c>
      <c r="V5" s="4">
        <v>2519</v>
      </c>
      <c r="W5" s="4">
        <v>2520</v>
      </c>
      <c r="X5" s="4">
        <v>2521</v>
      </c>
      <c r="Y5" s="4">
        <v>2522</v>
      </c>
      <c r="Z5" s="4">
        <v>2523</v>
      </c>
      <c r="AA5" s="4">
        <v>2524</v>
      </c>
      <c r="AB5" s="4">
        <v>2525</v>
      </c>
      <c r="AC5" s="4">
        <v>2526</v>
      </c>
      <c r="AD5" s="4">
        <v>2527</v>
      </c>
      <c r="AE5" s="4">
        <v>2528</v>
      </c>
      <c r="AF5" s="4">
        <v>2529</v>
      </c>
      <c r="AG5" s="4">
        <v>2530</v>
      </c>
      <c r="AH5" s="4">
        <v>2531</v>
      </c>
      <c r="AI5" s="4">
        <v>2532</v>
      </c>
      <c r="AJ5" s="4">
        <v>2533</v>
      </c>
      <c r="AK5" s="4">
        <v>2534</v>
      </c>
      <c r="AL5" s="4">
        <v>2535</v>
      </c>
      <c r="AM5" s="4">
        <v>2536</v>
      </c>
      <c r="AN5" s="4">
        <v>2537</v>
      </c>
      <c r="AO5" s="4">
        <v>2538</v>
      </c>
      <c r="AP5" s="4">
        <v>2539</v>
      </c>
      <c r="AQ5" s="4">
        <v>2540</v>
      </c>
      <c r="AR5" s="4">
        <v>2541</v>
      </c>
      <c r="AS5" s="4">
        <v>2542</v>
      </c>
      <c r="AT5" s="4">
        <v>2543</v>
      </c>
      <c r="AU5" s="4">
        <v>2544</v>
      </c>
      <c r="AV5" s="4">
        <v>2545</v>
      </c>
      <c r="AW5" s="4">
        <v>2546</v>
      </c>
      <c r="AX5" s="4">
        <v>2547</v>
      </c>
      <c r="AY5" s="4">
        <v>2548</v>
      </c>
      <c r="AZ5" s="4">
        <v>2549</v>
      </c>
      <c r="BA5" s="4">
        <v>2550</v>
      </c>
      <c r="BB5" s="4">
        <v>2551</v>
      </c>
      <c r="BC5" s="4">
        <v>2552</v>
      </c>
      <c r="BD5" s="4">
        <v>2601</v>
      </c>
      <c r="BE5" s="4">
        <v>2602</v>
      </c>
      <c r="BF5" s="4">
        <v>2603</v>
      </c>
      <c r="BG5" s="4">
        <v>2604</v>
      </c>
      <c r="BH5" s="4">
        <v>2605</v>
      </c>
      <c r="BI5" s="4">
        <v>2606</v>
      </c>
      <c r="BJ5" s="4">
        <v>2607</v>
      </c>
      <c r="BK5" s="4">
        <v>2608</v>
      </c>
      <c r="BL5" s="4">
        <v>2609</v>
      </c>
      <c r="BM5" s="4">
        <v>2610</v>
      </c>
      <c r="BN5" s="4">
        <v>2611</v>
      </c>
      <c r="BO5" s="4">
        <v>2612</v>
      </c>
      <c r="BP5" s="4">
        <v>2613</v>
      </c>
      <c r="BQ5" s="4">
        <v>2614</v>
      </c>
      <c r="BR5" s="4">
        <v>2615</v>
      </c>
      <c r="BS5" s="4">
        <v>2616</v>
      </c>
      <c r="BT5" s="4">
        <v>2617</v>
      </c>
      <c r="BU5" s="4">
        <v>2618</v>
      </c>
      <c r="BV5" s="4">
        <v>2619</v>
      </c>
      <c r="BW5" s="4">
        <v>2620</v>
      </c>
      <c r="BX5" s="4">
        <v>2621</v>
      </c>
      <c r="BY5" s="4">
        <v>2622</v>
      </c>
      <c r="BZ5" s="4">
        <v>2623</v>
      </c>
      <c r="CA5" s="4">
        <v>2624</v>
      </c>
    </row>
    <row r="6" spans="1:79" s="4" customFormat="1" ht="18.600000000000001" customHeight="1">
      <c r="A6" s="192" t="s">
        <v>128</v>
      </c>
      <c r="B6" s="4">
        <f>B5-4</f>
        <v>2447</v>
      </c>
      <c r="C6" s="4">
        <f>C5-4</f>
        <v>2448</v>
      </c>
      <c r="D6" s="4">
        <v>2449</v>
      </c>
      <c r="E6" s="4">
        <v>2450</v>
      </c>
      <c r="F6" s="4">
        <v>2451</v>
      </c>
      <c r="G6" s="4">
        <v>2452</v>
      </c>
      <c r="H6" s="4">
        <v>2501</v>
      </c>
      <c r="I6" s="4">
        <v>2502</v>
      </c>
      <c r="J6" s="4">
        <v>2503</v>
      </c>
      <c r="K6" s="4">
        <v>2504</v>
      </c>
      <c r="L6" s="4">
        <v>2505</v>
      </c>
      <c r="M6" s="4">
        <v>2506</v>
      </c>
      <c r="N6" s="4">
        <v>2507</v>
      </c>
      <c r="O6" s="4">
        <v>2508</v>
      </c>
      <c r="P6" s="4">
        <v>2509</v>
      </c>
      <c r="Q6" s="4">
        <v>2510</v>
      </c>
      <c r="R6" s="4">
        <v>2511</v>
      </c>
      <c r="S6" s="4">
        <v>2512</v>
      </c>
      <c r="T6" s="4">
        <v>2513</v>
      </c>
      <c r="U6" s="4">
        <v>2514</v>
      </c>
      <c r="V6" s="4">
        <v>2515</v>
      </c>
      <c r="W6" s="4">
        <v>2516</v>
      </c>
      <c r="X6" s="4">
        <v>2517</v>
      </c>
      <c r="Y6" s="4">
        <v>2518</v>
      </c>
      <c r="Z6" s="4">
        <v>2519</v>
      </c>
      <c r="AA6" s="4">
        <v>2520</v>
      </c>
      <c r="AB6" s="4">
        <v>2521</v>
      </c>
      <c r="AC6" s="4">
        <v>2522</v>
      </c>
      <c r="AD6" s="4">
        <v>2523</v>
      </c>
      <c r="AE6" s="4">
        <v>2524</v>
      </c>
      <c r="AF6" s="4">
        <v>2525</v>
      </c>
      <c r="AG6" s="4">
        <v>2526</v>
      </c>
      <c r="AH6" s="4">
        <v>2527</v>
      </c>
      <c r="AI6" s="4">
        <v>2528</v>
      </c>
      <c r="AJ6" s="4">
        <v>2529</v>
      </c>
      <c r="AK6" s="4">
        <v>2530</v>
      </c>
      <c r="AL6" s="4">
        <v>2531</v>
      </c>
      <c r="AM6" s="4">
        <v>2532</v>
      </c>
      <c r="AN6" s="4">
        <v>2533</v>
      </c>
      <c r="AO6" s="4">
        <v>2534</v>
      </c>
      <c r="AP6" s="4">
        <v>2535</v>
      </c>
      <c r="AQ6" s="4">
        <v>2536</v>
      </c>
      <c r="AR6" s="4">
        <v>2537</v>
      </c>
      <c r="AS6" s="4">
        <v>2538</v>
      </c>
      <c r="AT6" s="4">
        <v>2539</v>
      </c>
      <c r="AU6" s="4">
        <v>2540</v>
      </c>
      <c r="AV6" s="4">
        <v>2541</v>
      </c>
      <c r="AW6" s="4">
        <v>2542</v>
      </c>
      <c r="AX6" s="4">
        <v>2543</v>
      </c>
      <c r="AY6" s="4">
        <v>2544</v>
      </c>
      <c r="AZ6" s="4">
        <v>2545</v>
      </c>
      <c r="BA6" s="4">
        <v>2546</v>
      </c>
      <c r="BB6" s="4">
        <v>2547</v>
      </c>
      <c r="BC6" s="4">
        <v>2548</v>
      </c>
      <c r="BD6" s="4">
        <v>2549</v>
      </c>
      <c r="BE6" s="4">
        <v>2550</v>
      </c>
      <c r="BF6" s="4">
        <v>2551</v>
      </c>
      <c r="BG6" s="4">
        <v>2552</v>
      </c>
      <c r="BH6" s="4">
        <v>2601</v>
      </c>
      <c r="BI6" s="4">
        <v>2602</v>
      </c>
      <c r="BJ6" s="4">
        <v>2603</v>
      </c>
      <c r="BK6" s="4">
        <v>2604</v>
      </c>
      <c r="BL6" s="4">
        <v>2605</v>
      </c>
      <c r="BM6" s="4">
        <v>2606</v>
      </c>
      <c r="BN6" s="4">
        <v>2607</v>
      </c>
      <c r="BO6" s="4">
        <v>2608</v>
      </c>
      <c r="BP6" s="4">
        <v>2609</v>
      </c>
      <c r="BQ6" s="4">
        <v>2610</v>
      </c>
      <c r="BR6" s="4">
        <v>2611</v>
      </c>
      <c r="BS6" s="4">
        <v>2612</v>
      </c>
      <c r="BT6" s="4">
        <v>2613</v>
      </c>
      <c r="BU6" s="4">
        <v>2614</v>
      </c>
      <c r="BV6" s="4">
        <v>2615</v>
      </c>
      <c r="BW6" s="4">
        <v>2616</v>
      </c>
      <c r="BX6" s="4">
        <v>2617</v>
      </c>
      <c r="BY6" s="4">
        <v>2618</v>
      </c>
      <c r="BZ6" s="4">
        <v>2619</v>
      </c>
      <c r="CA6" s="4">
        <v>2620</v>
      </c>
    </row>
    <row r="7" spans="1:79" s="4" customFormat="1" ht="18.600000000000001" customHeight="1">
      <c r="A7" s="192" t="s">
        <v>129</v>
      </c>
      <c r="B7" s="4">
        <v>2431</v>
      </c>
      <c r="C7" s="4">
        <v>2432</v>
      </c>
      <c r="D7" s="4">
        <v>2433</v>
      </c>
      <c r="E7" s="4">
        <v>2434</v>
      </c>
      <c r="F7" s="4">
        <v>2435</v>
      </c>
      <c r="G7" s="4">
        <v>2436</v>
      </c>
      <c r="H7" s="4">
        <v>2437</v>
      </c>
      <c r="I7" s="4">
        <v>2438</v>
      </c>
      <c r="J7" s="4">
        <v>2439</v>
      </c>
      <c r="K7" s="4">
        <v>2440</v>
      </c>
      <c r="L7" s="4">
        <v>2441</v>
      </c>
      <c r="M7" s="4">
        <v>2442</v>
      </c>
      <c r="N7" s="4">
        <v>2443</v>
      </c>
      <c r="O7" s="4">
        <v>2444</v>
      </c>
      <c r="P7" s="4">
        <v>2445</v>
      </c>
      <c r="Q7" s="4">
        <v>2446</v>
      </c>
      <c r="R7" s="4">
        <v>2447</v>
      </c>
      <c r="S7" s="4">
        <v>2448</v>
      </c>
      <c r="T7" s="4">
        <v>2449</v>
      </c>
      <c r="U7" s="4">
        <v>2450</v>
      </c>
      <c r="V7" s="4">
        <v>2451</v>
      </c>
      <c r="W7" s="4">
        <v>2452</v>
      </c>
      <c r="X7" s="4">
        <v>2501</v>
      </c>
      <c r="Y7" s="4">
        <v>2502</v>
      </c>
      <c r="Z7" s="4">
        <v>2503</v>
      </c>
      <c r="AA7" s="4">
        <v>2504</v>
      </c>
      <c r="AB7" s="4">
        <v>2505</v>
      </c>
      <c r="AC7" s="4">
        <v>2506</v>
      </c>
      <c r="AD7" s="4">
        <v>2507</v>
      </c>
      <c r="AE7" s="4">
        <v>2508</v>
      </c>
      <c r="AF7" s="4">
        <v>2509</v>
      </c>
      <c r="AG7" s="4">
        <v>2510</v>
      </c>
      <c r="AH7" s="4">
        <v>2511</v>
      </c>
      <c r="AI7" s="4">
        <v>2512</v>
      </c>
      <c r="AJ7" s="4">
        <v>2513</v>
      </c>
      <c r="AK7" s="4">
        <v>2514</v>
      </c>
      <c r="AL7" s="4">
        <v>2515</v>
      </c>
      <c r="AM7" s="4">
        <v>2516</v>
      </c>
      <c r="AN7" s="4">
        <v>2517</v>
      </c>
      <c r="AO7" s="4">
        <v>2518</v>
      </c>
      <c r="AP7" s="4">
        <v>2519</v>
      </c>
      <c r="AQ7" s="4">
        <v>2520</v>
      </c>
      <c r="AR7" s="4">
        <v>2521</v>
      </c>
      <c r="AS7" s="4">
        <v>2522</v>
      </c>
      <c r="AT7" s="4">
        <v>2523</v>
      </c>
      <c r="AU7" s="4">
        <v>2524</v>
      </c>
      <c r="AV7" s="4">
        <v>2525</v>
      </c>
      <c r="AW7" s="4">
        <v>2526</v>
      </c>
      <c r="AX7" s="4">
        <v>2527</v>
      </c>
      <c r="AY7" s="4">
        <v>2528</v>
      </c>
      <c r="AZ7" s="4">
        <v>2529</v>
      </c>
      <c r="BA7" s="4">
        <v>2530</v>
      </c>
      <c r="BB7" s="4">
        <v>2531</v>
      </c>
      <c r="BC7" s="4">
        <v>2532</v>
      </c>
      <c r="BD7" s="4">
        <v>2533</v>
      </c>
      <c r="BE7" s="4">
        <v>2534</v>
      </c>
      <c r="BF7" s="4">
        <v>2535</v>
      </c>
      <c r="BG7" s="4">
        <v>2536</v>
      </c>
      <c r="BH7" s="4">
        <v>2537</v>
      </c>
      <c r="BI7" s="4">
        <v>2538</v>
      </c>
      <c r="BJ7" s="4">
        <v>2539</v>
      </c>
      <c r="BK7" s="4">
        <v>2540</v>
      </c>
      <c r="BL7" s="4">
        <v>2541</v>
      </c>
      <c r="BM7" s="4">
        <v>2542</v>
      </c>
      <c r="BN7" s="4">
        <v>2543</v>
      </c>
      <c r="BO7" s="4">
        <v>2544</v>
      </c>
      <c r="BP7" s="4">
        <v>2545</v>
      </c>
      <c r="BQ7" s="4">
        <v>2546</v>
      </c>
      <c r="BR7" s="4">
        <v>2547</v>
      </c>
      <c r="BS7" s="4">
        <v>2548</v>
      </c>
      <c r="BT7" s="4">
        <v>2549</v>
      </c>
      <c r="BU7" s="4">
        <v>2550</v>
      </c>
      <c r="BV7" s="4">
        <v>2551</v>
      </c>
      <c r="BW7" s="4">
        <v>2552</v>
      </c>
      <c r="BX7" s="4">
        <v>2601</v>
      </c>
      <c r="BY7" s="4">
        <v>2602</v>
      </c>
      <c r="BZ7" s="4">
        <v>2603</v>
      </c>
      <c r="CA7" s="4">
        <v>2604</v>
      </c>
    </row>
    <row r="8" spans="1:79" s="4" customFormat="1" ht="18.600000000000001" customHeight="1" thickBot="1">
      <c r="A8" s="192" t="s">
        <v>83</v>
      </c>
      <c r="B8" s="4">
        <v>2504</v>
      </c>
      <c r="C8" s="4">
        <v>2505</v>
      </c>
      <c r="D8" s="4">
        <v>2506</v>
      </c>
      <c r="E8" s="4">
        <v>2507</v>
      </c>
      <c r="F8" s="4">
        <v>2508</v>
      </c>
      <c r="G8" s="4">
        <v>2509</v>
      </c>
      <c r="H8" s="4">
        <v>2510</v>
      </c>
      <c r="I8" s="4">
        <v>2511</v>
      </c>
      <c r="J8" s="4">
        <v>2512</v>
      </c>
      <c r="K8" s="4">
        <v>2513</v>
      </c>
      <c r="L8" s="4">
        <v>2514</v>
      </c>
      <c r="M8" s="4">
        <v>2515</v>
      </c>
      <c r="N8" s="4">
        <v>2516</v>
      </c>
      <c r="O8" s="4">
        <v>2517</v>
      </c>
      <c r="P8" s="4">
        <v>2518</v>
      </c>
      <c r="Q8" s="4">
        <v>2519</v>
      </c>
      <c r="R8" s="4">
        <v>2520</v>
      </c>
      <c r="S8" s="4">
        <v>2521</v>
      </c>
      <c r="T8" s="4">
        <v>2522</v>
      </c>
      <c r="U8" s="4">
        <v>2523</v>
      </c>
      <c r="V8" s="4">
        <v>2524</v>
      </c>
      <c r="W8" s="4">
        <v>2525</v>
      </c>
      <c r="X8" s="4">
        <v>2526</v>
      </c>
      <c r="Y8" s="4">
        <v>2527</v>
      </c>
      <c r="Z8" s="4">
        <v>2528</v>
      </c>
      <c r="AA8" s="4">
        <v>2529</v>
      </c>
      <c r="AB8" s="4">
        <v>2530</v>
      </c>
      <c r="AC8" s="4">
        <v>2531</v>
      </c>
      <c r="AD8" s="4">
        <v>2532</v>
      </c>
      <c r="AE8" s="4">
        <v>2533</v>
      </c>
      <c r="AF8" s="4">
        <v>2534</v>
      </c>
      <c r="AG8" s="4">
        <v>2535</v>
      </c>
      <c r="AH8" s="4">
        <v>2536</v>
      </c>
      <c r="AI8" s="4">
        <v>2537</v>
      </c>
      <c r="AJ8" s="4">
        <v>2538</v>
      </c>
      <c r="AK8" s="4">
        <v>2539</v>
      </c>
      <c r="AL8" s="4">
        <v>2540</v>
      </c>
      <c r="AM8" s="4">
        <v>2541</v>
      </c>
      <c r="AN8" s="4">
        <v>2542</v>
      </c>
      <c r="AO8" s="4">
        <v>2543</v>
      </c>
      <c r="AP8" s="4">
        <v>2544</v>
      </c>
      <c r="AQ8" s="4">
        <v>2545</v>
      </c>
      <c r="AR8" s="4">
        <v>2546</v>
      </c>
      <c r="AS8" s="4">
        <v>2547</v>
      </c>
      <c r="AT8" s="4">
        <v>2548</v>
      </c>
      <c r="AU8" s="4">
        <v>2549</v>
      </c>
      <c r="AV8" s="4">
        <v>2550</v>
      </c>
      <c r="AW8" s="4">
        <v>2551</v>
      </c>
      <c r="AX8" s="4">
        <v>2552</v>
      </c>
      <c r="AY8" s="4">
        <v>2601</v>
      </c>
      <c r="AZ8" s="4">
        <v>2602</v>
      </c>
      <c r="BA8" s="4">
        <v>2603</v>
      </c>
      <c r="BB8" s="4">
        <v>2604</v>
      </c>
      <c r="BC8" s="4">
        <v>2605</v>
      </c>
      <c r="BD8" s="4">
        <v>2606</v>
      </c>
      <c r="BE8" s="4">
        <v>2607</v>
      </c>
      <c r="BF8" s="4">
        <v>2608</v>
      </c>
      <c r="BG8" s="4">
        <v>2609</v>
      </c>
      <c r="BH8" s="4">
        <v>2610</v>
      </c>
      <c r="BI8" s="4">
        <v>2611</v>
      </c>
      <c r="BJ8" s="4">
        <v>2612</v>
      </c>
      <c r="BK8" s="4">
        <v>2613</v>
      </c>
      <c r="BL8" s="4">
        <v>2614</v>
      </c>
      <c r="BM8" s="4">
        <v>2615</v>
      </c>
      <c r="BN8" s="4">
        <v>2616</v>
      </c>
      <c r="BO8" s="4">
        <v>2617</v>
      </c>
      <c r="BP8" s="4">
        <v>2618</v>
      </c>
      <c r="BQ8" s="4">
        <v>2619</v>
      </c>
      <c r="BR8" s="4">
        <v>2620</v>
      </c>
      <c r="BS8" s="4">
        <v>2621</v>
      </c>
      <c r="BT8" s="4">
        <v>2622</v>
      </c>
      <c r="BU8" s="4">
        <v>2623</v>
      </c>
      <c r="BV8" s="4">
        <v>2624</v>
      </c>
      <c r="BW8" s="4">
        <v>2625</v>
      </c>
      <c r="BX8" s="4">
        <v>2626</v>
      </c>
      <c r="BY8" s="4">
        <v>2627</v>
      </c>
      <c r="BZ8" s="4">
        <v>2628</v>
      </c>
      <c r="CA8" s="4">
        <v>2629</v>
      </c>
    </row>
    <row r="9" spans="1:79" s="246" customFormat="1" ht="21.75" thickBot="1">
      <c r="A9" s="244" t="s">
        <v>0</v>
      </c>
      <c r="B9" s="245">
        <v>2527</v>
      </c>
      <c r="C9" s="245">
        <v>2528</v>
      </c>
      <c r="D9" s="245">
        <v>2529</v>
      </c>
      <c r="E9" s="245">
        <v>2530</v>
      </c>
      <c r="F9" s="245">
        <v>2531</v>
      </c>
      <c r="G9" s="245">
        <v>2532</v>
      </c>
      <c r="H9" s="245">
        <v>2533</v>
      </c>
      <c r="I9" s="245">
        <v>2534</v>
      </c>
      <c r="J9" s="245">
        <v>2535</v>
      </c>
      <c r="K9" s="245">
        <v>2536</v>
      </c>
      <c r="L9" s="245">
        <v>2537</v>
      </c>
      <c r="M9" s="245">
        <v>2538</v>
      </c>
      <c r="N9" s="245">
        <v>2539</v>
      </c>
      <c r="O9" s="245">
        <v>2540</v>
      </c>
      <c r="P9" s="245">
        <v>2541</v>
      </c>
      <c r="Q9" s="245">
        <v>2542</v>
      </c>
      <c r="R9" s="245">
        <v>2543</v>
      </c>
      <c r="S9" s="245">
        <v>2544</v>
      </c>
      <c r="T9" s="245">
        <v>2545</v>
      </c>
      <c r="U9" s="245">
        <v>2546</v>
      </c>
      <c r="V9" s="245">
        <v>2547</v>
      </c>
      <c r="W9" s="245">
        <v>2548</v>
      </c>
      <c r="X9" s="245">
        <v>2549</v>
      </c>
      <c r="Y9" s="245">
        <v>2550</v>
      </c>
      <c r="Z9" s="245">
        <v>2551</v>
      </c>
      <c r="AA9" s="245">
        <v>2552</v>
      </c>
      <c r="AB9" s="245">
        <v>2601</v>
      </c>
      <c r="AC9" s="245">
        <v>2602</v>
      </c>
      <c r="AD9" s="245">
        <v>2603</v>
      </c>
      <c r="AE9" s="245">
        <v>2604</v>
      </c>
      <c r="AF9" s="245">
        <v>2605</v>
      </c>
      <c r="AG9" s="245">
        <v>2606</v>
      </c>
      <c r="AH9" s="245">
        <v>2607</v>
      </c>
      <c r="AI9" s="245">
        <v>2608</v>
      </c>
      <c r="AJ9" s="245">
        <v>2609</v>
      </c>
      <c r="AK9" s="245">
        <v>2610</v>
      </c>
      <c r="AL9" s="245">
        <v>2611</v>
      </c>
      <c r="AM9" s="245">
        <v>2612</v>
      </c>
      <c r="AN9" s="245">
        <v>2613</v>
      </c>
      <c r="AO9" s="245">
        <v>2614</v>
      </c>
      <c r="AP9" s="245">
        <v>2615</v>
      </c>
      <c r="AQ9" s="245">
        <v>2616</v>
      </c>
      <c r="AR9" s="245">
        <v>2617</v>
      </c>
      <c r="AS9" s="245">
        <v>2618</v>
      </c>
      <c r="AT9" s="245">
        <v>2619</v>
      </c>
      <c r="AU9" s="245">
        <v>2620</v>
      </c>
      <c r="AV9" s="245">
        <v>2621</v>
      </c>
      <c r="AW9" s="245">
        <v>2622</v>
      </c>
      <c r="AX9" s="245">
        <v>2623</v>
      </c>
      <c r="AY9" s="245">
        <v>2624</v>
      </c>
      <c r="AZ9" s="245">
        <v>2625</v>
      </c>
      <c r="BA9" s="245">
        <v>2626</v>
      </c>
      <c r="BB9" s="245">
        <v>2627</v>
      </c>
      <c r="BC9" s="245">
        <v>2628</v>
      </c>
      <c r="BD9" s="245">
        <v>2629</v>
      </c>
      <c r="BE9" s="245">
        <v>2630</v>
      </c>
      <c r="BF9" s="245">
        <v>2631</v>
      </c>
      <c r="BG9" s="245">
        <v>2632</v>
      </c>
      <c r="BH9" s="245">
        <v>2633</v>
      </c>
      <c r="BI9" s="245">
        <v>2634</v>
      </c>
      <c r="BJ9" s="245">
        <v>2635</v>
      </c>
      <c r="BK9" s="245">
        <v>2636</v>
      </c>
      <c r="BL9" s="245">
        <v>2637</v>
      </c>
      <c r="BM9" s="245">
        <v>2638</v>
      </c>
      <c r="BN9" s="245">
        <v>2639</v>
      </c>
      <c r="BO9" s="245">
        <v>2640</v>
      </c>
      <c r="BP9" s="245">
        <v>2641</v>
      </c>
      <c r="BQ9" s="245">
        <v>2642</v>
      </c>
      <c r="BR9" s="245">
        <v>2643</v>
      </c>
      <c r="BS9" s="245">
        <v>2644</v>
      </c>
      <c r="BT9" s="245">
        <v>2645</v>
      </c>
      <c r="BU9" s="245">
        <v>2646</v>
      </c>
      <c r="BV9" s="245">
        <v>2647</v>
      </c>
      <c r="BW9" s="245">
        <v>2648</v>
      </c>
      <c r="BX9" s="245">
        <v>2649</v>
      </c>
      <c r="BY9" s="245">
        <v>2650</v>
      </c>
      <c r="BZ9" s="245">
        <v>2651</v>
      </c>
      <c r="CA9" s="245">
        <v>2652</v>
      </c>
    </row>
    <row r="10" spans="1:79" s="237" customFormat="1">
      <c r="A10" s="192" t="s">
        <v>138</v>
      </c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6"/>
      <c r="BJ10" s="236"/>
      <c r="BK10" s="236"/>
    </row>
    <row r="11" spans="1:79" s="238" customFormat="1">
      <c r="A11" s="192" t="s">
        <v>137</v>
      </c>
      <c r="B11" s="17">
        <v>7.2</v>
      </c>
      <c r="C11" s="17">
        <v>7.2</v>
      </c>
      <c r="D11" s="17">
        <v>7.2</v>
      </c>
      <c r="E11" s="17">
        <v>7.2</v>
      </c>
      <c r="F11" s="17">
        <v>7.2</v>
      </c>
      <c r="G11" s="17">
        <v>7.2</v>
      </c>
      <c r="H11" s="17">
        <v>7.2</v>
      </c>
      <c r="I11" s="17">
        <v>7.2</v>
      </c>
      <c r="J11" s="17">
        <v>7.2</v>
      </c>
      <c r="K11" s="17">
        <v>7.2</v>
      </c>
      <c r="L11" s="17">
        <v>7.2</v>
      </c>
      <c r="M11" s="17">
        <v>7.2</v>
      </c>
      <c r="N11" s="17">
        <v>7.2</v>
      </c>
      <c r="O11" s="17">
        <v>7.2</v>
      </c>
      <c r="P11" s="17">
        <v>7.2</v>
      </c>
      <c r="Q11" s="17">
        <v>7.2</v>
      </c>
      <c r="R11" s="17">
        <v>7.2</v>
      </c>
      <c r="S11" s="17">
        <v>7.2</v>
      </c>
      <c r="T11" s="17">
        <v>7.2</v>
      </c>
      <c r="U11" s="17">
        <v>7.2</v>
      </c>
      <c r="V11" s="17">
        <v>7.2</v>
      </c>
      <c r="W11" s="17">
        <v>7.2</v>
      </c>
      <c r="X11" s="17">
        <v>7.2</v>
      </c>
      <c r="Y11" s="17">
        <v>7.2</v>
      </c>
      <c r="Z11" s="17">
        <v>7.2</v>
      </c>
      <c r="AA11" s="17">
        <v>7.2</v>
      </c>
      <c r="AB11" s="17">
        <v>7.2</v>
      </c>
      <c r="AC11" s="17">
        <v>7.2</v>
      </c>
      <c r="AD11" s="17">
        <v>7.2</v>
      </c>
      <c r="AE11" s="17">
        <v>7.2</v>
      </c>
      <c r="AF11" s="17">
        <v>7.2</v>
      </c>
      <c r="AG11" s="17">
        <v>7.2</v>
      </c>
      <c r="AH11" s="17">
        <v>7.2</v>
      </c>
      <c r="AI11" s="17">
        <v>7.2</v>
      </c>
      <c r="AJ11" s="17">
        <v>7.2</v>
      </c>
      <c r="AK11" s="17">
        <v>7.2</v>
      </c>
      <c r="AL11" s="17">
        <v>7.2</v>
      </c>
      <c r="AM11" s="17">
        <v>7.2</v>
      </c>
      <c r="AN11" s="17">
        <v>7.2</v>
      </c>
      <c r="AO11" s="17">
        <v>7.2</v>
      </c>
      <c r="AP11" s="17">
        <v>7.2</v>
      </c>
      <c r="AQ11" s="17">
        <v>7.2</v>
      </c>
      <c r="AR11" s="17">
        <v>7.2</v>
      </c>
      <c r="AS11" s="17">
        <v>7.2</v>
      </c>
      <c r="AT11" s="17">
        <v>7.2</v>
      </c>
      <c r="AU11" s="17">
        <v>7.2</v>
      </c>
      <c r="AV11" s="17">
        <v>7.2</v>
      </c>
      <c r="AW11" s="17">
        <v>7.2</v>
      </c>
      <c r="AX11" s="17">
        <v>7.2</v>
      </c>
      <c r="AY11" s="17">
        <v>7.2</v>
      </c>
      <c r="AZ11" s="17">
        <v>7.2</v>
      </c>
      <c r="BA11" s="17">
        <v>7.2</v>
      </c>
      <c r="BB11" s="17">
        <v>7.2</v>
      </c>
      <c r="BC11" s="17">
        <v>7.2</v>
      </c>
      <c r="BD11" s="17">
        <v>7.2</v>
      </c>
      <c r="BE11" s="17">
        <v>7.2</v>
      </c>
      <c r="BF11" s="17">
        <v>7.2</v>
      </c>
      <c r="BG11" s="17">
        <v>7.2</v>
      </c>
      <c r="BH11" s="17">
        <v>7.2</v>
      </c>
      <c r="BI11" s="17">
        <v>7.2</v>
      </c>
      <c r="BJ11" s="17">
        <v>7.2</v>
      </c>
      <c r="BK11" s="17">
        <v>7.2</v>
      </c>
      <c r="BL11" s="17">
        <v>7.2</v>
      </c>
      <c r="BM11" s="17">
        <v>7.2</v>
      </c>
      <c r="BN11" s="17">
        <v>7.2</v>
      </c>
      <c r="BO11" s="17">
        <v>7.2</v>
      </c>
      <c r="BP11" s="17">
        <v>7.2</v>
      </c>
      <c r="BQ11" s="17">
        <v>7.2</v>
      </c>
      <c r="BR11" s="17">
        <v>7.2</v>
      </c>
      <c r="BS11" s="17">
        <v>7.2</v>
      </c>
      <c r="BT11" s="17">
        <v>7.2</v>
      </c>
      <c r="BU11" s="17">
        <v>7.2</v>
      </c>
      <c r="BV11" s="17">
        <v>7.2</v>
      </c>
      <c r="BW11" s="17">
        <v>7.2</v>
      </c>
      <c r="BX11" s="17">
        <v>7.2</v>
      </c>
      <c r="BY11" s="17">
        <v>7.2</v>
      </c>
      <c r="BZ11" s="17">
        <v>7.2</v>
      </c>
      <c r="CA11" s="17">
        <v>7.2</v>
      </c>
    </row>
    <row r="12" spans="1:79" s="238" customFormat="1">
      <c r="A12" s="192" t="s">
        <v>2</v>
      </c>
      <c r="B12" s="17">
        <v>6.8</v>
      </c>
      <c r="C12" s="17">
        <v>6.8</v>
      </c>
      <c r="D12" s="17">
        <v>6.8</v>
      </c>
      <c r="E12" s="17">
        <v>6.8</v>
      </c>
      <c r="F12" s="17">
        <v>6.8</v>
      </c>
      <c r="G12" s="17">
        <v>6.8</v>
      </c>
      <c r="H12" s="17">
        <v>6.8</v>
      </c>
      <c r="I12" s="17">
        <v>6.8</v>
      </c>
      <c r="J12" s="17">
        <v>6.8</v>
      </c>
      <c r="K12" s="17">
        <v>6.8</v>
      </c>
      <c r="L12" s="17">
        <v>6.8</v>
      </c>
      <c r="M12" s="17">
        <v>6.8</v>
      </c>
      <c r="N12" s="17">
        <v>6.8</v>
      </c>
      <c r="O12" s="17">
        <v>6.8</v>
      </c>
      <c r="P12" s="17">
        <v>6.8</v>
      </c>
      <c r="Q12" s="17">
        <v>6.8</v>
      </c>
      <c r="R12" s="17">
        <v>6.8</v>
      </c>
      <c r="S12" s="17">
        <v>6.8</v>
      </c>
      <c r="T12" s="17">
        <v>6.8</v>
      </c>
      <c r="U12" s="17">
        <v>6.8</v>
      </c>
      <c r="V12" s="17">
        <v>6.8</v>
      </c>
      <c r="W12" s="17">
        <v>6.8</v>
      </c>
      <c r="X12" s="17">
        <v>6.8</v>
      </c>
      <c r="Y12" s="17">
        <v>6.8</v>
      </c>
      <c r="Z12" s="17">
        <v>6.8</v>
      </c>
      <c r="AA12" s="17">
        <v>6.8</v>
      </c>
      <c r="AB12" s="17">
        <v>6.8</v>
      </c>
      <c r="AC12" s="17">
        <v>6.8</v>
      </c>
      <c r="AD12" s="17">
        <v>6.8</v>
      </c>
      <c r="AE12" s="17">
        <v>6.8</v>
      </c>
      <c r="AF12" s="17">
        <v>6.8</v>
      </c>
      <c r="AG12" s="17">
        <v>6.8</v>
      </c>
      <c r="AH12" s="17">
        <v>6.8</v>
      </c>
      <c r="AI12" s="17">
        <v>6.8</v>
      </c>
      <c r="AJ12" s="17">
        <v>6.8</v>
      </c>
      <c r="AK12" s="17">
        <v>6.8</v>
      </c>
      <c r="AL12" s="17">
        <v>6.8</v>
      </c>
      <c r="AM12" s="17">
        <v>6.8</v>
      </c>
      <c r="AN12" s="17">
        <v>6.8</v>
      </c>
      <c r="AO12" s="17">
        <v>6.8</v>
      </c>
      <c r="AP12" s="17">
        <v>6.8</v>
      </c>
      <c r="AQ12" s="17">
        <v>6.8</v>
      </c>
      <c r="AR12" s="17">
        <v>6.8</v>
      </c>
      <c r="AS12" s="17">
        <v>6.8</v>
      </c>
      <c r="AT12" s="17">
        <v>6.8</v>
      </c>
      <c r="AU12" s="17">
        <v>6.8</v>
      </c>
      <c r="AV12" s="17">
        <v>6.8</v>
      </c>
      <c r="AW12" s="17">
        <v>6.8</v>
      </c>
      <c r="AX12" s="17">
        <v>6.8</v>
      </c>
      <c r="AY12" s="17">
        <v>6.8</v>
      </c>
      <c r="AZ12" s="17">
        <v>6.8</v>
      </c>
      <c r="BA12" s="17">
        <v>6.8</v>
      </c>
      <c r="BB12" s="17">
        <v>6.8</v>
      </c>
      <c r="BC12" s="17">
        <v>6.8</v>
      </c>
      <c r="BD12" s="17">
        <v>6.8</v>
      </c>
      <c r="BE12" s="17">
        <v>6.8</v>
      </c>
      <c r="BF12" s="17">
        <v>6.8</v>
      </c>
      <c r="BG12" s="17">
        <v>6.8</v>
      </c>
      <c r="BH12" s="17">
        <v>6.8</v>
      </c>
      <c r="BI12" s="17">
        <v>6.8</v>
      </c>
      <c r="BJ12" s="17">
        <v>6.8</v>
      </c>
      <c r="BK12" s="17">
        <v>6.8</v>
      </c>
      <c r="BL12" s="17">
        <v>6.8</v>
      </c>
      <c r="BM12" s="17">
        <v>6.8</v>
      </c>
      <c r="BN12" s="17">
        <v>6.8</v>
      </c>
      <c r="BO12" s="17">
        <v>6.8</v>
      </c>
      <c r="BP12" s="17">
        <v>6.8</v>
      </c>
      <c r="BQ12" s="17">
        <v>6.8</v>
      </c>
      <c r="BR12" s="17">
        <v>6.8</v>
      </c>
      <c r="BS12" s="17">
        <v>6.8</v>
      </c>
      <c r="BT12" s="17">
        <v>6.8</v>
      </c>
      <c r="BU12" s="17">
        <v>6.8</v>
      </c>
      <c r="BV12" s="17">
        <v>6.8</v>
      </c>
      <c r="BW12" s="17">
        <v>6.8</v>
      </c>
      <c r="BX12" s="17">
        <v>6.8</v>
      </c>
      <c r="BY12" s="17">
        <v>6.8</v>
      </c>
      <c r="BZ12" s="17">
        <v>6.8</v>
      </c>
      <c r="CA12" s="17">
        <v>6.8</v>
      </c>
    </row>
    <row r="13" spans="1:79" s="238" customFormat="1">
      <c r="A13" s="192" t="s">
        <v>3</v>
      </c>
      <c r="B13" s="17">
        <v>7.3</v>
      </c>
      <c r="C13" s="17">
        <v>7.3</v>
      </c>
      <c r="D13" s="17">
        <v>7.3</v>
      </c>
      <c r="E13" s="17">
        <v>7.3</v>
      </c>
      <c r="F13" s="17">
        <v>7.3</v>
      </c>
      <c r="G13" s="17">
        <v>7.3</v>
      </c>
      <c r="H13" s="17">
        <v>7.3</v>
      </c>
      <c r="I13" s="17">
        <v>7.3</v>
      </c>
      <c r="J13" s="17">
        <v>7.3</v>
      </c>
      <c r="K13" s="17">
        <v>7.3</v>
      </c>
      <c r="L13" s="17">
        <v>7.3</v>
      </c>
      <c r="M13" s="17">
        <v>7.3</v>
      </c>
      <c r="N13" s="17">
        <v>7.3</v>
      </c>
      <c r="O13" s="17">
        <v>7.3</v>
      </c>
      <c r="P13" s="17">
        <v>7.3</v>
      </c>
      <c r="Q13" s="17">
        <v>7.3</v>
      </c>
      <c r="R13" s="17">
        <v>7.3</v>
      </c>
      <c r="S13" s="17">
        <v>7.3</v>
      </c>
      <c r="T13" s="17">
        <v>7.3</v>
      </c>
      <c r="U13" s="17">
        <v>7.3</v>
      </c>
      <c r="V13" s="17">
        <v>7.3</v>
      </c>
      <c r="W13" s="17">
        <v>7.3</v>
      </c>
      <c r="X13" s="17">
        <v>7.3</v>
      </c>
      <c r="Y13" s="17">
        <v>7.3</v>
      </c>
      <c r="Z13" s="17">
        <v>7.3</v>
      </c>
      <c r="AA13" s="17">
        <v>7.3</v>
      </c>
      <c r="AB13" s="17">
        <v>7.3</v>
      </c>
      <c r="AC13" s="17">
        <v>7.3</v>
      </c>
      <c r="AD13" s="17">
        <v>7.3</v>
      </c>
      <c r="AE13" s="17">
        <v>7.3</v>
      </c>
      <c r="AF13" s="17">
        <v>7.3</v>
      </c>
      <c r="AG13" s="17">
        <v>7.3</v>
      </c>
      <c r="AH13" s="17">
        <v>7.3</v>
      </c>
      <c r="AI13" s="17">
        <v>7.3</v>
      </c>
      <c r="AJ13" s="17">
        <v>7.3</v>
      </c>
      <c r="AK13" s="17">
        <v>7.3</v>
      </c>
      <c r="AL13" s="17">
        <v>7.3</v>
      </c>
      <c r="AM13" s="17">
        <v>7.3</v>
      </c>
      <c r="AN13" s="17">
        <v>7.3</v>
      </c>
      <c r="AO13" s="17">
        <v>7.3</v>
      </c>
      <c r="AP13" s="17">
        <v>7.3</v>
      </c>
      <c r="AQ13" s="17">
        <v>7.3</v>
      </c>
      <c r="AR13" s="17">
        <v>7.3</v>
      </c>
      <c r="AS13" s="17">
        <v>7.3</v>
      </c>
      <c r="AT13" s="17">
        <v>7.3</v>
      </c>
      <c r="AU13" s="17">
        <v>7.3</v>
      </c>
      <c r="AV13" s="17">
        <v>7.3</v>
      </c>
      <c r="AW13" s="17">
        <v>7.3</v>
      </c>
      <c r="AX13" s="17">
        <v>7.3</v>
      </c>
      <c r="AY13" s="17">
        <v>7.3</v>
      </c>
      <c r="AZ13" s="17">
        <v>7.3</v>
      </c>
      <c r="BA13" s="17">
        <v>7.3</v>
      </c>
      <c r="BB13" s="17">
        <v>7.3</v>
      </c>
      <c r="BC13" s="17">
        <v>7.3</v>
      </c>
      <c r="BD13" s="17">
        <v>7.3</v>
      </c>
      <c r="BE13" s="17">
        <v>7.3</v>
      </c>
      <c r="BF13" s="17">
        <v>7.3</v>
      </c>
      <c r="BG13" s="17">
        <v>7.3</v>
      </c>
      <c r="BH13" s="17">
        <v>7.3</v>
      </c>
      <c r="BI13" s="17">
        <v>7.3</v>
      </c>
      <c r="BJ13" s="17">
        <v>7.3</v>
      </c>
      <c r="BK13" s="17">
        <v>7.3</v>
      </c>
      <c r="BL13" s="17">
        <v>7.3</v>
      </c>
      <c r="BM13" s="17">
        <v>7.3</v>
      </c>
      <c r="BN13" s="17">
        <v>7.3</v>
      </c>
      <c r="BO13" s="17">
        <v>7.3</v>
      </c>
      <c r="BP13" s="17">
        <v>7.3</v>
      </c>
      <c r="BQ13" s="17">
        <v>7.3</v>
      </c>
      <c r="BR13" s="17">
        <v>7.3</v>
      </c>
      <c r="BS13" s="17">
        <v>7.3</v>
      </c>
      <c r="BT13" s="17">
        <v>7.3</v>
      </c>
      <c r="BU13" s="17">
        <v>7.3</v>
      </c>
      <c r="BV13" s="17">
        <v>7.3</v>
      </c>
      <c r="BW13" s="17">
        <v>7.3</v>
      </c>
      <c r="BX13" s="17">
        <v>7.3</v>
      </c>
      <c r="BY13" s="17">
        <v>7.3</v>
      </c>
      <c r="BZ13" s="17">
        <v>7.3</v>
      </c>
      <c r="CA13" s="17">
        <v>7.3</v>
      </c>
    </row>
    <row r="14" spans="1:79" ht="18" customHeight="1">
      <c r="A14" s="8" t="s">
        <v>5</v>
      </c>
      <c r="B14" s="96" t="e">
        <f>B15/(SUM(B15,B17,B19))</f>
        <v>#DIV/0!</v>
      </c>
      <c r="C14" s="96" t="e">
        <f t="shared" ref="C14:E14" si="0">C15/(SUM(C15,C17,C19))</f>
        <v>#DIV/0!</v>
      </c>
      <c r="D14" s="96" t="e">
        <f t="shared" si="0"/>
        <v>#DIV/0!</v>
      </c>
      <c r="E14" s="96" t="e">
        <f t="shared" si="0"/>
        <v>#DIV/0!</v>
      </c>
      <c r="F14" s="96" t="e">
        <f>F15/(SUM(F15,F17,F19))</f>
        <v>#DIV/0!</v>
      </c>
      <c r="G14" s="96" t="e">
        <f t="shared" ref="G14:I14" si="1">G15/(SUM(G15,G17,G19))</f>
        <v>#DIV/0!</v>
      </c>
      <c r="H14" s="96" t="e">
        <f t="shared" si="1"/>
        <v>#DIV/0!</v>
      </c>
      <c r="I14" s="96" t="e">
        <f t="shared" si="1"/>
        <v>#DIV/0!</v>
      </c>
      <c r="J14" s="96" t="e">
        <f>J15/(SUM(J15,J17,J19))</f>
        <v>#DIV/0!</v>
      </c>
      <c r="K14" s="96" t="e">
        <f t="shared" ref="K14:BV14" si="2">K15/(SUM(K15,K17,K19))</f>
        <v>#DIV/0!</v>
      </c>
      <c r="L14" s="96" t="e">
        <f t="shared" si="2"/>
        <v>#DIV/0!</v>
      </c>
      <c r="M14" s="96" t="e">
        <f t="shared" si="2"/>
        <v>#DIV/0!</v>
      </c>
      <c r="N14" s="96" t="e">
        <f t="shared" si="2"/>
        <v>#DIV/0!</v>
      </c>
      <c r="O14" s="96" t="e">
        <f t="shared" si="2"/>
        <v>#DIV/0!</v>
      </c>
      <c r="P14" s="96" t="e">
        <f t="shared" si="2"/>
        <v>#DIV/0!</v>
      </c>
      <c r="Q14" s="96" t="e">
        <f t="shared" si="2"/>
        <v>#DIV/0!</v>
      </c>
      <c r="R14" s="96" t="e">
        <f t="shared" si="2"/>
        <v>#DIV/0!</v>
      </c>
      <c r="S14" s="96" t="e">
        <f t="shared" si="2"/>
        <v>#DIV/0!</v>
      </c>
      <c r="T14" s="96" t="e">
        <f t="shared" si="2"/>
        <v>#DIV/0!</v>
      </c>
      <c r="U14" s="96" t="e">
        <f t="shared" si="2"/>
        <v>#DIV/0!</v>
      </c>
      <c r="V14" s="96" t="e">
        <f t="shared" si="2"/>
        <v>#DIV/0!</v>
      </c>
      <c r="W14" s="96" t="e">
        <f t="shared" si="2"/>
        <v>#DIV/0!</v>
      </c>
      <c r="X14" s="96" t="e">
        <f t="shared" si="2"/>
        <v>#DIV/0!</v>
      </c>
      <c r="Y14" s="96" t="e">
        <f t="shared" si="2"/>
        <v>#DIV/0!</v>
      </c>
      <c r="Z14" s="96" t="e">
        <f t="shared" si="2"/>
        <v>#DIV/0!</v>
      </c>
      <c r="AA14" s="96" t="e">
        <f t="shared" si="2"/>
        <v>#DIV/0!</v>
      </c>
      <c r="AB14" s="96" t="e">
        <f t="shared" si="2"/>
        <v>#DIV/0!</v>
      </c>
      <c r="AC14" s="96" t="e">
        <f t="shared" si="2"/>
        <v>#DIV/0!</v>
      </c>
      <c r="AD14" s="96" t="e">
        <f t="shared" si="2"/>
        <v>#DIV/0!</v>
      </c>
      <c r="AE14" s="96" t="e">
        <f t="shared" si="2"/>
        <v>#DIV/0!</v>
      </c>
      <c r="AF14" s="96" t="e">
        <f t="shared" si="2"/>
        <v>#DIV/0!</v>
      </c>
      <c r="AG14" s="96" t="e">
        <f t="shared" si="2"/>
        <v>#DIV/0!</v>
      </c>
      <c r="AH14" s="96" t="e">
        <f t="shared" si="2"/>
        <v>#DIV/0!</v>
      </c>
      <c r="AI14" s="96" t="e">
        <f t="shared" si="2"/>
        <v>#DIV/0!</v>
      </c>
      <c r="AJ14" s="96" t="e">
        <f t="shared" si="2"/>
        <v>#DIV/0!</v>
      </c>
      <c r="AK14" s="96" t="e">
        <f t="shared" si="2"/>
        <v>#DIV/0!</v>
      </c>
      <c r="AL14" s="96" t="e">
        <f t="shared" si="2"/>
        <v>#DIV/0!</v>
      </c>
      <c r="AM14" s="96" t="e">
        <f t="shared" si="2"/>
        <v>#DIV/0!</v>
      </c>
      <c r="AN14" s="96" t="e">
        <f t="shared" si="2"/>
        <v>#DIV/0!</v>
      </c>
      <c r="AO14" s="96" t="e">
        <f t="shared" si="2"/>
        <v>#DIV/0!</v>
      </c>
      <c r="AP14" s="96" t="e">
        <f t="shared" si="2"/>
        <v>#DIV/0!</v>
      </c>
      <c r="AQ14" s="96" t="e">
        <f t="shared" si="2"/>
        <v>#DIV/0!</v>
      </c>
      <c r="AR14" s="96" t="e">
        <f t="shared" si="2"/>
        <v>#DIV/0!</v>
      </c>
      <c r="AS14" s="96" t="e">
        <f t="shared" si="2"/>
        <v>#DIV/0!</v>
      </c>
      <c r="AT14" s="96" t="e">
        <f t="shared" si="2"/>
        <v>#DIV/0!</v>
      </c>
      <c r="AU14" s="96" t="e">
        <f t="shared" si="2"/>
        <v>#DIV/0!</v>
      </c>
      <c r="AV14" s="96" t="e">
        <f t="shared" si="2"/>
        <v>#DIV/0!</v>
      </c>
      <c r="AW14" s="96" t="e">
        <f t="shared" si="2"/>
        <v>#DIV/0!</v>
      </c>
      <c r="AX14" s="96" t="e">
        <f t="shared" si="2"/>
        <v>#DIV/0!</v>
      </c>
      <c r="AY14" s="96" t="e">
        <f t="shared" si="2"/>
        <v>#DIV/0!</v>
      </c>
      <c r="AZ14" s="96" t="e">
        <f t="shared" si="2"/>
        <v>#DIV/0!</v>
      </c>
      <c r="BA14" s="96" t="e">
        <f t="shared" si="2"/>
        <v>#DIV/0!</v>
      </c>
      <c r="BB14" s="96" t="e">
        <f t="shared" si="2"/>
        <v>#DIV/0!</v>
      </c>
      <c r="BC14" s="96" t="e">
        <f t="shared" si="2"/>
        <v>#DIV/0!</v>
      </c>
      <c r="BD14" s="96" t="e">
        <f t="shared" si="2"/>
        <v>#DIV/0!</v>
      </c>
      <c r="BE14" s="96" t="e">
        <f t="shared" si="2"/>
        <v>#DIV/0!</v>
      </c>
      <c r="BF14" s="96" t="e">
        <f t="shared" si="2"/>
        <v>#DIV/0!</v>
      </c>
      <c r="BG14" s="96" t="e">
        <f t="shared" si="2"/>
        <v>#DIV/0!</v>
      </c>
      <c r="BH14" s="96" t="e">
        <f t="shared" si="2"/>
        <v>#DIV/0!</v>
      </c>
      <c r="BI14" s="96" t="e">
        <f t="shared" si="2"/>
        <v>#DIV/0!</v>
      </c>
      <c r="BJ14" s="96" t="e">
        <f t="shared" si="2"/>
        <v>#DIV/0!</v>
      </c>
      <c r="BK14" s="97" t="e">
        <f t="shared" si="2"/>
        <v>#DIV/0!</v>
      </c>
      <c r="BL14" s="97" t="e">
        <f t="shared" si="2"/>
        <v>#DIV/0!</v>
      </c>
      <c r="BM14" s="97" t="e">
        <f t="shared" si="2"/>
        <v>#DIV/0!</v>
      </c>
      <c r="BN14" s="97" t="e">
        <f t="shared" si="2"/>
        <v>#DIV/0!</v>
      </c>
      <c r="BO14" s="97" t="e">
        <f t="shared" si="2"/>
        <v>#DIV/0!</v>
      </c>
      <c r="BP14" s="97" t="e">
        <f t="shared" si="2"/>
        <v>#DIV/0!</v>
      </c>
      <c r="BQ14" s="97" t="e">
        <f t="shared" si="2"/>
        <v>#DIV/0!</v>
      </c>
      <c r="BR14" s="97" t="e">
        <f t="shared" si="2"/>
        <v>#DIV/0!</v>
      </c>
      <c r="BS14" s="97" t="e">
        <f t="shared" si="2"/>
        <v>#DIV/0!</v>
      </c>
      <c r="BT14" s="97" t="e">
        <f t="shared" si="2"/>
        <v>#DIV/0!</v>
      </c>
      <c r="BU14" s="97" t="e">
        <f t="shared" si="2"/>
        <v>#DIV/0!</v>
      </c>
      <c r="BV14" s="97" t="e">
        <f t="shared" si="2"/>
        <v>#DIV/0!</v>
      </c>
      <c r="BW14" s="97" t="e">
        <f t="shared" ref="BW14:CA14" si="3">BW15/(SUM(BW15,BW17,BW19))</f>
        <v>#DIV/0!</v>
      </c>
      <c r="BX14" s="97" t="e">
        <f t="shared" si="3"/>
        <v>#DIV/0!</v>
      </c>
      <c r="BY14" s="97" t="e">
        <f t="shared" si="3"/>
        <v>#DIV/0!</v>
      </c>
      <c r="BZ14" s="97" t="e">
        <f t="shared" si="3"/>
        <v>#DIV/0!</v>
      </c>
      <c r="CA14" s="97" t="e">
        <f t="shared" si="3"/>
        <v>#DIV/0!</v>
      </c>
    </row>
    <row r="15" spans="1:79" s="83" customFormat="1">
      <c r="A15" s="8" t="s">
        <v>139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209"/>
    </row>
    <row r="16" spans="1:79">
      <c r="A16" s="8" t="s">
        <v>7</v>
      </c>
      <c r="B16" s="96" t="e">
        <f>B17/(SUM(B15,B17,B19))</f>
        <v>#DIV/0!</v>
      </c>
      <c r="C16" s="96" t="e">
        <f>C17/(SUM(C15,C17,C19))</f>
        <v>#DIV/0!</v>
      </c>
      <c r="D16" s="96" t="e">
        <f t="shared" ref="D16:E16" si="4">D17/(SUM(D15,D17,D19))</f>
        <v>#DIV/0!</v>
      </c>
      <c r="E16" s="96" t="e">
        <f t="shared" si="4"/>
        <v>#DIV/0!</v>
      </c>
      <c r="F16" s="96" t="e">
        <f>F17/(SUM(F15,F17,F19))</f>
        <v>#DIV/0!</v>
      </c>
      <c r="G16" s="96" t="e">
        <f>G17/(SUM(G15,G17,G19))</f>
        <v>#DIV/0!</v>
      </c>
      <c r="H16" s="96" t="e">
        <f>H17/(SUM(H15,H17,H19))</f>
        <v>#DIV/0!</v>
      </c>
      <c r="I16" s="96" t="e">
        <f>I17/(SUM(I15,I17,I19))</f>
        <v>#DIV/0!</v>
      </c>
      <c r="J16" s="96" t="e">
        <f t="shared" ref="J16:BU16" si="5">J17/(SUM(J15,J17,J19))</f>
        <v>#DIV/0!</v>
      </c>
      <c r="K16" s="96" t="e">
        <f t="shared" si="5"/>
        <v>#DIV/0!</v>
      </c>
      <c r="L16" s="96" t="e">
        <f t="shared" si="5"/>
        <v>#DIV/0!</v>
      </c>
      <c r="M16" s="96" t="e">
        <f t="shared" si="5"/>
        <v>#DIV/0!</v>
      </c>
      <c r="N16" s="96" t="e">
        <f t="shared" si="5"/>
        <v>#DIV/0!</v>
      </c>
      <c r="O16" s="96" t="e">
        <f t="shared" si="5"/>
        <v>#DIV/0!</v>
      </c>
      <c r="P16" s="96" t="e">
        <f t="shared" si="5"/>
        <v>#DIV/0!</v>
      </c>
      <c r="Q16" s="96" t="e">
        <f t="shared" si="5"/>
        <v>#DIV/0!</v>
      </c>
      <c r="R16" s="96" t="e">
        <f t="shared" si="5"/>
        <v>#DIV/0!</v>
      </c>
      <c r="S16" s="96" t="e">
        <f t="shared" si="5"/>
        <v>#DIV/0!</v>
      </c>
      <c r="T16" s="96" t="e">
        <f t="shared" si="5"/>
        <v>#DIV/0!</v>
      </c>
      <c r="U16" s="96" t="e">
        <f t="shared" si="5"/>
        <v>#DIV/0!</v>
      </c>
      <c r="V16" s="96" t="e">
        <f t="shared" si="5"/>
        <v>#DIV/0!</v>
      </c>
      <c r="W16" s="96" t="e">
        <f t="shared" si="5"/>
        <v>#DIV/0!</v>
      </c>
      <c r="X16" s="96" t="e">
        <f t="shared" si="5"/>
        <v>#DIV/0!</v>
      </c>
      <c r="Y16" s="96" t="e">
        <f t="shared" si="5"/>
        <v>#DIV/0!</v>
      </c>
      <c r="Z16" s="96" t="e">
        <f t="shared" si="5"/>
        <v>#DIV/0!</v>
      </c>
      <c r="AA16" s="96" t="e">
        <f t="shared" si="5"/>
        <v>#DIV/0!</v>
      </c>
      <c r="AB16" s="96" t="e">
        <f t="shared" si="5"/>
        <v>#DIV/0!</v>
      </c>
      <c r="AC16" s="96" t="e">
        <f t="shared" si="5"/>
        <v>#DIV/0!</v>
      </c>
      <c r="AD16" s="96" t="e">
        <f t="shared" si="5"/>
        <v>#DIV/0!</v>
      </c>
      <c r="AE16" s="96" t="e">
        <f t="shared" si="5"/>
        <v>#DIV/0!</v>
      </c>
      <c r="AF16" s="96" t="e">
        <f t="shared" si="5"/>
        <v>#DIV/0!</v>
      </c>
      <c r="AG16" s="96" t="e">
        <f t="shared" si="5"/>
        <v>#DIV/0!</v>
      </c>
      <c r="AH16" s="96" t="e">
        <f t="shared" si="5"/>
        <v>#DIV/0!</v>
      </c>
      <c r="AI16" s="96" t="e">
        <f t="shared" si="5"/>
        <v>#DIV/0!</v>
      </c>
      <c r="AJ16" s="96" t="e">
        <f t="shared" si="5"/>
        <v>#DIV/0!</v>
      </c>
      <c r="AK16" s="96" t="e">
        <f t="shared" si="5"/>
        <v>#DIV/0!</v>
      </c>
      <c r="AL16" s="96" t="e">
        <f t="shared" si="5"/>
        <v>#DIV/0!</v>
      </c>
      <c r="AM16" s="96" t="e">
        <f t="shared" si="5"/>
        <v>#DIV/0!</v>
      </c>
      <c r="AN16" s="96" t="e">
        <f t="shared" si="5"/>
        <v>#DIV/0!</v>
      </c>
      <c r="AO16" s="96" t="e">
        <f t="shared" si="5"/>
        <v>#DIV/0!</v>
      </c>
      <c r="AP16" s="96" t="e">
        <f t="shared" si="5"/>
        <v>#DIV/0!</v>
      </c>
      <c r="AQ16" s="96" t="e">
        <f t="shared" si="5"/>
        <v>#DIV/0!</v>
      </c>
      <c r="AR16" s="96" t="e">
        <f t="shared" si="5"/>
        <v>#DIV/0!</v>
      </c>
      <c r="AS16" s="96" t="e">
        <f t="shared" si="5"/>
        <v>#DIV/0!</v>
      </c>
      <c r="AT16" s="96" t="e">
        <f t="shared" si="5"/>
        <v>#DIV/0!</v>
      </c>
      <c r="AU16" s="96" t="e">
        <f t="shared" si="5"/>
        <v>#DIV/0!</v>
      </c>
      <c r="AV16" s="96" t="e">
        <f t="shared" si="5"/>
        <v>#DIV/0!</v>
      </c>
      <c r="AW16" s="96" t="e">
        <f t="shared" si="5"/>
        <v>#DIV/0!</v>
      </c>
      <c r="AX16" s="96" t="e">
        <f t="shared" si="5"/>
        <v>#DIV/0!</v>
      </c>
      <c r="AY16" s="96" t="e">
        <f t="shared" si="5"/>
        <v>#DIV/0!</v>
      </c>
      <c r="AZ16" s="96" t="e">
        <f t="shared" si="5"/>
        <v>#DIV/0!</v>
      </c>
      <c r="BA16" s="96" t="e">
        <f t="shared" si="5"/>
        <v>#DIV/0!</v>
      </c>
      <c r="BB16" s="96" t="e">
        <f t="shared" si="5"/>
        <v>#DIV/0!</v>
      </c>
      <c r="BC16" s="96" t="e">
        <f t="shared" si="5"/>
        <v>#DIV/0!</v>
      </c>
      <c r="BD16" s="96" t="e">
        <f t="shared" si="5"/>
        <v>#DIV/0!</v>
      </c>
      <c r="BE16" s="96" t="e">
        <f t="shared" si="5"/>
        <v>#DIV/0!</v>
      </c>
      <c r="BF16" s="96" t="e">
        <f t="shared" si="5"/>
        <v>#DIV/0!</v>
      </c>
      <c r="BG16" s="96" t="e">
        <f t="shared" si="5"/>
        <v>#DIV/0!</v>
      </c>
      <c r="BH16" s="96" t="e">
        <f t="shared" si="5"/>
        <v>#DIV/0!</v>
      </c>
      <c r="BI16" s="96" t="e">
        <f t="shared" si="5"/>
        <v>#DIV/0!</v>
      </c>
      <c r="BJ16" s="96" t="e">
        <f t="shared" si="5"/>
        <v>#DIV/0!</v>
      </c>
      <c r="BK16" s="97" t="e">
        <f t="shared" si="5"/>
        <v>#DIV/0!</v>
      </c>
      <c r="BL16" s="97" t="e">
        <f t="shared" si="5"/>
        <v>#DIV/0!</v>
      </c>
      <c r="BM16" s="97" t="e">
        <f t="shared" si="5"/>
        <v>#DIV/0!</v>
      </c>
      <c r="BN16" s="97" t="e">
        <f t="shared" si="5"/>
        <v>#DIV/0!</v>
      </c>
      <c r="BO16" s="97" t="e">
        <f t="shared" si="5"/>
        <v>#DIV/0!</v>
      </c>
      <c r="BP16" s="97" t="e">
        <f t="shared" si="5"/>
        <v>#DIV/0!</v>
      </c>
      <c r="BQ16" s="97" t="e">
        <f t="shared" si="5"/>
        <v>#DIV/0!</v>
      </c>
      <c r="BR16" s="97" t="e">
        <f t="shared" si="5"/>
        <v>#DIV/0!</v>
      </c>
      <c r="BS16" s="97" t="e">
        <f t="shared" si="5"/>
        <v>#DIV/0!</v>
      </c>
      <c r="BT16" s="97" t="e">
        <f t="shared" si="5"/>
        <v>#DIV/0!</v>
      </c>
      <c r="BU16" s="97" t="e">
        <f t="shared" si="5"/>
        <v>#DIV/0!</v>
      </c>
      <c r="BV16" s="97" t="e">
        <f t="shared" ref="BV16:CA16" si="6">BV17/(SUM(BV15,BV17,BV19))</f>
        <v>#DIV/0!</v>
      </c>
      <c r="BW16" s="97" t="e">
        <f t="shared" si="6"/>
        <v>#DIV/0!</v>
      </c>
      <c r="BX16" s="97" t="e">
        <f t="shared" si="6"/>
        <v>#DIV/0!</v>
      </c>
      <c r="BY16" s="97" t="e">
        <f t="shared" si="6"/>
        <v>#DIV/0!</v>
      </c>
      <c r="BZ16" s="97" t="e">
        <f t="shared" si="6"/>
        <v>#DIV/0!</v>
      </c>
      <c r="CA16" s="97" t="e">
        <f t="shared" si="6"/>
        <v>#DIV/0!</v>
      </c>
    </row>
    <row r="17" spans="1:79" s="83" customFormat="1">
      <c r="A17" s="8" t="s">
        <v>8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209"/>
    </row>
    <row r="18" spans="1:79">
      <c r="A18" s="8" t="s">
        <v>9</v>
      </c>
      <c r="B18" s="96" t="e">
        <f>B19/(SUM(B19,B15,B17))</f>
        <v>#DIV/0!</v>
      </c>
      <c r="C18" s="96" t="e">
        <f t="shared" ref="C18:E18" si="7">C19/(SUM(C19,C15,C17))</f>
        <v>#DIV/0!</v>
      </c>
      <c r="D18" s="96" t="e">
        <f t="shared" si="7"/>
        <v>#DIV/0!</v>
      </c>
      <c r="E18" s="96" t="e">
        <f t="shared" si="7"/>
        <v>#DIV/0!</v>
      </c>
      <c r="F18" s="96" t="e">
        <f>F19/(SUM(F15,F17,F19))</f>
        <v>#DIV/0!</v>
      </c>
      <c r="G18" s="96" t="e">
        <f t="shared" ref="G18:BR18" si="8">G19/(SUM(G15,G17,G19))</f>
        <v>#DIV/0!</v>
      </c>
      <c r="H18" s="96" t="e">
        <f t="shared" si="8"/>
        <v>#DIV/0!</v>
      </c>
      <c r="I18" s="96" t="e">
        <f t="shared" si="8"/>
        <v>#DIV/0!</v>
      </c>
      <c r="J18" s="96" t="e">
        <f t="shared" si="8"/>
        <v>#DIV/0!</v>
      </c>
      <c r="K18" s="96" t="e">
        <f t="shared" si="8"/>
        <v>#DIV/0!</v>
      </c>
      <c r="L18" s="96" t="e">
        <f t="shared" si="8"/>
        <v>#DIV/0!</v>
      </c>
      <c r="M18" s="96" t="e">
        <f t="shared" si="8"/>
        <v>#DIV/0!</v>
      </c>
      <c r="N18" s="96" t="e">
        <f t="shared" si="8"/>
        <v>#DIV/0!</v>
      </c>
      <c r="O18" s="96" t="e">
        <f t="shared" si="8"/>
        <v>#DIV/0!</v>
      </c>
      <c r="P18" s="96" t="e">
        <f t="shared" si="8"/>
        <v>#DIV/0!</v>
      </c>
      <c r="Q18" s="96" t="e">
        <f t="shared" si="8"/>
        <v>#DIV/0!</v>
      </c>
      <c r="R18" s="96" t="e">
        <f t="shared" si="8"/>
        <v>#DIV/0!</v>
      </c>
      <c r="S18" s="96" t="e">
        <f t="shared" si="8"/>
        <v>#DIV/0!</v>
      </c>
      <c r="T18" s="96" t="e">
        <f t="shared" si="8"/>
        <v>#DIV/0!</v>
      </c>
      <c r="U18" s="96" t="e">
        <f t="shared" si="8"/>
        <v>#DIV/0!</v>
      </c>
      <c r="V18" s="96" t="e">
        <f t="shared" si="8"/>
        <v>#DIV/0!</v>
      </c>
      <c r="W18" s="96" t="e">
        <f t="shared" si="8"/>
        <v>#DIV/0!</v>
      </c>
      <c r="X18" s="96" t="e">
        <f t="shared" si="8"/>
        <v>#DIV/0!</v>
      </c>
      <c r="Y18" s="96" t="e">
        <f t="shared" si="8"/>
        <v>#DIV/0!</v>
      </c>
      <c r="Z18" s="96" t="e">
        <f t="shared" si="8"/>
        <v>#DIV/0!</v>
      </c>
      <c r="AA18" s="96" t="e">
        <f t="shared" si="8"/>
        <v>#DIV/0!</v>
      </c>
      <c r="AB18" s="96" t="e">
        <f t="shared" si="8"/>
        <v>#DIV/0!</v>
      </c>
      <c r="AC18" s="96" t="e">
        <f t="shared" si="8"/>
        <v>#DIV/0!</v>
      </c>
      <c r="AD18" s="96" t="e">
        <f t="shared" si="8"/>
        <v>#DIV/0!</v>
      </c>
      <c r="AE18" s="96" t="e">
        <f t="shared" si="8"/>
        <v>#DIV/0!</v>
      </c>
      <c r="AF18" s="96" t="e">
        <f t="shared" si="8"/>
        <v>#DIV/0!</v>
      </c>
      <c r="AG18" s="96" t="e">
        <f t="shared" si="8"/>
        <v>#DIV/0!</v>
      </c>
      <c r="AH18" s="96" t="e">
        <f t="shared" si="8"/>
        <v>#DIV/0!</v>
      </c>
      <c r="AI18" s="96" t="e">
        <f t="shared" si="8"/>
        <v>#DIV/0!</v>
      </c>
      <c r="AJ18" s="96" t="e">
        <f t="shared" si="8"/>
        <v>#DIV/0!</v>
      </c>
      <c r="AK18" s="96" t="e">
        <f t="shared" si="8"/>
        <v>#DIV/0!</v>
      </c>
      <c r="AL18" s="96" t="e">
        <f t="shared" si="8"/>
        <v>#DIV/0!</v>
      </c>
      <c r="AM18" s="96" t="e">
        <f t="shared" si="8"/>
        <v>#DIV/0!</v>
      </c>
      <c r="AN18" s="96" t="e">
        <f t="shared" si="8"/>
        <v>#DIV/0!</v>
      </c>
      <c r="AO18" s="96" t="e">
        <f t="shared" si="8"/>
        <v>#DIV/0!</v>
      </c>
      <c r="AP18" s="96" t="e">
        <f t="shared" si="8"/>
        <v>#DIV/0!</v>
      </c>
      <c r="AQ18" s="96" t="e">
        <f t="shared" si="8"/>
        <v>#DIV/0!</v>
      </c>
      <c r="AR18" s="96" t="e">
        <f t="shared" si="8"/>
        <v>#DIV/0!</v>
      </c>
      <c r="AS18" s="96" t="e">
        <f t="shared" si="8"/>
        <v>#DIV/0!</v>
      </c>
      <c r="AT18" s="96" t="e">
        <f t="shared" si="8"/>
        <v>#DIV/0!</v>
      </c>
      <c r="AU18" s="96" t="e">
        <f t="shared" si="8"/>
        <v>#DIV/0!</v>
      </c>
      <c r="AV18" s="96" t="e">
        <f t="shared" si="8"/>
        <v>#DIV/0!</v>
      </c>
      <c r="AW18" s="96" t="e">
        <f t="shared" si="8"/>
        <v>#DIV/0!</v>
      </c>
      <c r="AX18" s="96" t="e">
        <f t="shared" si="8"/>
        <v>#DIV/0!</v>
      </c>
      <c r="AY18" s="96" t="e">
        <f t="shared" si="8"/>
        <v>#DIV/0!</v>
      </c>
      <c r="AZ18" s="96" t="e">
        <f t="shared" si="8"/>
        <v>#DIV/0!</v>
      </c>
      <c r="BA18" s="96" t="e">
        <f t="shared" si="8"/>
        <v>#DIV/0!</v>
      </c>
      <c r="BB18" s="96" t="e">
        <f t="shared" si="8"/>
        <v>#DIV/0!</v>
      </c>
      <c r="BC18" s="96" t="e">
        <f t="shared" si="8"/>
        <v>#DIV/0!</v>
      </c>
      <c r="BD18" s="96" t="e">
        <f t="shared" si="8"/>
        <v>#DIV/0!</v>
      </c>
      <c r="BE18" s="96" t="e">
        <f t="shared" si="8"/>
        <v>#DIV/0!</v>
      </c>
      <c r="BF18" s="96" t="e">
        <f t="shared" si="8"/>
        <v>#DIV/0!</v>
      </c>
      <c r="BG18" s="96" t="e">
        <f t="shared" si="8"/>
        <v>#DIV/0!</v>
      </c>
      <c r="BH18" s="96" t="e">
        <f t="shared" si="8"/>
        <v>#DIV/0!</v>
      </c>
      <c r="BI18" s="96" t="e">
        <f t="shared" si="8"/>
        <v>#DIV/0!</v>
      </c>
      <c r="BJ18" s="96" t="e">
        <f t="shared" si="8"/>
        <v>#DIV/0!</v>
      </c>
      <c r="BK18" s="97" t="e">
        <f t="shared" si="8"/>
        <v>#DIV/0!</v>
      </c>
      <c r="BL18" s="97" t="e">
        <f t="shared" si="8"/>
        <v>#DIV/0!</v>
      </c>
      <c r="BM18" s="97" t="e">
        <f t="shared" si="8"/>
        <v>#DIV/0!</v>
      </c>
      <c r="BN18" s="97" t="e">
        <f t="shared" si="8"/>
        <v>#DIV/0!</v>
      </c>
      <c r="BO18" s="97" t="e">
        <f t="shared" si="8"/>
        <v>#DIV/0!</v>
      </c>
      <c r="BP18" s="97" t="e">
        <f t="shared" si="8"/>
        <v>#DIV/0!</v>
      </c>
      <c r="BQ18" s="97" t="e">
        <f t="shared" si="8"/>
        <v>#DIV/0!</v>
      </c>
      <c r="BR18" s="97" t="e">
        <f t="shared" si="8"/>
        <v>#DIV/0!</v>
      </c>
      <c r="BS18" s="97" t="e">
        <f t="shared" ref="BS18:CA18" si="9">BS19/(SUM(BS15,BS17,BS19))</f>
        <v>#DIV/0!</v>
      </c>
      <c r="BT18" s="97" t="e">
        <f t="shared" si="9"/>
        <v>#DIV/0!</v>
      </c>
      <c r="BU18" s="97" t="e">
        <f t="shared" si="9"/>
        <v>#DIV/0!</v>
      </c>
      <c r="BV18" s="97" t="e">
        <f t="shared" si="9"/>
        <v>#DIV/0!</v>
      </c>
      <c r="BW18" s="97" t="e">
        <f t="shared" si="9"/>
        <v>#DIV/0!</v>
      </c>
      <c r="BX18" s="97" t="e">
        <f t="shared" si="9"/>
        <v>#DIV/0!</v>
      </c>
      <c r="BY18" s="97" t="e">
        <f t="shared" si="9"/>
        <v>#DIV/0!</v>
      </c>
      <c r="BZ18" s="97" t="e">
        <f t="shared" si="9"/>
        <v>#DIV/0!</v>
      </c>
      <c r="CA18" s="97" t="e">
        <f t="shared" si="9"/>
        <v>#DIV/0!</v>
      </c>
    </row>
    <row r="19" spans="1:79" s="83" customFormat="1" ht="19.5" thickBot="1">
      <c r="A19" s="239" t="s">
        <v>10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215"/>
    </row>
    <row r="20" spans="1:79" s="243" customFormat="1" ht="19.5" thickBot="1">
      <c r="A20" s="240"/>
      <c r="B20" s="241"/>
      <c r="C20" s="241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2"/>
    </row>
    <row r="21" spans="1:79" s="66" customFormat="1">
      <c r="A21" s="203" t="s">
        <v>132</v>
      </c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28">
        <v>0.71399999999999997</v>
      </c>
      <c r="AK21" s="228">
        <v>0.57099999999999995</v>
      </c>
      <c r="AL21" s="206">
        <v>0.71399999999999997</v>
      </c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6"/>
      <c r="BK21" s="220"/>
    </row>
    <row r="22" spans="1:79" s="71" customFormat="1">
      <c r="A22" s="17" t="s">
        <v>140</v>
      </c>
    </row>
    <row r="23" spans="1:79" s="71" customFormat="1" ht="19.5" thickBot="1">
      <c r="A23" s="17" t="s">
        <v>141</v>
      </c>
    </row>
    <row r="24" spans="1:79" s="14" customFormat="1" ht="19.5" thickBot="1">
      <c r="A24" s="202" t="s">
        <v>133</v>
      </c>
      <c r="B24" s="205">
        <v>0.55000000000000004</v>
      </c>
      <c r="C24" s="205">
        <v>0.55000000000000004</v>
      </c>
      <c r="D24" s="205">
        <v>0.55000000000000004</v>
      </c>
      <c r="E24" s="205">
        <v>0.55000000000000004</v>
      </c>
      <c r="F24" s="205">
        <v>0.55000000000000004</v>
      </c>
      <c r="G24" s="205">
        <v>0.55000000000000004</v>
      </c>
      <c r="H24" s="205">
        <v>0.55000000000000004</v>
      </c>
      <c r="I24" s="205">
        <v>0.55000000000000004</v>
      </c>
      <c r="J24" s="205">
        <v>0.55000000000000004</v>
      </c>
      <c r="K24" s="205">
        <v>0.55000000000000004</v>
      </c>
      <c r="L24" s="205">
        <v>0.55000000000000004</v>
      </c>
      <c r="M24" s="205">
        <v>0.55000000000000004</v>
      </c>
      <c r="N24" s="205">
        <v>0.55000000000000004</v>
      </c>
      <c r="O24" s="205">
        <v>0.55000000000000004</v>
      </c>
      <c r="P24" s="205">
        <v>0.55000000000000004</v>
      </c>
      <c r="Q24" s="205">
        <v>0.55000000000000004</v>
      </c>
      <c r="R24" s="205">
        <v>0.55000000000000004</v>
      </c>
      <c r="S24" s="205">
        <v>0.55000000000000004</v>
      </c>
      <c r="T24" s="205">
        <v>0.55000000000000004</v>
      </c>
      <c r="U24" s="205">
        <v>0.55000000000000004</v>
      </c>
      <c r="V24" s="205">
        <v>0.55000000000000004</v>
      </c>
      <c r="W24" s="205">
        <v>0.55000000000000004</v>
      </c>
      <c r="X24" s="205">
        <v>0.55000000000000004</v>
      </c>
      <c r="Y24" s="205">
        <v>0.55000000000000004</v>
      </c>
      <c r="Z24" s="205">
        <v>0.55000000000000004</v>
      </c>
      <c r="AA24" s="205">
        <v>0.55000000000000004</v>
      </c>
      <c r="AB24" s="205">
        <v>0.55000000000000004</v>
      </c>
      <c r="AC24" s="205">
        <v>0.55000000000000004</v>
      </c>
      <c r="AD24" s="205">
        <v>0.55000000000000004</v>
      </c>
      <c r="AE24" s="205">
        <v>0.55000000000000004</v>
      </c>
      <c r="AF24" s="205">
        <v>0.55000000000000004</v>
      </c>
      <c r="AG24" s="205">
        <v>0.55000000000000004</v>
      </c>
      <c r="AH24" s="205">
        <v>0.55000000000000004</v>
      </c>
      <c r="AI24" s="205">
        <v>0.55000000000000004</v>
      </c>
      <c r="AJ24" s="205">
        <v>0.55000000000000004</v>
      </c>
      <c r="AK24" s="205">
        <v>0.55000000000000004</v>
      </c>
      <c r="AL24" s="205">
        <v>0.55000000000000004</v>
      </c>
      <c r="AM24" s="205">
        <v>0.55000000000000004</v>
      </c>
      <c r="AN24" s="205">
        <v>0.55000000000000004</v>
      </c>
      <c r="AO24" s="205">
        <v>0.55000000000000004</v>
      </c>
      <c r="AP24" s="205">
        <v>0.55000000000000004</v>
      </c>
      <c r="AQ24" s="205">
        <v>0.55000000000000004</v>
      </c>
      <c r="AR24" s="205">
        <v>0.55000000000000004</v>
      </c>
      <c r="AS24" s="205">
        <v>0.55000000000000004</v>
      </c>
      <c r="AT24" s="205">
        <v>0.55000000000000004</v>
      </c>
      <c r="AU24" s="205">
        <v>0.55000000000000004</v>
      </c>
      <c r="AV24" s="205">
        <v>0.55000000000000004</v>
      </c>
      <c r="AW24" s="205">
        <v>0.55000000000000004</v>
      </c>
      <c r="AX24" s="205">
        <v>0.55000000000000004</v>
      </c>
      <c r="AY24" s="205">
        <v>0.55000000000000004</v>
      </c>
      <c r="AZ24" s="205">
        <v>0.55000000000000004</v>
      </c>
      <c r="BA24" s="205">
        <v>0.55000000000000004</v>
      </c>
      <c r="BB24" s="205">
        <v>0.55000000000000004</v>
      </c>
      <c r="BC24" s="205">
        <v>0.55000000000000004</v>
      </c>
      <c r="BD24" s="205">
        <v>0.55000000000000004</v>
      </c>
      <c r="BE24" s="205">
        <v>0.55000000000000004</v>
      </c>
      <c r="BF24" s="205">
        <v>0.55000000000000004</v>
      </c>
      <c r="BG24" s="205">
        <v>0.55000000000000004</v>
      </c>
      <c r="BH24" s="205">
        <v>0.55000000000000004</v>
      </c>
      <c r="BI24" s="205">
        <v>0.55000000000000004</v>
      </c>
      <c r="BJ24" s="205">
        <v>0.55000000000000004</v>
      </c>
      <c r="BK24" s="205">
        <v>0.55000000000000004</v>
      </c>
      <c r="BL24" s="205">
        <v>0.55000000000000004</v>
      </c>
      <c r="BM24" s="205">
        <v>0.55000000000000004</v>
      </c>
      <c r="BN24" s="205">
        <v>0.55000000000000004</v>
      </c>
      <c r="BO24" s="205">
        <v>0.55000000000000004</v>
      </c>
      <c r="BP24" s="205">
        <v>0.55000000000000004</v>
      </c>
      <c r="BQ24" s="205">
        <v>0.55000000000000004</v>
      </c>
      <c r="BR24" s="205">
        <v>0.55000000000000004</v>
      </c>
      <c r="BS24" s="205">
        <v>0.55000000000000004</v>
      </c>
      <c r="BT24" s="205">
        <v>0.55000000000000004</v>
      </c>
      <c r="BU24" s="205">
        <v>0.55000000000000004</v>
      </c>
      <c r="BV24" s="205">
        <v>0.55000000000000004</v>
      </c>
      <c r="BW24" s="205">
        <v>0.55000000000000004</v>
      </c>
      <c r="BX24" s="205">
        <v>0.55000000000000004</v>
      </c>
      <c r="BY24" s="205">
        <v>0.55000000000000004</v>
      </c>
      <c r="BZ24" s="205">
        <v>0.55000000000000004</v>
      </c>
      <c r="CA24" s="205">
        <v>0.55000000000000004</v>
      </c>
    </row>
    <row r="25" spans="1:79" s="78" customFormat="1" ht="19.5" thickBot="1">
      <c r="A25" s="202" t="s">
        <v>134</v>
      </c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>
        <v>1.7</v>
      </c>
      <c r="AK25" s="206">
        <v>1.3</v>
      </c>
      <c r="AL25" s="206">
        <v>1.7</v>
      </c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20"/>
    </row>
    <row r="26" spans="1:79" s="207" customFormat="1" ht="19.5" thickBot="1">
      <c r="A26" s="231" t="s">
        <v>135</v>
      </c>
      <c r="B26" s="232">
        <v>21</v>
      </c>
      <c r="C26" s="232">
        <v>21</v>
      </c>
      <c r="D26" s="232">
        <v>21</v>
      </c>
      <c r="E26" s="232">
        <v>21</v>
      </c>
      <c r="F26" s="232">
        <v>21</v>
      </c>
      <c r="G26" s="232">
        <v>21</v>
      </c>
      <c r="H26" s="232">
        <v>21</v>
      </c>
      <c r="I26" s="232">
        <v>21</v>
      </c>
      <c r="J26" s="232">
        <v>21</v>
      </c>
      <c r="K26" s="232">
        <v>21</v>
      </c>
      <c r="L26" s="232">
        <v>21</v>
      </c>
      <c r="M26" s="232">
        <v>21</v>
      </c>
      <c r="N26" s="232">
        <v>21</v>
      </c>
      <c r="O26" s="232">
        <v>21</v>
      </c>
      <c r="P26" s="232">
        <v>21</v>
      </c>
      <c r="Q26" s="232">
        <v>21</v>
      </c>
      <c r="R26" s="232">
        <v>21</v>
      </c>
      <c r="S26" s="232">
        <v>21</v>
      </c>
      <c r="T26" s="232">
        <v>21</v>
      </c>
      <c r="U26" s="232">
        <v>21</v>
      </c>
      <c r="V26" s="232">
        <v>21</v>
      </c>
      <c r="W26" s="232">
        <v>21</v>
      </c>
      <c r="X26" s="232">
        <v>21</v>
      </c>
      <c r="Y26" s="232">
        <v>21</v>
      </c>
      <c r="Z26" s="232">
        <v>21</v>
      </c>
      <c r="AA26" s="232">
        <v>21</v>
      </c>
      <c r="AB26" s="232">
        <v>21</v>
      </c>
      <c r="AC26" s="232">
        <v>21</v>
      </c>
      <c r="AD26" s="232">
        <v>21</v>
      </c>
      <c r="AE26" s="232">
        <v>21</v>
      </c>
      <c r="AF26" s="232">
        <v>21</v>
      </c>
      <c r="AG26" s="232">
        <v>21</v>
      </c>
      <c r="AH26" s="232">
        <v>21</v>
      </c>
      <c r="AI26" s="232">
        <v>21</v>
      </c>
      <c r="AJ26" s="232">
        <v>21</v>
      </c>
      <c r="AK26" s="232">
        <v>21</v>
      </c>
      <c r="AL26" s="232">
        <v>21</v>
      </c>
      <c r="AM26" s="232">
        <v>21</v>
      </c>
      <c r="AN26" s="232">
        <v>21</v>
      </c>
      <c r="AO26" s="232">
        <v>21</v>
      </c>
      <c r="AP26" s="232">
        <v>21</v>
      </c>
      <c r="AQ26" s="232">
        <v>21</v>
      </c>
      <c r="AR26" s="232">
        <v>21</v>
      </c>
      <c r="AS26" s="232">
        <v>21</v>
      </c>
      <c r="AT26" s="232">
        <v>21</v>
      </c>
      <c r="AU26" s="232">
        <v>21</v>
      </c>
      <c r="AV26" s="232">
        <v>21</v>
      </c>
      <c r="AW26" s="232">
        <v>21</v>
      </c>
      <c r="AX26" s="232">
        <v>21</v>
      </c>
      <c r="AY26" s="232">
        <v>21</v>
      </c>
      <c r="AZ26" s="232">
        <v>21</v>
      </c>
      <c r="BA26" s="232">
        <v>21</v>
      </c>
      <c r="BB26" s="232">
        <v>21</v>
      </c>
      <c r="BC26" s="232">
        <v>21</v>
      </c>
      <c r="BD26" s="232">
        <v>21</v>
      </c>
      <c r="BE26" s="232">
        <v>21</v>
      </c>
      <c r="BF26" s="232">
        <v>21</v>
      </c>
      <c r="BG26" s="232">
        <v>21</v>
      </c>
      <c r="BH26" s="232">
        <v>21</v>
      </c>
      <c r="BI26" s="232">
        <v>21</v>
      </c>
      <c r="BJ26" s="232">
        <v>21</v>
      </c>
      <c r="BK26" s="232">
        <v>21</v>
      </c>
      <c r="BL26" s="232">
        <v>21</v>
      </c>
      <c r="BM26" s="232">
        <v>21</v>
      </c>
      <c r="BN26" s="232">
        <v>21</v>
      </c>
      <c r="BO26" s="232">
        <v>21</v>
      </c>
      <c r="BP26" s="232">
        <v>21</v>
      </c>
      <c r="BQ26" s="232">
        <v>21</v>
      </c>
      <c r="BR26" s="232">
        <v>21</v>
      </c>
      <c r="BS26" s="232">
        <v>21</v>
      </c>
      <c r="BT26" s="232">
        <v>21</v>
      </c>
      <c r="BU26" s="232">
        <v>21</v>
      </c>
      <c r="BV26" s="232">
        <v>21</v>
      </c>
      <c r="BW26" s="232">
        <v>21</v>
      </c>
      <c r="BX26" s="232">
        <v>21</v>
      </c>
      <c r="BY26" s="232">
        <v>21</v>
      </c>
      <c r="BZ26" s="232">
        <v>21</v>
      </c>
      <c r="CA26" s="232">
        <v>21</v>
      </c>
    </row>
    <row r="27" spans="1:79" s="235" customFormat="1" ht="19.5" thickBot="1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</row>
    <row r="28" spans="1:79" s="11" customFormat="1" ht="19.5" thickBot="1">
      <c r="A28" s="10" t="s">
        <v>1</v>
      </c>
      <c r="B28" s="92"/>
      <c r="C28" s="92"/>
      <c r="D28" s="92"/>
      <c r="E28" s="92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2"/>
      <c r="AF28" s="92"/>
      <c r="AG28" s="93"/>
      <c r="AH28" s="93"/>
      <c r="AI28" s="93"/>
      <c r="AJ28" s="92"/>
      <c r="AK28" s="92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4"/>
    </row>
    <row r="29" spans="1:79" s="207" customFormat="1" ht="19.5" thickBot="1">
      <c r="A29" s="203" t="s">
        <v>137</v>
      </c>
      <c r="B29" s="230">
        <v>28</v>
      </c>
      <c r="C29" s="230">
        <v>28</v>
      </c>
      <c r="D29" s="230">
        <v>28</v>
      </c>
      <c r="E29" s="230">
        <v>28</v>
      </c>
      <c r="F29" s="230">
        <v>28</v>
      </c>
      <c r="G29" s="230">
        <v>28</v>
      </c>
      <c r="H29" s="230">
        <v>28</v>
      </c>
      <c r="I29" s="230">
        <v>28</v>
      </c>
      <c r="J29" s="230">
        <v>28</v>
      </c>
      <c r="K29" s="230">
        <v>28</v>
      </c>
      <c r="L29" s="230">
        <v>28</v>
      </c>
      <c r="M29" s="230">
        <v>28</v>
      </c>
      <c r="N29" s="230">
        <v>28</v>
      </c>
      <c r="O29" s="230">
        <v>28</v>
      </c>
      <c r="P29" s="230">
        <v>28</v>
      </c>
      <c r="Q29" s="230">
        <v>28</v>
      </c>
      <c r="R29" s="230">
        <v>28</v>
      </c>
      <c r="S29" s="230">
        <v>28</v>
      </c>
      <c r="T29" s="230">
        <v>28</v>
      </c>
      <c r="U29" s="230">
        <v>28</v>
      </c>
      <c r="V29" s="230">
        <v>28</v>
      </c>
      <c r="W29" s="230">
        <v>28</v>
      </c>
      <c r="X29" s="230">
        <v>28</v>
      </c>
      <c r="Y29" s="230">
        <v>28</v>
      </c>
      <c r="Z29" s="230">
        <v>28</v>
      </c>
      <c r="AA29" s="230">
        <v>28</v>
      </c>
      <c r="AB29" s="230">
        <v>28</v>
      </c>
      <c r="AC29" s="230">
        <v>28</v>
      </c>
      <c r="AD29" s="230">
        <v>28</v>
      </c>
      <c r="AE29" s="230">
        <v>28</v>
      </c>
      <c r="AF29" s="230">
        <v>28</v>
      </c>
      <c r="AG29" s="230">
        <v>28</v>
      </c>
      <c r="AH29" s="230">
        <v>28</v>
      </c>
      <c r="AI29" s="230">
        <v>28</v>
      </c>
      <c r="AJ29" s="230">
        <v>28</v>
      </c>
      <c r="AK29" s="230">
        <v>28</v>
      </c>
      <c r="AL29" s="230">
        <v>28</v>
      </c>
      <c r="AM29" s="230">
        <v>28</v>
      </c>
      <c r="AN29" s="230">
        <v>28</v>
      </c>
      <c r="AO29" s="230">
        <v>28</v>
      </c>
      <c r="AP29" s="230">
        <v>28</v>
      </c>
      <c r="AQ29" s="230">
        <v>28</v>
      </c>
      <c r="AR29" s="230">
        <v>28</v>
      </c>
      <c r="AS29" s="230">
        <v>28</v>
      </c>
      <c r="AT29" s="230">
        <v>28</v>
      </c>
      <c r="AU29" s="230">
        <v>28</v>
      </c>
      <c r="AV29" s="230">
        <v>28</v>
      </c>
      <c r="AW29" s="230">
        <v>28</v>
      </c>
      <c r="AX29" s="230">
        <v>28</v>
      </c>
      <c r="AY29" s="230">
        <v>28</v>
      </c>
      <c r="AZ29" s="230">
        <v>28</v>
      </c>
      <c r="BA29" s="230">
        <v>28</v>
      </c>
      <c r="BB29" s="230">
        <v>28</v>
      </c>
      <c r="BC29" s="230">
        <v>28</v>
      </c>
      <c r="BD29" s="230">
        <v>28</v>
      </c>
      <c r="BE29" s="230">
        <v>28</v>
      </c>
      <c r="BF29" s="230">
        <v>28</v>
      </c>
      <c r="BG29" s="230">
        <v>28</v>
      </c>
      <c r="BH29" s="230">
        <v>28</v>
      </c>
      <c r="BI29" s="230">
        <v>28</v>
      </c>
      <c r="BJ29" s="230">
        <v>28</v>
      </c>
      <c r="BK29" s="230">
        <v>28</v>
      </c>
      <c r="BL29" s="230">
        <v>28</v>
      </c>
      <c r="BM29" s="230">
        <v>28</v>
      </c>
      <c r="BN29" s="230">
        <v>28</v>
      </c>
      <c r="BO29" s="230">
        <v>28</v>
      </c>
      <c r="BP29" s="230">
        <v>28</v>
      </c>
      <c r="BQ29" s="230">
        <v>28</v>
      </c>
      <c r="BR29" s="230">
        <v>28</v>
      </c>
      <c r="BS29" s="230">
        <v>28</v>
      </c>
      <c r="BT29" s="230">
        <v>28</v>
      </c>
      <c r="BU29" s="230">
        <v>28</v>
      </c>
      <c r="BV29" s="230">
        <v>28</v>
      </c>
      <c r="BW29" s="230">
        <v>28</v>
      </c>
      <c r="BX29" s="230">
        <v>28</v>
      </c>
      <c r="BY29" s="230">
        <v>28</v>
      </c>
      <c r="BZ29" s="230">
        <v>28</v>
      </c>
      <c r="CA29" s="230">
        <v>28</v>
      </c>
    </row>
    <row r="30" spans="1:79" s="14" customFormat="1">
      <c r="A30" s="12" t="s">
        <v>2</v>
      </c>
      <c r="B30" s="13">
        <v>31</v>
      </c>
      <c r="C30" s="13">
        <v>31</v>
      </c>
      <c r="D30" s="13">
        <v>31</v>
      </c>
      <c r="E30" s="13">
        <v>31</v>
      </c>
      <c r="F30" s="13">
        <v>31</v>
      </c>
      <c r="G30" s="13">
        <v>31</v>
      </c>
      <c r="H30" s="13">
        <v>31</v>
      </c>
      <c r="I30" s="13">
        <v>31</v>
      </c>
      <c r="J30" s="13">
        <v>31</v>
      </c>
      <c r="K30" s="13">
        <v>31</v>
      </c>
      <c r="L30" s="13">
        <v>31</v>
      </c>
      <c r="M30" s="13">
        <v>31</v>
      </c>
      <c r="N30" s="13">
        <v>31</v>
      </c>
      <c r="O30" s="13">
        <v>31</v>
      </c>
      <c r="P30" s="13">
        <v>31</v>
      </c>
      <c r="Q30" s="13">
        <v>31</v>
      </c>
      <c r="R30" s="13">
        <v>31</v>
      </c>
      <c r="S30" s="13">
        <v>31</v>
      </c>
      <c r="T30" s="13">
        <v>31</v>
      </c>
      <c r="U30" s="13">
        <v>31</v>
      </c>
      <c r="V30" s="13">
        <v>31</v>
      </c>
      <c r="W30" s="13">
        <v>31</v>
      </c>
      <c r="X30" s="13">
        <v>31</v>
      </c>
      <c r="Y30" s="13">
        <v>31</v>
      </c>
      <c r="Z30" s="13">
        <v>31</v>
      </c>
      <c r="AA30" s="13">
        <v>31</v>
      </c>
      <c r="AB30" s="13">
        <v>31</v>
      </c>
      <c r="AC30" s="13">
        <v>31</v>
      </c>
      <c r="AD30" s="13">
        <v>31</v>
      </c>
      <c r="AE30" s="13">
        <v>31</v>
      </c>
      <c r="AF30" s="13">
        <v>31</v>
      </c>
      <c r="AG30" s="13">
        <v>31</v>
      </c>
      <c r="AH30" s="13">
        <v>27</v>
      </c>
      <c r="AI30" s="13">
        <v>27</v>
      </c>
      <c r="AJ30" s="13">
        <v>27</v>
      </c>
      <c r="AK30" s="13">
        <v>27</v>
      </c>
      <c r="AL30" s="13">
        <v>27</v>
      </c>
      <c r="AM30" s="13">
        <v>27</v>
      </c>
      <c r="AN30" s="13">
        <v>27</v>
      </c>
      <c r="AO30" s="13">
        <v>27</v>
      </c>
      <c r="AP30" s="13">
        <v>27</v>
      </c>
      <c r="AQ30" s="13">
        <v>27</v>
      </c>
      <c r="AR30" s="13">
        <v>27</v>
      </c>
      <c r="AS30" s="13">
        <v>27</v>
      </c>
      <c r="AT30" s="13">
        <v>27</v>
      </c>
      <c r="AU30" s="13">
        <v>27</v>
      </c>
      <c r="AV30" s="13">
        <v>27</v>
      </c>
      <c r="AW30" s="13">
        <v>27</v>
      </c>
      <c r="AX30" s="13">
        <v>27</v>
      </c>
      <c r="AY30" s="13">
        <v>27</v>
      </c>
      <c r="AZ30" s="13">
        <v>27</v>
      </c>
      <c r="BA30" s="13">
        <v>27</v>
      </c>
      <c r="BB30" s="13">
        <v>27</v>
      </c>
      <c r="BC30" s="13">
        <v>27</v>
      </c>
      <c r="BD30" s="13">
        <v>27</v>
      </c>
      <c r="BE30" s="13">
        <v>27</v>
      </c>
      <c r="BF30" s="13">
        <v>27</v>
      </c>
      <c r="BG30" s="13">
        <v>27</v>
      </c>
      <c r="BH30" s="13">
        <v>27</v>
      </c>
      <c r="BI30" s="13">
        <v>27</v>
      </c>
      <c r="BJ30" s="13">
        <v>27</v>
      </c>
      <c r="BK30" s="13">
        <v>27</v>
      </c>
      <c r="BL30" s="13">
        <v>27</v>
      </c>
      <c r="BM30" s="13">
        <v>27</v>
      </c>
      <c r="BN30" s="13">
        <v>27</v>
      </c>
      <c r="BO30" s="13">
        <v>27</v>
      </c>
      <c r="BP30" s="13">
        <v>27</v>
      </c>
      <c r="BQ30" s="13">
        <v>27</v>
      </c>
      <c r="BR30" s="13">
        <v>27</v>
      </c>
      <c r="BS30" s="13">
        <v>27</v>
      </c>
      <c r="BT30" s="13">
        <v>27</v>
      </c>
      <c r="BU30" s="13">
        <v>27</v>
      </c>
      <c r="BV30" s="13">
        <v>27</v>
      </c>
      <c r="BW30" s="13">
        <v>27</v>
      </c>
      <c r="BX30" s="13">
        <v>27</v>
      </c>
      <c r="BY30" s="13">
        <v>27</v>
      </c>
      <c r="BZ30" s="13">
        <v>27</v>
      </c>
      <c r="CA30" s="13">
        <v>27</v>
      </c>
    </row>
    <row r="31" spans="1:79" s="15" customFormat="1" ht="19.5" thickBot="1">
      <c r="A31" s="12" t="s">
        <v>3</v>
      </c>
      <c r="B31" s="13">
        <v>32</v>
      </c>
      <c r="C31" s="13">
        <v>32</v>
      </c>
      <c r="D31" s="13">
        <v>32</v>
      </c>
      <c r="E31" s="13">
        <v>32</v>
      </c>
      <c r="F31" s="13">
        <v>32</v>
      </c>
      <c r="G31" s="13">
        <v>32</v>
      </c>
      <c r="H31" s="13">
        <v>32</v>
      </c>
      <c r="I31" s="13">
        <v>32</v>
      </c>
      <c r="J31" s="13">
        <v>32</v>
      </c>
      <c r="K31" s="13">
        <v>32</v>
      </c>
      <c r="L31" s="13">
        <v>32</v>
      </c>
      <c r="M31" s="13">
        <v>32</v>
      </c>
      <c r="N31" s="13">
        <v>32</v>
      </c>
      <c r="O31" s="13">
        <v>32</v>
      </c>
      <c r="P31" s="13">
        <v>32</v>
      </c>
      <c r="Q31" s="13">
        <v>32</v>
      </c>
      <c r="R31" s="13">
        <v>32</v>
      </c>
      <c r="S31" s="13">
        <v>32</v>
      </c>
      <c r="T31" s="13">
        <v>32</v>
      </c>
      <c r="U31" s="13">
        <v>32</v>
      </c>
      <c r="V31" s="13">
        <v>32</v>
      </c>
      <c r="W31" s="13">
        <v>32</v>
      </c>
      <c r="X31" s="13">
        <v>32</v>
      </c>
      <c r="Y31" s="13">
        <v>32</v>
      </c>
      <c r="Z31" s="13">
        <v>32</v>
      </c>
      <c r="AA31" s="13">
        <v>32</v>
      </c>
      <c r="AB31" s="13">
        <v>32</v>
      </c>
      <c r="AC31" s="13">
        <v>32</v>
      </c>
      <c r="AD31" s="13">
        <v>32</v>
      </c>
      <c r="AE31" s="13">
        <v>32</v>
      </c>
      <c r="AF31" s="13">
        <v>32</v>
      </c>
      <c r="AG31" s="13">
        <v>32</v>
      </c>
      <c r="AH31" s="13">
        <v>29</v>
      </c>
      <c r="AI31" s="13">
        <v>29</v>
      </c>
      <c r="AJ31" s="13">
        <v>29</v>
      </c>
      <c r="AK31" s="13">
        <v>29</v>
      </c>
      <c r="AL31" s="13">
        <v>29</v>
      </c>
      <c r="AM31" s="13">
        <v>29</v>
      </c>
      <c r="AN31" s="13">
        <v>29</v>
      </c>
      <c r="AO31" s="13">
        <v>29</v>
      </c>
      <c r="AP31" s="13">
        <v>29</v>
      </c>
      <c r="AQ31" s="13">
        <v>29</v>
      </c>
      <c r="AR31" s="13">
        <v>29</v>
      </c>
      <c r="AS31" s="13">
        <v>29</v>
      </c>
      <c r="AT31" s="13">
        <v>29</v>
      </c>
      <c r="AU31" s="13">
        <v>29</v>
      </c>
      <c r="AV31" s="13">
        <v>29</v>
      </c>
      <c r="AW31" s="13">
        <v>29</v>
      </c>
      <c r="AX31" s="13">
        <v>29</v>
      </c>
      <c r="AY31" s="13">
        <v>29</v>
      </c>
      <c r="AZ31" s="13">
        <v>29</v>
      </c>
      <c r="BA31" s="13">
        <v>29</v>
      </c>
      <c r="BB31" s="13">
        <v>29</v>
      </c>
      <c r="BC31" s="13">
        <v>29</v>
      </c>
      <c r="BD31" s="13">
        <v>29</v>
      </c>
      <c r="BE31" s="13">
        <v>29</v>
      </c>
      <c r="BF31" s="13">
        <v>29</v>
      </c>
      <c r="BG31" s="13">
        <v>29</v>
      </c>
      <c r="BH31" s="13">
        <v>29</v>
      </c>
      <c r="BI31" s="13">
        <v>29</v>
      </c>
      <c r="BJ31" s="13">
        <v>29</v>
      </c>
      <c r="BK31" s="13">
        <v>29</v>
      </c>
      <c r="BL31" s="13">
        <v>29</v>
      </c>
      <c r="BM31" s="13">
        <v>29</v>
      </c>
      <c r="BN31" s="13">
        <v>29</v>
      </c>
      <c r="BO31" s="13">
        <v>29</v>
      </c>
      <c r="BP31" s="13">
        <v>29</v>
      </c>
      <c r="BQ31" s="13">
        <v>29</v>
      </c>
      <c r="BR31" s="13">
        <v>29</v>
      </c>
      <c r="BS31" s="13">
        <v>29</v>
      </c>
      <c r="BT31" s="13">
        <v>29</v>
      </c>
      <c r="BU31" s="13">
        <v>29</v>
      </c>
      <c r="BV31" s="13">
        <v>29</v>
      </c>
      <c r="BW31" s="13">
        <v>29</v>
      </c>
      <c r="BX31" s="13">
        <v>29</v>
      </c>
      <c r="BY31" s="13">
        <v>29</v>
      </c>
      <c r="BZ31" s="13">
        <v>29</v>
      </c>
      <c r="CA31" s="13">
        <v>29</v>
      </c>
    </row>
    <row r="32" spans="1:79" s="83" customFormat="1">
      <c r="A32" s="8" t="s">
        <v>4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168">
        <v>23.5</v>
      </c>
      <c r="O32" s="168">
        <v>24.5</v>
      </c>
      <c r="P32" s="168">
        <v>21.75</v>
      </c>
      <c r="Q32" s="168">
        <v>20.75</v>
      </c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9"/>
      <c r="AC32" s="99"/>
      <c r="AD32" s="99"/>
      <c r="AE32" s="98"/>
      <c r="AF32" s="98"/>
      <c r="AG32" s="99"/>
      <c r="AH32" s="99"/>
      <c r="AI32" s="98">
        <v>22</v>
      </c>
      <c r="AJ32" s="98">
        <v>25</v>
      </c>
      <c r="AK32" s="98">
        <v>28</v>
      </c>
      <c r="AL32" s="98">
        <v>29</v>
      </c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>
        <v>27</v>
      </c>
      <c r="BF32" s="98">
        <v>27.4</v>
      </c>
      <c r="BG32" s="98">
        <v>23</v>
      </c>
      <c r="BH32" s="98"/>
      <c r="BI32" s="98"/>
      <c r="BJ32" s="98"/>
      <c r="BK32" s="209"/>
    </row>
    <row r="33" spans="1:79" s="66" customFormat="1">
      <c r="A33" s="8" t="s">
        <v>86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29">
        <v>22.3</v>
      </c>
      <c r="O33" s="129">
        <v>24.5</v>
      </c>
      <c r="P33" s="129">
        <v>21.75</v>
      </c>
      <c r="Q33" s="129">
        <v>20.75</v>
      </c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3"/>
      <c r="AC33" s="113"/>
      <c r="AD33" s="113"/>
      <c r="AE33" s="129"/>
      <c r="AF33" s="129"/>
      <c r="AG33" s="113"/>
      <c r="AH33" s="113"/>
      <c r="AI33" s="129">
        <v>22</v>
      </c>
      <c r="AJ33" s="129">
        <v>25</v>
      </c>
      <c r="AK33" s="129">
        <v>25</v>
      </c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>
        <v>25</v>
      </c>
      <c r="BF33" s="129">
        <v>24</v>
      </c>
      <c r="BG33" s="129">
        <v>23</v>
      </c>
      <c r="BH33" s="129"/>
      <c r="BI33" s="129"/>
      <c r="BJ33" s="129"/>
      <c r="BK33" s="212"/>
    </row>
    <row r="34" spans="1:79" s="66" customFormat="1">
      <c r="A34" s="8" t="s">
        <v>87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29">
        <v>27</v>
      </c>
      <c r="O34" s="129">
        <v>24.5</v>
      </c>
      <c r="P34" s="129">
        <v>24</v>
      </c>
      <c r="Q34" s="129">
        <v>20.75</v>
      </c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3"/>
      <c r="AC34" s="113"/>
      <c r="AD34" s="113"/>
      <c r="AE34" s="129"/>
      <c r="AF34" s="129"/>
      <c r="AG34" s="113"/>
      <c r="AH34" s="113"/>
      <c r="AI34" s="113"/>
      <c r="AJ34" s="129"/>
      <c r="AK34" s="129"/>
      <c r="AL34" s="129">
        <v>30</v>
      </c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>
        <v>29.5</v>
      </c>
      <c r="BF34" s="129">
        <v>30</v>
      </c>
      <c r="BG34" s="129"/>
      <c r="BH34" s="129"/>
      <c r="BI34" s="129"/>
      <c r="BJ34" s="129"/>
      <c r="BK34" s="212"/>
    </row>
    <row r="35" spans="1:79" ht="18" customHeight="1">
      <c r="A35" s="8" t="s">
        <v>5</v>
      </c>
      <c r="B35" s="96" t="e">
        <f>B36/(SUM(B36,B38,B40))</f>
        <v>#DIV/0!</v>
      </c>
      <c r="C35" s="96" t="e">
        <f t="shared" ref="C35:E35" si="10">C36/(SUM(C36,C38,C40))</f>
        <v>#DIV/0!</v>
      </c>
      <c r="D35" s="96" t="e">
        <f t="shared" si="10"/>
        <v>#DIV/0!</v>
      </c>
      <c r="E35" s="96" t="e">
        <f t="shared" si="10"/>
        <v>#DIV/0!</v>
      </c>
      <c r="F35" s="96" t="e">
        <f>F36/(SUM(F36,F38,F40))</f>
        <v>#DIV/0!</v>
      </c>
      <c r="G35" s="96" t="e">
        <f t="shared" ref="G35:I35" si="11">G36/(SUM(G36,G38,G40))</f>
        <v>#DIV/0!</v>
      </c>
      <c r="H35" s="96" t="e">
        <f t="shared" si="11"/>
        <v>#DIV/0!</v>
      </c>
      <c r="I35" s="96" t="e">
        <f t="shared" si="11"/>
        <v>#DIV/0!</v>
      </c>
      <c r="J35" s="96" t="e">
        <f>J36/(SUM(J36,J38,J40))</f>
        <v>#DIV/0!</v>
      </c>
      <c r="K35" s="96" t="e">
        <f t="shared" ref="K35:N35" si="12">K36/(SUM(K36,K38,K40))</f>
        <v>#DIV/0!</v>
      </c>
      <c r="L35" s="96" t="e">
        <f t="shared" si="12"/>
        <v>#DIV/0!</v>
      </c>
      <c r="M35" s="96" t="e">
        <f t="shared" si="12"/>
        <v>#DIV/0!</v>
      </c>
      <c r="N35" s="96">
        <f t="shared" si="12"/>
        <v>0.75</v>
      </c>
      <c r="O35" s="96">
        <f t="shared" ref="O35" si="13">O36/(SUM(O36,O38,O40))</f>
        <v>0.5</v>
      </c>
      <c r="P35" s="96">
        <f t="shared" ref="P35" si="14">P36/(SUM(P36,P38,P40))</f>
        <v>1</v>
      </c>
      <c r="Q35" s="96">
        <f t="shared" ref="Q35" si="15">Q36/(SUM(Q36,Q38,Q40))</f>
        <v>1</v>
      </c>
      <c r="R35" s="96" t="e">
        <f t="shared" ref="R35" si="16">R36/(SUM(R36,R38,R40))</f>
        <v>#DIV/0!</v>
      </c>
      <c r="S35" s="96" t="e">
        <f t="shared" ref="S35" si="17">S36/(SUM(S36,S38,S40))</f>
        <v>#DIV/0!</v>
      </c>
      <c r="T35" s="96" t="e">
        <f t="shared" ref="T35" si="18">T36/(SUM(T36,T38,T40))</f>
        <v>#DIV/0!</v>
      </c>
      <c r="U35" s="96" t="e">
        <f t="shared" ref="U35" si="19">U36/(SUM(U36,U38,U40))</f>
        <v>#DIV/0!</v>
      </c>
      <c r="V35" s="96" t="e">
        <f t="shared" ref="V35" si="20">V36/(SUM(V36,V38,V40))</f>
        <v>#DIV/0!</v>
      </c>
      <c r="W35" s="96" t="e">
        <f t="shared" ref="W35" si="21">W36/(SUM(W36,W38,W40))</f>
        <v>#DIV/0!</v>
      </c>
      <c r="X35" s="96" t="e">
        <f t="shared" ref="X35" si="22">X36/(SUM(X36,X38,X40))</f>
        <v>#DIV/0!</v>
      </c>
      <c r="Y35" s="96" t="e">
        <f t="shared" ref="Y35" si="23">Y36/(SUM(Y36,Y38,Y40))</f>
        <v>#DIV/0!</v>
      </c>
      <c r="Z35" s="96" t="e">
        <f t="shared" ref="Z35" si="24">Z36/(SUM(Z36,Z38,Z40))</f>
        <v>#DIV/0!</v>
      </c>
      <c r="AA35" s="96" t="e">
        <f t="shared" ref="AA35" si="25">AA36/(SUM(AA36,AA38,AA40))</f>
        <v>#DIV/0!</v>
      </c>
      <c r="AB35" s="96" t="e">
        <f t="shared" ref="AB35" si="26">AB36/(SUM(AB36,AB38,AB40))</f>
        <v>#DIV/0!</v>
      </c>
      <c r="AC35" s="96" t="e">
        <f t="shared" ref="AC35" si="27">AC36/(SUM(AC36,AC38,AC40))</f>
        <v>#DIV/0!</v>
      </c>
      <c r="AD35" s="96" t="e">
        <f t="shared" ref="AD35" si="28">AD36/(SUM(AD36,AD38,AD40))</f>
        <v>#DIV/0!</v>
      </c>
      <c r="AE35" s="96" t="e">
        <f t="shared" ref="AE35" si="29">AE36/(SUM(AE36,AE38,AE40))</f>
        <v>#DIV/0!</v>
      </c>
      <c r="AF35" s="96" t="e">
        <f t="shared" ref="AF35" si="30">AF36/(SUM(AF36,AF38,AF40))</f>
        <v>#DIV/0!</v>
      </c>
      <c r="AG35" s="96" t="e">
        <f t="shared" ref="AG35" si="31">AG36/(SUM(AG36,AG38,AG40))</f>
        <v>#DIV/0!</v>
      </c>
      <c r="AH35" s="96" t="e">
        <f t="shared" ref="AH35" si="32">AH36/(SUM(AH36,AH38,AH40))</f>
        <v>#DIV/0!</v>
      </c>
      <c r="AI35" s="96">
        <f t="shared" ref="AI35" si="33">AI36/(SUM(AI36,AI38,AI40))</f>
        <v>1</v>
      </c>
      <c r="AJ35" s="96">
        <f t="shared" ref="AJ35" si="34">AJ36/(SUM(AJ36,AJ38,AJ40))</f>
        <v>1</v>
      </c>
      <c r="AK35" s="96">
        <f t="shared" ref="AK35" si="35">AK36/(SUM(AK36,AK38,AK40))</f>
        <v>0.33333333333333331</v>
      </c>
      <c r="AL35" s="96">
        <f t="shared" ref="AL35" si="36">AL36/(SUM(AL36,AL38,AL40))</f>
        <v>0</v>
      </c>
      <c r="AM35" s="96" t="e">
        <f t="shared" ref="AM35" si="37">AM36/(SUM(AM36,AM38,AM40))</f>
        <v>#DIV/0!</v>
      </c>
      <c r="AN35" s="96" t="e">
        <f t="shared" ref="AN35" si="38">AN36/(SUM(AN36,AN38,AN40))</f>
        <v>#DIV/0!</v>
      </c>
      <c r="AO35" s="96" t="e">
        <f t="shared" ref="AO35" si="39">AO36/(SUM(AO36,AO38,AO40))</f>
        <v>#DIV/0!</v>
      </c>
      <c r="AP35" s="96" t="e">
        <f t="shared" ref="AP35" si="40">AP36/(SUM(AP36,AP38,AP40))</f>
        <v>#DIV/0!</v>
      </c>
      <c r="AQ35" s="96" t="e">
        <f t="shared" ref="AQ35" si="41">AQ36/(SUM(AQ36,AQ38,AQ40))</f>
        <v>#DIV/0!</v>
      </c>
      <c r="AR35" s="96" t="e">
        <f t="shared" ref="AR35" si="42">AR36/(SUM(AR36,AR38,AR40))</f>
        <v>#DIV/0!</v>
      </c>
      <c r="AS35" s="96" t="e">
        <f t="shared" ref="AS35" si="43">AS36/(SUM(AS36,AS38,AS40))</f>
        <v>#DIV/0!</v>
      </c>
      <c r="AT35" s="96" t="e">
        <f t="shared" ref="AT35" si="44">AT36/(SUM(AT36,AT38,AT40))</f>
        <v>#DIV/0!</v>
      </c>
      <c r="AU35" s="96" t="e">
        <f t="shared" ref="AU35" si="45">AU36/(SUM(AU36,AU38,AU40))</f>
        <v>#DIV/0!</v>
      </c>
      <c r="AV35" s="96" t="e">
        <f t="shared" ref="AV35" si="46">AV36/(SUM(AV36,AV38,AV40))</f>
        <v>#DIV/0!</v>
      </c>
      <c r="AW35" s="96" t="e">
        <f t="shared" ref="AW35" si="47">AW36/(SUM(AW36,AW38,AW40))</f>
        <v>#DIV/0!</v>
      </c>
      <c r="AX35" s="96" t="e">
        <f t="shared" ref="AX35" si="48">AX36/(SUM(AX36,AX38,AX40))</f>
        <v>#DIV/0!</v>
      </c>
      <c r="AY35" s="96" t="e">
        <f t="shared" ref="AY35" si="49">AY36/(SUM(AY36,AY38,AY40))</f>
        <v>#DIV/0!</v>
      </c>
      <c r="AZ35" s="96" t="e">
        <f t="shared" ref="AZ35" si="50">AZ36/(SUM(AZ36,AZ38,AZ40))</f>
        <v>#DIV/0!</v>
      </c>
      <c r="BA35" s="96" t="e">
        <f t="shared" ref="BA35" si="51">BA36/(SUM(BA36,BA38,BA40))</f>
        <v>#DIV/0!</v>
      </c>
      <c r="BB35" s="96" t="e">
        <f t="shared" ref="BB35" si="52">BB36/(SUM(BB36,BB38,BB40))</f>
        <v>#DIV/0!</v>
      </c>
      <c r="BC35" s="96" t="e">
        <f t="shared" ref="BC35" si="53">BC36/(SUM(BC36,BC38,BC40))</f>
        <v>#DIV/0!</v>
      </c>
      <c r="BD35" s="96" t="e">
        <f t="shared" ref="BD35" si="54">BD36/(SUM(BD36,BD38,BD40))</f>
        <v>#DIV/0!</v>
      </c>
      <c r="BE35" s="96">
        <f t="shared" ref="BE35" si="55">BE36/(SUM(BE36,BE38,BE40))</f>
        <v>0.5</v>
      </c>
      <c r="BF35" s="96">
        <f t="shared" ref="BF35" si="56">BF36/(SUM(BF36,BF38,BF40))</f>
        <v>0.42857142857142855</v>
      </c>
      <c r="BG35" s="96">
        <f t="shared" ref="BG35" si="57">BG36/(SUM(BG36,BG38,BG40))</f>
        <v>1</v>
      </c>
      <c r="BH35" s="96" t="e">
        <f t="shared" ref="BH35" si="58">BH36/(SUM(BH36,BH38,BH40))</f>
        <v>#DIV/0!</v>
      </c>
      <c r="BI35" s="96" t="e">
        <f t="shared" ref="BI35" si="59">BI36/(SUM(BI36,BI38,BI40))</f>
        <v>#DIV/0!</v>
      </c>
      <c r="BJ35" s="96" t="e">
        <f t="shared" ref="BJ35" si="60">BJ36/(SUM(BJ36,BJ38,BJ40))</f>
        <v>#DIV/0!</v>
      </c>
      <c r="BK35" s="97" t="e">
        <f t="shared" ref="BK35:CA35" si="61">BK36/(SUM(BK36,BK38,BK40))</f>
        <v>#DIV/0!</v>
      </c>
      <c r="BL35" s="97" t="e">
        <f t="shared" si="61"/>
        <v>#DIV/0!</v>
      </c>
      <c r="BM35" s="97" t="e">
        <f t="shared" si="61"/>
        <v>#DIV/0!</v>
      </c>
      <c r="BN35" s="97" t="e">
        <f t="shared" si="61"/>
        <v>#DIV/0!</v>
      </c>
      <c r="BO35" s="97" t="e">
        <f t="shared" si="61"/>
        <v>#DIV/0!</v>
      </c>
      <c r="BP35" s="97" t="e">
        <f t="shared" si="61"/>
        <v>#DIV/0!</v>
      </c>
      <c r="BQ35" s="97" t="e">
        <f t="shared" si="61"/>
        <v>#DIV/0!</v>
      </c>
      <c r="BR35" s="97" t="e">
        <f t="shared" si="61"/>
        <v>#DIV/0!</v>
      </c>
      <c r="BS35" s="97" t="e">
        <f t="shared" si="61"/>
        <v>#DIV/0!</v>
      </c>
      <c r="BT35" s="97" t="e">
        <f t="shared" si="61"/>
        <v>#DIV/0!</v>
      </c>
      <c r="BU35" s="97" t="e">
        <f t="shared" si="61"/>
        <v>#DIV/0!</v>
      </c>
      <c r="BV35" s="97" t="e">
        <f t="shared" si="61"/>
        <v>#DIV/0!</v>
      </c>
      <c r="BW35" s="97" t="e">
        <f t="shared" si="61"/>
        <v>#DIV/0!</v>
      </c>
      <c r="BX35" s="97" t="e">
        <f t="shared" si="61"/>
        <v>#DIV/0!</v>
      </c>
      <c r="BY35" s="97" t="e">
        <f t="shared" si="61"/>
        <v>#DIV/0!</v>
      </c>
      <c r="BZ35" s="97" t="e">
        <f t="shared" si="61"/>
        <v>#DIV/0!</v>
      </c>
      <c r="CA35" s="97" t="e">
        <f t="shared" si="61"/>
        <v>#DIV/0!</v>
      </c>
    </row>
    <row r="36" spans="1:79" s="83" customFormat="1">
      <c r="A36" s="8" t="s">
        <v>6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167">
        <v>3</v>
      </c>
      <c r="O36" s="167">
        <v>2</v>
      </c>
      <c r="P36" s="167">
        <v>4</v>
      </c>
      <c r="Q36" s="167">
        <v>4</v>
      </c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9"/>
      <c r="AC36" s="99"/>
      <c r="AD36" s="99"/>
      <c r="AE36" s="98"/>
      <c r="AF36" s="98"/>
      <c r="AG36" s="99"/>
      <c r="AH36" s="99"/>
      <c r="AI36" s="98">
        <v>3</v>
      </c>
      <c r="AJ36" s="98">
        <v>3</v>
      </c>
      <c r="AK36" s="98">
        <v>1</v>
      </c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>
        <v>2</v>
      </c>
      <c r="BF36" s="98">
        <v>3</v>
      </c>
      <c r="BG36" s="98">
        <v>4</v>
      </c>
      <c r="BH36" s="98"/>
      <c r="BI36" s="98"/>
      <c r="BJ36" s="98"/>
      <c r="BK36" s="209"/>
    </row>
    <row r="37" spans="1:79">
      <c r="A37" s="8" t="s">
        <v>7</v>
      </c>
      <c r="B37" s="96" t="e">
        <f>B38/(SUM(B36,B38,B40))</f>
        <v>#DIV/0!</v>
      </c>
      <c r="C37" s="96" t="e">
        <f>C38/(SUM(C36,C38,C40))</f>
        <v>#DIV/0!</v>
      </c>
      <c r="D37" s="96" t="e">
        <f t="shared" ref="D37:E37" si="62">D38/(SUM(D36,D38,D40))</f>
        <v>#DIV/0!</v>
      </c>
      <c r="E37" s="96" t="e">
        <f t="shared" si="62"/>
        <v>#DIV/0!</v>
      </c>
      <c r="F37" s="96" t="e">
        <f>F38/(SUM(F36,F38,F40))</f>
        <v>#DIV/0!</v>
      </c>
      <c r="G37" s="96" t="e">
        <f>G38/(SUM(G36,G38,G40))</f>
        <v>#DIV/0!</v>
      </c>
      <c r="H37" s="96" t="e">
        <f>H38/(SUM(H36,H38,H40))</f>
        <v>#DIV/0!</v>
      </c>
      <c r="I37" s="96" t="e">
        <f>I38/(SUM(I36,I38,I40))</f>
        <v>#DIV/0!</v>
      </c>
      <c r="J37" s="96" t="e">
        <f t="shared" ref="J37:N37" si="63">J38/(SUM(J36,J38,J40))</f>
        <v>#DIV/0!</v>
      </c>
      <c r="K37" s="96" t="e">
        <f t="shared" si="63"/>
        <v>#DIV/0!</v>
      </c>
      <c r="L37" s="96" t="e">
        <f t="shared" si="63"/>
        <v>#DIV/0!</v>
      </c>
      <c r="M37" s="96" t="e">
        <f t="shared" si="63"/>
        <v>#DIV/0!</v>
      </c>
      <c r="N37" s="96">
        <f t="shared" si="63"/>
        <v>0.25</v>
      </c>
      <c r="O37" s="96">
        <f t="shared" ref="O37" si="64">O38/(SUM(O36,O38,O40))</f>
        <v>0.25</v>
      </c>
      <c r="P37" s="96">
        <f t="shared" ref="P37" si="65">P38/(SUM(P36,P38,P40))</f>
        <v>0</v>
      </c>
      <c r="Q37" s="96">
        <f t="shared" ref="Q37" si="66">Q38/(SUM(Q36,Q38,Q40))</f>
        <v>0</v>
      </c>
      <c r="R37" s="96" t="e">
        <f t="shared" ref="R37" si="67">R38/(SUM(R36,R38,R40))</f>
        <v>#DIV/0!</v>
      </c>
      <c r="S37" s="96" t="e">
        <f t="shared" ref="S37" si="68">S38/(SUM(S36,S38,S40))</f>
        <v>#DIV/0!</v>
      </c>
      <c r="T37" s="96" t="e">
        <f t="shared" ref="T37" si="69">T38/(SUM(T36,T38,T40))</f>
        <v>#DIV/0!</v>
      </c>
      <c r="U37" s="96" t="e">
        <f t="shared" ref="U37" si="70">U38/(SUM(U36,U38,U40))</f>
        <v>#DIV/0!</v>
      </c>
      <c r="V37" s="96" t="e">
        <f t="shared" ref="V37" si="71">V38/(SUM(V36,V38,V40))</f>
        <v>#DIV/0!</v>
      </c>
      <c r="W37" s="96" t="e">
        <f t="shared" ref="W37" si="72">W38/(SUM(W36,W38,W40))</f>
        <v>#DIV/0!</v>
      </c>
      <c r="X37" s="96" t="e">
        <f t="shared" ref="X37" si="73">X38/(SUM(X36,X38,X40))</f>
        <v>#DIV/0!</v>
      </c>
      <c r="Y37" s="96" t="e">
        <f t="shared" ref="Y37" si="74">Y38/(SUM(Y36,Y38,Y40))</f>
        <v>#DIV/0!</v>
      </c>
      <c r="Z37" s="96" t="e">
        <f t="shared" ref="Z37" si="75">Z38/(SUM(Z36,Z38,Z40))</f>
        <v>#DIV/0!</v>
      </c>
      <c r="AA37" s="96" t="e">
        <f t="shared" ref="AA37" si="76">AA38/(SUM(AA36,AA38,AA40))</f>
        <v>#DIV/0!</v>
      </c>
      <c r="AB37" s="96" t="e">
        <f t="shared" ref="AB37" si="77">AB38/(SUM(AB36,AB38,AB40))</f>
        <v>#DIV/0!</v>
      </c>
      <c r="AC37" s="96" t="e">
        <f t="shared" ref="AC37" si="78">AC38/(SUM(AC36,AC38,AC40))</f>
        <v>#DIV/0!</v>
      </c>
      <c r="AD37" s="96" t="e">
        <f t="shared" ref="AD37" si="79">AD38/(SUM(AD36,AD38,AD40))</f>
        <v>#DIV/0!</v>
      </c>
      <c r="AE37" s="96" t="e">
        <f t="shared" ref="AE37" si="80">AE38/(SUM(AE36,AE38,AE40))</f>
        <v>#DIV/0!</v>
      </c>
      <c r="AF37" s="96" t="e">
        <f t="shared" ref="AF37" si="81">AF38/(SUM(AF36,AF38,AF40))</f>
        <v>#DIV/0!</v>
      </c>
      <c r="AG37" s="96" t="e">
        <f t="shared" ref="AG37" si="82">AG38/(SUM(AG36,AG38,AG40))</f>
        <v>#DIV/0!</v>
      </c>
      <c r="AH37" s="96" t="e">
        <f t="shared" ref="AH37" si="83">AH38/(SUM(AH36,AH38,AH40))</f>
        <v>#DIV/0!</v>
      </c>
      <c r="AI37" s="96">
        <f t="shared" ref="AI37" si="84">AI38/(SUM(AI36,AI38,AI40))</f>
        <v>0</v>
      </c>
      <c r="AJ37" s="96">
        <f t="shared" ref="AJ37" si="85">AJ38/(SUM(AJ36,AJ38,AJ40))</f>
        <v>0</v>
      </c>
      <c r="AK37" s="96">
        <f t="shared" ref="AK37" si="86">AK38/(SUM(AK36,AK38,AK40))</f>
        <v>0.66666666666666663</v>
      </c>
      <c r="AL37" s="96">
        <f t="shared" ref="AL37" si="87">AL38/(SUM(AL36,AL38,AL40))</f>
        <v>0.33333333333333331</v>
      </c>
      <c r="AM37" s="96" t="e">
        <f t="shared" ref="AM37" si="88">AM38/(SUM(AM36,AM38,AM40))</f>
        <v>#DIV/0!</v>
      </c>
      <c r="AN37" s="96" t="e">
        <f t="shared" ref="AN37" si="89">AN38/(SUM(AN36,AN38,AN40))</f>
        <v>#DIV/0!</v>
      </c>
      <c r="AO37" s="96" t="e">
        <f t="shared" ref="AO37" si="90">AO38/(SUM(AO36,AO38,AO40))</f>
        <v>#DIV/0!</v>
      </c>
      <c r="AP37" s="96" t="e">
        <f t="shared" ref="AP37" si="91">AP38/(SUM(AP36,AP38,AP40))</f>
        <v>#DIV/0!</v>
      </c>
      <c r="AQ37" s="96" t="e">
        <f t="shared" ref="AQ37" si="92">AQ38/(SUM(AQ36,AQ38,AQ40))</f>
        <v>#DIV/0!</v>
      </c>
      <c r="AR37" s="96" t="e">
        <f t="shared" ref="AR37" si="93">AR38/(SUM(AR36,AR38,AR40))</f>
        <v>#DIV/0!</v>
      </c>
      <c r="AS37" s="96" t="e">
        <f t="shared" ref="AS37" si="94">AS38/(SUM(AS36,AS38,AS40))</f>
        <v>#DIV/0!</v>
      </c>
      <c r="AT37" s="96" t="e">
        <f t="shared" ref="AT37" si="95">AT38/(SUM(AT36,AT38,AT40))</f>
        <v>#DIV/0!</v>
      </c>
      <c r="AU37" s="96" t="e">
        <f t="shared" ref="AU37" si="96">AU38/(SUM(AU36,AU38,AU40))</f>
        <v>#DIV/0!</v>
      </c>
      <c r="AV37" s="96" t="e">
        <f t="shared" ref="AV37" si="97">AV38/(SUM(AV36,AV38,AV40))</f>
        <v>#DIV/0!</v>
      </c>
      <c r="AW37" s="96" t="e">
        <f t="shared" ref="AW37" si="98">AW38/(SUM(AW36,AW38,AW40))</f>
        <v>#DIV/0!</v>
      </c>
      <c r="AX37" s="96" t="e">
        <f t="shared" ref="AX37" si="99">AX38/(SUM(AX36,AX38,AX40))</f>
        <v>#DIV/0!</v>
      </c>
      <c r="AY37" s="96" t="e">
        <f t="shared" ref="AY37" si="100">AY38/(SUM(AY36,AY38,AY40))</f>
        <v>#DIV/0!</v>
      </c>
      <c r="AZ37" s="96" t="e">
        <f t="shared" ref="AZ37" si="101">AZ38/(SUM(AZ36,AZ38,AZ40))</f>
        <v>#DIV/0!</v>
      </c>
      <c r="BA37" s="96" t="e">
        <f t="shared" ref="BA37" si="102">BA38/(SUM(BA36,BA38,BA40))</f>
        <v>#DIV/0!</v>
      </c>
      <c r="BB37" s="96" t="e">
        <f t="shared" ref="BB37" si="103">BB38/(SUM(BB36,BB38,BB40))</f>
        <v>#DIV/0!</v>
      </c>
      <c r="BC37" s="96" t="e">
        <f t="shared" ref="BC37" si="104">BC38/(SUM(BC36,BC38,BC40))</f>
        <v>#DIV/0!</v>
      </c>
      <c r="BD37" s="96" t="e">
        <f t="shared" ref="BD37" si="105">BD38/(SUM(BD36,BD38,BD40))</f>
        <v>#DIV/0!</v>
      </c>
      <c r="BE37" s="96">
        <f t="shared" ref="BE37" si="106">BE38/(SUM(BE36,BE38,BE40))</f>
        <v>0</v>
      </c>
      <c r="BF37" s="96">
        <f t="shared" ref="BF37" si="107">BF38/(SUM(BF36,BF38,BF40))</f>
        <v>0.14285714285714285</v>
      </c>
      <c r="BG37" s="96">
        <f t="shared" ref="BG37" si="108">BG38/(SUM(BG36,BG38,BG40))</f>
        <v>0</v>
      </c>
      <c r="BH37" s="96" t="e">
        <f t="shared" ref="BH37" si="109">BH38/(SUM(BH36,BH38,BH40))</f>
        <v>#DIV/0!</v>
      </c>
      <c r="BI37" s="96" t="e">
        <f t="shared" ref="BI37" si="110">BI38/(SUM(BI36,BI38,BI40))</f>
        <v>#DIV/0!</v>
      </c>
      <c r="BJ37" s="96" t="e">
        <f t="shared" ref="BJ37" si="111">BJ38/(SUM(BJ36,BJ38,BJ40))</f>
        <v>#DIV/0!</v>
      </c>
      <c r="BK37" s="97" t="e">
        <f t="shared" ref="BK37:CA37" si="112">BK38/(SUM(BK36,BK38,BK40))</f>
        <v>#DIV/0!</v>
      </c>
      <c r="BL37" s="97" t="e">
        <f t="shared" si="112"/>
        <v>#DIV/0!</v>
      </c>
      <c r="BM37" s="97" t="e">
        <f t="shared" si="112"/>
        <v>#DIV/0!</v>
      </c>
      <c r="BN37" s="97" t="e">
        <f t="shared" si="112"/>
        <v>#DIV/0!</v>
      </c>
      <c r="BO37" s="97" t="e">
        <f t="shared" si="112"/>
        <v>#DIV/0!</v>
      </c>
      <c r="BP37" s="97" t="e">
        <f t="shared" si="112"/>
        <v>#DIV/0!</v>
      </c>
      <c r="BQ37" s="97" t="e">
        <f t="shared" si="112"/>
        <v>#DIV/0!</v>
      </c>
      <c r="BR37" s="97" t="e">
        <f t="shared" si="112"/>
        <v>#DIV/0!</v>
      </c>
      <c r="BS37" s="97" t="e">
        <f t="shared" si="112"/>
        <v>#DIV/0!</v>
      </c>
      <c r="BT37" s="97" t="e">
        <f t="shared" si="112"/>
        <v>#DIV/0!</v>
      </c>
      <c r="BU37" s="97" t="e">
        <f t="shared" si="112"/>
        <v>#DIV/0!</v>
      </c>
      <c r="BV37" s="97" t="e">
        <f t="shared" si="112"/>
        <v>#DIV/0!</v>
      </c>
      <c r="BW37" s="97" t="e">
        <f t="shared" si="112"/>
        <v>#DIV/0!</v>
      </c>
      <c r="BX37" s="97" t="e">
        <f t="shared" si="112"/>
        <v>#DIV/0!</v>
      </c>
      <c r="BY37" s="97" t="e">
        <f t="shared" si="112"/>
        <v>#DIV/0!</v>
      </c>
      <c r="BZ37" s="97" t="e">
        <f t="shared" si="112"/>
        <v>#DIV/0!</v>
      </c>
      <c r="CA37" s="97" t="e">
        <f t="shared" si="112"/>
        <v>#DIV/0!</v>
      </c>
    </row>
    <row r="38" spans="1:79" s="83" customFormat="1">
      <c r="A38" s="8" t="s">
        <v>8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167">
        <v>1</v>
      </c>
      <c r="O38" s="167">
        <v>1</v>
      </c>
      <c r="P38" s="167"/>
      <c r="Q38" s="167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9"/>
      <c r="AC38" s="99"/>
      <c r="AD38" s="99"/>
      <c r="AE38" s="98"/>
      <c r="AF38" s="98"/>
      <c r="AG38" s="99"/>
      <c r="AH38" s="99"/>
      <c r="AI38" s="99"/>
      <c r="AJ38" s="98"/>
      <c r="AK38" s="98">
        <v>2</v>
      </c>
      <c r="AL38" s="98">
        <v>1</v>
      </c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>
        <v>1</v>
      </c>
      <c r="BG38" s="98"/>
      <c r="BH38" s="98"/>
      <c r="BI38" s="98"/>
      <c r="BJ38" s="98"/>
      <c r="BK38" s="209"/>
    </row>
    <row r="39" spans="1:79">
      <c r="A39" s="8" t="s">
        <v>9</v>
      </c>
      <c r="B39" s="96" t="e">
        <f>B40/(SUM(B40,B36,B38))</f>
        <v>#DIV/0!</v>
      </c>
      <c r="C39" s="96" t="e">
        <f t="shared" ref="C39:E39" si="113">C40/(SUM(C40,C36,C38))</f>
        <v>#DIV/0!</v>
      </c>
      <c r="D39" s="96" t="e">
        <f t="shared" si="113"/>
        <v>#DIV/0!</v>
      </c>
      <c r="E39" s="96" t="e">
        <f t="shared" si="113"/>
        <v>#DIV/0!</v>
      </c>
      <c r="F39" s="96" t="e">
        <f>F40/(SUM(F36,F38,F40))</f>
        <v>#DIV/0!</v>
      </c>
      <c r="G39" s="96" t="e">
        <f t="shared" ref="G39:I39" si="114">G40/(SUM(G36,G38,G40))</f>
        <v>#DIV/0!</v>
      </c>
      <c r="H39" s="96" t="e">
        <f t="shared" si="114"/>
        <v>#DIV/0!</v>
      </c>
      <c r="I39" s="96" t="e">
        <f t="shared" si="114"/>
        <v>#DIV/0!</v>
      </c>
      <c r="J39" s="96" t="e">
        <f t="shared" ref="J39" si="115">J40/(SUM(J36,J38,J40))</f>
        <v>#DIV/0!</v>
      </c>
      <c r="K39" s="96" t="e">
        <f t="shared" ref="K39" si="116">K40/(SUM(K36,K38,K40))</f>
        <v>#DIV/0!</v>
      </c>
      <c r="L39" s="96" t="e">
        <f t="shared" ref="L39" si="117">L40/(SUM(L36,L38,L40))</f>
        <v>#DIV/0!</v>
      </c>
      <c r="M39" s="96" t="e">
        <f t="shared" ref="M39" si="118">M40/(SUM(M36,M38,M40))</f>
        <v>#DIV/0!</v>
      </c>
      <c r="N39" s="96">
        <f t="shared" ref="N39" si="119">N40/(SUM(N36,N38,N40))</f>
        <v>0</v>
      </c>
      <c r="O39" s="96">
        <f t="shared" ref="O39" si="120">O40/(SUM(O36,O38,O40))</f>
        <v>0.25</v>
      </c>
      <c r="P39" s="96">
        <f t="shared" ref="P39" si="121">P40/(SUM(P36,P38,P40))</f>
        <v>0</v>
      </c>
      <c r="Q39" s="96">
        <f t="shared" ref="Q39" si="122">Q40/(SUM(Q36,Q38,Q40))</f>
        <v>0</v>
      </c>
      <c r="R39" s="96" t="e">
        <f t="shared" ref="R39" si="123">R40/(SUM(R36,R38,R40))</f>
        <v>#DIV/0!</v>
      </c>
      <c r="S39" s="96" t="e">
        <f t="shared" ref="S39" si="124">S40/(SUM(S36,S38,S40))</f>
        <v>#DIV/0!</v>
      </c>
      <c r="T39" s="96" t="e">
        <f t="shared" ref="T39" si="125">T40/(SUM(T36,T38,T40))</f>
        <v>#DIV/0!</v>
      </c>
      <c r="U39" s="96" t="e">
        <f t="shared" ref="U39" si="126">U40/(SUM(U36,U38,U40))</f>
        <v>#DIV/0!</v>
      </c>
      <c r="V39" s="96" t="e">
        <f t="shared" ref="V39" si="127">V40/(SUM(V36,V38,V40))</f>
        <v>#DIV/0!</v>
      </c>
      <c r="W39" s="96" t="e">
        <f t="shared" ref="W39" si="128">W40/(SUM(W36,W38,W40))</f>
        <v>#DIV/0!</v>
      </c>
      <c r="X39" s="96" t="e">
        <f t="shared" ref="X39" si="129">X40/(SUM(X36,X38,X40))</f>
        <v>#DIV/0!</v>
      </c>
      <c r="Y39" s="96" t="e">
        <f t="shared" ref="Y39" si="130">Y40/(SUM(Y36,Y38,Y40))</f>
        <v>#DIV/0!</v>
      </c>
      <c r="Z39" s="96" t="e">
        <f t="shared" ref="Z39" si="131">Z40/(SUM(Z36,Z38,Z40))</f>
        <v>#DIV/0!</v>
      </c>
      <c r="AA39" s="96" t="e">
        <f t="shared" ref="AA39" si="132">AA40/(SUM(AA36,AA38,AA40))</f>
        <v>#DIV/0!</v>
      </c>
      <c r="AB39" s="96" t="e">
        <f t="shared" ref="AB39" si="133">AB40/(SUM(AB36,AB38,AB40))</f>
        <v>#DIV/0!</v>
      </c>
      <c r="AC39" s="96" t="e">
        <f t="shared" ref="AC39" si="134">AC40/(SUM(AC36,AC38,AC40))</f>
        <v>#DIV/0!</v>
      </c>
      <c r="AD39" s="96" t="e">
        <f t="shared" ref="AD39" si="135">AD40/(SUM(AD36,AD38,AD40))</f>
        <v>#DIV/0!</v>
      </c>
      <c r="AE39" s="96" t="e">
        <f t="shared" ref="AE39" si="136">AE40/(SUM(AE36,AE38,AE40))</f>
        <v>#DIV/0!</v>
      </c>
      <c r="AF39" s="96" t="e">
        <f t="shared" ref="AF39" si="137">AF40/(SUM(AF36,AF38,AF40))</f>
        <v>#DIV/0!</v>
      </c>
      <c r="AG39" s="96" t="e">
        <f t="shared" ref="AG39" si="138">AG40/(SUM(AG36,AG38,AG40))</f>
        <v>#DIV/0!</v>
      </c>
      <c r="AH39" s="96" t="e">
        <f t="shared" ref="AH39" si="139">AH40/(SUM(AH36,AH38,AH40))</f>
        <v>#DIV/0!</v>
      </c>
      <c r="AI39" s="96">
        <f t="shared" ref="AI39" si="140">AI40/(SUM(AI36,AI38,AI40))</f>
        <v>0</v>
      </c>
      <c r="AJ39" s="96">
        <f t="shared" ref="AJ39" si="141">AJ40/(SUM(AJ36,AJ38,AJ40))</f>
        <v>0</v>
      </c>
      <c r="AK39" s="96">
        <f t="shared" ref="AK39" si="142">AK40/(SUM(AK36,AK38,AK40))</f>
        <v>0</v>
      </c>
      <c r="AL39" s="96">
        <f t="shared" ref="AL39" si="143">AL40/(SUM(AL36,AL38,AL40))</f>
        <v>0.66666666666666663</v>
      </c>
      <c r="AM39" s="96" t="e">
        <f t="shared" ref="AM39" si="144">AM40/(SUM(AM36,AM38,AM40))</f>
        <v>#DIV/0!</v>
      </c>
      <c r="AN39" s="96" t="e">
        <f t="shared" ref="AN39" si="145">AN40/(SUM(AN36,AN38,AN40))</f>
        <v>#DIV/0!</v>
      </c>
      <c r="AO39" s="96" t="e">
        <f t="shared" ref="AO39" si="146">AO40/(SUM(AO36,AO38,AO40))</f>
        <v>#DIV/0!</v>
      </c>
      <c r="AP39" s="96" t="e">
        <f t="shared" ref="AP39" si="147">AP40/(SUM(AP36,AP38,AP40))</f>
        <v>#DIV/0!</v>
      </c>
      <c r="AQ39" s="96" t="e">
        <f t="shared" ref="AQ39" si="148">AQ40/(SUM(AQ36,AQ38,AQ40))</f>
        <v>#DIV/0!</v>
      </c>
      <c r="AR39" s="96" t="e">
        <f t="shared" ref="AR39" si="149">AR40/(SUM(AR36,AR38,AR40))</f>
        <v>#DIV/0!</v>
      </c>
      <c r="AS39" s="96" t="e">
        <f t="shared" ref="AS39" si="150">AS40/(SUM(AS36,AS38,AS40))</f>
        <v>#DIV/0!</v>
      </c>
      <c r="AT39" s="96" t="e">
        <f t="shared" ref="AT39" si="151">AT40/(SUM(AT36,AT38,AT40))</f>
        <v>#DIV/0!</v>
      </c>
      <c r="AU39" s="96" t="e">
        <f t="shared" ref="AU39" si="152">AU40/(SUM(AU36,AU38,AU40))</f>
        <v>#DIV/0!</v>
      </c>
      <c r="AV39" s="96" t="e">
        <f t="shared" ref="AV39" si="153">AV40/(SUM(AV36,AV38,AV40))</f>
        <v>#DIV/0!</v>
      </c>
      <c r="AW39" s="96" t="e">
        <f t="shared" ref="AW39" si="154">AW40/(SUM(AW36,AW38,AW40))</f>
        <v>#DIV/0!</v>
      </c>
      <c r="AX39" s="96" t="e">
        <f t="shared" ref="AX39" si="155">AX40/(SUM(AX36,AX38,AX40))</f>
        <v>#DIV/0!</v>
      </c>
      <c r="AY39" s="96" t="e">
        <f t="shared" ref="AY39" si="156">AY40/(SUM(AY36,AY38,AY40))</f>
        <v>#DIV/0!</v>
      </c>
      <c r="AZ39" s="96" t="e">
        <f t="shared" ref="AZ39" si="157">AZ40/(SUM(AZ36,AZ38,AZ40))</f>
        <v>#DIV/0!</v>
      </c>
      <c r="BA39" s="96" t="e">
        <f t="shared" ref="BA39" si="158">BA40/(SUM(BA36,BA38,BA40))</f>
        <v>#DIV/0!</v>
      </c>
      <c r="BB39" s="96" t="e">
        <f t="shared" ref="BB39" si="159">BB40/(SUM(BB36,BB38,BB40))</f>
        <v>#DIV/0!</v>
      </c>
      <c r="BC39" s="96" t="e">
        <f t="shared" ref="BC39" si="160">BC40/(SUM(BC36,BC38,BC40))</f>
        <v>#DIV/0!</v>
      </c>
      <c r="BD39" s="96" t="e">
        <f t="shared" ref="BD39" si="161">BD40/(SUM(BD36,BD38,BD40))</f>
        <v>#DIV/0!</v>
      </c>
      <c r="BE39" s="96">
        <f t="shared" ref="BE39" si="162">BE40/(SUM(BE36,BE38,BE40))</f>
        <v>0.5</v>
      </c>
      <c r="BF39" s="96">
        <f t="shared" ref="BF39" si="163">BF40/(SUM(BF36,BF38,BF40))</f>
        <v>0.42857142857142855</v>
      </c>
      <c r="BG39" s="96">
        <f t="shared" ref="BG39" si="164">BG40/(SUM(BG36,BG38,BG40))</f>
        <v>0</v>
      </c>
      <c r="BH39" s="96" t="e">
        <f t="shared" ref="BH39" si="165">BH40/(SUM(BH36,BH38,BH40))</f>
        <v>#DIV/0!</v>
      </c>
      <c r="BI39" s="96" t="e">
        <f t="shared" ref="BI39" si="166">BI40/(SUM(BI36,BI38,BI40))</f>
        <v>#DIV/0!</v>
      </c>
      <c r="BJ39" s="96" t="e">
        <f t="shared" ref="BJ39" si="167">BJ40/(SUM(BJ36,BJ38,BJ40))</f>
        <v>#DIV/0!</v>
      </c>
      <c r="BK39" s="97" t="e">
        <f t="shared" ref="BK39:CA39" si="168">BK40/(SUM(BK36,BK38,BK40))</f>
        <v>#DIV/0!</v>
      </c>
      <c r="BL39" s="97" t="e">
        <f t="shared" si="168"/>
        <v>#DIV/0!</v>
      </c>
      <c r="BM39" s="97" t="e">
        <f t="shared" si="168"/>
        <v>#DIV/0!</v>
      </c>
      <c r="BN39" s="97" t="e">
        <f t="shared" si="168"/>
        <v>#DIV/0!</v>
      </c>
      <c r="BO39" s="97" t="e">
        <f t="shared" si="168"/>
        <v>#DIV/0!</v>
      </c>
      <c r="BP39" s="97" t="e">
        <f t="shared" si="168"/>
        <v>#DIV/0!</v>
      </c>
      <c r="BQ39" s="97" t="e">
        <f t="shared" si="168"/>
        <v>#DIV/0!</v>
      </c>
      <c r="BR39" s="97" t="e">
        <f t="shared" si="168"/>
        <v>#DIV/0!</v>
      </c>
      <c r="BS39" s="97" t="e">
        <f t="shared" si="168"/>
        <v>#DIV/0!</v>
      </c>
      <c r="BT39" s="97" t="e">
        <f t="shared" si="168"/>
        <v>#DIV/0!</v>
      </c>
      <c r="BU39" s="97" t="e">
        <f t="shared" si="168"/>
        <v>#DIV/0!</v>
      </c>
      <c r="BV39" s="97" t="e">
        <f t="shared" si="168"/>
        <v>#DIV/0!</v>
      </c>
      <c r="BW39" s="97" t="e">
        <f t="shared" si="168"/>
        <v>#DIV/0!</v>
      </c>
      <c r="BX39" s="97" t="e">
        <f t="shared" si="168"/>
        <v>#DIV/0!</v>
      </c>
      <c r="BY39" s="97" t="e">
        <f t="shared" si="168"/>
        <v>#DIV/0!</v>
      </c>
      <c r="BZ39" s="97" t="e">
        <f t="shared" si="168"/>
        <v>#DIV/0!</v>
      </c>
      <c r="CA39" s="97" t="e">
        <f t="shared" si="168"/>
        <v>#DIV/0!</v>
      </c>
    </row>
    <row r="40" spans="1:79" s="84" customFormat="1" ht="19.5" thickBot="1">
      <c r="A40" s="8" t="s">
        <v>10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167"/>
      <c r="O40" s="167">
        <v>1</v>
      </c>
      <c r="P40" s="167"/>
      <c r="Q40" s="167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9"/>
      <c r="AC40" s="99"/>
      <c r="AD40" s="99"/>
      <c r="AE40" s="98"/>
      <c r="AF40" s="98"/>
      <c r="AG40" s="99"/>
      <c r="AH40" s="99"/>
      <c r="AI40" s="99"/>
      <c r="AJ40" s="98"/>
      <c r="AK40" s="98"/>
      <c r="AL40" s="98">
        <v>2</v>
      </c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>
        <v>2</v>
      </c>
      <c r="BF40" s="98">
        <v>3</v>
      </c>
      <c r="BG40" s="98"/>
      <c r="BH40" s="98"/>
      <c r="BI40" s="98"/>
      <c r="BJ40" s="98"/>
      <c r="BK40" s="209"/>
    </row>
    <row r="41" spans="1:79" s="16" customFormat="1" ht="19.5" thickBot="1">
      <c r="A41" s="28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1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2"/>
      <c r="AC41" s="102"/>
      <c r="AD41" s="102"/>
      <c r="AE41" s="101"/>
      <c r="AF41" s="101"/>
      <c r="AG41" s="102"/>
      <c r="AH41" s="102"/>
      <c r="AI41" s="102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221"/>
    </row>
    <row r="42" spans="1:79" ht="19.5" thickBot="1">
      <c r="A42" s="5"/>
      <c r="B42" s="3"/>
      <c r="C42" s="3"/>
      <c r="D42" s="3"/>
      <c r="E42" s="3"/>
      <c r="F42" s="103"/>
      <c r="G42" s="103"/>
      <c r="H42" s="103"/>
      <c r="I42" s="103"/>
      <c r="J42" s="3"/>
      <c r="K42" s="3"/>
      <c r="L42" s="3"/>
      <c r="M42" s="3"/>
      <c r="N42" s="3"/>
      <c r="O42" s="103"/>
      <c r="P42" s="103"/>
      <c r="Q42" s="103"/>
      <c r="R42" s="103"/>
      <c r="S42" s="103"/>
      <c r="T42" s="103"/>
      <c r="U42" s="103"/>
      <c r="V42" s="103"/>
      <c r="W42" s="3"/>
      <c r="X42" s="3"/>
      <c r="Y42" s="3"/>
      <c r="Z42" s="3"/>
      <c r="AA42" s="3"/>
      <c r="AB42" s="103"/>
      <c r="AC42" s="103"/>
      <c r="AD42" s="103"/>
      <c r="AE42" s="3"/>
      <c r="AF42" s="3"/>
      <c r="AG42" s="103"/>
      <c r="AH42" s="103"/>
      <c r="AI42" s="10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</row>
    <row r="43" spans="1:79" s="11" customFormat="1" ht="19.5" thickBot="1">
      <c r="A43" s="10" t="s">
        <v>11</v>
      </c>
      <c r="B43" s="92"/>
      <c r="C43" s="92"/>
      <c r="D43" s="92"/>
      <c r="E43" s="92"/>
      <c r="F43" s="93"/>
      <c r="G43" s="93"/>
      <c r="H43" s="93"/>
      <c r="I43" s="93"/>
      <c r="J43" s="92"/>
      <c r="K43" s="92"/>
      <c r="L43" s="92"/>
      <c r="M43" s="92"/>
      <c r="N43" s="92"/>
      <c r="O43" s="93"/>
      <c r="P43" s="93"/>
      <c r="Q43" s="93"/>
      <c r="R43" s="93"/>
      <c r="S43" s="93"/>
      <c r="T43" s="93"/>
      <c r="U43" s="93"/>
      <c r="V43" s="93"/>
      <c r="W43" s="92"/>
      <c r="X43" s="92"/>
      <c r="Y43" s="92"/>
      <c r="Z43" s="92"/>
      <c r="AA43" s="92"/>
      <c r="AB43" s="93"/>
      <c r="AC43" s="93"/>
      <c r="AD43" s="93"/>
      <c r="AE43" s="92"/>
      <c r="AF43" s="92"/>
      <c r="AG43" s="93"/>
      <c r="AH43" s="93"/>
      <c r="AI43" s="93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222"/>
    </row>
    <row r="44" spans="1:79" s="14" customFormat="1" ht="19.5" thickBot="1">
      <c r="A44" s="202" t="s">
        <v>137</v>
      </c>
      <c r="B44" s="229">
        <v>68</v>
      </c>
      <c r="C44" s="229">
        <v>68</v>
      </c>
      <c r="D44" s="229">
        <v>68</v>
      </c>
      <c r="E44" s="229">
        <v>68</v>
      </c>
      <c r="F44" s="229">
        <v>68</v>
      </c>
      <c r="G44" s="229">
        <v>68</v>
      </c>
      <c r="H44" s="229">
        <v>68</v>
      </c>
      <c r="I44" s="229">
        <v>68</v>
      </c>
      <c r="J44" s="229">
        <v>68</v>
      </c>
      <c r="K44" s="229">
        <v>68</v>
      </c>
      <c r="L44" s="229">
        <v>68</v>
      </c>
      <c r="M44" s="229">
        <v>68</v>
      </c>
      <c r="N44" s="229">
        <v>68</v>
      </c>
      <c r="O44" s="229">
        <v>68</v>
      </c>
      <c r="P44" s="229">
        <v>68</v>
      </c>
      <c r="Q44" s="229">
        <v>68</v>
      </c>
      <c r="R44" s="229">
        <v>68</v>
      </c>
      <c r="S44" s="229">
        <v>68</v>
      </c>
      <c r="T44" s="229">
        <v>68</v>
      </c>
      <c r="U44" s="229">
        <v>68</v>
      </c>
      <c r="V44" s="229">
        <v>68</v>
      </c>
      <c r="W44" s="229">
        <v>68</v>
      </c>
      <c r="X44" s="229">
        <v>68</v>
      </c>
      <c r="Y44" s="229">
        <v>68</v>
      </c>
      <c r="Z44" s="229">
        <v>68</v>
      </c>
      <c r="AA44" s="229">
        <v>68</v>
      </c>
      <c r="AB44" s="229">
        <v>68</v>
      </c>
      <c r="AC44" s="229">
        <v>68</v>
      </c>
      <c r="AD44" s="229">
        <v>68</v>
      </c>
      <c r="AE44" s="229">
        <v>68</v>
      </c>
      <c r="AF44" s="229">
        <v>68</v>
      </c>
      <c r="AG44" s="229">
        <v>68</v>
      </c>
      <c r="AH44" s="229">
        <v>68</v>
      </c>
      <c r="AI44" s="229">
        <v>68</v>
      </c>
      <c r="AJ44" s="229">
        <v>68</v>
      </c>
      <c r="AK44" s="229">
        <v>68</v>
      </c>
      <c r="AL44" s="229">
        <v>68</v>
      </c>
      <c r="AM44" s="229">
        <v>68</v>
      </c>
      <c r="AN44" s="229">
        <v>68</v>
      </c>
      <c r="AO44" s="229">
        <v>68</v>
      </c>
      <c r="AP44" s="229">
        <v>68</v>
      </c>
      <c r="AQ44" s="229">
        <v>68</v>
      </c>
      <c r="AR44" s="229">
        <v>68</v>
      </c>
      <c r="AS44" s="229">
        <v>68</v>
      </c>
      <c r="AT44" s="229">
        <v>68</v>
      </c>
      <c r="AU44" s="229">
        <v>68</v>
      </c>
      <c r="AV44" s="229">
        <v>68</v>
      </c>
      <c r="AW44" s="229">
        <v>68</v>
      </c>
      <c r="AX44" s="229">
        <v>68</v>
      </c>
      <c r="AY44" s="229">
        <v>68</v>
      </c>
      <c r="AZ44" s="229">
        <v>68</v>
      </c>
      <c r="BA44" s="229">
        <v>68</v>
      </c>
      <c r="BB44" s="229">
        <v>68</v>
      </c>
      <c r="BC44" s="229">
        <v>68</v>
      </c>
      <c r="BD44" s="229">
        <v>68</v>
      </c>
      <c r="BE44" s="229">
        <v>68</v>
      </c>
      <c r="BF44" s="229">
        <v>68</v>
      </c>
      <c r="BG44" s="229">
        <v>68</v>
      </c>
      <c r="BH44" s="229">
        <v>68</v>
      </c>
      <c r="BI44" s="229">
        <v>68</v>
      </c>
      <c r="BJ44" s="229">
        <v>68</v>
      </c>
      <c r="BK44" s="229">
        <v>68</v>
      </c>
      <c r="BL44" s="229">
        <v>68</v>
      </c>
      <c r="BM44" s="229">
        <v>68</v>
      </c>
      <c r="BN44" s="229">
        <v>68</v>
      </c>
      <c r="BO44" s="229">
        <v>68</v>
      </c>
      <c r="BP44" s="229">
        <v>68</v>
      </c>
      <c r="BQ44" s="229">
        <v>68</v>
      </c>
      <c r="BR44" s="229">
        <v>68</v>
      </c>
      <c r="BS44" s="229">
        <v>68</v>
      </c>
      <c r="BT44" s="229">
        <v>68</v>
      </c>
      <c r="BU44" s="229">
        <v>68</v>
      </c>
      <c r="BV44" s="229">
        <v>68</v>
      </c>
      <c r="BW44" s="229">
        <v>68</v>
      </c>
      <c r="BX44" s="229">
        <v>68</v>
      </c>
      <c r="BY44" s="229">
        <v>68</v>
      </c>
      <c r="BZ44" s="229">
        <v>68</v>
      </c>
      <c r="CA44" s="229">
        <v>68</v>
      </c>
    </row>
    <row r="45" spans="1:79" s="14" customFormat="1">
      <c r="A45" s="12" t="s">
        <v>2</v>
      </c>
      <c r="B45" s="13">
        <v>57</v>
      </c>
      <c r="C45" s="13">
        <v>57</v>
      </c>
      <c r="D45" s="13">
        <v>57</v>
      </c>
      <c r="E45" s="13">
        <v>57</v>
      </c>
      <c r="F45" s="13">
        <v>57</v>
      </c>
      <c r="G45" s="13">
        <v>57</v>
      </c>
      <c r="H45" s="13">
        <v>57</v>
      </c>
      <c r="I45" s="13">
        <v>57</v>
      </c>
      <c r="J45" s="13">
        <v>57</v>
      </c>
      <c r="K45" s="13">
        <v>57</v>
      </c>
      <c r="L45" s="13">
        <v>57</v>
      </c>
      <c r="M45" s="13">
        <v>57</v>
      </c>
      <c r="N45" s="13">
        <v>57</v>
      </c>
      <c r="O45" s="13">
        <v>57</v>
      </c>
      <c r="P45" s="13">
        <v>57</v>
      </c>
      <c r="Q45" s="13">
        <v>57</v>
      </c>
      <c r="R45" s="13">
        <v>57</v>
      </c>
      <c r="S45" s="13">
        <v>57</v>
      </c>
      <c r="T45" s="13">
        <v>57</v>
      </c>
      <c r="U45" s="13">
        <v>57</v>
      </c>
      <c r="V45" s="13">
        <v>57</v>
      </c>
      <c r="W45" s="13">
        <v>57</v>
      </c>
      <c r="X45" s="13">
        <v>57</v>
      </c>
      <c r="Y45" s="13">
        <v>57</v>
      </c>
      <c r="Z45" s="13">
        <v>57</v>
      </c>
      <c r="AA45" s="13">
        <v>57</v>
      </c>
      <c r="AB45" s="13">
        <v>57</v>
      </c>
      <c r="AC45" s="13">
        <v>57</v>
      </c>
      <c r="AD45" s="13">
        <v>57</v>
      </c>
      <c r="AE45" s="13">
        <v>57</v>
      </c>
      <c r="AF45" s="13">
        <v>57</v>
      </c>
      <c r="AG45" s="13">
        <v>57</v>
      </c>
      <c r="AH45" s="13">
        <v>57</v>
      </c>
      <c r="AI45" s="13">
        <v>57</v>
      </c>
      <c r="AJ45" s="13">
        <v>57</v>
      </c>
      <c r="AK45" s="13">
        <v>57</v>
      </c>
      <c r="AL45" s="13">
        <v>57</v>
      </c>
      <c r="AM45" s="13">
        <v>57</v>
      </c>
      <c r="AN45" s="13">
        <v>61</v>
      </c>
      <c r="AO45" s="13">
        <v>61</v>
      </c>
      <c r="AP45" s="13">
        <v>61</v>
      </c>
      <c r="AQ45" s="13">
        <v>61</v>
      </c>
      <c r="AR45" s="13">
        <v>61</v>
      </c>
      <c r="AS45" s="13">
        <v>61</v>
      </c>
      <c r="AT45" s="13">
        <v>61</v>
      </c>
      <c r="AU45" s="13">
        <v>61</v>
      </c>
      <c r="AV45" s="13">
        <v>61</v>
      </c>
      <c r="AW45" s="13">
        <v>61</v>
      </c>
      <c r="AX45" s="13">
        <v>61</v>
      </c>
      <c r="AY45" s="13">
        <v>61</v>
      </c>
      <c r="AZ45" s="13">
        <v>61</v>
      </c>
      <c r="BA45" s="13">
        <v>61</v>
      </c>
      <c r="BB45" s="13">
        <v>61</v>
      </c>
      <c r="BC45" s="13">
        <v>61</v>
      </c>
      <c r="BD45" s="13">
        <v>61</v>
      </c>
      <c r="BE45" s="13">
        <v>61</v>
      </c>
      <c r="BF45" s="13">
        <v>61</v>
      </c>
      <c r="BG45" s="13">
        <v>61</v>
      </c>
      <c r="BH45" s="13">
        <v>61</v>
      </c>
      <c r="BI45" s="13">
        <v>61</v>
      </c>
      <c r="BJ45" s="13">
        <v>61</v>
      </c>
      <c r="BK45" s="13">
        <v>61</v>
      </c>
      <c r="BL45" s="13">
        <v>61</v>
      </c>
      <c r="BM45" s="13">
        <v>61</v>
      </c>
      <c r="BN45" s="13">
        <v>61</v>
      </c>
      <c r="BO45" s="13">
        <v>61</v>
      </c>
      <c r="BP45" s="13">
        <v>61</v>
      </c>
      <c r="BQ45" s="13">
        <v>61</v>
      </c>
      <c r="BR45" s="13">
        <v>61</v>
      </c>
      <c r="BS45" s="13">
        <v>61</v>
      </c>
      <c r="BT45" s="13">
        <v>61</v>
      </c>
      <c r="BU45" s="13">
        <v>61</v>
      </c>
      <c r="BV45" s="13">
        <v>61</v>
      </c>
      <c r="BW45" s="13">
        <v>61</v>
      </c>
      <c r="BX45" s="13">
        <v>61</v>
      </c>
      <c r="BY45" s="13">
        <v>61</v>
      </c>
      <c r="BZ45" s="13">
        <v>61</v>
      </c>
      <c r="CA45" s="13">
        <v>61</v>
      </c>
    </row>
    <row r="46" spans="1:79" s="15" customFormat="1" ht="19.5" thickBot="1">
      <c r="A46" s="12" t="s">
        <v>3</v>
      </c>
      <c r="B46" s="13">
        <v>62</v>
      </c>
      <c r="C46" s="13">
        <v>62</v>
      </c>
      <c r="D46" s="13">
        <v>62</v>
      </c>
      <c r="E46" s="13">
        <v>62</v>
      </c>
      <c r="F46" s="13">
        <v>62</v>
      </c>
      <c r="G46" s="13">
        <v>62</v>
      </c>
      <c r="H46" s="13">
        <v>62</v>
      </c>
      <c r="I46" s="13">
        <v>62</v>
      </c>
      <c r="J46" s="13">
        <v>62</v>
      </c>
      <c r="K46" s="13">
        <v>62</v>
      </c>
      <c r="L46" s="13">
        <v>62</v>
      </c>
      <c r="M46" s="13">
        <v>62</v>
      </c>
      <c r="N46" s="13">
        <v>62</v>
      </c>
      <c r="O46" s="13">
        <v>62</v>
      </c>
      <c r="P46" s="13">
        <v>62</v>
      </c>
      <c r="Q46" s="13">
        <v>62</v>
      </c>
      <c r="R46" s="13">
        <v>62</v>
      </c>
      <c r="S46" s="13">
        <v>62</v>
      </c>
      <c r="T46" s="13">
        <v>62</v>
      </c>
      <c r="U46" s="13">
        <v>62</v>
      </c>
      <c r="V46" s="13">
        <v>62</v>
      </c>
      <c r="W46" s="13">
        <v>62</v>
      </c>
      <c r="X46" s="13">
        <v>62</v>
      </c>
      <c r="Y46" s="13">
        <v>62</v>
      </c>
      <c r="Z46" s="13">
        <v>62</v>
      </c>
      <c r="AA46" s="13">
        <v>62</v>
      </c>
      <c r="AB46" s="13">
        <v>62</v>
      </c>
      <c r="AC46" s="13">
        <v>62</v>
      </c>
      <c r="AD46" s="13">
        <v>62</v>
      </c>
      <c r="AE46" s="13">
        <v>62</v>
      </c>
      <c r="AF46" s="13">
        <v>62</v>
      </c>
      <c r="AG46" s="13">
        <v>62</v>
      </c>
      <c r="AH46" s="13">
        <v>62</v>
      </c>
      <c r="AI46" s="13">
        <v>62</v>
      </c>
      <c r="AJ46" s="13">
        <v>62</v>
      </c>
      <c r="AK46" s="13">
        <v>62</v>
      </c>
      <c r="AL46" s="13">
        <v>62</v>
      </c>
      <c r="AM46" s="13">
        <v>62</v>
      </c>
      <c r="AN46" s="13">
        <v>71</v>
      </c>
      <c r="AO46" s="13">
        <v>71</v>
      </c>
      <c r="AP46" s="13">
        <v>71</v>
      </c>
      <c r="AQ46" s="13">
        <v>71</v>
      </c>
      <c r="AR46" s="13">
        <v>71</v>
      </c>
      <c r="AS46" s="13">
        <v>71</v>
      </c>
      <c r="AT46" s="13">
        <v>71</v>
      </c>
      <c r="AU46" s="13">
        <v>71</v>
      </c>
      <c r="AV46" s="13">
        <v>71</v>
      </c>
      <c r="AW46" s="13">
        <v>71</v>
      </c>
      <c r="AX46" s="13">
        <v>71</v>
      </c>
      <c r="AY46" s="13">
        <v>71</v>
      </c>
      <c r="AZ46" s="13">
        <v>71</v>
      </c>
      <c r="BA46" s="13">
        <v>71</v>
      </c>
      <c r="BB46" s="13">
        <v>71</v>
      </c>
      <c r="BC46" s="13">
        <v>71</v>
      </c>
      <c r="BD46" s="13">
        <v>71</v>
      </c>
      <c r="BE46" s="13">
        <v>71</v>
      </c>
      <c r="BF46" s="13">
        <v>71</v>
      </c>
      <c r="BG46" s="13">
        <v>71</v>
      </c>
      <c r="BH46" s="13">
        <v>71</v>
      </c>
      <c r="BI46" s="13">
        <v>71</v>
      </c>
      <c r="BJ46" s="13">
        <v>71</v>
      </c>
      <c r="BK46" s="13">
        <v>71</v>
      </c>
      <c r="BL46" s="13">
        <v>71</v>
      </c>
      <c r="BM46" s="13">
        <v>71</v>
      </c>
      <c r="BN46" s="13">
        <v>71</v>
      </c>
      <c r="BO46" s="13">
        <v>71</v>
      </c>
      <c r="BP46" s="13">
        <v>71</v>
      </c>
      <c r="BQ46" s="13">
        <v>71</v>
      </c>
      <c r="BR46" s="13">
        <v>71</v>
      </c>
      <c r="BS46" s="13">
        <v>71</v>
      </c>
      <c r="BT46" s="13">
        <v>71</v>
      </c>
      <c r="BU46" s="13">
        <v>71</v>
      </c>
      <c r="BV46" s="13">
        <v>71</v>
      </c>
      <c r="BW46" s="13">
        <v>71</v>
      </c>
      <c r="BX46" s="13">
        <v>71</v>
      </c>
      <c r="BY46" s="13">
        <v>71</v>
      </c>
      <c r="BZ46" s="13">
        <v>71</v>
      </c>
      <c r="CA46" s="13">
        <v>71</v>
      </c>
    </row>
    <row r="47" spans="1:79" s="66" customFormat="1" ht="19.5" thickBot="1">
      <c r="A47" s="8" t="s">
        <v>4</v>
      </c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29">
        <v>61</v>
      </c>
      <c r="O47" s="129">
        <v>60.25</v>
      </c>
      <c r="P47" s="129">
        <v>54.7</v>
      </c>
      <c r="Q47" s="129">
        <v>60.2</v>
      </c>
      <c r="R47" s="129">
        <v>60</v>
      </c>
      <c r="S47" s="129">
        <v>61</v>
      </c>
      <c r="T47" s="129">
        <v>62.3</v>
      </c>
      <c r="U47" s="129">
        <v>60</v>
      </c>
      <c r="V47" s="129">
        <v>62.5</v>
      </c>
      <c r="W47" s="112"/>
      <c r="X47" s="170"/>
      <c r="Y47" s="112"/>
      <c r="Z47" s="112"/>
      <c r="AA47" s="112"/>
      <c r="AB47" s="113"/>
      <c r="AC47" s="113"/>
      <c r="AD47" s="113"/>
      <c r="AE47" s="129"/>
      <c r="AF47" s="129"/>
      <c r="AG47" s="113"/>
      <c r="AH47" s="113"/>
      <c r="AI47" s="129">
        <v>58</v>
      </c>
      <c r="AJ47" s="129">
        <v>61</v>
      </c>
      <c r="AK47" s="129">
        <v>58</v>
      </c>
      <c r="AL47" s="129">
        <v>58</v>
      </c>
      <c r="AM47" s="129">
        <v>57</v>
      </c>
      <c r="AN47" s="129">
        <v>60</v>
      </c>
      <c r="AO47" s="129">
        <v>59</v>
      </c>
      <c r="AP47" s="129">
        <v>65</v>
      </c>
      <c r="AQ47" s="129">
        <v>67</v>
      </c>
      <c r="AR47" s="129">
        <v>69</v>
      </c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>
        <v>63</v>
      </c>
      <c r="BF47" s="129">
        <v>60</v>
      </c>
      <c r="BG47" s="129">
        <v>66</v>
      </c>
      <c r="BH47" s="129">
        <v>64</v>
      </c>
      <c r="BI47" s="129"/>
      <c r="BJ47" s="129"/>
      <c r="BK47" s="212"/>
    </row>
    <row r="48" spans="1:79" s="66" customFormat="1">
      <c r="A48" s="8" t="s">
        <v>97</v>
      </c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29"/>
      <c r="O48" s="129"/>
      <c r="P48" s="129">
        <v>52</v>
      </c>
      <c r="Q48" s="129">
        <v>54.5</v>
      </c>
      <c r="R48" s="129"/>
      <c r="S48" s="129">
        <v>56</v>
      </c>
      <c r="T48" s="129">
        <v>56</v>
      </c>
      <c r="U48" s="129"/>
      <c r="V48" s="129"/>
      <c r="W48" s="129"/>
      <c r="X48" s="169"/>
      <c r="Y48" s="112"/>
      <c r="Z48" s="112"/>
      <c r="AA48" s="112"/>
      <c r="AB48" s="113"/>
      <c r="AC48" s="113"/>
      <c r="AD48" s="113"/>
      <c r="AE48" s="129"/>
      <c r="AF48" s="129"/>
      <c r="AG48" s="113"/>
      <c r="AH48" s="113"/>
      <c r="AI48" s="129">
        <v>56</v>
      </c>
      <c r="AJ48" s="129">
        <v>55</v>
      </c>
      <c r="AK48" s="129">
        <v>52</v>
      </c>
      <c r="AL48" s="129">
        <v>54</v>
      </c>
      <c r="AM48" s="129">
        <v>51</v>
      </c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>
        <v>62</v>
      </c>
      <c r="BF48" s="129">
        <v>60</v>
      </c>
      <c r="BG48" s="129">
        <v>66</v>
      </c>
      <c r="BH48" s="129">
        <v>64</v>
      </c>
      <c r="BI48" s="129"/>
      <c r="BJ48" s="129"/>
      <c r="BK48" s="212"/>
    </row>
    <row r="49" spans="1:79" s="66" customFormat="1">
      <c r="A49" s="8" t="s">
        <v>98</v>
      </c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67">
        <v>61</v>
      </c>
      <c r="O49" s="167">
        <v>61.3</v>
      </c>
      <c r="P49" s="167">
        <v>57</v>
      </c>
      <c r="Q49" s="167">
        <v>64</v>
      </c>
      <c r="R49" s="167">
        <v>63</v>
      </c>
      <c r="S49" s="167">
        <v>63.5</v>
      </c>
      <c r="T49" s="167">
        <v>64.3</v>
      </c>
      <c r="U49" s="167">
        <v>64</v>
      </c>
      <c r="V49" s="167">
        <v>64</v>
      </c>
      <c r="W49" s="112"/>
      <c r="X49" s="112"/>
      <c r="Y49" s="112"/>
      <c r="Z49" s="112"/>
      <c r="AA49" s="112"/>
      <c r="AB49" s="113"/>
      <c r="AC49" s="113"/>
      <c r="AD49" s="113"/>
      <c r="AE49" s="129"/>
      <c r="AF49" s="129"/>
      <c r="AG49" s="113"/>
      <c r="AH49" s="113"/>
      <c r="AI49" s="129"/>
      <c r="AJ49" s="129">
        <v>65</v>
      </c>
      <c r="AK49" s="129">
        <v>65</v>
      </c>
      <c r="AL49" s="129"/>
      <c r="AM49" s="129">
        <v>65</v>
      </c>
      <c r="AN49" s="129">
        <v>63</v>
      </c>
      <c r="AO49" s="129"/>
      <c r="AP49" s="129">
        <v>67</v>
      </c>
      <c r="AQ49" s="129">
        <v>67</v>
      </c>
      <c r="AR49" s="129">
        <v>69</v>
      </c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212"/>
    </row>
    <row r="50" spans="1:79">
      <c r="A50" s="12" t="s">
        <v>12</v>
      </c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>
        <f>(N47-I32)/42</f>
        <v>1.4523809523809523</v>
      </c>
      <c r="O50" s="82">
        <f t="shared" ref="O50:V50" si="169">(O47-J32)/42</f>
        <v>1.4345238095238095</v>
      </c>
      <c r="P50" s="82">
        <f t="shared" si="169"/>
        <v>1.3023809523809524</v>
      </c>
      <c r="Q50" s="82">
        <f t="shared" si="169"/>
        <v>1.4333333333333333</v>
      </c>
      <c r="R50" s="82">
        <f t="shared" si="169"/>
        <v>1.4285714285714286</v>
      </c>
      <c r="S50" s="82">
        <f t="shared" si="169"/>
        <v>0.8928571428571429</v>
      </c>
      <c r="T50" s="82">
        <f t="shared" si="169"/>
        <v>0.89999999999999991</v>
      </c>
      <c r="U50" s="82">
        <f t="shared" si="169"/>
        <v>0.9107142857142857</v>
      </c>
      <c r="V50" s="82">
        <f t="shared" si="169"/>
        <v>0.99404761904761907</v>
      </c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153">
        <v>1.34</v>
      </c>
      <c r="AK50" s="153">
        <v>1.048</v>
      </c>
      <c r="AL50" s="82">
        <v>0.95199999999999996</v>
      </c>
      <c r="AM50" s="153">
        <v>0.96399999999999997</v>
      </c>
      <c r="AN50" s="153">
        <v>0.94199999999999995</v>
      </c>
      <c r="AO50" s="82">
        <v>1.0569999999999999</v>
      </c>
      <c r="AP50" s="153">
        <v>1.1419999999999999</v>
      </c>
      <c r="AQ50" s="153">
        <v>1.143</v>
      </c>
      <c r="AR50" s="153">
        <v>0.95299999999999996</v>
      </c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153">
        <v>1.143</v>
      </c>
      <c r="BG50" s="153">
        <v>1.429</v>
      </c>
      <c r="BH50" s="153">
        <v>1.1000000000000001</v>
      </c>
      <c r="BI50" s="82"/>
      <c r="BJ50" s="82"/>
      <c r="BK50" s="154"/>
    </row>
    <row r="51" spans="1:79">
      <c r="A51" s="12" t="s">
        <v>84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>
        <f t="shared" ref="P51:T51" si="170">(P48-K33)/42</f>
        <v>1.2380952380952381</v>
      </c>
      <c r="Q51" s="82">
        <f t="shared" si="170"/>
        <v>1.2976190476190477</v>
      </c>
      <c r="R51" s="82"/>
      <c r="S51" s="82">
        <f t="shared" si="170"/>
        <v>0.80238095238095242</v>
      </c>
      <c r="T51" s="82">
        <f t="shared" si="170"/>
        <v>0.75</v>
      </c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153">
        <v>1.429</v>
      </c>
      <c r="AK51" s="153">
        <v>0.78600000000000003</v>
      </c>
      <c r="AL51" s="153">
        <v>0.85699999999999998</v>
      </c>
      <c r="AM51" s="153">
        <v>0.89200000000000002</v>
      </c>
      <c r="AN51" s="82"/>
      <c r="AO51" s="82"/>
      <c r="AP51" s="82"/>
      <c r="AQ51" s="82"/>
      <c r="AR51" s="153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153">
        <v>1.143</v>
      </c>
      <c r="BG51" s="153">
        <v>1.429</v>
      </c>
      <c r="BH51" s="153">
        <v>1.1000000000000001</v>
      </c>
      <c r="BI51" s="82"/>
      <c r="BJ51" s="82"/>
      <c r="BK51" s="154"/>
    </row>
    <row r="52" spans="1:79">
      <c r="A52" s="12" t="s">
        <v>85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>
        <f t="shared" ref="N52:V52" si="171">(N49-I34)/42</f>
        <v>1.4523809523809523</v>
      </c>
      <c r="O52" s="82">
        <f t="shared" si="171"/>
        <v>1.4595238095238094</v>
      </c>
      <c r="P52" s="82">
        <f t="shared" si="171"/>
        <v>1.3571428571428572</v>
      </c>
      <c r="Q52" s="82">
        <f t="shared" si="171"/>
        <v>1.5238095238095237</v>
      </c>
      <c r="R52" s="82">
        <f t="shared" si="171"/>
        <v>1.5</v>
      </c>
      <c r="S52" s="82">
        <f t="shared" si="171"/>
        <v>0.86904761904761907</v>
      </c>
      <c r="T52" s="82">
        <f t="shared" si="171"/>
        <v>0.94761904761904758</v>
      </c>
      <c r="U52" s="82">
        <f t="shared" si="171"/>
        <v>0.95238095238095233</v>
      </c>
      <c r="V52" s="82">
        <f t="shared" si="171"/>
        <v>1.0297619047619047</v>
      </c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>
        <v>1.286</v>
      </c>
      <c r="AK52" s="153">
        <v>1.214</v>
      </c>
      <c r="AL52" s="82"/>
      <c r="AM52" s="153">
        <v>1</v>
      </c>
      <c r="AN52" s="153">
        <v>0.94199999999999995</v>
      </c>
      <c r="AO52" s="82"/>
      <c r="AP52" s="82">
        <v>1.2</v>
      </c>
      <c r="AQ52" s="153">
        <v>1.143</v>
      </c>
      <c r="AR52" s="153">
        <v>0.95199999999999996</v>
      </c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154"/>
    </row>
    <row r="53" spans="1:79">
      <c r="A53" s="12" t="s">
        <v>66</v>
      </c>
      <c r="B53" s="82"/>
      <c r="C53" s="82"/>
      <c r="D53" s="82"/>
      <c r="E53" s="82"/>
      <c r="F53" s="82"/>
      <c r="G53" s="153">
        <v>0.80900000000000005</v>
      </c>
      <c r="H53" s="153">
        <v>0.80900000000000005</v>
      </c>
      <c r="I53" s="153">
        <v>0.80900000000000005</v>
      </c>
      <c r="J53" s="153">
        <v>0.80900000000000005</v>
      </c>
      <c r="K53" s="153">
        <v>0.80900000000000005</v>
      </c>
      <c r="L53" s="153">
        <v>0.80900000000000005</v>
      </c>
      <c r="M53" s="153">
        <v>0.80900000000000005</v>
      </c>
      <c r="N53" s="153">
        <v>0.80900000000000005</v>
      </c>
      <c r="O53" s="153">
        <v>0.80900000000000005</v>
      </c>
      <c r="P53" s="153">
        <v>0.80900000000000005</v>
      </c>
      <c r="Q53" s="153">
        <v>0.80900000000000005</v>
      </c>
      <c r="R53" s="153">
        <v>0.80900000000000005</v>
      </c>
      <c r="S53" s="153">
        <v>0.80900000000000005</v>
      </c>
      <c r="T53" s="153">
        <v>0.80900000000000005</v>
      </c>
      <c r="U53" s="153">
        <v>0.80900000000000005</v>
      </c>
      <c r="V53" s="153">
        <v>0.80900000000000005</v>
      </c>
      <c r="W53" s="153">
        <v>0.80900000000000005</v>
      </c>
      <c r="X53" s="153">
        <v>0.80900000000000005</v>
      </c>
      <c r="Y53" s="153">
        <v>0.80900000000000005</v>
      </c>
      <c r="Z53" s="153">
        <v>0.80900000000000005</v>
      </c>
      <c r="AA53" s="153">
        <v>0.80900000000000005</v>
      </c>
      <c r="AB53" s="153">
        <v>0.80900000000000005</v>
      </c>
      <c r="AC53" s="153">
        <v>0.80900000000000005</v>
      </c>
      <c r="AD53" s="153">
        <v>0.80900000000000005</v>
      </c>
      <c r="AE53" s="153">
        <v>0.80900000000000005</v>
      </c>
      <c r="AF53" s="153">
        <v>0.80900000000000005</v>
      </c>
      <c r="AG53" s="153">
        <v>0.80900000000000005</v>
      </c>
      <c r="AH53" s="153">
        <v>0.80900000000000005</v>
      </c>
      <c r="AI53" s="153">
        <v>0.80900000000000005</v>
      </c>
      <c r="AJ53" s="153">
        <v>0.80900000000000005</v>
      </c>
      <c r="AK53" s="153">
        <v>0.80900000000000005</v>
      </c>
      <c r="AL53" s="153">
        <v>0.80900000000000005</v>
      </c>
      <c r="AM53" s="153">
        <v>0.80900000000000005</v>
      </c>
      <c r="AN53" s="153">
        <v>0.80900000000000005</v>
      </c>
      <c r="AO53" s="153">
        <v>0.80900000000000005</v>
      </c>
      <c r="AP53" s="153">
        <v>0.80900000000000005</v>
      </c>
      <c r="AQ53" s="153">
        <v>0.80900000000000005</v>
      </c>
      <c r="AR53" s="153">
        <v>0.80900000000000005</v>
      </c>
      <c r="AS53" s="153">
        <v>0.80900000000000005</v>
      </c>
      <c r="AT53" s="153">
        <v>0.80900000000000005</v>
      </c>
      <c r="AU53" s="153">
        <v>0.80900000000000005</v>
      </c>
      <c r="AV53" s="153">
        <v>0.80900000000000005</v>
      </c>
      <c r="AW53" s="153">
        <v>0.80900000000000005</v>
      </c>
      <c r="AX53" s="153">
        <v>0.80900000000000005</v>
      </c>
      <c r="AY53" s="153">
        <v>0.80900000000000005</v>
      </c>
      <c r="AZ53" s="153">
        <v>0.80900000000000005</v>
      </c>
      <c r="BA53" s="153">
        <v>0.80900000000000005</v>
      </c>
      <c r="BB53" s="153">
        <v>0.80900000000000005</v>
      </c>
      <c r="BC53" s="153">
        <v>0.80900000000000005</v>
      </c>
      <c r="BD53" s="153">
        <v>0.80900000000000005</v>
      </c>
      <c r="BE53" s="153">
        <v>0.80900000000000005</v>
      </c>
      <c r="BF53" s="153">
        <v>0.80900000000000005</v>
      </c>
      <c r="BG53" s="153">
        <v>0.80900000000000005</v>
      </c>
      <c r="BH53" s="153">
        <v>0.80900000000000005</v>
      </c>
      <c r="BI53" s="153">
        <v>0.80900000000000005</v>
      </c>
      <c r="BJ53" s="153">
        <v>0.80900000000000005</v>
      </c>
      <c r="BK53" s="155">
        <v>0.80900000000000005</v>
      </c>
      <c r="BL53" s="155">
        <v>0.80900000000000005</v>
      </c>
      <c r="BM53" s="155">
        <v>0.80900000000000005</v>
      </c>
      <c r="BN53" s="155">
        <v>0.80900000000000005</v>
      </c>
      <c r="BO53" s="155">
        <v>0.80900000000000005</v>
      </c>
      <c r="BP53" s="155">
        <v>0.80900000000000005</v>
      </c>
      <c r="BQ53" s="155">
        <v>0.80900000000000005</v>
      </c>
      <c r="BR53" s="155">
        <v>0.80900000000000005</v>
      </c>
      <c r="BS53" s="155">
        <v>0.80900000000000005</v>
      </c>
      <c r="BT53" s="155">
        <v>0.80900000000000005</v>
      </c>
      <c r="BU53" s="155">
        <v>0.80900000000000005</v>
      </c>
      <c r="BV53" s="155">
        <v>0.80900000000000005</v>
      </c>
      <c r="BW53" s="155">
        <v>0.80900000000000005</v>
      </c>
      <c r="BX53" s="155">
        <v>0.80900000000000005</v>
      </c>
      <c r="BY53" s="155">
        <v>0.80900000000000005</v>
      </c>
      <c r="BZ53" s="155">
        <v>0.80900000000000005</v>
      </c>
      <c r="CA53" s="155">
        <v>0.80900000000000005</v>
      </c>
    </row>
    <row r="54" spans="1:79" s="2" customFormat="1">
      <c r="A54" s="8" t="s">
        <v>5</v>
      </c>
      <c r="B54" s="96" t="e">
        <f>B55/(SUM(B55,B57,B59))</f>
        <v>#DIV/0!</v>
      </c>
      <c r="C54" s="96" t="e">
        <f t="shared" ref="C54:M54" si="172">C55/(SUM(C55,C57,C59))</f>
        <v>#DIV/0!</v>
      </c>
      <c r="D54" s="96" t="e">
        <f t="shared" si="172"/>
        <v>#DIV/0!</v>
      </c>
      <c r="E54" s="96" t="e">
        <f t="shared" si="172"/>
        <v>#DIV/0!</v>
      </c>
      <c r="F54" s="96" t="e">
        <f t="shared" si="172"/>
        <v>#DIV/0!</v>
      </c>
      <c r="G54" s="96" t="e">
        <f t="shared" si="172"/>
        <v>#DIV/0!</v>
      </c>
      <c r="H54" s="96" t="e">
        <f t="shared" si="172"/>
        <v>#DIV/0!</v>
      </c>
      <c r="I54" s="96" t="e">
        <f t="shared" si="172"/>
        <v>#DIV/0!</v>
      </c>
      <c r="J54" s="96" t="e">
        <f t="shared" si="172"/>
        <v>#DIV/0!</v>
      </c>
      <c r="K54" s="96" t="e">
        <f t="shared" si="172"/>
        <v>#DIV/0!</v>
      </c>
      <c r="L54" s="96" t="e">
        <f t="shared" si="172"/>
        <v>#DIV/0!</v>
      </c>
      <c r="M54" s="96" t="e">
        <f t="shared" si="172"/>
        <v>#DIV/0!</v>
      </c>
      <c r="N54" s="96">
        <f t="shared" ref="N54" si="173">N55/(SUM(N55,N57,N59))</f>
        <v>0</v>
      </c>
      <c r="O54" s="96">
        <f t="shared" ref="O54" si="174">O55/(SUM(O55,O57,O59))</f>
        <v>0</v>
      </c>
      <c r="P54" s="96">
        <f t="shared" ref="P54" si="175">P55/(SUM(P55,P57,P59))</f>
        <v>0.66666666666666663</v>
      </c>
      <c r="Q54" s="96">
        <f t="shared" ref="Q54" si="176">Q55/(SUM(Q55,Q57,Q59))</f>
        <v>0.4</v>
      </c>
      <c r="R54" s="96">
        <f t="shared" ref="R54" si="177">R55/(SUM(R55,R57,R59))</f>
        <v>0</v>
      </c>
      <c r="S54" s="96">
        <f t="shared" ref="S54" si="178">S55/(SUM(S55,S57,S59))</f>
        <v>0.25</v>
      </c>
      <c r="T54" s="96">
        <f t="shared" ref="T54" si="179">T55/(SUM(T55,T57,T59))</f>
        <v>0.25</v>
      </c>
      <c r="U54" s="96">
        <f t="shared" ref="U54" si="180">U55/(SUM(U55,U57,U59))</f>
        <v>0</v>
      </c>
      <c r="V54" s="96">
        <f t="shared" ref="V54" si="181">V55/(SUM(V55,V57,V59))</f>
        <v>0</v>
      </c>
      <c r="W54" s="96" t="e">
        <f t="shared" ref="W54:CA54" si="182">W55/(SUM(W55,W57,W59))</f>
        <v>#DIV/0!</v>
      </c>
      <c r="X54" s="96" t="e">
        <f t="shared" si="182"/>
        <v>#DIV/0!</v>
      </c>
      <c r="Y54" s="96" t="e">
        <f t="shared" si="182"/>
        <v>#DIV/0!</v>
      </c>
      <c r="Z54" s="96" t="e">
        <f t="shared" si="182"/>
        <v>#DIV/0!</v>
      </c>
      <c r="AA54" s="96" t="e">
        <f t="shared" si="182"/>
        <v>#DIV/0!</v>
      </c>
      <c r="AB54" s="96" t="e">
        <f t="shared" si="182"/>
        <v>#DIV/0!</v>
      </c>
      <c r="AC54" s="96" t="e">
        <f t="shared" si="182"/>
        <v>#DIV/0!</v>
      </c>
      <c r="AD54" s="96" t="e">
        <f t="shared" si="182"/>
        <v>#DIV/0!</v>
      </c>
      <c r="AE54" s="96" t="e">
        <f t="shared" si="182"/>
        <v>#DIV/0!</v>
      </c>
      <c r="AF54" s="96" t="e">
        <f t="shared" si="182"/>
        <v>#DIV/0!</v>
      </c>
      <c r="AG54" s="96" t="e">
        <f t="shared" si="182"/>
        <v>#DIV/0!</v>
      </c>
      <c r="AH54" s="96" t="e">
        <f t="shared" si="182"/>
        <v>#DIV/0!</v>
      </c>
      <c r="AI54" s="96">
        <f t="shared" si="182"/>
        <v>0.33333333333333331</v>
      </c>
      <c r="AJ54" s="96">
        <f t="shared" si="182"/>
        <v>0</v>
      </c>
      <c r="AK54" s="96">
        <f t="shared" si="182"/>
        <v>0.33333333333333331</v>
      </c>
      <c r="AL54" s="96">
        <f t="shared" si="182"/>
        <v>0.33333333333333331</v>
      </c>
      <c r="AM54" s="96">
        <f t="shared" si="182"/>
        <v>0.66666666666666663</v>
      </c>
      <c r="AN54" s="96">
        <f t="shared" si="182"/>
        <v>0</v>
      </c>
      <c r="AO54" s="96">
        <f t="shared" si="182"/>
        <v>0</v>
      </c>
      <c r="AP54" s="96">
        <f t="shared" si="182"/>
        <v>0</v>
      </c>
      <c r="AQ54" s="96">
        <f t="shared" si="182"/>
        <v>0</v>
      </c>
      <c r="AR54" s="96">
        <f t="shared" si="182"/>
        <v>0</v>
      </c>
      <c r="AS54" s="96" t="e">
        <f t="shared" si="182"/>
        <v>#DIV/0!</v>
      </c>
      <c r="AT54" s="96" t="e">
        <f t="shared" si="182"/>
        <v>#DIV/0!</v>
      </c>
      <c r="AU54" s="96" t="e">
        <f t="shared" si="182"/>
        <v>#DIV/0!</v>
      </c>
      <c r="AV54" s="96" t="e">
        <f t="shared" si="182"/>
        <v>#DIV/0!</v>
      </c>
      <c r="AW54" s="96" t="e">
        <f t="shared" si="182"/>
        <v>#DIV/0!</v>
      </c>
      <c r="AX54" s="96" t="e">
        <f t="shared" si="182"/>
        <v>#DIV/0!</v>
      </c>
      <c r="AY54" s="96" t="e">
        <f t="shared" si="182"/>
        <v>#DIV/0!</v>
      </c>
      <c r="AZ54" s="96" t="e">
        <f t="shared" si="182"/>
        <v>#DIV/0!</v>
      </c>
      <c r="BA54" s="96" t="e">
        <f t="shared" si="182"/>
        <v>#DIV/0!</v>
      </c>
      <c r="BB54" s="96" t="e">
        <f t="shared" si="182"/>
        <v>#DIV/0!</v>
      </c>
      <c r="BC54" s="96" t="e">
        <f t="shared" si="182"/>
        <v>#DIV/0!</v>
      </c>
      <c r="BD54" s="96" t="e">
        <f t="shared" si="182"/>
        <v>#DIV/0!</v>
      </c>
      <c r="BE54" s="96">
        <f t="shared" si="182"/>
        <v>0.75</v>
      </c>
      <c r="BF54" s="96">
        <f t="shared" si="182"/>
        <v>1</v>
      </c>
      <c r="BG54" s="96">
        <f t="shared" si="182"/>
        <v>1</v>
      </c>
      <c r="BH54" s="96">
        <f t="shared" si="182"/>
        <v>1</v>
      </c>
      <c r="BI54" s="96" t="e">
        <f t="shared" si="182"/>
        <v>#DIV/0!</v>
      </c>
      <c r="BJ54" s="96" t="e">
        <f t="shared" si="182"/>
        <v>#DIV/0!</v>
      </c>
      <c r="BK54" s="97" t="e">
        <f t="shared" si="182"/>
        <v>#DIV/0!</v>
      </c>
      <c r="BL54" s="97" t="e">
        <f t="shared" si="182"/>
        <v>#DIV/0!</v>
      </c>
      <c r="BM54" s="97" t="e">
        <f t="shared" si="182"/>
        <v>#DIV/0!</v>
      </c>
      <c r="BN54" s="97" t="e">
        <f t="shared" si="182"/>
        <v>#DIV/0!</v>
      </c>
      <c r="BO54" s="97" t="e">
        <f t="shared" si="182"/>
        <v>#DIV/0!</v>
      </c>
      <c r="BP54" s="97" t="e">
        <f t="shared" si="182"/>
        <v>#DIV/0!</v>
      </c>
      <c r="BQ54" s="97" t="e">
        <f t="shared" si="182"/>
        <v>#DIV/0!</v>
      </c>
      <c r="BR54" s="97" t="e">
        <f t="shared" si="182"/>
        <v>#DIV/0!</v>
      </c>
      <c r="BS54" s="97" t="e">
        <f t="shared" si="182"/>
        <v>#DIV/0!</v>
      </c>
      <c r="BT54" s="97" t="e">
        <f t="shared" si="182"/>
        <v>#DIV/0!</v>
      </c>
      <c r="BU54" s="97" t="e">
        <f t="shared" si="182"/>
        <v>#DIV/0!</v>
      </c>
      <c r="BV54" s="97" t="e">
        <f t="shared" si="182"/>
        <v>#DIV/0!</v>
      </c>
      <c r="BW54" s="97" t="e">
        <f t="shared" si="182"/>
        <v>#DIV/0!</v>
      </c>
      <c r="BX54" s="97" t="e">
        <f t="shared" si="182"/>
        <v>#DIV/0!</v>
      </c>
      <c r="BY54" s="97" t="e">
        <f t="shared" si="182"/>
        <v>#DIV/0!</v>
      </c>
      <c r="BZ54" s="97" t="e">
        <f t="shared" si="182"/>
        <v>#DIV/0!</v>
      </c>
      <c r="CA54" s="97" t="e">
        <f t="shared" si="182"/>
        <v>#DIV/0!</v>
      </c>
    </row>
    <row r="55" spans="1:79" s="83" customFormat="1">
      <c r="A55" s="8" t="s">
        <v>6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167"/>
      <c r="O55" s="167"/>
      <c r="P55" s="167">
        <v>2</v>
      </c>
      <c r="Q55" s="167">
        <v>2</v>
      </c>
      <c r="R55" s="167"/>
      <c r="S55" s="167">
        <v>1</v>
      </c>
      <c r="T55" s="167">
        <v>1</v>
      </c>
      <c r="U55" s="167"/>
      <c r="V55" s="167"/>
      <c r="W55" s="98"/>
      <c r="X55" s="98"/>
      <c r="Y55" s="98"/>
      <c r="Z55" s="98"/>
      <c r="AA55" s="98"/>
      <c r="AB55" s="99"/>
      <c r="AC55" s="99"/>
      <c r="AD55" s="99"/>
      <c r="AE55" s="98"/>
      <c r="AF55" s="98"/>
      <c r="AG55" s="99"/>
      <c r="AH55" s="99"/>
      <c r="AI55" s="98">
        <v>1</v>
      </c>
      <c r="AJ55" s="98"/>
      <c r="AK55" s="98">
        <v>1</v>
      </c>
      <c r="AL55" s="98">
        <v>1</v>
      </c>
      <c r="AM55" s="98">
        <v>2</v>
      </c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>
        <v>3</v>
      </c>
      <c r="BF55" s="98">
        <v>6</v>
      </c>
      <c r="BG55" s="98">
        <v>1</v>
      </c>
      <c r="BH55" s="98">
        <v>1</v>
      </c>
      <c r="BI55" s="98"/>
      <c r="BJ55" s="98"/>
      <c r="BK55" s="209"/>
    </row>
    <row r="56" spans="1:79" s="2" customFormat="1" ht="21.75" customHeight="1">
      <c r="A56" s="8" t="s">
        <v>7</v>
      </c>
      <c r="B56" s="96" t="e">
        <f>B57/(SUM(B55,B57,B59))</f>
        <v>#DIV/0!</v>
      </c>
      <c r="C56" s="96" t="e">
        <f t="shared" ref="C56:N56" si="183">C57/(SUM(C55,C57,C59))</f>
        <v>#DIV/0!</v>
      </c>
      <c r="D56" s="96" t="e">
        <f t="shared" si="183"/>
        <v>#DIV/0!</v>
      </c>
      <c r="E56" s="96" t="e">
        <f t="shared" si="183"/>
        <v>#DIV/0!</v>
      </c>
      <c r="F56" s="96" t="e">
        <f t="shared" si="183"/>
        <v>#DIV/0!</v>
      </c>
      <c r="G56" s="96" t="e">
        <f t="shared" si="183"/>
        <v>#DIV/0!</v>
      </c>
      <c r="H56" s="96" t="e">
        <f t="shared" si="183"/>
        <v>#DIV/0!</v>
      </c>
      <c r="I56" s="96" t="e">
        <f t="shared" si="183"/>
        <v>#DIV/0!</v>
      </c>
      <c r="J56" s="96" t="e">
        <f t="shared" si="183"/>
        <v>#DIV/0!</v>
      </c>
      <c r="K56" s="96" t="e">
        <f t="shared" si="183"/>
        <v>#DIV/0!</v>
      </c>
      <c r="L56" s="96" t="e">
        <f t="shared" si="183"/>
        <v>#DIV/0!</v>
      </c>
      <c r="M56" s="96" t="e">
        <f t="shared" si="183"/>
        <v>#DIV/0!</v>
      </c>
      <c r="N56" s="96">
        <f t="shared" si="183"/>
        <v>0.66666666666666663</v>
      </c>
      <c r="O56" s="96">
        <f t="shared" ref="O56" si="184">O57/(SUM(O55,O57,O59))</f>
        <v>0.75</v>
      </c>
      <c r="P56" s="96">
        <f t="shared" ref="P56" si="185">P57/(SUM(P55,P57,P59))</f>
        <v>0.33333333333333331</v>
      </c>
      <c r="Q56" s="96">
        <f t="shared" ref="Q56" si="186">Q57/(SUM(Q55,Q57,Q59))</f>
        <v>0.2</v>
      </c>
      <c r="R56" s="96">
        <f t="shared" ref="R56" si="187">R57/(SUM(R55,R57,R59))</f>
        <v>0.75</v>
      </c>
      <c r="S56" s="96">
        <f t="shared" ref="S56" si="188">S57/(SUM(S55,S57,S59))</f>
        <v>0.25</v>
      </c>
      <c r="T56" s="96">
        <f t="shared" ref="T56" si="189">T57/(SUM(T55,T57,T59))</f>
        <v>0</v>
      </c>
      <c r="U56" s="96">
        <f t="shared" ref="U56" si="190">U57/(SUM(U55,U57,U59))</f>
        <v>0.75</v>
      </c>
      <c r="V56" s="96">
        <f t="shared" ref="V56" si="191">V57/(SUM(V55,V57,V59))</f>
        <v>0.5</v>
      </c>
      <c r="W56" s="96" t="e">
        <f t="shared" ref="W56" si="192">W57/(SUM(W55,W57,W59))</f>
        <v>#DIV/0!</v>
      </c>
      <c r="X56" s="96" t="e">
        <f t="shared" ref="X56" si="193">X57/(SUM(X55,X57,X59))</f>
        <v>#DIV/0!</v>
      </c>
      <c r="Y56" s="96" t="e">
        <f t="shared" ref="Y56" si="194">Y57/(SUM(Y55,Y57,Y59))</f>
        <v>#DIV/0!</v>
      </c>
      <c r="Z56" s="96" t="e">
        <f t="shared" ref="Z56" si="195">Z57/(SUM(Z55,Z57,Z59))</f>
        <v>#DIV/0!</v>
      </c>
      <c r="AA56" s="96" t="e">
        <f t="shared" ref="AA56" si="196">AA57/(SUM(AA55,AA57,AA59))</f>
        <v>#DIV/0!</v>
      </c>
      <c r="AB56" s="96" t="e">
        <f t="shared" ref="AB56" si="197">AB57/(SUM(AB55,AB57,AB59))</f>
        <v>#DIV/0!</v>
      </c>
      <c r="AC56" s="96" t="e">
        <f t="shared" ref="AC56" si="198">AC57/(SUM(AC55,AC57,AC59))</f>
        <v>#DIV/0!</v>
      </c>
      <c r="AD56" s="96" t="e">
        <f t="shared" ref="AD56" si="199">AD57/(SUM(AD55,AD57,AD59))</f>
        <v>#DIV/0!</v>
      </c>
      <c r="AE56" s="96" t="e">
        <f t="shared" ref="AE56" si="200">AE57/(SUM(AE55,AE57,AE59))</f>
        <v>#DIV/0!</v>
      </c>
      <c r="AF56" s="96" t="e">
        <f t="shared" ref="AF56" si="201">AF57/(SUM(AF55,AF57,AF59))</f>
        <v>#DIV/0!</v>
      </c>
      <c r="AG56" s="96" t="e">
        <f t="shared" ref="AG56" si="202">AG57/(SUM(AG55,AG57,AG59))</f>
        <v>#DIV/0!</v>
      </c>
      <c r="AH56" s="96" t="e">
        <f t="shared" ref="AH56" si="203">AH57/(SUM(AH55,AH57,AH59))</f>
        <v>#DIV/0!</v>
      </c>
      <c r="AI56" s="96">
        <f t="shared" ref="AI56" si="204">AI57/(SUM(AI55,AI57,AI59))</f>
        <v>0.66666666666666663</v>
      </c>
      <c r="AJ56" s="96">
        <f t="shared" ref="AJ56" si="205">AJ57/(SUM(AJ55,AJ57,AJ59))</f>
        <v>0</v>
      </c>
      <c r="AK56" s="96">
        <f t="shared" ref="AK56" si="206">AK57/(SUM(AK55,AK57,AK59))</f>
        <v>0.33333333333333331</v>
      </c>
      <c r="AL56" s="96">
        <f t="shared" ref="AL56" si="207">AL57/(SUM(AL55,AL57,AL59))</f>
        <v>0.66666666666666663</v>
      </c>
      <c r="AM56" s="96">
        <f t="shared" ref="AM56" si="208">AM57/(SUM(AM55,AM57,AM59))</f>
        <v>0</v>
      </c>
      <c r="AN56" s="96">
        <f t="shared" ref="AN56" si="209">AN57/(SUM(AN55,AN57,AN59))</f>
        <v>0.66666666666666663</v>
      </c>
      <c r="AO56" s="96">
        <f t="shared" ref="AO56" si="210">AO57/(SUM(AO55,AO57,AO59))</f>
        <v>0</v>
      </c>
      <c r="AP56" s="96">
        <f t="shared" ref="AP56" si="211">AP57/(SUM(AP55,AP57,AP59))</f>
        <v>0.33333333333333331</v>
      </c>
      <c r="AQ56" s="96">
        <f t="shared" ref="AQ56" si="212">AQ57/(SUM(AQ55,AQ57,AQ59))</f>
        <v>0</v>
      </c>
      <c r="AR56" s="96">
        <f t="shared" ref="AR56" si="213">AR57/(SUM(AR55,AR57,AR59))</f>
        <v>0</v>
      </c>
      <c r="AS56" s="96" t="e">
        <f t="shared" ref="AS56" si="214">AS57/(SUM(AS55,AS57,AS59))</f>
        <v>#DIV/0!</v>
      </c>
      <c r="AT56" s="96" t="e">
        <f t="shared" ref="AT56" si="215">AT57/(SUM(AT55,AT57,AT59))</f>
        <v>#DIV/0!</v>
      </c>
      <c r="AU56" s="96" t="e">
        <f t="shared" ref="AU56" si="216">AU57/(SUM(AU55,AU57,AU59))</f>
        <v>#DIV/0!</v>
      </c>
      <c r="AV56" s="96" t="e">
        <f t="shared" ref="AV56" si="217">AV57/(SUM(AV55,AV57,AV59))</f>
        <v>#DIV/0!</v>
      </c>
      <c r="AW56" s="96" t="e">
        <f t="shared" ref="AW56" si="218">AW57/(SUM(AW55,AW57,AW59))</f>
        <v>#DIV/0!</v>
      </c>
      <c r="AX56" s="96" t="e">
        <f t="shared" ref="AX56" si="219">AX57/(SUM(AX55,AX57,AX59))</f>
        <v>#DIV/0!</v>
      </c>
      <c r="AY56" s="96" t="e">
        <f t="shared" ref="AY56" si="220">AY57/(SUM(AY55,AY57,AY59))</f>
        <v>#DIV/0!</v>
      </c>
      <c r="AZ56" s="96" t="e">
        <f t="shared" ref="AZ56" si="221">AZ57/(SUM(AZ55,AZ57,AZ59))</f>
        <v>#DIV/0!</v>
      </c>
      <c r="BA56" s="96" t="e">
        <f t="shared" ref="BA56" si="222">BA57/(SUM(BA55,BA57,BA59))</f>
        <v>#DIV/0!</v>
      </c>
      <c r="BB56" s="96" t="e">
        <f t="shared" ref="BB56" si="223">BB57/(SUM(BB55,BB57,BB59))</f>
        <v>#DIV/0!</v>
      </c>
      <c r="BC56" s="96" t="e">
        <f t="shared" ref="BC56" si="224">BC57/(SUM(BC55,BC57,BC59))</f>
        <v>#DIV/0!</v>
      </c>
      <c r="BD56" s="96" t="e">
        <f t="shared" ref="BD56" si="225">BD57/(SUM(BD55,BD57,BD59))</f>
        <v>#DIV/0!</v>
      </c>
      <c r="BE56" s="96">
        <f t="shared" ref="BE56" si="226">BE57/(SUM(BE55,BE57,BE59))</f>
        <v>0.25</v>
      </c>
      <c r="BF56" s="96">
        <f t="shared" ref="BF56" si="227">BF57/(SUM(BF55,BF57,BF59))</f>
        <v>0</v>
      </c>
      <c r="BG56" s="96">
        <f t="shared" ref="BG56" si="228">BG57/(SUM(BG55,BG57,BG59))</f>
        <v>0</v>
      </c>
      <c r="BH56" s="96">
        <f t="shared" ref="BH56" si="229">BH57/(SUM(BH55,BH57,BH59))</f>
        <v>0</v>
      </c>
      <c r="BI56" s="96" t="e">
        <f t="shared" ref="BI56" si="230">BI57/(SUM(BI55,BI57,BI59))</f>
        <v>#DIV/0!</v>
      </c>
      <c r="BJ56" s="96" t="e">
        <f t="shared" ref="BJ56" si="231">BJ57/(SUM(BJ55,BJ57,BJ59))</f>
        <v>#DIV/0!</v>
      </c>
      <c r="BK56" s="97" t="e">
        <f t="shared" ref="BK56:CA56" si="232">BK57/(SUM(BK55,BK57,BK59))</f>
        <v>#DIV/0!</v>
      </c>
      <c r="BL56" s="97" t="e">
        <f t="shared" si="232"/>
        <v>#DIV/0!</v>
      </c>
      <c r="BM56" s="97" t="e">
        <f t="shared" si="232"/>
        <v>#DIV/0!</v>
      </c>
      <c r="BN56" s="97" t="e">
        <f t="shared" si="232"/>
        <v>#DIV/0!</v>
      </c>
      <c r="BO56" s="97" t="e">
        <f t="shared" si="232"/>
        <v>#DIV/0!</v>
      </c>
      <c r="BP56" s="97" t="e">
        <f t="shared" si="232"/>
        <v>#DIV/0!</v>
      </c>
      <c r="BQ56" s="97" t="e">
        <f t="shared" si="232"/>
        <v>#DIV/0!</v>
      </c>
      <c r="BR56" s="97" t="e">
        <f t="shared" si="232"/>
        <v>#DIV/0!</v>
      </c>
      <c r="BS56" s="97" t="e">
        <f t="shared" si="232"/>
        <v>#DIV/0!</v>
      </c>
      <c r="BT56" s="97" t="e">
        <f t="shared" si="232"/>
        <v>#DIV/0!</v>
      </c>
      <c r="BU56" s="97" t="e">
        <f t="shared" si="232"/>
        <v>#DIV/0!</v>
      </c>
      <c r="BV56" s="97" t="e">
        <f t="shared" si="232"/>
        <v>#DIV/0!</v>
      </c>
      <c r="BW56" s="97" t="e">
        <f t="shared" si="232"/>
        <v>#DIV/0!</v>
      </c>
      <c r="BX56" s="97" t="e">
        <f t="shared" si="232"/>
        <v>#DIV/0!</v>
      </c>
      <c r="BY56" s="97" t="e">
        <f t="shared" si="232"/>
        <v>#DIV/0!</v>
      </c>
      <c r="BZ56" s="97" t="e">
        <f t="shared" si="232"/>
        <v>#DIV/0!</v>
      </c>
      <c r="CA56" s="97" t="e">
        <f t="shared" si="232"/>
        <v>#DIV/0!</v>
      </c>
    </row>
    <row r="57" spans="1:79" s="83" customFormat="1">
      <c r="A57" s="8" t="s">
        <v>8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129">
        <v>2</v>
      </c>
      <c r="O57" s="129">
        <v>3</v>
      </c>
      <c r="P57" s="129">
        <v>1</v>
      </c>
      <c r="Q57" s="129">
        <v>1</v>
      </c>
      <c r="R57" s="129">
        <v>3</v>
      </c>
      <c r="S57" s="129">
        <v>1</v>
      </c>
      <c r="T57" s="129"/>
      <c r="U57" s="129">
        <v>3</v>
      </c>
      <c r="V57" s="129">
        <v>2</v>
      </c>
      <c r="W57" s="98"/>
      <c r="X57" s="98"/>
      <c r="Y57" s="98"/>
      <c r="Z57" s="98"/>
      <c r="AA57" s="98"/>
      <c r="AB57" s="99"/>
      <c r="AC57" s="99"/>
      <c r="AD57" s="99"/>
      <c r="AE57" s="98"/>
      <c r="AF57" s="98"/>
      <c r="AG57" s="99"/>
      <c r="AH57" s="99"/>
      <c r="AI57" s="98">
        <v>2</v>
      </c>
      <c r="AJ57" s="98"/>
      <c r="AK57" s="98">
        <v>1</v>
      </c>
      <c r="AL57" s="98">
        <v>2</v>
      </c>
      <c r="AM57" s="98"/>
      <c r="AN57" s="98">
        <v>2</v>
      </c>
      <c r="AO57" s="98"/>
      <c r="AP57" s="98">
        <v>1</v>
      </c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>
        <v>1</v>
      </c>
      <c r="BF57" s="98"/>
      <c r="BG57" s="98"/>
      <c r="BH57" s="98"/>
      <c r="BI57" s="98"/>
      <c r="BJ57" s="98"/>
      <c r="BK57" s="209"/>
    </row>
    <row r="58" spans="1:79" s="2" customFormat="1">
      <c r="A58" s="8" t="s">
        <v>9</v>
      </c>
      <c r="B58" s="96" t="e">
        <f>B59/(SUM(B59,B57,B55))</f>
        <v>#DIV/0!</v>
      </c>
      <c r="C58" s="96" t="e">
        <f t="shared" ref="C58:N58" si="233">C59/(SUM(C59,C57,C55))</f>
        <v>#DIV/0!</v>
      </c>
      <c r="D58" s="96" t="e">
        <f t="shared" si="233"/>
        <v>#DIV/0!</v>
      </c>
      <c r="E58" s="96" t="e">
        <f t="shared" si="233"/>
        <v>#DIV/0!</v>
      </c>
      <c r="F58" s="96" t="e">
        <f t="shared" si="233"/>
        <v>#DIV/0!</v>
      </c>
      <c r="G58" s="96" t="e">
        <f t="shared" si="233"/>
        <v>#DIV/0!</v>
      </c>
      <c r="H58" s="96" t="e">
        <f t="shared" si="233"/>
        <v>#DIV/0!</v>
      </c>
      <c r="I58" s="96" t="e">
        <f t="shared" si="233"/>
        <v>#DIV/0!</v>
      </c>
      <c r="J58" s="96" t="e">
        <f t="shared" si="233"/>
        <v>#DIV/0!</v>
      </c>
      <c r="K58" s="96" t="e">
        <f t="shared" si="233"/>
        <v>#DIV/0!</v>
      </c>
      <c r="L58" s="96" t="e">
        <f t="shared" si="233"/>
        <v>#DIV/0!</v>
      </c>
      <c r="M58" s="96" t="e">
        <f t="shared" si="233"/>
        <v>#DIV/0!</v>
      </c>
      <c r="N58" s="96">
        <f t="shared" si="233"/>
        <v>0.33333333333333331</v>
      </c>
      <c r="O58" s="96">
        <f t="shared" ref="O58:BZ58" si="234">O59/(SUM(O55,O57,O59))</f>
        <v>0.25</v>
      </c>
      <c r="P58" s="96">
        <f t="shared" si="234"/>
        <v>0</v>
      </c>
      <c r="Q58" s="96">
        <f t="shared" si="234"/>
        <v>0.4</v>
      </c>
      <c r="R58" s="96">
        <f t="shared" si="234"/>
        <v>0.25</v>
      </c>
      <c r="S58" s="96">
        <f t="shared" si="234"/>
        <v>0.5</v>
      </c>
      <c r="T58" s="96">
        <f t="shared" si="234"/>
        <v>0.75</v>
      </c>
      <c r="U58" s="96">
        <f t="shared" si="234"/>
        <v>0.25</v>
      </c>
      <c r="V58" s="96">
        <f t="shared" si="234"/>
        <v>0.5</v>
      </c>
      <c r="W58" s="96" t="e">
        <f t="shared" si="234"/>
        <v>#DIV/0!</v>
      </c>
      <c r="X58" s="96" t="e">
        <f t="shared" si="234"/>
        <v>#DIV/0!</v>
      </c>
      <c r="Y58" s="96" t="e">
        <f t="shared" si="234"/>
        <v>#DIV/0!</v>
      </c>
      <c r="Z58" s="96" t="e">
        <f t="shared" si="234"/>
        <v>#DIV/0!</v>
      </c>
      <c r="AA58" s="96" t="e">
        <f t="shared" si="234"/>
        <v>#DIV/0!</v>
      </c>
      <c r="AB58" s="96" t="e">
        <f t="shared" si="234"/>
        <v>#DIV/0!</v>
      </c>
      <c r="AC58" s="96" t="e">
        <f t="shared" si="234"/>
        <v>#DIV/0!</v>
      </c>
      <c r="AD58" s="96" t="e">
        <f t="shared" si="234"/>
        <v>#DIV/0!</v>
      </c>
      <c r="AE58" s="96" t="e">
        <f t="shared" si="234"/>
        <v>#DIV/0!</v>
      </c>
      <c r="AF58" s="96" t="e">
        <f t="shared" si="234"/>
        <v>#DIV/0!</v>
      </c>
      <c r="AG58" s="96" t="e">
        <f t="shared" si="234"/>
        <v>#DIV/0!</v>
      </c>
      <c r="AH58" s="96" t="e">
        <f t="shared" si="234"/>
        <v>#DIV/0!</v>
      </c>
      <c r="AI58" s="96">
        <f t="shared" si="234"/>
        <v>0</v>
      </c>
      <c r="AJ58" s="96">
        <f t="shared" si="234"/>
        <v>1</v>
      </c>
      <c r="AK58" s="96">
        <f t="shared" si="234"/>
        <v>0.33333333333333331</v>
      </c>
      <c r="AL58" s="96">
        <f t="shared" si="234"/>
        <v>0</v>
      </c>
      <c r="AM58" s="96">
        <f t="shared" si="234"/>
        <v>0.33333333333333331</v>
      </c>
      <c r="AN58" s="96">
        <f t="shared" si="234"/>
        <v>0.33333333333333331</v>
      </c>
      <c r="AO58" s="96">
        <f t="shared" si="234"/>
        <v>1</v>
      </c>
      <c r="AP58" s="96">
        <f t="shared" si="234"/>
        <v>0.66666666666666663</v>
      </c>
      <c r="AQ58" s="96">
        <f t="shared" si="234"/>
        <v>1</v>
      </c>
      <c r="AR58" s="96">
        <f t="shared" si="234"/>
        <v>1</v>
      </c>
      <c r="AS58" s="96" t="e">
        <f t="shared" si="234"/>
        <v>#DIV/0!</v>
      </c>
      <c r="AT58" s="96" t="e">
        <f t="shared" si="234"/>
        <v>#DIV/0!</v>
      </c>
      <c r="AU58" s="96" t="e">
        <f t="shared" si="234"/>
        <v>#DIV/0!</v>
      </c>
      <c r="AV58" s="96" t="e">
        <f t="shared" si="234"/>
        <v>#DIV/0!</v>
      </c>
      <c r="AW58" s="96" t="e">
        <f t="shared" si="234"/>
        <v>#DIV/0!</v>
      </c>
      <c r="AX58" s="96" t="e">
        <f t="shared" si="234"/>
        <v>#DIV/0!</v>
      </c>
      <c r="AY58" s="96" t="e">
        <f t="shared" si="234"/>
        <v>#DIV/0!</v>
      </c>
      <c r="AZ58" s="96" t="e">
        <f t="shared" si="234"/>
        <v>#DIV/0!</v>
      </c>
      <c r="BA58" s="96" t="e">
        <f t="shared" si="234"/>
        <v>#DIV/0!</v>
      </c>
      <c r="BB58" s="96" t="e">
        <f t="shared" si="234"/>
        <v>#DIV/0!</v>
      </c>
      <c r="BC58" s="96" t="e">
        <f t="shared" si="234"/>
        <v>#DIV/0!</v>
      </c>
      <c r="BD58" s="96" t="e">
        <f t="shared" si="234"/>
        <v>#DIV/0!</v>
      </c>
      <c r="BE58" s="96">
        <f t="shared" si="234"/>
        <v>0</v>
      </c>
      <c r="BF58" s="96">
        <f t="shared" si="234"/>
        <v>0</v>
      </c>
      <c r="BG58" s="96">
        <f t="shared" si="234"/>
        <v>0</v>
      </c>
      <c r="BH58" s="96">
        <f t="shared" si="234"/>
        <v>0</v>
      </c>
      <c r="BI58" s="96" t="e">
        <f t="shared" si="234"/>
        <v>#DIV/0!</v>
      </c>
      <c r="BJ58" s="96" t="e">
        <f t="shared" si="234"/>
        <v>#DIV/0!</v>
      </c>
      <c r="BK58" s="97" t="e">
        <f t="shared" si="234"/>
        <v>#DIV/0!</v>
      </c>
      <c r="BL58" s="97" t="e">
        <f t="shared" si="234"/>
        <v>#DIV/0!</v>
      </c>
      <c r="BM58" s="97" t="e">
        <f t="shared" si="234"/>
        <v>#DIV/0!</v>
      </c>
      <c r="BN58" s="97" t="e">
        <f t="shared" si="234"/>
        <v>#DIV/0!</v>
      </c>
      <c r="BO58" s="97" t="e">
        <f t="shared" si="234"/>
        <v>#DIV/0!</v>
      </c>
      <c r="BP58" s="97" t="e">
        <f t="shared" si="234"/>
        <v>#DIV/0!</v>
      </c>
      <c r="BQ58" s="97" t="e">
        <f t="shared" si="234"/>
        <v>#DIV/0!</v>
      </c>
      <c r="BR58" s="97" t="e">
        <f t="shared" si="234"/>
        <v>#DIV/0!</v>
      </c>
      <c r="BS58" s="97" t="e">
        <f t="shared" si="234"/>
        <v>#DIV/0!</v>
      </c>
      <c r="BT58" s="97" t="e">
        <f t="shared" si="234"/>
        <v>#DIV/0!</v>
      </c>
      <c r="BU58" s="97" t="e">
        <f t="shared" si="234"/>
        <v>#DIV/0!</v>
      </c>
      <c r="BV58" s="97" t="e">
        <f t="shared" si="234"/>
        <v>#DIV/0!</v>
      </c>
      <c r="BW58" s="97" t="e">
        <f t="shared" si="234"/>
        <v>#DIV/0!</v>
      </c>
      <c r="BX58" s="97" t="e">
        <f t="shared" si="234"/>
        <v>#DIV/0!</v>
      </c>
      <c r="BY58" s="97" t="e">
        <f t="shared" si="234"/>
        <v>#DIV/0!</v>
      </c>
      <c r="BZ58" s="97" t="e">
        <f t="shared" si="234"/>
        <v>#DIV/0!</v>
      </c>
      <c r="CA58" s="97" t="e">
        <f t="shared" ref="CA58" si="235">CA59/(SUM(CA55,CA57,CA59))</f>
        <v>#DIV/0!</v>
      </c>
    </row>
    <row r="59" spans="1:79" s="81" customFormat="1" ht="19.5" thickBot="1">
      <c r="A59" s="9" t="s">
        <v>10</v>
      </c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29">
        <v>1</v>
      </c>
      <c r="O59" s="129">
        <v>1</v>
      </c>
      <c r="P59" s="129"/>
      <c r="Q59" s="129">
        <v>2</v>
      </c>
      <c r="R59" s="129">
        <v>1</v>
      </c>
      <c r="S59" s="129">
        <v>2</v>
      </c>
      <c r="T59" s="129">
        <v>3</v>
      </c>
      <c r="U59" s="129">
        <v>1</v>
      </c>
      <c r="V59" s="129">
        <v>2</v>
      </c>
      <c r="W59" s="107"/>
      <c r="X59" s="107"/>
      <c r="Y59" s="107"/>
      <c r="Z59" s="107"/>
      <c r="AA59" s="107"/>
      <c r="AB59" s="109"/>
      <c r="AC59" s="109"/>
      <c r="AD59" s="109"/>
      <c r="AE59" s="108"/>
      <c r="AF59" s="108"/>
      <c r="AG59" s="109"/>
      <c r="AH59" s="109"/>
      <c r="AI59" s="109"/>
      <c r="AJ59" s="108">
        <v>3</v>
      </c>
      <c r="AK59" s="108">
        <v>1</v>
      </c>
      <c r="AL59" s="108"/>
      <c r="AM59" s="108">
        <v>1</v>
      </c>
      <c r="AN59" s="108">
        <v>1</v>
      </c>
      <c r="AO59" s="108">
        <v>3</v>
      </c>
      <c r="AP59" s="108">
        <v>2</v>
      </c>
      <c r="AQ59" s="108">
        <v>3</v>
      </c>
      <c r="AR59" s="108">
        <v>3</v>
      </c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219"/>
    </row>
    <row r="60" spans="1:79" s="60" customFormat="1" ht="19.5" thickBot="1">
      <c r="A60" s="5"/>
      <c r="B60" s="110"/>
      <c r="C60" s="110"/>
      <c r="D60" s="110"/>
      <c r="E60" s="110"/>
      <c r="F60" s="111"/>
      <c r="G60" s="111"/>
      <c r="H60" s="111"/>
      <c r="I60" s="111"/>
      <c r="J60" s="110"/>
      <c r="K60" s="110"/>
      <c r="L60" s="110"/>
      <c r="M60" s="110"/>
      <c r="N60" s="110"/>
      <c r="O60" s="111"/>
      <c r="P60" s="111"/>
      <c r="Q60" s="111"/>
      <c r="R60" s="111"/>
      <c r="S60" s="111"/>
      <c r="T60" s="111"/>
      <c r="U60" s="111"/>
      <c r="V60" s="111"/>
      <c r="W60" s="110"/>
      <c r="X60" s="110"/>
      <c r="Y60" s="110"/>
      <c r="Z60" s="110"/>
      <c r="AA60" s="110"/>
      <c r="AB60" s="111"/>
      <c r="AC60" s="111"/>
      <c r="AD60" s="111"/>
      <c r="AE60" s="110"/>
      <c r="AF60" s="110"/>
      <c r="AG60" s="111"/>
      <c r="AH60" s="111"/>
      <c r="AI60" s="111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</row>
    <row r="61" spans="1:79" s="11" customFormat="1" ht="19.5" thickBot="1">
      <c r="A61" s="10" t="s">
        <v>31</v>
      </c>
      <c r="B61" s="92"/>
      <c r="C61" s="92"/>
      <c r="D61" s="92"/>
      <c r="E61" s="92"/>
      <c r="F61" s="93"/>
      <c r="G61" s="93"/>
      <c r="H61" s="93"/>
      <c r="I61" s="93"/>
      <c r="J61" s="92"/>
      <c r="K61" s="92"/>
      <c r="L61" s="92"/>
      <c r="M61" s="92"/>
      <c r="N61" s="92"/>
      <c r="O61" s="93"/>
      <c r="P61" s="93"/>
      <c r="Q61" s="93"/>
      <c r="R61" s="93"/>
      <c r="S61" s="93"/>
      <c r="T61" s="93"/>
      <c r="U61" s="93"/>
      <c r="V61" s="93"/>
      <c r="W61" s="92"/>
      <c r="X61" s="92"/>
      <c r="Y61" s="92"/>
      <c r="Z61" s="92"/>
      <c r="AA61" s="92"/>
      <c r="AB61" s="93"/>
      <c r="AC61" s="93"/>
      <c r="AD61" s="93"/>
      <c r="AE61" s="92"/>
      <c r="AF61" s="92"/>
      <c r="AG61" s="93"/>
      <c r="AH61" s="93"/>
      <c r="AI61" s="93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222"/>
    </row>
    <row r="62" spans="1:79" s="16" customFormat="1">
      <c r="A62" s="202" t="s">
        <v>137</v>
      </c>
      <c r="B62" s="229">
        <v>130</v>
      </c>
      <c r="C62" s="229">
        <v>130</v>
      </c>
      <c r="D62" s="229">
        <v>130</v>
      </c>
      <c r="E62" s="229">
        <v>130</v>
      </c>
      <c r="F62" s="229">
        <v>130</v>
      </c>
      <c r="G62" s="229">
        <v>130</v>
      </c>
      <c r="H62" s="229">
        <v>130</v>
      </c>
      <c r="I62" s="229">
        <v>130</v>
      </c>
      <c r="J62" s="229">
        <v>130</v>
      </c>
      <c r="K62" s="229">
        <v>130</v>
      </c>
      <c r="L62" s="229">
        <v>130</v>
      </c>
      <c r="M62" s="229">
        <v>130</v>
      </c>
      <c r="N62" s="229">
        <v>130</v>
      </c>
      <c r="O62" s="229">
        <v>130</v>
      </c>
      <c r="P62" s="229">
        <v>130</v>
      </c>
      <c r="Q62" s="229">
        <v>130</v>
      </c>
      <c r="R62" s="229">
        <v>130</v>
      </c>
      <c r="S62" s="229">
        <v>130</v>
      </c>
      <c r="T62" s="229">
        <v>130</v>
      </c>
      <c r="U62" s="229">
        <v>130</v>
      </c>
      <c r="V62" s="229">
        <v>130</v>
      </c>
      <c r="W62" s="229">
        <v>130</v>
      </c>
      <c r="X62" s="229">
        <v>130</v>
      </c>
      <c r="Y62" s="229">
        <v>130</v>
      </c>
      <c r="Z62" s="229">
        <v>130</v>
      </c>
      <c r="AA62" s="229">
        <v>130</v>
      </c>
      <c r="AB62" s="229">
        <v>130</v>
      </c>
      <c r="AC62" s="229">
        <v>130</v>
      </c>
      <c r="AD62" s="229">
        <v>130</v>
      </c>
      <c r="AE62" s="229">
        <v>130</v>
      </c>
      <c r="AF62" s="229">
        <v>130</v>
      </c>
      <c r="AG62" s="229">
        <v>130</v>
      </c>
      <c r="AH62" s="229">
        <v>130</v>
      </c>
      <c r="AI62" s="229">
        <v>130</v>
      </c>
      <c r="AJ62" s="229">
        <v>130</v>
      </c>
      <c r="AK62" s="229">
        <v>130</v>
      </c>
      <c r="AL62" s="229">
        <v>130</v>
      </c>
      <c r="AM62" s="229">
        <v>130</v>
      </c>
      <c r="AN62" s="229">
        <v>130</v>
      </c>
      <c r="AO62" s="229">
        <v>130</v>
      </c>
      <c r="AP62" s="229">
        <v>130</v>
      </c>
      <c r="AQ62" s="229">
        <v>130</v>
      </c>
      <c r="AR62" s="229">
        <v>130</v>
      </c>
      <c r="AS62" s="229">
        <v>130</v>
      </c>
      <c r="AT62" s="229">
        <v>130</v>
      </c>
      <c r="AU62" s="229">
        <v>130</v>
      </c>
      <c r="AV62" s="229">
        <v>130</v>
      </c>
      <c r="AW62" s="229">
        <v>130</v>
      </c>
      <c r="AX62" s="229">
        <v>130</v>
      </c>
      <c r="AY62" s="229">
        <v>130</v>
      </c>
      <c r="AZ62" s="229">
        <v>130</v>
      </c>
      <c r="BA62" s="229">
        <v>130</v>
      </c>
      <c r="BB62" s="229">
        <v>130</v>
      </c>
      <c r="BC62" s="229">
        <v>130</v>
      </c>
      <c r="BD62" s="229">
        <v>130</v>
      </c>
      <c r="BE62" s="229">
        <v>130</v>
      </c>
      <c r="BF62" s="229">
        <v>130</v>
      </c>
      <c r="BG62" s="229">
        <v>130</v>
      </c>
      <c r="BH62" s="229">
        <v>130</v>
      </c>
      <c r="BI62" s="229">
        <v>130</v>
      </c>
      <c r="BJ62" s="229">
        <v>130</v>
      </c>
      <c r="BK62" s="229">
        <v>130</v>
      </c>
      <c r="BL62" s="229">
        <v>130</v>
      </c>
      <c r="BM62" s="229">
        <v>130</v>
      </c>
      <c r="BN62" s="229">
        <v>130</v>
      </c>
      <c r="BO62" s="229">
        <v>130</v>
      </c>
      <c r="BP62" s="229">
        <v>130</v>
      </c>
      <c r="BQ62" s="229">
        <v>130</v>
      </c>
      <c r="BR62" s="229">
        <v>130</v>
      </c>
      <c r="BS62" s="229">
        <v>130</v>
      </c>
      <c r="BT62" s="229">
        <v>130</v>
      </c>
      <c r="BU62" s="229">
        <v>130</v>
      </c>
      <c r="BV62" s="229">
        <v>130</v>
      </c>
      <c r="BW62" s="229">
        <v>130</v>
      </c>
      <c r="BX62" s="229">
        <v>130</v>
      </c>
      <c r="BY62" s="229">
        <v>130</v>
      </c>
      <c r="BZ62" s="229">
        <v>130</v>
      </c>
      <c r="CA62" s="229">
        <v>130</v>
      </c>
    </row>
    <row r="63" spans="1:79" s="16" customFormat="1">
      <c r="A63" s="12" t="s">
        <v>2</v>
      </c>
      <c r="B63" s="17">
        <v>111</v>
      </c>
      <c r="C63" s="17">
        <v>111</v>
      </c>
      <c r="D63" s="17">
        <v>111</v>
      </c>
      <c r="E63" s="17">
        <v>111</v>
      </c>
      <c r="F63" s="17">
        <v>111</v>
      </c>
      <c r="G63" s="17">
        <v>111</v>
      </c>
      <c r="H63" s="17">
        <v>111</v>
      </c>
      <c r="I63" s="17">
        <v>111</v>
      </c>
      <c r="J63" s="17">
        <v>111</v>
      </c>
      <c r="K63" s="17">
        <v>111</v>
      </c>
      <c r="L63" s="17">
        <v>111</v>
      </c>
      <c r="M63" s="17">
        <v>111</v>
      </c>
      <c r="N63" s="17">
        <v>111</v>
      </c>
      <c r="O63" s="17">
        <v>111</v>
      </c>
      <c r="P63" s="17">
        <v>111</v>
      </c>
      <c r="Q63" s="17">
        <v>111</v>
      </c>
      <c r="R63" s="17">
        <v>111</v>
      </c>
      <c r="S63" s="17">
        <v>111</v>
      </c>
      <c r="T63" s="17">
        <v>111</v>
      </c>
      <c r="U63" s="17">
        <v>111</v>
      </c>
      <c r="V63" s="17">
        <v>111</v>
      </c>
      <c r="W63" s="17">
        <v>111</v>
      </c>
      <c r="X63" s="17">
        <v>111</v>
      </c>
      <c r="Y63" s="17">
        <v>111</v>
      </c>
      <c r="Z63" s="17">
        <v>111</v>
      </c>
      <c r="AA63" s="17">
        <v>111</v>
      </c>
      <c r="AB63" s="17">
        <v>111</v>
      </c>
      <c r="AC63" s="17">
        <v>111</v>
      </c>
      <c r="AD63" s="17">
        <v>111</v>
      </c>
      <c r="AE63" s="17">
        <v>111</v>
      </c>
      <c r="AF63" s="17">
        <v>111</v>
      </c>
      <c r="AG63" s="17">
        <v>111</v>
      </c>
      <c r="AH63" s="17">
        <v>111</v>
      </c>
      <c r="AI63" s="17">
        <v>111</v>
      </c>
      <c r="AJ63" s="17">
        <v>111</v>
      </c>
      <c r="AK63" s="17">
        <v>111</v>
      </c>
      <c r="AL63" s="17">
        <v>111</v>
      </c>
      <c r="AM63" s="17">
        <v>111</v>
      </c>
      <c r="AN63" s="17">
        <v>111</v>
      </c>
      <c r="AO63" s="17">
        <v>111</v>
      </c>
      <c r="AP63" s="17">
        <v>111</v>
      </c>
      <c r="AQ63" s="17">
        <v>111</v>
      </c>
      <c r="AR63" s="17">
        <v>111</v>
      </c>
      <c r="AS63" s="17">
        <v>111</v>
      </c>
      <c r="AT63" s="17">
        <v>111</v>
      </c>
      <c r="AU63" s="17">
        <v>111</v>
      </c>
      <c r="AV63" s="17">
        <v>111</v>
      </c>
      <c r="AW63" s="17">
        <v>111</v>
      </c>
      <c r="AX63" s="17">
        <v>111</v>
      </c>
      <c r="AY63" s="17">
        <v>111</v>
      </c>
      <c r="AZ63" s="17">
        <v>111</v>
      </c>
      <c r="BA63" s="17">
        <v>111</v>
      </c>
      <c r="BB63" s="17">
        <v>111</v>
      </c>
      <c r="BC63" s="17">
        <v>111</v>
      </c>
      <c r="BD63" s="17">
        <v>111</v>
      </c>
      <c r="BE63" s="17">
        <v>111</v>
      </c>
      <c r="BF63" s="17">
        <v>111</v>
      </c>
      <c r="BG63" s="17">
        <v>111</v>
      </c>
      <c r="BH63" s="17">
        <v>111</v>
      </c>
      <c r="BI63" s="17">
        <v>111</v>
      </c>
      <c r="BJ63" s="17">
        <v>111</v>
      </c>
      <c r="BK63" s="17">
        <v>111</v>
      </c>
      <c r="BL63" s="17">
        <v>111</v>
      </c>
      <c r="BM63" s="17">
        <v>111</v>
      </c>
      <c r="BN63" s="17">
        <v>111</v>
      </c>
      <c r="BO63" s="17">
        <v>111</v>
      </c>
      <c r="BP63" s="17">
        <v>111</v>
      </c>
      <c r="BQ63" s="17">
        <v>111</v>
      </c>
      <c r="BR63" s="17">
        <v>111</v>
      </c>
      <c r="BS63" s="17">
        <v>111</v>
      </c>
      <c r="BT63" s="17">
        <v>111</v>
      </c>
      <c r="BU63" s="17">
        <v>111</v>
      </c>
      <c r="BV63" s="17">
        <v>111</v>
      </c>
      <c r="BW63" s="17">
        <v>111</v>
      </c>
      <c r="BX63" s="17">
        <v>111</v>
      </c>
      <c r="BY63" s="17">
        <v>111</v>
      </c>
      <c r="BZ63" s="17">
        <v>111</v>
      </c>
      <c r="CA63" s="17">
        <v>111</v>
      </c>
    </row>
    <row r="64" spans="1:79" s="16" customFormat="1">
      <c r="A64" s="12" t="s">
        <v>3</v>
      </c>
      <c r="B64" s="17">
        <v>118</v>
      </c>
      <c r="C64" s="17">
        <v>118</v>
      </c>
      <c r="D64" s="17">
        <v>118</v>
      </c>
      <c r="E64" s="17">
        <v>118</v>
      </c>
      <c r="F64" s="17">
        <v>118</v>
      </c>
      <c r="G64" s="17">
        <v>118</v>
      </c>
      <c r="H64" s="17">
        <v>118</v>
      </c>
      <c r="I64" s="17">
        <v>118</v>
      </c>
      <c r="J64" s="17">
        <v>118</v>
      </c>
      <c r="K64" s="17">
        <v>118</v>
      </c>
      <c r="L64" s="17">
        <v>118</v>
      </c>
      <c r="M64" s="17">
        <v>118</v>
      </c>
      <c r="N64" s="17">
        <v>118</v>
      </c>
      <c r="O64" s="17">
        <v>118</v>
      </c>
      <c r="P64" s="17">
        <v>118</v>
      </c>
      <c r="Q64" s="17">
        <v>118</v>
      </c>
      <c r="R64" s="17">
        <v>118</v>
      </c>
      <c r="S64" s="17">
        <v>118</v>
      </c>
      <c r="T64" s="17">
        <v>118</v>
      </c>
      <c r="U64" s="17">
        <v>118</v>
      </c>
      <c r="V64" s="17">
        <v>118</v>
      </c>
      <c r="W64" s="17">
        <v>118</v>
      </c>
      <c r="X64" s="17">
        <v>118</v>
      </c>
      <c r="Y64" s="17">
        <v>118</v>
      </c>
      <c r="Z64" s="17">
        <v>118</v>
      </c>
      <c r="AA64" s="17">
        <v>118</v>
      </c>
      <c r="AB64" s="17">
        <v>118</v>
      </c>
      <c r="AC64" s="17">
        <v>118</v>
      </c>
      <c r="AD64" s="17">
        <v>118</v>
      </c>
      <c r="AE64" s="17">
        <v>118</v>
      </c>
      <c r="AF64" s="17">
        <v>118</v>
      </c>
      <c r="AG64" s="17">
        <v>118</v>
      </c>
      <c r="AH64" s="17">
        <v>118</v>
      </c>
      <c r="AI64" s="17">
        <v>118</v>
      </c>
      <c r="AJ64" s="17">
        <v>118</v>
      </c>
      <c r="AK64" s="17">
        <v>118</v>
      </c>
      <c r="AL64" s="17">
        <v>118</v>
      </c>
      <c r="AM64" s="17">
        <v>118</v>
      </c>
      <c r="AN64" s="17">
        <v>118</v>
      </c>
      <c r="AO64" s="17">
        <v>118</v>
      </c>
      <c r="AP64" s="17">
        <v>118</v>
      </c>
      <c r="AQ64" s="17">
        <v>118</v>
      </c>
      <c r="AR64" s="17">
        <v>118</v>
      </c>
      <c r="AS64" s="17">
        <v>118</v>
      </c>
      <c r="AT64" s="17">
        <v>118</v>
      </c>
      <c r="AU64" s="17">
        <v>118</v>
      </c>
      <c r="AV64" s="17">
        <v>118</v>
      </c>
      <c r="AW64" s="17">
        <v>118</v>
      </c>
      <c r="AX64" s="17">
        <v>118</v>
      </c>
      <c r="AY64" s="17">
        <v>118</v>
      </c>
      <c r="AZ64" s="17">
        <v>118</v>
      </c>
      <c r="BA64" s="17">
        <v>118</v>
      </c>
      <c r="BB64" s="17">
        <v>118</v>
      </c>
      <c r="BC64" s="17">
        <v>118</v>
      </c>
      <c r="BD64" s="17">
        <v>118</v>
      </c>
      <c r="BE64" s="17">
        <v>118</v>
      </c>
      <c r="BF64" s="17">
        <v>118</v>
      </c>
      <c r="BG64" s="17">
        <v>118</v>
      </c>
      <c r="BH64" s="17">
        <v>118</v>
      </c>
      <c r="BI64" s="17">
        <v>118</v>
      </c>
      <c r="BJ64" s="17">
        <v>118</v>
      </c>
      <c r="BK64" s="17">
        <v>118</v>
      </c>
      <c r="BL64" s="17">
        <v>118</v>
      </c>
      <c r="BM64" s="17">
        <v>118</v>
      </c>
      <c r="BN64" s="17">
        <v>118</v>
      </c>
      <c r="BO64" s="17">
        <v>118</v>
      </c>
      <c r="BP64" s="17">
        <v>118</v>
      </c>
      <c r="BQ64" s="17">
        <v>118</v>
      </c>
      <c r="BR64" s="17">
        <v>118</v>
      </c>
      <c r="BS64" s="17">
        <v>118</v>
      </c>
      <c r="BT64" s="17">
        <v>118</v>
      </c>
      <c r="BU64" s="17">
        <v>118</v>
      </c>
      <c r="BV64" s="17">
        <v>118</v>
      </c>
      <c r="BW64" s="17">
        <v>118</v>
      </c>
      <c r="BX64" s="17">
        <v>118</v>
      </c>
      <c r="BY64" s="17">
        <v>118</v>
      </c>
      <c r="BZ64" s="17">
        <v>118</v>
      </c>
      <c r="CA64" s="17">
        <v>118</v>
      </c>
    </row>
    <row r="65" spans="1:79" s="66" customFormat="1">
      <c r="A65" s="8" t="s">
        <v>4</v>
      </c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29">
        <v>117</v>
      </c>
      <c r="O65" s="129">
        <v>119.5</v>
      </c>
      <c r="P65" s="126">
        <v>112.25</v>
      </c>
      <c r="Q65" s="126">
        <v>116.75</v>
      </c>
      <c r="R65" s="126">
        <v>108.3</v>
      </c>
      <c r="S65" s="126">
        <v>124.25</v>
      </c>
      <c r="T65" s="126">
        <v>132.75</v>
      </c>
      <c r="U65" s="129">
        <v>121.8</v>
      </c>
      <c r="V65" s="129">
        <v>128.80000000000001</v>
      </c>
      <c r="W65" s="129">
        <v>134</v>
      </c>
      <c r="X65" s="129">
        <v>128</v>
      </c>
      <c r="Y65" s="112">
        <v>119</v>
      </c>
      <c r="Z65" s="112">
        <v>127</v>
      </c>
      <c r="AA65" s="112">
        <v>118</v>
      </c>
      <c r="AB65" s="129">
        <v>120</v>
      </c>
      <c r="AC65" s="129">
        <v>127</v>
      </c>
      <c r="AD65" s="129">
        <v>115</v>
      </c>
      <c r="AE65" s="129">
        <v>119</v>
      </c>
      <c r="AF65" s="129">
        <v>117</v>
      </c>
      <c r="AG65" s="113"/>
      <c r="AH65" s="113"/>
      <c r="AI65" s="129">
        <v>104</v>
      </c>
      <c r="AJ65" s="129">
        <v>120</v>
      </c>
      <c r="AK65" s="129">
        <v>114</v>
      </c>
      <c r="AL65" s="129">
        <v>119</v>
      </c>
      <c r="AM65" s="129">
        <v>122</v>
      </c>
      <c r="AN65" s="129">
        <v>119</v>
      </c>
      <c r="AO65" s="129">
        <v>122</v>
      </c>
      <c r="AP65" s="129">
        <v>119</v>
      </c>
      <c r="AQ65" s="129">
        <v>118</v>
      </c>
      <c r="AR65" s="129">
        <v>122</v>
      </c>
      <c r="AS65" s="129">
        <v>132</v>
      </c>
      <c r="AT65" s="129">
        <v>132</v>
      </c>
      <c r="AU65" s="129">
        <v>133</v>
      </c>
      <c r="AV65" s="129">
        <v>119</v>
      </c>
      <c r="AW65" s="129">
        <v>124</v>
      </c>
      <c r="AX65" s="129">
        <v>122</v>
      </c>
      <c r="AY65" s="129">
        <v>137</v>
      </c>
      <c r="AZ65" s="129">
        <v>136</v>
      </c>
      <c r="BA65" s="129">
        <v>143</v>
      </c>
      <c r="BB65" s="129"/>
      <c r="BC65" s="129"/>
      <c r="BD65" s="129"/>
      <c r="BE65" s="129">
        <v>114</v>
      </c>
      <c r="BF65" s="129">
        <v>115</v>
      </c>
      <c r="BG65" s="129">
        <v>116</v>
      </c>
      <c r="BH65" s="129">
        <v>116</v>
      </c>
      <c r="BI65" s="129"/>
      <c r="BJ65" s="129"/>
      <c r="BK65" s="212"/>
    </row>
    <row r="66" spans="1:79" s="66" customFormat="1">
      <c r="A66" s="8" t="s">
        <v>97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29"/>
      <c r="O66" s="129"/>
      <c r="P66" s="129">
        <v>109</v>
      </c>
      <c r="Q66" s="129">
        <v>110</v>
      </c>
      <c r="R66" s="129">
        <v>103.7</v>
      </c>
      <c r="S66" s="129"/>
      <c r="T66" s="129"/>
      <c r="U66" s="129">
        <v>112</v>
      </c>
      <c r="V66" s="129"/>
      <c r="W66" s="129"/>
      <c r="X66" s="129"/>
      <c r="Y66" s="112"/>
      <c r="Z66" s="112"/>
      <c r="AA66" s="112"/>
      <c r="AB66" s="129"/>
      <c r="AC66" s="129"/>
      <c r="AD66" s="129"/>
      <c r="AE66" s="129"/>
      <c r="AF66" s="129"/>
      <c r="AG66" s="113"/>
      <c r="AH66" s="113"/>
      <c r="AI66" s="129">
        <v>104</v>
      </c>
      <c r="AJ66" s="129"/>
      <c r="AK66" s="129">
        <v>109</v>
      </c>
      <c r="AL66" s="129">
        <v>107</v>
      </c>
      <c r="AM66" s="129"/>
      <c r="AN66" s="129"/>
      <c r="AO66" s="129"/>
      <c r="AP66" s="129"/>
      <c r="AQ66" s="129"/>
      <c r="AR66" s="129"/>
      <c r="AS66" s="129"/>
      <c r="AT66" s="129"/>
      <c r="AU66" s="129"/>
      <c r="AV66" s="129">
        <v>110</v>
      </c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>
        <v>110</v>
      </c>
      <c r="BH66" s="129"/>
      <c r="BI66" s="129"/>
      <c r="BJ66" s="129"/>
      <c r="BK66" s="212"/>
    </row>
    <row r="67" spans="1:79" s="66" customFormat="1">
      <c r="A67" s="8" t="s">
        <v>98</v>
      </c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29">
        <v>122</v>
      </c>
      <c r="O67" s="129">
        <v>130</v>
      </c>
      <c r="P67" s="129"/>
      <c r="Q67" s="129">
        <v>120.5</v>
      </c>
      <c r="R67" s="129">
        <v>112</v>
      </c>
      <c r="S67" s="129">
        <v>126.6</v>
      </c>
      <c r="T67" s="129">
        <v>132.75</v>
      </c>
      <c r="U67" s="129">
        <v>125</v>
      </c>
      <c r="V67" s="129">
        <v>128.80000000000001</v>
      </c>
      <c r="W67" s="129">
        <v>134</v>
      </c>
      <c r="X67" s="129">
        <v>128</v>
      </c>
      <c r="Y67" s="112">
        <v>126</v>
      </c>
      <c r="Z67" s="112">
        <v>131</v>
      </c>
      <c r="AA67" s="112">
        <v>126</v>
      </c>
      <c r="AB67" s="129">
        <v>127</v>
      </c>
      <c r="AC67" s="129">
        <v>132</v>
      </c>
      <c r="AD67" s="129"/>
      <c r="AE67" s="129">
        <v>123</v>
      </c>
      <c r="AF67" s="129">
        <v>119</v>
      </c>
      <c r="AG67" s="113"/>
      <c r="AH67" s="113"/>
      <c r="AI67" s="129"/>
      <c r="AJ67" s="129">
        <v>125</v>
      </c>
      <c r="AK67" s="129"/>
      <c r="AL67" s="129">
        <v>127</v>
      </c>
      <c r="AM67" s="129">
        <v>124.5</v>
      </c>
      <c r="AN67" s="129">
        <v>119.5</v>
      </c>
      <c r="AO67" s="129">
        <v>125</v>
      </c>
      <c r="AP67" s="129">
        <v>121</v>
      </c>
      <c r="AQ67" s="129">
        <v>119</v>
      </c>
      <c r="AR67" s="129">
        <v>122</v>
      </c>
      <c r="AS67" s="129">
        <v>132</v>
      </c>
      <c r="AT67" s="129">
        <v>140</v>
      </c>
      <c r="AU67" s="129">
        <v>143</v>
      </c>
      <c r="AV67" s="129">
        <v>130</v>
      </c>
      <c r="AW67" s="129">
        <v>124</v>
      </c>
      <c r="AX67" s="129">
        <v>125</v>
      </c>
      <c r="AY67" s="129">
        <v>137</v>
      </c>
      <c r="AZ67" s="129">
        <v>136</v>
      </c>
      <c r="BA67" s="129">
        <v>143</v>
      </c>
      <c r="BB67" s="129"/>
      <c r="BC67" s="129"/>
      <c r="BD67" s="129"/>
      <c r="BE67" s="129">
        <v>114</v>
      </c>
      <c r="BF67" s="129"/>
      <c r="BG67" s="129">
        <v>126</v>
      </c>
      <c r="BH67" s="129"/>
      <c r="BI67" s="129"/>
      <c r="BJ67" s="129"/>
      <c r="BK67" s="212"/>
    </row>
    <row r="68" spans="1:79" s="16" customFormat="1">
      <c r="A68" s="12" t="s">
        <v>71</v>
      </c>
      <c r="B68" s="18"/>
      <c r="C68" s="18"/>
      <c r="D68" s="18"/>
      <c r="E68" s="18"/>
      <c r="F68" s="18"/>
      <c r="G68" s="18"/>
      <c r="H68" s="18"/>
      <c r="I68" s="18"/>
      <c r="J68" s="18"/>
      <c r="K68" s="50">
        <v>0.89600000000000002</v>
      </c>
      <c r="L68" s="50">
        <v>0.89600000000000002</v>
      </c>
      <c r="M68" s="50">
        <v>0.89600000000000002</v>
      </c>
      <c r="N68" s="50">
        <v>0.89600000000000002</v>
      </c>
      <c r="O68" s="50">
        <v>0.89600000000000002</v>
      </c>
      <c r="P68" s="50">
        <v>0.89600000000000002</v>
      </c>
      <c r="Q68" s="50">
        <v>0.89600000000000002</v>
      </c>
      <c r="R68" s="50">
        <v>0.89600000000000002</v>
      </c>
      <c r="S68" s="50">
        <v>0.89600000000000002</v>
      </c>
      <c r="T68" s="50">
        <v>0.89600000000000002</v>
      </c>
      <c r="U68" s="50">
        <v>0.89600000000000002</v>
      </c>
      <c r="V68" s="50">
        <v>0.89600000000000002</v>
      </c>
      <c r="W68" s="50">
        <v>0.89600000000000002</v>
      </c>
      <c r="X68" s="50">
        <v>0.89600000000000002</v>
      </c>
      <c r="Y68" s="50">
        <v>0.89600000000000002</v>
      </c>
      <c r="Z68" s="50">
        <v>0.89600000000000002</v>
      </c>
      <c r="AA68" s="50">
        <v>0.89600000000000002</v>
      </c>
      <c r="AB68" s="50">
        <v>0.89600000000000002</v>
      </c>
      <c r="AC68" s="50">
        <v>0.89600000000000002</v>
      </c>
      <c r="AD68" s="50">
        <v>0.89600000000000002</v>
      </c>
      <c r="AE68" s="50">
        <v>0.89600000000000002</v>
      </c>
      <c r="AF68" s="50">
        <v>0.89600000000000002</v>
      </c>
      <c r="AG68" s="50">
        <v>0.89600000000000002</v>
      </c>
      <c r="AH68" s="50">
        <v>0.89600000000000002</v>
      </c>
      <c r="AI68" s="50">
        <v>0.89600000000000002</v>
      </c>
      <c r="AJ68" s="50">
        <v>0.89600000000000002</v>
      </c>
      <c r="AK68" s="50">
        <v>0.89600000000000002</v>
      </c>
      <c r="AL68" s="50">
        <v>0.89600000000000002</v>
      </c>
      <c r="AM68" s="50">
        <v>0.89600000000000002</v>
      </c>
      <c r="AN68" s="50">
        <v>0.89600000000000002</v>
      </c>
      <c r="AO68" s="50">
        <v>0.89600000000000002</v>
      </c>
      <c r="AP68" s="50">
        <v>0.89600000000000002</v>
      </c>
      <c r="AQ68" s="50">
        <v>0.89600000000000002</v>
      </c>
      <c r="AR68" s="50">
        <v>0.89600000000000002</v>
      </c>
      <c r="AS68" s="50">
        <v>0.89600000000000002</v>
      </c>
      <c r="AT68" s="50">
        <v>0.89600000000000002</v>
      </c>
      <c r="AU68" s="50">
        <v>0.89600000000000002</v>
      </c>
      <c r="AV68" s="50">
        <v>0.89600000000000002</v>
      </c>
      <c r="AW68" s="50">
        <v>0.89600000000000002</v>
      </c>
      <c r="AX68" s="50">
        <v>0.89600000000000002</v>
      </c>
      <c r="AY68" s="50">
        <v>0.89600000000000002</v>
      </c>
      <c r="AZ68" s="50">
        <v>0.89600000000000002</v>
      </c>
      <c r="BA68" s="50">
        <v>0.89600000000000002</v>
      </c>
      <c r="BB68" s="50">
        <v>0.89600000000000002</v>
      </c>
      <c r="BC68" s="50">
        <v>0.89600000000000002</v>
      </c>
      <c r="BD68" s="50">
        <v>0.89600000000000002</v>
      </c>
      <c r="BE68" s="50">
        <v>0.89600000000000002</v>
      </c>
      <c r="BF68" s="50">
        <v>0.89600000000000002</v>
      </c>
      <c r="BG68" s="50">
        <v>0.89600000000000002</v>
      </c>
      <c r="BH68" s="50">
        <v>0.89600000000000002</v>
      </c>
      <c r="BI68" s="50">
        <v>0.89600000000000002</v>
      </c>
      <c r="BJ68" s="50">
        <v>0.89600000000000002</v>
      </c>
      <c r="BK68" s="156">
        <v>0.89600000000000002</v>
      </c>
      <c r="BL68" s="156">
        <v>0.89600000000000002</v>
      </c>
      <c r="BM68" s="156">
        <v>0.89600000000000002</v>
      </c>
      <c r="BN68" s="156">
        <v>0.89600000000000002</v>
      </c>
      <c r="BO68" s="156">
        <v>0.89600000000000002</v>
      </c>
      <c r="BP68" s="156">
        <v>0.89600000000000002</v>
      </c>
      <c r="BQ68" s="156">
        <v>0.89600000000000002</v>
      </c>
      <c r="BR68" s="156">
        <v>0.89600000000000002</v>
      </c>
      <c r="BS68" s="156">
        <v>0.89600000000000002</v>
      </c>
      <c r="BT68" s="156">
        <v>0.89600000000000002</v>
      </c>
      <c r="BU68" s="156">
        <v>0.89600000000000002</v>
      </c>
      <c r="BV68" s="156">
        <v>0.89600000000000002</v>
      </c>
      <c r="BW68" s="156">
        <v>0.89600000000000002</v>
      </c>
      <c r="BX68" s="156">
        <v>0.89600000000000002</v>
      </c>
      <c r="BY68" s="156">
        <v>0.89600000000000002</v>
      </c>
      <c r="BZ68" s="156">
        <v>0.89600000000000002</v>
      </c>
      <c r="CA68" s="156">
        <v>0.89600000000000002</v>
      </c>
    </row>
    <row r="69" spans="1:79" s="16" customFormat="1">
      <c r="A69" s="12" t="s">
        <v>32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>
        <v>0.71399999999999997</v>
      </c>
      <c r="P69" s="18">
        <v>0.64200000000000002</v>
      </c>
      <c r="Q69" s="18">
        <v>0.73199999999999998</v>
      </c>
      <c r="R69" s="18">
        <v>0.87</v>
      </c>
      <c r="S69" s="18">
        <v>0.66300000000000003</v>
      </c>
      <c r="T69" s="18">
        <v>1.04</v>
      </c>
      <c r="U69" s="18">
        <v>0.85</v>
      </c>
      <c r="V69" s="18">
        <v>1.28</v>
      </c>
      <c r="W69" s="18">
        <f t="shared" ref="W69:AD69" si="236">(W65-N47)/63</f>
        <v>1.1587301587301588</v>
      </c>
      <c r="X69" s="18">
        <f t="shared" si="236"/>
        <v>1.0753968253968254</v>
      </c>
      <c r="Y69" s="18">
        <f t="shared" si="236"/>
        <v>1.0206349206349206</v>
      </c>
      <c r="Z69" s="18"/>
      <c r="AA69" s="18"/>
      <c r="AB69" s="18">
        <f t="shared" si="236"/>
        <v>0.93650793650793651</v>
      </c>
      <c r="AC69" s="18">
        <f t="shared" si="236"/>
        <v>1.0269841269841271</v>
      </c>
      <c r="AD69" s="18">
        <f t="shared" si="236"/>
        <v>0.87301587301587302</v>
      </c>
      <c r="AE69" s="18"/>
      <c r="AF69" s="18">
        <v>0.92</v>
      </c>
      <c r="AG69" s="18"/>
      <c r="AH69" s="18"/>
      <c r="AI69" s="18"/>
      <c r="AJ69" s="50">
        <v>0.71299999999999997</v>
      </c>
      <c r="AK69" s="50">
        <v>1.143</v>
      </c>
      <c r="AL69" s="50">
        <v>1.429</v>
      </c>
      <c r="AM69" s="18">
        <v>1.1000000000000001</v>
      </c>
      <c r="AN69" s="50">
        <v>1.228</v>
      </c>
      <c r="AO69" s="50">
        <v>1.0229999999999999</v>
      </c>
      <c r="AP69" s="50">
        <v>1.429</v>
      </c>
      <c r="AQ69" s="50">
        <v>1.089</v>
      </c>
      <c r="AR69" s="50">
        <v>1.016</v>
      </c>
      <c r="AS69" s="50">
        <v>1.127</v>
      </c>
      <c r="AT69" s="50">
        <v>1.286</v>
      </c>
      <c r="AU69" s="50">
        <v>1.19</v>
      </c>
      <c r="AV69" s="50">
        <v>0.88800000000000001</v>
      </c>
      <c r="AW69" s="50">
        <v>1.0149999999999999</v>
      </c>
      <c r="AX69" s="50">
        <v>1</v>
      </c>
      <c r="AY69" s="50">
        <v>2.1</v>
      </c>
      <c r="AZ69" s="50">
        <v>1.095</v>
      </c>
      <c r="BA69" s="50">
        <v>1.1739999999999999</v>
      </c>
      <c r="BB69" s="50"/>
      <c r="BC69" s="50"/>
      <c r="BD69" s="50"/>
      <c r="BE69" s="18"/>
      <c r="BF69" s="50">
        <v>1.4279999999999999</v>
      </c>
      <c r="BG69" s="50">
        <v>1.214</v>
      </c>
      <c r="BH69" s="50">
        <v>1.333</v>
      </c>
      <c r="BI69" s="18"/>
      <c r="BJ69" s="18"/>
      <c r="BK69" s="157"/>
    </row>
    <row r="70" spans="1:79" s="16" customFormat="1">
      <c r="A70" s="19" t="s">
        <v>95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>
        <v>0.7</v>
      </c>
      <c r="P70" s="18">
        <v>0.6</v>
      </c>
      <c r="Q70" s="18">
        <v>0.7</v>
      </c>
      <c r="R70" s="18"/>
      <c r="S70" s="18">
        <v>0.7</v>
      </c>
      <c r="T70" s="18">
        <v>0.7</v>
      </c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50">
        <v>0.28499999999999998</v>
      </c>
      <c r="AK70" s="18"/>
      <c r="AL70" s="18"/>
      <c r="AM70" s="18"/>
      <c r="AN70" s="18"/>
      <c r="AO70" s="18"/>
      <c r="AP70" s="18"/>
      <c r="AQ70" s="18"/>
      <c r="AR70" s="50"/>
      <c r="AS70" s="18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18"/>
      <c r="BF70" s="18"/>
      <c r="BG70" s="50"/>
      <c r="BH70" s="18"/>
      <c r="BI70" s="18"/>
      <c r="BJ70" s="18"/>
      <c r="BK70" s="157"/>
    </row>
    <row r="71" spans="1:79" s="16" customFormat="1">
      <c r="A71" s="19" t="s">
        <v>96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>
        <v>0.9</v>
      </c>
      <c r="S71" s="18"/>
      <c r="T71" s="18">
        <v>0.3</v>
      </c>
      <c r="U71" s="18">
        <v>0.9</v>
      </c>
      <c r="V71" s="18">
        <v>1.3</v>
      </c>
      <c r="W71" s="18">
        <f t="shared" ref="W71:AC71" si="237">(W67-N49)/63</f>
        <v>1.1587301587301588</v>
      </c>
      <c r="X71" s="18">
        <f t="shared" si="237"/>
        <v>1.0587301587301587</v>
      </c>
      <c r="Y71" s="18">
        <f t="shared" si="237"/>
        <v>1.0952380952380953</v>
      </c>
      <c r="Z71" s="18"/>
      <c r="AA71" s="18"/>
      <c r="AB71" s="18">
        <f t="shared" si="237"/>
        <v>1.0079365079365079</v>
      </c>
      <c r="AC71" s="18">
        <f t="shared" si="237"/>
        <v>1.0746031746031746</v>
      </c>
      <c r="AD71" s="18"/>
      <c r="AE71" s="18"/>
      <c r="AF71" s="18">
        <v>0.9</v>
      </c>
      <c r="AG71" s="18"/>
      <c r="AH71" s="18"/>
      <c r="AI71" s="18"/>
      <c r="AJ71" s="50">
        <v>1.571</v>
      </c>
      <c r="AK71" s="18">
        <v>1.143</v>
      </c>
      <c r="AL71" s="18">
        <v>1.429</v>
      </c>
      <c r="AM71" s="18">
        <v>1.1000000000000001</v>
      </c>
      <c r="AN71" s="50">
        <v>1.228</v>
      </c>
      <c r="AO71" s="50">
        <v>1.0229999999999999</v>
      </c>
      <c r="AP71" s="50">
        <v>1.429</v>
      </c>
      <c r="AQ71" s="50">
        <v>1.089</v>
      </c>
      <c r="AR71" s="50">
        <v>1.016</v>
      </c>
      <c r="AS71" s="50">
        <v>1.127</v>
      </c>
      <c r="AT71" s="50">
        <v>1.286</v>
      </c>
      <c r="AU71" s="50">
        <v>1.19</v>
      </c>
      <c r="AV71" s="50">
        <v>0.88800000000000001</v>
      </c>
      <c r="AW71" s="50">
        <v>1.0149999999999999</v>
      </c>
      <c r="AX71" s="50">
        <v>1</v>
      </c>
      <c r="AY71" s="50">
        <v>2.1</v>
      </c>
      <c r="AZ71" s="50">
        <v>1.095</v>
      </c>
      <c r="BA71" s="50">
        <v>1.1739999999999999</v>
      </c>
      <c r="BB71" s="50"/>
      <c r="BC71" s="50"/>
      <c r="BD71" s="50"/>
      <c r="BE71" s="18"/>
      <c r="BF71" s="50">
        <v>1.4279999999999999</v>
      </c>
      <c r="BG71" s="50">
        <v>1.214</v>
      </c>
      <c r="BH71" s="50">
        <v>1.333</v>
      </c>
      <c r="BI71" s="18"/>
      <c r="BJ71" s="18"/>
      <c r="BK71" s="157"/>
    </row>
    <row r="72" spans="1:79">
      <c r="A72" s="8" t="s">
        <v>5</v>
      </c>
      <c r="B72" s="96" t="e">
        <f>B73/(SUM(B73,B75,B77))</f>
        <v>#DIV/0!</v>
      </c>
      <c r="C72" s="96" t="e">
        <f t="shared" ref="C72:BB72" si="238">C73/(SUM(C73,C75,C77))</f>
        <v>#DIV/0!</v>
      </c>
      <c r="D72" s="96" t="e">
        <f t="shared" si="238"/>
        <v>#DIV/0!</v>
      </c>
      <c r="E72" s="96" t="e">
        <f t="shared" si="238"/>
        <v>#DIV/0!</v>
      </c>
      <c r="F72" s="96" t="e">
        <f t="shared" si="238"/>
        <v>#DIV/0!</v>
      </c>
      <c r="G72" s="96" t="e">
        <f t="shared" si="238"/>
        <v>#DIV/0!</v>
      </c>
      <c r="H72" s="96" t="e">
        <f t="shared" si="238"/>
        <v>#DIV/0!</v>
      </c>
      <c r="I72" s="96" t="e">
        <f t="shared" si="238"/>
        <v>#DIV/0!</v>
      </c>
      <c r="J72" s="96" t="e">
        <f t="shared" si="238"/>
        <v>#DIV/0!</v>
      </c>
      <c r="K72" s="96" t="e">
        <f t="shared" si="238"/>
        <v>#DIV/0!</v>
      </c>
      <c r="L72" s="96" t="e">
        <f t="shared" si="238"/>
        <v>#DIV/0!</v>
      </c>
      <c r="M72" s="96" t="e">
        <f t="shared" si="238"/>
        <v>#DIV/0!</v>
      </c>
      <c r="N72" s="96">
        <f t="shared" si="238"/>
        <v>0</v>
      </c>
      <c r="O72" s="96">
        <f t="shared" si="238"/>
        <v>0</v>
      </c>
      <c r="P72" s="96">
        <f t="shared" si="238"/>
        <v>0.25</v>
      </c>
      <c r="Q72" s="96">
        <f t="shared" si="238"/>
        <v>0.25</v>
      </c>
      <c r="R72" s="96">
        <f t="shared" si="238"/>
        <v>0.75</v>
      </c>
      <c r="S72" s="96">
        <f t="shared" si="238"/>
        <v>0</v>
      </c>
      <c r="T72" s="96">
        <f t="shared" si="238"/>
        <v>0</v>
      </c>
      <c r="U72" s="96">
        <f t="shared" si="238"/>
        <v>0</v>
      </c>
      <c r="V72" s="96">
        <f t="shared" si="238"/>
        <v>0</v>
      </c>
      <c r="W72" s="96">
        <f t="shared" si="238"/>
        <v>0</v>
      </c>
      <c r="X72" s="96">
        <f t="shared" si="238"/>
        <v>0</v>
      </c>
      <c r="Y72" s="96">
        <f t="shared" si="238"/>
        <v>0</v>
      </c>
      <c r="Z72" s="96">
        <f t="shared" si="238"/>
        <v>0</v>
      </c>
      <c r="AA72" s="96">
        <f t="shared" si="238"/>
        <v>0</v>
      </c>
      <c r="AB72" s="96">
        <f t="shared" si="238"/>
        <v>0</v>
      </c>
      <c r="AC72" s="96">
        <f t="shared" si="238"/>
        <v>0</v>
      </c>
      <c r="AD72" s="96">
        <f t="shared" si="238"/>
        <v>0</v>
      </c>
      <c r="AE72" s="96">
        <f t="shared" si="238"/>
        <v>0</v>
      </c>
      <c r="AF72" s="96">
        <f t="shared" si="238"/>
        <v>0</v>
      </c>
      <c r="AG72" s="96" t="e">
        <f t="shared" si="238"/>
        <v>#DIV/0!</v>
      </c>
      <c r="AH72" s="96" t="e">
        <f t="shared" si="238"/>
        <v>#DIV/0!</v>
      </c>
      <c r="AI72" s="96">
        <f t="shared" si="238"/>
        <v>1</v>
      </c>
      <c r="AJ72" s="96">
        <f t="shared" si="238"/>
        <v>0</v>
      </c>
      <c r="AK72" s="96">
        <f t="shared" si="238"/>
        <v>0.33333333333333331</v>
      </c>
      <c r="AL72" s="96">
        <f t="shared" si="238"/>
        <v>0.33333333333333331</v>
      </c>
      <c r="AM72" s="96">
        <f t="shared" si="238"/>
        <v>0</v>
      </c>
      <c r="AN72" s="96">
        <f t="shared" si="238"/>
        <v>0</v>
      </c>
      <c r="AO72" s="96">
        <f t="shared" si="238"/>
        <v>0</v>
      </c>
      <c r="AP72" s="96">
        <f t="shared" si="238"/>
        <v>0</v>
      </c>
      <c r="AQ72" s="96">
        <f t="shared" si="238"/>
        <v>0</v>
      </c>
      <c r="AR72" s="96">
        <f t="shared" si="238"/>
        <v>0</v>
      </c>
      <c r="AS72" s="96">
        <f t="shared" si="238"/>
        <v>0</v>
      </c>
      <c r="AT72" s="96">
        <f t="shared" si="238"/>
        <v>0</v>
      </c>
      <c r="AU72" s="96">
        <f t="shared" si="238"/>
        <v>0</v>
      </c>
      <c r="AV72" s="96">
        <f t="shared" si="238"/>
        <v>0.33333333333333331</v>
      </c>
      <c r="AW72" s="96">
        <f t="shared" si="238"/>
        <v>0</v>
      </c>
      <c r="AX72" s="96">
        <f t="shared" si="238"/>
        <v>0</v>
      </c>
      <c r="AY72" s="96">
        <f t="shared" si="238"/>
        <v>0</v>
      </c>
      <c r="AZ72" s="96">
        <f t="shared" si="238"/>
        <v>0</v>
      </c>
      <c r="BA72" s="96">
        <f t="shared" si="238"/>
        <v>0</v>
      </c>
      <c r="BB72" s="96" t="e">
        <f t="shared" si="238"/>
        <v>#DIV/0!</v>
      </c>
      <c r="BC72" s="96" t="e">
        <f t="shared" ref="BC72:CA72" si="239">BC73/(SUM(BC73,BC75,BC77))</f>
        <v>#DIV/0!</v>
      </c>
      <c r="BD72" s="96" t="e">
        <f t="shared" si="239"/>
        <v>#DIV/0!</v>
      </c>
      <c r="BE72" s="96">
        <f t="shared" si="239"/>
        <v>1</v>
      </c>
      <c r="BF72" s="96">
        <f t="shared" si="239"/>
        <v>0.66666666666666663</v>
      </c>
      <c r="BG72" s="96">
        <f t="shared" si="239"/>
        <v>0.25</v>
      </c>
      <c r="BH72" s="96">
        <f t="shared" si="239"/>
        <v>0</v>
      </c>
      <c r="BI72" s="96" t="e">
        <f t="shared" si="239"/>
        <v>#DIV/0!</v>
      </c>
      <c r="BJ72" s="96" t="e">
        <f t="shared" si="239"/>
        <v>#DIV/0!</v>
      </c>
      <c r="BK72" s="97" t="e">
        <f t="shared" si="239"/>
        <v>#DIV/0!</v>
      </c>
      <c r="BL72" s="97" t="e">
        <f t="shared" si="239"/>
        <v>#DIV/0!</v>
      </c>
      <c r="BM72" s="97" t="e">
        <f t="shared" si="239"/>
        <v>#DIV/0!</v>
      </c>
      <c r="BN72" s="97" t="e">
        <f t="shared" si="239"/>
        <v>#DIV/0!</v>
      </c>
      <c r="BO72" s="97" t="e">
        <f t="shared" si="239"/>
        <v>#DIV/0!</v>
      </c>
      <c r="BP72" s="97" t="e">
        <f t="shared" si="239"/>
        <v>#DIV/0!</v>
      </c>
      <c r="BQ72" s="97" t="e">
        <f t="shared" si="239"/>
        <v>#DIV/0!</v>
      </c>
      <c r="BR72" s="97" t="e">
        <f t="shared" si="239"/>
        <v>#DIV/0!</v>
      </c>
      <c r="BS72" s="97" t="e">
        <f t="shared" si="239"/>
        <v>#DIV/0!</v>
      </c>
      <c r="BT72" s="97" t="e">
        <f t="shared" si="239"/>
        <v>#DIV/0!</v>
      </c>
      <c r="BU72" s="97" t="e">
        <f t="shared" si="239"/>
        <v>#DIV/0!</v>
      </c>
      <c r="BV72" s="97" t="e">
        <f t="shared" si="239"/>
        <v>#DIV/0!</v>
      </c>
      <c r="BW72" s="97" t="e">
        <f t="shared" si="239"/>
        <v>#DIV/0!</v>
      </c>
      <c r="BX72" s="97" t="e">
        <f t="shared" si="239"/>
        <v>#DIV/0!</v>
      </c>
      <c r="BY72" s="97" t="e">
        <f t="shared" si="239"/>
        <v>#DIV/0!</v>
      </c>
      <c r="BZ72" s="97" t="e">
        <f t="shared" si="239"/>
        <v>#DIV/0!</v>
      </c>
      <c r="CA72" s="97" t="e">
        <f t="shared" si="239"/>
        <v>#DIV/0!</v>
      </c>
    </row>
    <row r="73" spans="1:79" s="83" customFormat="1">
      <c r="A73" s="8" t="s">
        <v>6</v>
      </c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167"/>
      <c r="O73" s="167"/>
      <c r="P73" s="167">
        <v>1</v>
      </c>
      <c r="Q73" s="167">
        <v>1</v>
      </c>
      <c r="R73" s="167">
        <v>3</v>
      </c>
      <c r="S73" s="167"/>
      <c r="T73" s="167"/>
      <c r="U73" s="167"/>
      <c r="V73" s="167"/>
      <c r="W73" s="167"/>
      <c r="X73" s="167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>
        <v>3</v>
      </c>
      <c r="AJ73" s="98"/>
      <c r="AK73" s="98">
        <v>1</v>
      </c>
      <c r="AL73" s="98">
        <v>1</v>
      </c>
      <c r="AM73" s="98"/>
      <c r="AN73" s="98"/>
      <c r="AO73" s="98"/>
      <c r="AP73" s="98"/>
      <c r="AQ73" s="98"/>
      <c r="AR73" s="98"/>
      <c r="AS73" s="98"/>
      <c r="AT73" s="98"/>
      <c r="AU73" s="98"/>
      <c r="AV73" s="98">
        <v>1</v>
      </c>
      <c r="AW73" s="98"/>
      <c r="AX73" s="98"/>
      <c r="AY73" s="98"/>
      <c r="AZ73" s="98"/>
      <c r="BA73" s="98"/>
      <c r="BB73" s="98"/>
      <c r="BC73" s="98"/>
      <c r="BD73" s="98"/>
      <c r="BE73" s="98">
        <v>3</v>
      </c>
      <c r="BF73" s="98">
        <v>2</v>
      </c>
      <c r="BG73" s="98">
        <v>1</v>
      </c>
      <c r="BH73" s="98"/>
      <c r="BI73" s="98"/>
      <c r="BJ73" s="98"/>
      <c r="BK73" s="209"/>
    </row>
    <row r="74" spans="1:79">
      <c r="A74" s="8" t="s">
        <v>7</v>
      </c>
      <c r="B74" s="96" t="e">
        <f>B75/(SUM(B73,B75,B77))</f>
        <v>#DIV/0!</v>
      </c>
      <c r="C74" s="96" t="e">
        <f t="shared" ref="C74:F74" si="240">C75/(SUM(C73,C75,C77))</f>
        <v>#DIV/0!</v>
      </c>
      <c r="D74" s="96" t="e">
        <f t="shared" si="240"/>
        <v>#DIV/0!</v>
      </c>
      <c r="E74" s="96" t="e">
        <f t="shared" si="240"/>
        <v>#DIV/0!</v>
      </c>
      <c r="F74" s="96" t="e">
        <f t="shared" si="240"/>
        <v>#DIV/0!</v>
      </c>
      <c r="G74" s="96" t="e">
        <f t="shared" ref="G74" si="241">G75/(SUM(G73,G75,G77))</f>
        <v>#DIV/0!</v>
      </c>
      <c r="H74" s="96" t="e">
        <f t="shared" ref="H74" si="242">H75/(SUM(H73,H75,H77))</f>
        <v>#DIV/0!</v>
      </c>
      <c r="I74" s="96" t="e">
        <f t="shared" ref="I74" si="243">I75/(SUM(I73,I75,I77))</f>
        <v>#DIV/0!</v>
      </c>
      <c r="J74" s="96" t="e">
        <f t="shared" ref="J74" si="244">J75/(SUM(J73,J75,J77))</f>
        <v>#DIV/0!</v>
      </c>
      <c r="K74" s="96" t="e">
        <f t="shared" ref="K74" si="245">K75/(SUM(K73,K75,K77))</f>
        <v>#DIV/0!</v>
      </c>
      <c r="L74" s="96" t="e">
        <f t="shared" ref="L74" si="246">L75/(SUM(L73,L75,L77))</f>
        <v>#DIV/0!</v>
      </c>
      <c r="M74" s="96" t="e">
        <f t="shared" ref="M74" si="247">M75/(SUM(M73,M75,M77))</f>
        <v>#DIV/0!</v>
      </c>
      <c r="N74" s="96">
        <f t="shared" ref="N74" si="248">N75/(SUM(N73,N75,N77))</f>
        <v>0.5</v>
      </c>
      <c r="O74" s="96">
        <f t="shared" ref="O74" si="249">O75/(SUM(O73,O75,O77))</f>
        <v>0.75</v>
      </c>
      <c r="P74" s="96">
        <f t="shared" ref="P74" si="250">P75/(SUM(P73,P75,P77))</f>
        <v>0.75</v>
      </c>
      <c r="Q74" s="96">
        <f t="shared" ref="Q74" si="251">Q75/(SUM(Q73,Q75,Q77))</f>
        <v>0.25</v>
      </c>
      <c r="R74" s="96">
        <f t="shared" ref="R74" si="252">R75/(SUM(R73,R75,R77))</f>
        <v>0.25</v>
      </c>
      <c r="S74" s="96">
        <f t="shared" ref="S74" si="253">S75/(SUM(S73,S75,S77))</f>
        <v>0.25</v>
      </c>
      <c r="T74" s="96">
        <f t="shared" ref="T74" si="254">T75/(SUM(T73,T75,T77))</f>
        <v>0</v>
      </c>
      <c r="U74" s="96">
        <f t="shared" ref="U74" si="255">U75/(SUM(U73,U75,U77))</f>
        <v>0.5</v>
      </c>
      <c r="V74" s="96">
        <f t="shared" ref="V74" si="256">V75/(SUM(V73,V75,V77))</f>
        <v>0</v>
      </c>
      <c r="W74" s="96">
        <f t="shared" ref="W74" si="257">W75/(SUM(W73,W75,W77))</f>
        <v>0</v>
      </c>
      <c r="X74" s="96">
        <f t="shared" ref="X74" si="258">X75/(SUM(X73,X75,X77))</f>
        <v>0</v>
      </c>
      <c r="Y74" s="96">
        <f t="shared" ref="Y74" si="259">Y75/(SUM(Y73,Y75,Y77))</f>
        <v>0.66666666666666663</v>
      </c>
      <c r="Z74" s="96">
        <f t="shared" ref="Z74" si="260">Z75/(SUM(Z73,Z75,Z77))</f>
        <v>0.2</v>
      </c>
      <c r="AA74" s="96">
        <f t="shared" ref="AA74" si="261">AA75/(SUM(AA73,AA75,AA77))</f>
        <v>0.75</v>
      </c>
      <c r="AB74" s="96">
        <f t="shared" ref="AB74" si="262">AB75/(SUM(AB73,AB75,AB77))</f>
        <v>0.5</v>
      </c>
      <c r="AC74" s="96">
        <f t="shared" ref="AC74" si="263">AC75/(SUM(AC73,AC75,AC77))</f>
        <v>0.25</v>
      </c>
      <c r="AD74" s="96">
        <f t="shared" ref="AD74" si="264">AD75/(SUM(AD73,AD75,AD77))</f>
        <v>1</v>
      </c>
      <c r="AE74" s="96">
        <f t="shared" ref="AE74" si="265">AE75/(SUM(AE73,AE75,AE77))</f>
        <v>0.75</v>
      </c>
      <c r="AF74" s="96">
        <f t="shared" ref="AF74" si="266">AF75/(SUM(AF73,AF75,AF77))</f>
        <v>0</v>
      </c>
      <c r="AG74" s="96" t="e">
        <f t="shared" ref="AG74" si="267">AG75/(SUM(AG73,AG75,AG77))</f>
        <v>#DIV/0!</v>
      </c>
      <c r="AH74" s="96" t="e">
        <f t="shared" ref="AH74" si="268">AH75/(SUM(AH73,AH75,AH77))</f>
        <v>#DIV/0!</v>
      </c>
      <c r="AI74" s="96">
        <f t="shared" ref="AI74" si="269">AI75/(SUM(AI73,AI75,AI77))</f>
        <v>0</v>
      </c>
      <c r="AJ74" s="96">
        <f t="shared" ref="AJ74" si="270">AJ75/(SUM(AJ73,AJ75,AJ77))</f>
        <v>0.66666666666666663</v>
      </c>
      <c r="AK74" s="96">
        <f t="shared" ref="AK74" si="271">AK75/(SUM(AK73,AK75,AK77))</f>
        <v>0.66666666666666663</v>
      </c>
      <c r="AL74" s="96">
        <f t="shared" ref="AL74" si="272">AL75/(SUM(AL73,AL75,AL77))</f>
        <v>0</v>
      </c>
      <c r="AM74" s="96">
        <f t="shared" ref="AM74" si="273">AM75/(SUM(AM73,AM75,AM77))</f>
        <v>0.33333333333333331</v>
      </c>
      <c r="AN74" s="96">
        <f t="shared" ref="AN74" si="274">AN75/(SUM(AN73,AN75,AN77))</f>
        <v>0.33333333333333331</v>
      </c>
      <c r="AO74" s="96">
        <f t="shared" ref="AO74" si="275">AO75/(SUM(AO73,AO75,AO77))</f>
        <v>0.33333333333333331</v>
      </c>
      <c r="AP74" s="96">
        <f t="shared" ref="AP74" si="276">AP75/(SUM(AP73,AP75,AP77))</f>
        <v>0.33333333333333331</v>
      </c>
      <c r="AQ74" s="96">
        <f t="shared" ref="AQ74" si="277">AQ75/(SUM(AQ73,AQ75,AQ77))</f>
        <v>0.66666666666666663</v>
      </c>
      <c r="AR74" s="96">
        <f t="shared" ref="AR74" si="278">AR75/(SUM(AR73,AR75,AR77))</f>
        <v>0</v>
      </c>
      <c r="AS74" s="96">
        <f t="shared" ref="AS74" si="279">AS75/(SUM(AS73,AS75,AS77))</f>
        <v>0</v>
      </c>
      <c r="AT74" s="96">
        <f t="shared" ref="AT74" si="280">AT75/(SUM(AT73,AT75,AT77))</f>
        <v>0.33333333333333331</v>
      </c>
      <c r="AU74" s="96">
        <f t="shared" ref="AU74" si="281">AU75/(SUM(AU73,AU75,AU77))</f>
        <v>0.33333333333333331</v>
      </c>
      <c r="AV74" s="96">
        <f t="shared" ref="AV74" si="282">AV75/(SUM(AV73,AV75,AV77))</f>
        <v>0.33333333333333331</v>
      </c>
      <c r="AW74" s="96">
        <f t="shared" ref="AW74" si="283">AW75/(SUM(AW73,AW75,AW77))</f>
        <v>0</v>
      </c>
      <c r="AX74" s="96">
        <f t="shared" ref="AX74" si="284">AX75/(SUM(AX73,AX75,AX77))</f>
        <v>0.33333333333333331</v>
      </c>
      <c r="AY74" s="96">
        <f t="shared" ref="AY74" si="285">AY75/(SUM(AY73,AY75,AY77))</f>
        <v>0</v>
      </c>
      <c r="AZ74" s="96">
        <f t="shared" ref="AZ74" si="286">AZ75/(SUM(AZ73,AZ75,AZ77))</f>
        <v>0</v>
      </c>
      <c r="BA74" s="96">
        <f t="shared" ref="BA74" si="287">BA75/(SUM(BA73,BA75,BA77))</f>
        <v>0</v>
      </c>
      <c r="BB74" s="96" t="e">
        <f t="shared" ref="BB74" si="288">BB75/(SUM(BB73,BB75,BB77))</f>
        <v>#DIV/0!</v>
      </c>
      <c r="BC74" s="96" t="e">
        <f t="shared" ref="BC74" si="289">BC75/(SUM(BC73,BC75,BC77))</f>
        <v>#DIV/0!</v>
      </c>
      <c r="BD74" s="96" t="e">
        <f t="shared" ref="BD74" si="290">BD75/(SUM(BD73,BD75,BD77))</f>
        <v>#DIV/0!</v>
      </c>
      <c r="BE74" s="96">
        <f t="shared" ref="BE74" si="291">BE75/(SUM(BE73,BE75,BE77))</f>
        <v>0</v>
      </c>
      <c r="BF74" s="96">
        <f t="shared" ref="BF74" si="292">BF75/(SUM(BF73,BF75,BF77))</f>
        <v>0.33333333333333331</v>
      </c>
      <c r="BG74" s="96">
        <f t="shared" ref="BG74" si="293">BG75/(SUM(BG73,BG75,BG77))</f>
        <v>0.5</v>
      </c>
      <c r="BH74" s="96">
        <f t="shared" ref="BH74" si="294">BH75/(SUM(BH73,BH75,BH77))</f>
        <v>1</v>
      </c>
      <c r="BI74" s="96" t="e">
        <f t="shared" ref="BI74" si="295">BI75/(SUM(BI73,BI75,BI77))</f>
        <v>#DIV/0!</v>
      </c>
      <c r="BJ74" s="96" t="e">
        <f t="shared" ref="BJ74" si="296">BJ75/(SUM(BJ73,BJ75,BJ77))</f>
        <v>#DIV/0!</v>
      </c>
      <c r="BK74" s="97" t="e">
        <f t="shared" ref="BK74:CA74" si="297">BK75/(SUM(BK73,BK75,BK77))</f>
        <v>#DIV/0!</v>
      </c>
      <c r="BL74" s="97" t="e">
        <f t="shared" si="297"/>
        <v>#DIV/0!</v>
      </c>
      <c r="BM74" s="97" t="e">
        <f t="shared" si="297"/>
        <v>#DIV/0!</v>
      </c>
      <c r="BN74" s="97" t="e">
        <f t="shared" si="297"/>
        <v>#DIV/0!</v>
      </c>
      <c r="BO74" s="97" t="e">
        <f t="shared" si="297"/>
        <v>#DIV/0!</v>
      </c>
      <c r="BP74" s="97" t="e">
        <f t="shared" si="297"/>
        <v>#DIV/0!</v>
      </c>
      <c r="BQ74" s="97" t="e">
        <f t="shared" si="297"/>
        <v>#DIV/0!</v>
      </c>
      <c r="BR74" s="97" t="e">
        <f t="shared" si="297"/>
        <v>#DIV/0!</v>
      </c>
      <c r="BS74" s="97" t="e">
        <f t="shared" si="297"/>
        <v>#DIV/0!</v>
      </c>
      <c r="BT74" s="97" t="e">
        <f t="shared" si="297"/>
        <v>#DIV/0!</v>
      </c>
      <c r="BU74" s="97" t="e">
        <f t="shared" si="297"/>
        <v>#DIV/0!</v>
      </c>
      <c r="BV74" s="97" t="e">
        <f t="shared" si="297"/>
        <v>#DIV/0!</v>
      </c>
      <c r="BW74" s="97" t="e">
        <f t="shared" si="297"/>
        <v>#DIV/0!</v>
      </c>
      <c r="BX74" s="97" t="e">
        <f t="shared" si="297"/>
        <v>#DIV/0!</v>
      </c>
      <c r="BY74" s="97" t="e">
        <f t="shared" si="297"/>
        <v>#DIV/0!</v>
      </c>
      <c r="BZ74" s="97" t="e">
        <f t="shared" si="297"/>
        <v>#DIV/0!</v>
      </c>
      <c r="CA74" s="97" t="e">
        <f t="shared" si="297"/>
        <v>#DIV/0!</v>
      </c>
    </row>
    <row r="75" spans="1:79" s="83" customFormat="1">
      <c r="A75" s="8" t="s">
        <v>8</v>
      </c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167">
        <v>2</v>
      </c>
      <c r="O75" s="167">
        <v>3</v>
      </c>
      <c r="P75" s="167">
        <v>3</v>
      </c>
      <c r="Q75" s="167">
        <v>1</v>
      </c>
      <c r="R75" s="167">
        <v>1</v>
      </c>
      <c r="S75" s="167">
        <v>1</v>
      </c>
      <c r="T75" s="167"/>
      <c r="U75" s="167">
        <v>2</v>
      </c>
      <c r="V75" s="167"/>
      <c r="W75" s="167"/>
      <c r="X75" s="167"/>
      <c r="Y75" s="98">
        <v>2</v>
      </c>
      <c r="Z75" s="98">
        <v>1</v>
      </c>
      <c r="AA75" s="98">
        <v>3</v>
      </c>
      <c r="AB75" s="98">
        <v>2</v>
      </c>
      <c r="AC75" s="98">
        <v>1</v>
      </c>
      <c r="AD75" s="98">
        <v>4</v>
      </c>
      <c r="AE75" s="98">
        <v>3</v>
      </c>
      <c r="AF75" s="98"/>
      <c r="AG75" s="98"/>
      <c r="AH75" s="98"/>
      <c r="AI75" s="98"/>
      <c r="AJ75" s="98">
        <v>2</v>
      </c>
      <c r="AK75" s="98">
        <v>2</v>
      </c>
      <c r="AL75" s="98"/>
      <c r="AM75" s="98">
        <v>1</v>
      </c>
      <c r="AN75" s="98">
        <v>1</v>
      </c>
      <c r="AO75" s="98">
        <v>1</v>
      </c>
      <c r="AP75" s="98">
        <v>1</v>
      </c>
      <c r="AQ75" s="98">
        <v>2</v>
      </c>
      <c r="AR75" s="98"/>
      <c r="AS75" s="98"/>
      <c r="AT75" s="98">
        <v>1</v>
      </c>
      <c r="AU75" s="98">
        <v>1</v>
      </c>
      <c r="AV75" s="98">
        <v>1</v>
      </c>
      <c r="AW75" s="98"/>
      <c r="AX75" s="98">
        <v>1</v>
      </c>
      <c r="AY75" s="98"/>
      <c r="AZ75" s="98"/>
      <c r="BA75" s="98"/>
      <c r="BB75" s="98"/>
      <c r="BC75" s="98"/>
      <c r="BD75" s="98"/>
      <c r="BE75" s="98"/>
      <c r="BF75" s="98">
        <v>1</v>
      </c>
      <c r="BG75" s="98">
        <v>2</v>
      </c>
      <c r="BH75" s="98">
        <v>1</v>
      </c>
      <c r="BI75" s="98"/>
      <c r="BJ75" s="98"/>
      <c r="BK75" s="209"/>
    </row>
    <row r="76" spans="1:79">
      <c r="A76" s="8" t="s">
        <v>9</v>
      </c>
      <c r="B76" s="96" t="e">
        <f>B77/(SUM(B77,B75,B73))</f>
        <v>#DIV/0!</v>
      </c>
      <c r="C76" s="96" t="e">
        <f t="shared" ref="C76:I76" si="298">C77/(SUM(C77,C75,C73))</f>
        <v>#DIV/0!</v>
      </c>
      <c r="D76" s="96" t="e">
        <f t="shared" si="298"/>
        <v>#DIV/0!</v>
      </c>
      <c r="E76" s="96" t="e">
        <f t="shared" si="298"/>
        <v>#DIV/0!</v>
      </c>
      <c r="F76" s="96" t="e">
        <f t="shared" si="298"/>
        <v>#DIV/0!</v>
      </c>
      <c r="G76" s="96" t="e">
        <f t="shared" si="298"/>
        <v>#DIV/0!</v>
      </c>
      <c r="H76" s="96" t="e">
        <f t="shared" si="298"/>
        <v>#DIV/0!</v>
      </c>
      <c r="I76" s="96" t="e">
        <f t="shared" si="298"/>
        <v>#DIV/0!</v>
      </c>
      <c r="J76" s="96" t="e">
        <f t="shared" ref="J76" si="299">J77/(SUM(J77,J75,J73))</f>
        <v>#DIV/0!</v>
      </c>
      <c r="K76" s="96" t="e">
        <f t="shared" ref="K76" si="300">K77/(SUM(K77,K75,K73))</f>
        <v>#DIV/0!</v>
      </c>
      <c r="L76" s="96" t="e">
        <f t="shared" ref="L76" si="301">L77/(SUM(L77,L75,L73))</f>
        <v>#DIV/0!</v>
      </c>
      <c r="M76" s="96" t="e">
        <f t="shared" ref="M76" si="302">M77/(SUM(M77,M75,M73))</f>
        <v>#DIV/0!</v>
      </c>
      <c r="N76" s="96">
        <f t="shared" ref="N76" si="303">N77/(SUM(N77,N75,N73))</f>
        <v>0.5</v>
      </c>
      <c r="O76" s="96">
        <f t="shared" ref="O76" si="304">O77/(SUM(O77,O75,O73))</f>
        <v>0.25</v>
      </c>
      <c r="P76" s="96">
        <f t="shared" ref="P76" si="305">P77/(SUM(P77,P75,P73))</f>
        <v>0</v>
      </c>
      <c r="Q76" s="96">
        <f t="shared" ref="Q76" si="306">Q77/(SUM(Q77,Q75,Q73))</f>
        <v>0.5</v>
      </c>
      <c r="R76" s="96">
        <f t="shared" ref="R76" si="307">R77/(SUM(R77,R75,R73))</f>
        <v>0</v>
      </c>
      <c r="S76" s="96">
        <f t="shared" ref="S76" si="308">S77/(SUM(S77,S75,S73))</f>
        <v>0.75</v>
      </c>
      <c r="T76" s="96">
        <f t="shared" ref="T76" si="309">T77/(SUM(T77,T75,T73))</f>
        <v>1</v>
      </c>
      <c r="U76" s="96">
        <f t="shared" ref="U76:V76" si="310">U77/(SUM(U77,U75,U73))</f>
        <v>0.5</v>
      </c>
      <c r="V76" s="96">
        <f t="shared" si="310"/>
        <v>1</v>
      </c>
      <c r="W76" s="96">
        <f t="shared" ref="W76" si="311">W77/(SUM(W77,W75,W73))</f>
        <v>1</v>
      </c>
      <c r="X76" s="96">
        <f t="shared" ref="X76" si="312">X77/(SUM(X77,X75,X73))</f>
        <v>1</v>
      </c>
      <c r="Y76" s="96">
        <f t="shared" ref="Y76" si="313">Y77/(SUM(Y77,Y75,Y73))</f>
        <v>0.33333333333333331</v>
      </c>
      <c r="Z76" s="96">
        <f t="shared" ref="Z76" si="314">Z77/(SUM(Z77,Z75,Z73))</f>
        <v>0.8</v>
      </c>
      <c r="AA76" s="96">
        <f t="shared" ref="AA76" si="315">AA77/(SUM(AA77,AA75,AA73))</f>
        <v>0.25</v>
      </c>
      <c r="AB76" s="96">
        <f t="shared" ref="AB76" si="316">AB77/(SUM(AB77,AB75,AB73))</f>
        <v>0.5</v>
      </c>
      <c r="AC76" s="96">
        <f t="shared" ref="AC76" si="317">AC77/(SUM(AC77,AC75,AC73))</f>
        <v>0.75</v>
      </c>
      <c r="AD76" s="96">
        <f t="shared" ref="AD76" si="318">AD77/(SUM(AD77,AD75,AD73))</f>
        <v>0</v>
      </c>
      <c r="AE76" s="96">
        <f t="shared" ref="AE76" si="319">AE77/(SUM(AE77,AE75,AE73))</f>
        <v>0.25</v>
      </c>
      <c r="AF76" s="96">
        <f t="shared" ref="AF76" si="320">AF77/(SUM(AF77,AF75,AF73))</f>
        <v>1</v>
      </c>
      <c r="AG76" s="96" t="e">
        <f t="shared" ref="AG76" si="321">AG77/(SUM(AG77,AG75,AG73))</f>
        <v>#DIV/0!</v>
      </c>
      <c r="AH76" s="96" t="e">
        <f t="shared" ref="AH76:AI76" si="322">AH77/(SUM(AH77,AH75,AH73))</f>
        <v>#DIV/0!</v>
      </c>
      <c r="AI76" s="96">
        <f t="shared" si="322"/>
        <v>0</v>
      </c>
      <c r="AJ76" s="96">
        <f t="shared" ref="AJ76" si="323">AJ77/(SUM(AJ77,AJ75,AJ73))</f>
        <v>0.33333333333333331</v>
      </c>
      <c r="AK76" s="96">
        <f t="shared" ref="AK76" si="324">AK77/(SUM(AK77,AK75,AK73))</f>
        <v>0</v>
      </c>
      <c r="AL76" s="96">
        <f t="shared" ref="AL76" si="325">AL77/(SUM(AL77,AL75,AL73))</f>
        <v>0.66666666666666663</v>
      </c>
      <c r="AM76" s="96">
        <f t="shared" ref="AM76" si="326">AM77/(SUM(AM77,AM75,AM73))</f>
        <v>0.66666666666666663</v>
      </c>
      <c r="AN76" s="96">
        <f t="shared" ref="AN76" si="327">AN77/(SUM(AN77,AN75,AN73))</f>
        <v>0.66666666666666663</v>
      </c>
      <c r="AO76" s="96">
        <f t="shared" ref="AO76" si="328">AO77/(SUM(AO77,AO75,AO73))</f>
        <v>0.66666666666666663</v>
      </c>
      <c r="AP76" s="96">
        <f t="shared" ref="AP76" si="329">AP77/(SUM(AP77,AP75,AP73))</f>
        <v>0.66666666666666663</v>
      </c>
      <c r="AQ76" s="96">
        <f t="shared" ref="AQ76" si="330">AQ77/(SUM(AQ77,AQ75,AQ73))</f>
        <v>0.33333333333333331</v>
      </c>
      <c r="AR76" s="96">
        <f t="shared" ref="AR76" si="331">AR77/(SUM(AR77,AR75,AR73))</f>
        <v>1</v>
      </c>
      <c r="AS76" s="96">
        <f t="shared" ref="AS76" si="332">AS77/(SUM(AS77,AS75,AS73))</f>
        <v>1</v>
      </c>
      <c r="AT76" s="96">
        <f t="shared" ref="AT76" si="333">AT77/(SUM(AT77,AT75,AT73))</f>
        <v>0.66666666666666663</v>
      </c>
      <c r="AU76" s="96">
        <f t="shared" ref="AU76:AV76" si="334">AU77/(SUM(AU77,AU75,AU73))</f>
        <v>0.66666666666666663</v>
      </c>
      <c r="AV76" s="96">
        <f t="shared" si="334"/>
        <v>0.33333333333333331</v>
      </c>
      <c r="AW76" s="96">
        <f t="shared" ref="AW76" si="335">AW77/(SUM(AW77,AW75,AW73))</f>
        <v>1</v>
      </c>
      <c r="AX76" s="96">
        <f t="shared" ref="AX76" si="336">AX77/(SUM(AX77,AX75,AX73))</f>
        <v>0.66666666666666663</v>
      </c>
      <c r="AY76" s="96">
        <f t="shared" ref="AY76" si="337">AY77/(SUM(AY77,AY75,AY73))</f>
        <v>1</v>
      </c>
      <c r="AZ76" s="96">
        <f t="shared" ref="AZ76" si="338">AZ77/(SUM(AZ77,AZ75,AZ73))</f>
        <v>1</v>
      </c>
      <c r="BA76" s="96">
        <f t="shared" ref="BA76" si="339">BA77/(SUM(BA77,BA75,BA73))</f>
        <v>1</v>
      </c>
      <c r="BB76" s="96" t="e">
        <f t="shared" ref="BB76" si="340">BB77/(SUM(BB77,BB75,BB73))</f>
        <v>#DIV/0!</v>
      </c>
      <c r="BC76" s="96" t="e">
        <f t="shared" ref="BC76" si="341">BC77/(SUM(BC77,BC75,BC73))</f>
        <v>#DIV/0!</v>
      </c>
      <c r="BD76" s="96" t="e">
        <f t="shared" ref="BD76" si="342">BD77/(SUM(BD77,BD75,BD73))</f>
        <v>#DIV/0!</v>
      </c>
      <c r="BE76" s="96">
        <f t="shared" ref="BE76" si="343">BE77/(SUM(BE77,BE75,BE73))</f>
        <v>0</v>
      </c>
      <c r="BF76" s="96">
        <f t="shared" ref="BF76" si="344">BF77/(SUM(BF77,BF75,BF73))</f>
        <v>0</v>
      </c>
      <c r="BG76" s="96">
        <f t="shared" ref="BG76" si="345">BG77/(SUM(BG77,BG75,BG73))</f>
        <v>0.25</v>
      </c>
      <c r="BH76" s="96">
        <f t="shared" ref="BH76:BI76" si="346">BH77/(SUM(BH77,BH75,BH73))</f>
        <v>0</v>
      </c>
      <c r="BI76" s="96" t="e">
        <f t="shared" si="346"/>
        <v>#DIV/0!</v>
      </c>
      <c r="BJ76" s="96" t="e">
        <f t="shared" ref="BJ76" si="347">BJ77/(SUM(BJ77,BJ75,BJ73))</f>
        <v>#DIV/0!</v>
      </c>
      <c r="BK76" s="97" t="e">
        <f t="shared" ref="BK76:CA76" si="348">BK77/(SUM(BK77,BK75,BK73))</f>
        <v>#DIV/0!</v>
      </c>
      <c r="BL76" s="97" t="e">
        <f t="shared" si="348"/>
        <v>#DIV/0!</v>
      </c>
      <c r="BM76" s="97" t="e">
        <f t="shared" si="348"/>
        <v>#DIV/0!</v>
      </c>
      <c r="BN76" s="97" t="e">
        <f t="shared" si="348"/>
        <v>#DIV/0!</v>
      </c>
      <c r="BO76" s="97" t="e">
        <f t="shared" si="348"/>
        <v>#DIV/0!</v>
      </c>
      <c r="BP76" s="97" t="e">
        <f t="shared" si="348"/>
        <v>#DIV/0!</v>
      </c>
      <c r="BQ76" s="97" t="e">
        <f t="shared" si="348"/>
        <v>#DIV/0!</v>
      </c>
      <c r="BR76" s="97" t="e">
        <f t="shared" si="348"/>
        <v>#DIV/0!</v>
      </c>
      <c r="BS76" s="97" t="e">
        <f t="shared" si="348"/>
        <v>#DIV/0!</v>
      </c>
      <c r="BT76" s="97" t="e">
        <f t="shared" si="348"/>
        <v>#DIV/0!</v>
      </c>
      <c r="BU76" s="97" t="e">
        <f t="shared" si="348"/>
        <v>#DIV/0!</v>
      </c>
      <c r="BV76" s="97" t="e">
        <f t="shared" si="348"/>
        <v>#DIV/0!</v>
      </c>
      <c r="BW76" s="97" t="e">
        <f t="shared" si="348"/>
        <v>#DIV/0!</v>
      </c>
      <c r="BX76" s="97" t="e">
        <f t="shared" si="348"/>
        <v>#DIV/0!</v>
      </c>
      <c r="BY76" s="97" t="e">
        <f t="shared" si="348"/>
        <v>#DIV/0!</v>
      </c>
      <c r="BZ76" s="97" t="e">
        <f t="shared" si="348"/>
        <v>#DIV/0!</v>
      </c>
      <c r="CA76" s="97" t="e">
        <f t="shared" si="348"/>
        <v>#DIV/0!</v>
      </c>
    </row>
    <row r="77" spans="1:79" s="84" customFormat="1" ht="19.5" thickBot="1">
      <c r="A77" s="9" t="s">
        <v>10</v>
      </c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67">
        <v>2</v>
      </c>
      <c r="O77" s="167">
        <v>1</v>
      </c>
      <c r="P77" s="167"/>
      <c r="Q77" s="167">
        <v>2</v>
      </c>
      <c r="R77" s="167"/>
      <c r="S77" s="167">
        <v>3</v>
      </c>
      <c r="T77" s="167">
        <v>4</v>
      </c>
      <c r="U77" s="167">
        <v>2</v>
      </c>
      <c r="V77" s="167">
        <v>4</v>
      </c>
      <c r="W77" s="167">
        <v>4</v>
      </c>
      <c r="X77" s="167">
        <v>4</v>
      </c>
      <c r="Y77" s="114">
        <v>1</v>
      </c>
      <c r="Z77" s="114">
        <v>4</v>
      </c>
      <c r="AA77" s="114">
        <v>1</v>
      </c>
      <c r="AB77" s="114">
        <v>2</v>
      </c>
      <c r="AC77" s="114">
        <v>3</v>
      </c>
      <c r="AD77" s="114"/>
      <c r="AE77" s="114">
        <v>1</v>
      </c>
      <c r="AF77" s="114">
        <v>4</v>
      </c>
      <c r="AG77" s="114"/>
      <c r="AH77" s="114"/>
      <c r="AI77" s="114"/>
      <c r="AJ77" s="114">
        <v>1</v>
      </c>
      <c r="AK77" s="114"/>
      <c r="AL77" s="114">
        <v>2</v>
      </c>
      <c r="AM77" s="114">
        <v>2</v>
      </c>
      <c r="AN77" s="114">
        <v>2</v>
      </c>
      <c r="AO77" s="114">
        <v>2</v>
      </c>
      <c r="AP77" s="114">
        <v>2</v>
      </c>
      <c r="AQ77" s="114">
        <v>1</v>
      </c>
      <c r="AR77" s="114">
        <v>3</v>
      </c>
      <c r="AS77" s="114">
        <v>3</v>
      </c>
      <c r="AT77" s="114">
        <v>2</v>
      </c>
      <c r="AU77" s="114">
        <v>2</v>
      </c>
      <c r="AV77" s="114">
        <v>1</v>
      </c>
      <c r="AW77" s="114">
        <v>3</v>
      </c>
      <c r="AX77" s="114">
        <v>2</v>
      </c>
      <c r="AY77" s="114">
        <v>2</v>
      </c>
      <c r="AZ77" s="114">
        <v>3</v>
      </c>
      <c r="BA77" s="114">
        <v>3</v>
      </c>
      <c r="BB77" s="114"/>
      <c r="BC77" s="114"/>
      <c r="BD77" s="114"/>
      <c r="BE77" s="114"/>
      <c r="BF77" s="114"/>
      <c r="BG77" s="114">
        <v>1</v>
      </c>
      <c r="BH77" s="114"/>
      <c r="BI77" s="114"/>
      <c r="BJ77" s="114"/>
      <c r="BK77" s="223"/>
    </row>
    <row r="78" spans="1:79" ht="19.5" thickBot="1">
      <c r="A78" s="5"/>
      <c r="B78" s="3"/>
      <c r="C78" s="3"/>
      <c r="D78" s="3"/>
      <c r="E78" s="3"/>
      <c r="F78" s="103"/>
      <c r="G78" s="103"/>
      <c r="H78" s="103"/>
      <c r="I78" s="10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</row>
    <row r="79" spans="1:79" s="11" customFormat="1" ht="24" thickBot="1">
      <c r="A79" s="141" t="s">
        <v>72</v>
      </c>
      <c r="B79" s="92"/>
      <c r="C79" s="92"/>
      <c r="D79" s="92"/>
      <c r="E79" s="92"/>
      <c r="F79" s="93"/>
      <c r="G79" s="93"/>
      <c r="H79" s="93"/>
      <c r="I79" s="93"/>
      <c r="J79" s="92"/>
      <c r="K79" s="92"/>
      <c r="L79" s="92"/>
      <c r="M79" s="92"/>
      <c r="N79" s="92"/>
      <c r="O79" s="93"/>
      <c r="P79" s="93"/>
      <c r="Q79" s="93"/>
      <c r="R79" s="93"/>
      <c r="S79" s="93"/>
      <c r="T79" s="93"/>
      <c r="U79" s="93"/>
      <c r="V79" s="93"/>
      <c r="W79" s="92"/>
      <c r="X79" s="92"/>
      <c r="Y79" s="92"/>
      <c r="Z79" s="92"/>
      <c r="AA79" s="92"/>
      <c r="AB79" s="93"/>
      <c r="AC79" s="93"/>
      <c r="AD79" s="92"/>
      <c r="AE79" s="92"/>
      <c r="AF79" s="92"/>
      <c r="AG79" s="93"/>
      <c r="AH79" s="93"/>
      <c r="AI79" s="93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222"/>
    </row>
    <row r="80" spans="1:79" s="14" customFormat="1" ht="19.5" thickBot="1">
      <c r="A80" s="202" t="s">
        <v>137</v>
      </c>
      <c r="B80" s="229">
        <v>150</v>
      </c>
      <c r="C80" s="229">
        <v>150</v>
      </c>
      <c r="D80" s="229">
        <v>150</v>
      </c>
      <c r="E80" s="229">
        <v>150</v>
      </c>
      <c r="F80" s="229">
        <v>150</v>
      </c>
      <c r="G80" s="229">
        <v>150</v>
      </c>
      <c r="H80" s="229">
        <v>150</v>
      </c>
      <c r="I80" s="229">
        <v>150</v>
      </c>
      <c r="J80" s="229">
        <v>150</v>
      </c>
      <c r="K80" s="229">
        <v>150</v>
      </c>
      <c r="L80" s="229">
        <v>150</v>
      </c>
      <c r="M80" s="229">
        <v>150</v>
      </c>
      <c r="N80" s="229">
        <v>150</v>
      </c>
      <c r="O80" s="229">
        <v>150</v>
      </c>
      <c r="P80" s="229">
        <v>150</v>
      </c>
      <c r="Q80" s="229">
        <v>150</v>
      </c>
      <c r="R80" s="229">
        <v>150</v>
      </c>
      <c r="S80" s="229">
        <v>150</v>
      </c>
      <c r="T80" s="229">
        <v>150</v>
      </c>
      <c r="U80" s="229">
        <v>150</v>
      </c>
      <c r="V80" s="229">
        <v>150</v>
      </c>
      <c r="W80" s="229">
        <v>150</v>
      </c>
      <c r="X80" s="229">
        <v>150</v>
      </c>
      <c r="Y80" s="229">
        <v>150</v>
      </c>
      <c r="Z80" s="229">
        <v>150</v>
      </c>
      <c r="AA80" s="229">
        <v>150</v>
      </c>
      <c r="AB80" s="229">
        <v>150</v>
      </c>
      <c r="AC80" s="229">
        <v>150</v>
      </c>
      <c r="AD80" s="229">
        <v>150</v>
      </c>
      <c r="AE80" s="229">
        <v>150</v>
      </c>
      <c r="AF80" s="229">
        <v>150</v>
      </c>
      <c r="AG80" s="229">
        <v>150</v>
      </c>
      <c r="AH80" s="229">
        <v>150</v>
      </c>
      <c r="AI80" s="229">
        <v>150</v>
      </c>
      <c r="AJ80" s="229">
        <v>150</v>
      </c>
      <c r="AK80" s="229">
        <v>150</v>
      </c>
      <c r="AL80" s="229">
        <v>150</v>
      </c>
      <c r="AM80" s="229">
        <v>150</v>
      </c>
      <c r="AN80" s="229">
        <v>150</v>
      </c>
      <c r="AO80" s="229">
        <v>150</v>
      </c>
      <c r="AP80" s="229">
        <v>150</v>
      </c>
      <c r="AQ80" s="229">
        <v>150</v>
      </c>
      <c r="AR80" s="229">
        <v>150</v>
      </c>
      <c r="AS80" s="229">
        <v>150</v>
      </c>
      <c r="AT80" s="229">
        <v>150</v>
      </c>
      <c r="AU80" s="229">
        <v>150</v>
      </c>
      <c r="AV80" s="229">
        <v>150</v>
      </c>
      <c r="AW80" s="229">
        <v>150</v>
      </c>
      <c r="AX80" s="229">
        <v>150</v>
      </c>
      <c r="AY80" s="229">
        <v>150</v>
      </c>
      <c r="AZ80" s="229">
        <v>150</v>
      </c>
      <c r="BA80" s="229">
        <v>150</v>
      </c>
      <c r="BB80" s="229">
        <v>150</v>
      </c>
      <c r="BC80" s="229">
        <v>150</v>
      </c>
      <c r="BD80" s="229">
        <v>150</v>
      </c>
      <c r="BE80" s="229">
        <v>150</v>
      </c>
      <c r="BF80" s="229">
        <v>150</v>
      </c>
      <c r="BG80" s="229">
        <v>150</v>
      </c>
      <c r="BH80" s="229">
        <v>150</v>
      </c>
      <c r="BI80" s="229">
        <v>150</v>
      </c>
      <c r="BJ80" s="229">
        <v>150</v>
      </c>
      <c r="BK80" s="229">
        <v>150</v>
      </c>
      <c r="BL80" s="229">
        <v>150</v>
      </c>
      <c r="BM80" s="229">
        <v>150</v>
      </c>
      <c r="BN80" s="229">
        <v>150</v>
      </c>
      <c r="BO80" s="229">
        <v>150</v>
      </c>
      <c r="BP80" s="229">
        <v>150</v>
      </c>
      <c r="BQ80" s="229">
        <v>150</v>
      </c>
      <c r="BR80" s="229">
        <v>150</v>
      </c>
      <c r="BS80" s="229">
        <v>150</v>
      </c>
      <c r="BT80" s="229">
        <v>150</v>
      </c>
      <c r="BU80" s="229">
        <v>150</v>
      </c>
      <c r="BV80" s="229">
        <v>150</v>
      </c>
      <c r="BW80" s="229">
        <v>150</v>
      </c>
      <c r="BX80" s="229">
        <v>150</v>
      </c>
      <c r="BY80" s="229">
        <v>150</v>
      </c>
      <c r="BZ80" s="229">
        <v>150</v>
      </c>
      <c r="CA80" s="229">
        <v>150</v>
      </c>
    </row>
    <row r="81" spans="1:79" s="14" customFormat="1">
      <c r="A81" s="12" t="s">
        <v>2</v>
      </c>
      <c r="B81" s="17">
        <v>127</v>
      </c>
      <c r="C81" s="17">
        <v>127</v>
      </c>
      <c r="D81" s="17">
        <v>127</v>
      </c>
      <c r="E81" s="17">
        <v>127</v>
      </c>
      <c r="F81" s="17">
        <v>127</v>
      </c>
      <c r="G81" s="17">
        <v>127</v>
      </c>
      <c r="H81" s="17">
        <v>127</v>
      </c>
      <c r="I81" s="17">
        <v>127</v>
      </c>
      <c r="J81" s="17">
        <v>127</v>
      </c>
      <c r="K81" s="17">
        <v>127</v>
      </c>
      <c r="L81" s="17">
        <v>127</v>
      </c>
      <c r="M81" s="17">
        <v>127</v>
      </c>
      <c r="N81" s="17">
        <v>127</v>
      </c>
      <c r="O81" s="17">
        <v>127</v>
      </c>
      <c r="P81" s="17">
        <v>127</v>
      </c>
      <c r="Q81" s="17">
        <v>127</v>
      </c>
      <c r="R81" s="17">
        <v>127</v>
      </c>
      <c r="S81" s="17">
        <v>127</v>
      </c>
      <c r="T81" s="17">
        <v>127</v>
      </c>
      <c r="U81" s="17">
        <v>127</v>
      </c>
      <c r="V81" s="17">
        <v>127</v>
      </c>
      <c r="W81" s="17">
        <v>127</v>
      </c>
      <c r="X81" s="17">
        <v>127</v>
      </c>
      <c r="Y81" s="17">
        <v>127</v>
      </c>
      <c r="Z81" s="17">
        <v>127</v>
      </c>
      <c r="AA81" s="17">
        <v>127</v>
      </c>
      <c r="AB81" s="17">
        <v>127</v>
      </c>
      <c r="AC81" s="17">
        <v>127</v>
      </c>
      <c r="AD81" s="17">
        <v>127</v>
      </c>
      <c r="AE81" s="17">
        <v>127</v>
      </c>
      <c r="AF81" s="17">
        <v>127</v>
      </c>
      <c r="AG81" s="17">
        <v>127</v>
      </c>
      <c r="AH81" s="17">
        <v>127</v>
      </c>
      <c r="AI81" s="17">
        <v>127</v>
      </c>
      <c r="AJ81" s="17">
        <v>127</v>
      </c>
      <c r="AK81" s="17">
        <v>127</v>
      </c>
      <c r="AL81" s="17">
        <v>127</v>
      </c>
      <c r="AM81" s="17">
        <v>127</v>
      </c>
      <c r="AN81" s="17">
        <v>127</v>
      </c>
      <c r="AO81" s="17">
        <v>127</v>
      </c>
      <c r="AP81" s="17">
        <v>127</v>
      </c>
      <c r="AQ81" s="17">
        <v>127</v>
      </c>
      <c r="AR81" s="17">
        <v>127</v>
      </c>
      <c r="AS81" s="17">
        <v>127</v>
      </c>
      <c r="AT81" s="17">
        <v>127</v>
      </c>
      <c r="AU81" s="17">
        <v>127</v>
      </c>
      <c r="AV81" s="17">
        <v>127</v>
      </c>
      <c r="AW81" s="17">
        <v>127</v>
      </c>
      <c r="AX81" s="17">
        <v>127</v>
      </c>
      <c r="AY81" s="17">
        <v>127</v>
      </c>
      <c r="AZ81" s="17">
        <v>127</v>
      </c>
      <c r="BA81" s="17">
        <v>127</v>
      </c>
      <c r="BB81" s="17">
        <v>127</v>
      </c>
      <c r="BC81" s="17">
        <v>127</v>
      </c>
      <c r="BD81" s="17">
        <v>127</v>
      </c>
      <c r="BE81" s="17">
        <v>127</v>
      </c>
      <c r="BF81" s="17">
        <v>127</v>
      </c>
      <c r="BG81" s="17">
        <v>127</v>
      </c>
      <c r="BH81" s="17">
        <v>127</v>
      </c>
      <c r="BI81" s="17">
        <v>127</v>
      </c>
      <c r="BJ81" s="17">
        <v>127</v>
      </c>
      <c r="BK81" s="17">
        <v>127</v>
      </c>
      <c r="BL81" s="17">
        <v>127</v>
      </c>
      <c r="BM81" s="17">
        <v>127</v>
      </c>
      <c r="BN81" s="17">
        <v>127</v>
      </c>
      <c r="BO81" s="17">
        <v>127</v>
      </c>
      <c r="BP81" s="17">
        <v>127</v>
      </c>
      <c r="BQ81" s="17">
        <v>127</v>
      </c>
      <c r="BR81" s="17">
        <v>127</v>
      </c>
      <c r="BS81" s="17">
        <v>127</v>
      </c>
      <c r="BT81" s="17">
        <v>127</v>
      </c>
      <c r="BU81" s="17">
        <v>127</v>
      </c>
      <c r="BV81" s="17">
        <v>127</v>
      </c>
      <c r="BW81" s="17">
        <v>127</v>
      </c>
      <c r="BX81" s="17">
        <v>127</v>
      </c>
      <c r="BY81" s="17">
        <v>127</v>
      </c>
      <c r="BZ81" s="17">
        <v>127</v>
      </c>
      <c r="CA81" s="17">
        <v>127</v>
      </c>
    </row>
    <row r="82" spans="1:79" s="15" customFormat="1" ht="19.5" thickBot="1">
      <c r="A82" s="12" t="s">
        <v>3</v>
      </c>
      <c r="B82" s="17">
        <v>135</v>
      </c>
      <c r="C82" s="17">
        <v>135</v>
      </c>
      <c r="D82" s="17">
        <v>135</v>
      </c>
      <c r="E82" s="17">
        <v>135</v>
      </c>
      <c r="F82" s="17">
        <v>135</v>
      </c>
      <c r="G82" s="17">
        <v>135</v>
      </c>
      <c r="H82" s="17">
        <v>135</v>
      </c>
      <c r="I82" s="17">
        <v>135</v>
      </c>
      <c r="J82" s="17">
        <v>135</v>
      </c>
      <c r="K82" s="17">
        <v>135</v>
      </c>
      <c r="L82" s="17">
        <v>135</v>
      </c>
      <c r="M82" s="17">
        <v>135</v>
      </c>
      <c r="N82" s="17">
        <v>135</v>
      </c>
      <c r="O82" s="17">
        <v>135</v>
      </c>
      <c r="P82" s="17">
        <v>135</v>
      </c>
      <c r="Q82" s="17">
        <v>135</v>
      </c>
      <c r="R82" s="17">
        <v>135</v>
      </c>
      <c r="S82" s="17">
        <v>135</v>
      </c>
      <c r="T82" s="17">
        <v>135</v>
      </c>
      <c r="U82" s="17">
        <v>135</v>
      </c>
      <c r="V82" s="17">
        <v>135</v>
      </c>
      <c r="W82" s="17">
        <v>135</v>
      </c>
      <c r="X82" s="17">
        <v>135</v>
      </c>
      <c r="Y82" s="17">
        <v>135</v>
      </c>
      <c r="Z82" s="17">
        <v>135</v>
      </c>
      <c r="AA82" s="17">
        <v>135</v>
      </c>
      <c r="AB82" s="17">
        <v>135</v>
      </c>
      <c r="AC82" s="17">
        <v>135</v>
      </c>
      <c r="AD82" s="17">
        <v>135</v>
      </c>
      <c r="AE82" s="17">
        <v>135</v>
      </c>
      <c r="AF82" s="17">
        <v>135</v>
      </c>
      <c r="AG82" s="17">
        <v>135</v>
      </c>
      <c r="AH82" s="17">
        <v>135</v>
      </c>
      <c r="AI82" s="17">
        <v>135</v>
      </c>
      <c r="AJ82" s="17">
        <v>135</v>
      </c>
      <c r="AK82" s="17">
        <v>135</v>
      </c>
      <c r="AL82" s="17">
        <v>135</v>
      </c>
      <c r="AM82" s="17">
        <v>135</v>
      </c>
      <c r="AN82" s="17">
        <v>135</v>
      </c>
      <c r="AO82" s="17">
        <v>135</v>
      </c>
      <c r="AP82" s="17">
        <v>135</v>
      </c>
      <c r="AQ82" s="17">
        <v>135</v>
      </c>
      <c r="AR82" s="17">
        <v>135</v>
      </c>
      <c r="AS82" s="17">
        <v>135</v>
      </c>
      <c r="AT82" s="17">
        <v>135</v>
      </c>
      <c r="AU82" s="17">
        <v>135</v>
      </c>
      <c r="AV82" s="17">
        <v>135</v>
      </c>
      <c r="AW82" s="17">
        <v>135</v>
      </c>
      <c r="AX82" s="17">
        <v>135</v>
      </c>
      <c r="AY82" s="17">
        <v>135</v>
      </c>
      <c r="AZ82" s="17">
        <v>135</v>
      </c>
      <c r="BA82" s="17">
        <v>135</v>
      </c>
      <c r="BB82" s="17">
        <v>135</v>
      </c>
      <c r="BC82" s="17">
        <v>135</v>
      </c>
      <c r="BD82" s="17">
        <v>135</v>
      </c>
      <c r="BE82" s="17">
        <v>135</v>
      </c>
      <c r="BF82" s="17">
        <v>135</v>
      </c>
      <c r="BG82" s="17">
        <v>135</v>
      </c>
      <c r="BH82" s="17">
        <v>135</v>
      </c>
      <c r="BI82" s="17">
        <v>135</v>
      </c>
      <c r="BJ82" s="17">
        <v>135</v>
      </c>
      <c r="BK82" s="17">
        <v>135</v>
      </c>
      <c r="BL82" s="17">
        <v>135</v>
      </c>
      <c r="BM82" s="17">
        <v>135</v>
      </c>
      <c r="BN82" s="17">
        <v>135</v>
      </c>
      <c r="BO82" s="17">
        <v>135</v>
      </c>
      <c r="BP82" s="17">
        <v>135</v>
      </c>
      <c r="BQ82" s="17">
        <v>135</v>
      </c>
      <c r="BR82" s="17">
        <v>135</v>
      </c>
      <c r="BS82" s="17">
        <v>135</v>
      </c>
      <c r="BT82" s="17">
        <v>135</v>
      </c>
      <c r="BU82" s="17">
        <v>135</v>
      </c>
      <c r="BV82" s="17">
        <v>135</v>
      </c>
      <c r="BW82" s="17">
        <v>135</v>
      </c>
      <c r="BX82" s="17">
        <v>135</v>
      </c>
      <c r="BY82" s="17">
        <v>135</v>
      </c>
      <c r="BZ82" s="17">
        <v>135</v>
      </c>
      <c r="CA82" s="17">
        <v>135</v>
      </c>
    </row>
    <row r="83" spans="1:79" s="69" customFormat="1">
      <c r="A83" s="19" t="s">
        <v>4</v>
      </c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29">
        <v>140.25</v>
      </c>
      <c r="P83" s="129">
        <v>136.75</v>
      </c>
      <c r="Q83" s="129">
        <v>133</v>
      </c>
      <c r="R83" s="129">
        <v>138.5</v>
      </c>
      <c r="S83" s="129">
        <v>139.75</v>
      </c>
      <c r="T83" s="129">
        <v>142</v>
      </c>
      <c r="U83" s="129">
        <v>128</v>
      </c>
      <c r="V83" s="129">
        <v>144</v>
      </c>
      <c r="W83" s="129">
        <v>154</v>
      </c>
      <c r="X83" s="129">
        <v>140</v>
      </c>
      <c r="Y83" s="112">
        <v>150</v>
      </c>
      <c r="Z83" s="112">
        <v>150</v>
      </c>
      <c r="AA83" s="112">
        <v>153</v>
      </c>
      <c r="AB83" s="112">
        <v>132</v>
      </c>
      <c r="AC83" s="112">
        <v>147</v>
      </c>
      <c r="AD83" s="112">
        <v>137</v>
      </c>
      <c r="AE83" s="112">
        <v>133</v>
      </c>
      <c r="AF83" s="112">
        <v>139</v>
      </c>
      <c r="AG83" s="112">
        <v>131</v>
      </c>
      <c r="AH83" s="112">
        <v>141</v>
      </c>
      <c r="AI83" s="112">
        <v>139</v>
      </c>
      <c r="AJ83" s="112">
        <v>131</v>
      </c>
      <c r="AK83" s="112">
        <v>134</v>
      </c>
      <c r="AL83" s="112">
        <v>130</v>
      </c>
      <c r="AM83" s="112">
        <v>148</v>
      </c>
      <c r="AN83" s="112">
        <v>137</v>
      </c>
      <c r="AO83" s="112">
        <v>136</v>
      </c>
      <c r="AP83" s="112">
        <v>152</v>
      </c>
      <c r="AQ83" s="112">
        <v>143</v>
      </c>
      <c r="AR83" s="112">
        <v>148</v>
      </c>
      <c r="AS83" s="112">
        <v>139</v>
      </c>
      <c r="AT83" s="112">
        <v>142</v>
      </c>
      <c r="AU83" s="112">
        <v>146</v>
      </c>
      <c r="AV83" s="112">
        <v>155</v>
      </c>
      <c r="AW83" s="112">
        <v>155</v>
      </c>
      <c r="AX83" s="112">
        <v>141</v>
      </c>
      <c r="AY83" s="112">
        <v>140</v>
      </c>
      <c r="AZ83" s="112">
        <v>152</v>
      </c>
      <c r="BA83" s="112">
        <v>147</v>
      </c>
      <c r="BB83" s="112">
        <v>153</v>
      </c>
      <c r="BC83" s="112">
        <v>164</v>
      </c>
      <c r="BD83" s="112">
        <v>168</v>
      </c>
      <c r="BE83" s="112">
        <v>124</v>
      </c>
      <c r="BF83" s="112">
        <v>128</v>
      </c>
      <c r="BG83" s="112">
        <v>129</v>
      </c>
      <c r="BH83" s="112">
        <v>137</v>
      </c>
      <c r="BI83" s="112">
        <v>143</v>
      </c>
      <c r="BJ83" s="112"/>
      <c r="BK83" s="216"/>
    </row>
    <row r="84" spans="1:79" s="69" customFormat="1">
      <c r="A84" s="8" t="s">
        <v>97</v>
      </c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29"/>
      <c r="P84" s="129"/>
      <c r="Q84" s="129">
        <v>125</v>
      </c>
      <c r="R84" s="129">
        <v>124</v>
      </c>
      <c r="S84" s="129"/>
      <c r="T84" s="129"/>
      <c r="U84" s="129">
        <v>122.5</v>
      </c>
      <c r="V84" s="129"/>
      <c r="W84" s="129"/>
      <c r="X84" s="129"/>
      <c r="Y84" s="112"/>
      <c r="Z84" s="112"/>
      <c r="AA84" s="112"/>
      <c r="AB84" s="112">
        <v>124</v>
      </c>
      <c r="AC84" s="112"/>
      <c r="AD84" s="112"/>
      <c r="AE84" s="112"/>
      <c r="AF84" s="112">
        <v>123</v>
      </c>
      <c r="AG84" s="112"/>
      <c r="AH84" s="112"/>
      <c r="AI84" s="112"/>
      <c r="AJ84" s="112">
        <v>136</v>
      </c>
      <c r="AK84" s="112"/>
      <c r="AL84" s="112">
        <v>120</v>
      </c>
      <c r="AM84" s="112"/>
      <c r="AN84" s="112"/>
      <c r="AO84" s="112">
        <v>127</v>
      </c>
      <c r="AP84" s="112"/>
      <c r="AQ84" s="112"/>
      <c r="AR84" s="112"/>
      <c r="AS84" s="112"/>
      <c r="AT84" s="112"/>
      <c r="AU84" s="112"/>
      <c r="AV84" s="112"/>
      <c r="AW84" s="112"/>
      <c r="AX84" s="112">
        <v>122</v>
      </c>
      <c r="AY84" s="112">
        <v>129</v>
      </c>
      <c r="AZ84" s="112"/>
      <c r="BA84" s="112"/>
      <c r="BB84" s="112"/>
      <c r="BC84" s="112"/>
      <c r="BD84" s="112"/>
      <c r="BE84" s="112"/>
      <c r="BF84" s="112">
        <v>128</v>
      </c>
      <c r="BG84" s="112">
        <v>129</v>
      </c>
      <c r="BH84" s="112"/>
      <c r="BI84" s="112"/>
      <c r="BJ84" s="112"/>
      <c r="BK84" s="216"/>
    </row>
    <row r="85" spans="1:79" s="69" customFormat="1">
      <c r="A85" s="8" t="s">
        <v>98</v>
      </c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29">
        <v>143</v>
      </c>
      <c r="P85" s="129">
        <v>138</v>
      </c>
      <c r="Q85" s="129">
        <v>143</v>
      </c>
      <c r="R85" s="129">
        <v>148.5</v>
      </c>
      <c r="S85" s="129">
        <v>142</v>
      </c>
      <c r="T85" s="129">
        <v>144</v>
      </c>
      <c r="U85" s="129"/>
      <c r="V85" s="129">
        <v>144</v>
      </c>
      <c r="W85" s="129">
        <v>154</v>
      </c>
      <c r="X85" s="129">
        <v>140</v>
      </c>
      <c r="Y85" s="112">
        <v>150</v>
      </c>
      <c r="Z85" s="112">
        <v>150</v>
      </c>
      <c r="AA85" s="112">
        <v>153</v>
      </c>
      <c r="AB85" s="112">
        <v>137</v>
      </c>
      <c r="AC85" s="112">
        <v>151</v>
      </c>
      <c r="AD85" s="112">
        <v>138</v>
      </c>
      <c r="AE85" s="112">
        <v>138</v>
      </c>
      <c r="AF85" s="112">
        <v>144</v>
      </c>
      <c r="AG85" s="112"/>
      <c r="AH85" s="112">
        <v>142</v>
      </c>
      <c r="AI85" s="112">
        <v>142</v>
      </c>
      <c r="AJ85" s="112"/>
      <c r="AK85" s="112">
        <v>136</v>
      </c>
      <c r="AL85" s="112">
        <v>138</v>
      </c>
      <c r="AM85" s="112">
        <v>148</v>
      </c>
      <c r="AN85" s="112">
        <v>142</v>
      </c>
      <c r="AO85" s="112">
        <v>141</v>
      </c>
      <c r="AP85" s="112">
        <v>152</v>
      </c>
      <c r="AQ85" s="112">
        <v>143</v>
      </c>
      <c r="AR85" s="112">
        <v>148</v>
      </c>
      <c r="AS85" s="112">
        <v>139</v>
      </c>
      <c r="AT85" s="112">
        <v>145.5</v>
      </c>
      <c r="AU85" s="112">
        <v>146</v>
      </c>
      <c r="AV85" s="112">
        <v>155</v>
      </c>
      <c r="AW85" s="112">
        <v>155</v>
      </c>
      <c r="AX85" s="112">
        <v>152</v>
      </c>
      <c r="AY85" s="112">
        <v>153</v>
      </c>
      <c r="AZ85" s="112">
        <v>146</v>
      </c>
      <c r="BA85" s="112">
        <v>147</v>
      </c>
      <c r="BB85" s="112">
        <v>153</v>
      </c>
      <c r="BC85" s="112">
        <v>164</v>
      </c>
      <c r="BD85" s="112">
        <v>168</v>
      </c>
      <c r="BE85" s="112">
        <v>124</v>
      </c>
      <c r="BF85" s="112"/>
      <c r="BG85" s="112"/>
      <c r="BH85" s="112">
        <v>137</v>
      </c>
      <c r="BI85" s="112">
        <v>143</v>
      </c>
      <c r="BJ85" s="112"/>
      <c r="BK85" s="216"/>
    </row>
    <row r="86" spans="1:79" s="144" customFormat="1">
      <c r="A86" s="145" t="s">
        <v>71</v>
      </c>
      <c r="B86" s="80"/>
      <c r="C86" s="80"/>
      <c r="D86" s="146">
        <v>0.76</v>
      </c>
      <c r="E86" s="146">
        <v>0.76</v>
      </c>
      <c r="F86" s="146">
        <v>0.76</v>
      </c>
      <c r="G86" s="146">
        <v>0.76</v>
      </c>
      <c r="H86" s="146">
        <v>0.76</v>
      </c>
      <c r="I86" s="146">
        <v>0.76</v>
      </c>
      <c r="J86" s="146">
        <v>0.76</v>
      </c>
      <c r="K86" s="146">
        <v>0.76</v>
      </c>
      <c r="L86" s="146">
        <v>0.76</v>
      </c>
      <c r="M86" s="146">
        <v>0.76</v>
      </c>
      <c r="N86" s="146">
        <v>0.76</v>
      </c>
      <c r="O86" s="146">
        <v>0.76</v>
      </c>
      <c r="P86" s="146">
        <v>0.76</v>
      </c>
      <c r="Q86" s="146">
        <v>0.76</v>
      </c>
      <c r="R86" s="146">
        <v>0.76</v>
      </c>
      <c r="S86" s="146">
        <v>0.76</v>
      </c>
      <c r="T86" s="146">
        <v>0.76</v>
      </c>
      <c r="U86" s="146">
        <v>0.76</v>
      </c>
      <c r="V86" s="146">
        <v>0.76</v>
      </c>
      <c r="W86" s="146">
        <v>0.76</v>
      </c>
      <c r="X86" s="146">
        <v>0.76</v>
      </c>
      <c r="Y86" s="146">
        <v>0.76</v>
      </c>
      <c r="Z86" s="146">
        <v>0.76</v>
      </c>
      <c r="AA86" s="146">
        <v>0.76</v>
      </c>
      <c r="AB86" s="146">
        <v>0.76</v>
      </c>
      <c r="AC86" s="146">
        <v>0.76</v>
      </c>
      <c r="AD86" s="146">
        <v>0.76</v>
      </c>
      <c r="AE86" s="146">
        <v>0.76</v>
      </c>
      <c r="AF86" s="146">
        <v>0.76</v>
      </c>
      <c r="AG86" s="146">
        <v>0.76</v>
      </c>
      <c r="AH86" s="146">
        <v>0.76</v>
      </c>
      <c r="AI86" s="146">
        <v>0.76</v>
      </c>
      <c r="AJ86" s="146">
        <v>0.76</v>
      </c>
      <c r="AK86" s="146">
        <v>0.76</v>
      </c>
      <c r="AL86" s="146">
        <v>0.76</v>
      </c>
      <c r="AM86" s="146">
        <v>0.76</v>
      </c>
      <c r="AN86" s="146">
        <v>0.76</v>
      </c>
      <c r="AO86" s="146">
        <v>0.76</v>
      </c>
      <c r="AP86" s="146">
        <v>0.76</v>
      </c>
      <c r="AQ86" s="146">
        <v>0.76</v>
      </c>
      <c r="AR86" s="146">
        <v>0.76</v>
      </c>
      <c r="AS86" s="146">
        <v>0.76</v>
      </c>
      <c r="AT86" s="146">
        <v>0.76</v>
      </c>
      <c r="AU86" s="146">
        <v>0.76</v>
      </c>
      <c r="AV86" s="146">
        <v>0.76</v>
      </c>
      <c r="AW86" s="146">
        <v>0.76</v>
      </c>
      <c r="AX86" s="146">
        <v>0.76</v>
      </c>
      <c r="AY86" s="146">
        <v>0.76</v>
      </c>
      <c r="AZ86" s="146">
        <v>0.76</v>
      </c>
      <c r="BA86" s="146">
        <v>0.76</v>
      </c>
      <c r="BB86" s="146">
        <v>0.76</v>
      </c>
      <c r="BC86" s="146">
        <v>0.76</v>
      </c>
      <c r="BD86" s="146">
        <v>0.76</v>
      </c>
      <c r="BE86" s="146">
        <v>0.76</v>
      </c>
      <c r="BF86" s="146">
        <v>0.76</v>
      </c>
      <c r="BG86" s="146">
        <v>0.76</v>
      </c>
      <c r="BH86" s="146">
        <v>0.76</v>
      </c>
      <c r="BI86" s="146">
        <v>0.76</v>
      </c>
      <c r="BJ86" s="146">
        <v>0.76</v>
      </c>
      <c r="BK86" s="158">
        <v>0.76</v>
      </c>
      <c r="BL86" s="158">
        <v>0.76</v>
      </c>
      <c r="BM86" s="158">
        <v>0.76</v>
      </c>
      <c r="BN86" s="158">
        <v>0.76</v>
      </c>
      <c r="BO86" s="158">
        <v>0.76</v>
      </c>
      <c r="BP86" s="158">
        <v>0.76</v>
      </c>
      <c r="BQ86" s="158">
        <v>0.76</v>
      </c>
      <c r="BR86" s="158">
        <v>0.76</v>
      </c>
      <c r="BS86" s="158">
        <v>0.76</v>
      </c>
      <c r="BT86" s="158">
        <v>0.76</v>
      </c>
      <c r="BU86" s="158">
        <v>0.76</v>
      </c>
      <c r="BV86" s="158">
        <v>0.76</v>
      </c>
      <c r="BW86" s="158">
        <v>0.76</v>
      </c>
      <c r="BX86" s="158">
        <v>0.76</v>
      </c>
      <c r="BY86" s="158">
        <v>0.76</v>
      </c>
      <c r="BZ86" s="158">
        <v>0.76</v>
      </c>
      <c r="CA86" s="158">
        <v>0.76</v>
      </c>
    </row>
    <row r="87" spans="1:79" s="143" customFormat="1">
      <c r="A87" s="145" t="s">
        <v>30</v>
      </c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>
        <v>0.85699999999999998</v>
      </c>
      <c r="P87" s="142">
        <v>0.78500000000000003</v>
      </c>
      <c r="Q87" s="142">
        <v>0.76100000000000001</v>
      </c>
      <c r="R87" s="142">
        <f t="shared" ref="R87:AH87" si="349">(R83-P65)/21</f>
        <v>1.25</v>
      </c>
      <c r="S87" s="142">
        <f t="shared" si="349"/>
        <v>1.0952380952380953</v>
      </c>
      <c r="T87" s="142">
        <f>(T83-Q65)/21</f>
        <v>1.2023809523809523</v>
      </c>
      <c r="U87" s="197">
        <f t="shared" si="349"/>
        <v>0.17857142857142858</v>
      </c>
      <c r="V87" s="197">
        <f t="shared" si="349"/>
        <v>0.5357142857142857</v>
      </c>
      <c r="W87" s="197">
        <f t="shared" si="349"/>
        <v>1.5333333333333334</v>
      </c>
      <c r="X87" s="197">
        <f t="shared" si="349"/>
        <v>0.53333333333333277</v>
      </c>
      <c r="Y87" s="197">
        <f t="shared" si="349"/>
        <v>0.76190476190476186</v>
      </c>
      <c r="Z87" s="197"/>
      <c r="AA87" s="197"/>
      <c r="AB87" s="197"/>
      <c r="AC87" s="197"/>
      <c r="AD87" s="197"/>
      <c r="AE87" s="197">
        <f>(AE83-AC65)/21</f>
        <v>0.2857142857142857</v>
      </c>
      <c r="AF87" s="197">
        <v>0.56000000000000005</v>
      </c>
      <c r="AG87" s="197">
        <f t="shared" si="349"/>
        <v>0.5714285714285714</v>
      </c>
      <c r="AH87" s="142">
        <f t="shared" si="349"/>
        <v>1.1428571428571428</v>
      </c>
      <c r="AI87" s="142"/>
      <c r="AJ87" s="197">
        <v>0.71399999999999997</v>
      </c>
      <c r="AK87" s="197">
        <v>1.452</v>
      </c>
      <c r="AL87" s="197">
        <v>1.1950000000000001</v>
      </c>
      <c r="AM87" s="142">
        <v>1.33</v>
      </c>
      <c r="AN87" s="197">
        <v>1.085</v>
      </c>
      <c r="AO87" s="197">
        <v>0.80900000000000005</v>
      </c>
      <c r="AP87" s="197">
        <v>1.429</v>
      </c>
      <c r="AQ87" s="197">
        <v>1.143</v>
      </c>
      <c r="AR87" s="197">
        <v>1.238</v>
      </c>
      <c r="AS87" s="197">
        <v>0.95199999999999996</v>
      </c>
      <c r="AT87" s="197">
        <v>1.143</v>
      </c>
      <c r="AU87" s="197">
        <v>1.1419999999999999</v>
      </c>
      <c r="AV87" s="197">
        <v>1.095</v>
      </c>
      <c r="AW87" s="197">
        <v>1.048</v>
      </c>
      <c r="AX87" s="197">
        <v>0.38</v>
      </c>
      <c r="AY87" s="197">
        <v>1.4</v>
      </c>
      <c r="AZ87" s="197">
        <v>1.333</v>
      </c>
      <c r="BA87" s="197">
        <v>1.19</v>
      </c>
      <c r="BB87" s="197">
        <v>0.76100000000000001</v>
      </c>
      <c r="BC87" s="197">
        <v>1.33</v>
      </c>
      <c r="BD87" s="197">
        <v>1.19</v>
      </c>
      <c r="BE87" s="142"/>
      <c r="BF87" s="197">
        <v>0.85699999999999998</v>
      </c>
      <c r="BG87" s="197">
        <v>1.071</v>
      </c>
      <c r="BH87" s="197">
        <v>1.2849999999999999</v>
      </c>
      <c r="BI87" s="142">
        <v>1.333</v>
      </c>
      <c r="BJ87" s="142"/>
      <c r="BK87" s="159"/>
    </row>
    <row r="88" spans="1:79" s="143" customFormat="1">
      <c r="A88" s="145" t="s">
        <v>93</v>
      </c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96">
        <v>0.57099999999999995</v>
      </c>
      <c r="P88" s="196">
        <v>0.42899999999999999</v>
      </c>
      <c r="Q88" s="196">
        <v>0.61899999999999999</v>
      </c>
      <c r="R88" s="196">
        <v>0.33300000000000002</v>
      </c>
      <c r="S88" s="196"/>
      <c r="T88" s="112"/>
      <c r="U88" s="196"/>
      <c r="V88" s="196">
        <v>0.61899999999999999</v>
      </c>
      <c r="W88" s="196"/>
      <c r="X88" s="196">
        <v>0.47599999999999998</v>
      </c>
      <c r="Y88" s="196"/>
      <c r="Z88" s="196"/>
      <c r="AA88" s="196"/>
      <c r="AB88" s="196">
        <v>0.52400000000000002</v>
      </c>
      <c r="AC88" s="196"/>
      <c r="AD88" s="196">
        <v>0.50800000000000001</v>
      </c>
      <c r="AE88" s="196">
        <v>0.28999999999999998</v>
      </c>
      <c r="AF88" s="196">
        <v>0.45200000000000001</v>
      </c>
      <c r="AG88" s="196">
        <v>0.61899999999999999</v>
      </c>
      <c r="AH88" s="112"/>
      <c r="AI88" s="112"/>
      <c r="AJ88" s="196">
        <v>0.57099999999999995</v>
      </c>
      <c r="AK88" s="112"/>
      <c r="AL88" s="196"/>
      <c r="AM88" s="112"/>
      <c r="AN88" s="112"/>
      <c r="AO88" s="112">
        <v>0.57099999999999995</v>
      </c>
      <c r="AP88" s="112"/>
      <c r="AQ88" s="112"/>
      <c r="AR88" s="196"/>
      <c r="AS88" s="196"/>
      <c r="AT88" s="196"/>
      <c r="AU88" s="112"/>
      <c r="AV88" s="112"/>
      <c r="AW88" s="196"/>
      <c r="AX88" s="196">
        <v>0.38</v>
      </c>
      <c r="AY88" s="196"/>
      <c r="AZ88" s="196"/>
      <c r="BA88" s="196"/>
      <c r="BB88" s="196">
        <v>0.66700000000000004</v>
      </c>
      <c r="BC88" s="112"/>
      <c r="BD88" s="112"/>
      <c r="BE88" s="112"/>
      <c r="BF88" s="196">
        <v>0.57099999999999995</v>
      </c>
      <c r="BG88" s="112"/>
      <c r="BH88" s="112"/>
      <c r="BI88" s="112"/>
      <c r="BJ88" s="112"/>
      <c r="BK88" s="216"/>
    </row>
    <row r="89" spans="1:79" s="143" customFormat="1">
      <c r="A89" s="145" t="s">
        <v>94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>
        <v>1</v>
      </c>
      <c r="P89" s="196">
        <v>0.90500000000000003</v>
      </c>
      <c r="Q89" s="196">
        <v>0.80900000000000005</v>
      </c>
      <c r="R89" s="196">
        <v>1.095</v>
      </c>
      <c r="S89" s="198">
        <v>1.3089999999999999</v>
      </c>
      <c r="T89" s="196">
        <v>1.083</v>
      </c>
      <c r="U89" s="196">
        <v>1.06</v>
      </c>
      <c r="V89" s="196">
        <v>0.98399999999999999</v>
      </c>
      <c r="W89" s="196">
        <v>1.012</v>
      </c>
      <c r="X89" s="196">
        <v>0.92100000000000004</v>
      </c>
      <c r="Y89" s="196">
        <v>0.97599999999999998</v>
      </c>
      <c r="Z89" s="196">
        <v>0.82499999999999996</v>
      </c>
      <c r="AA89" s="196">
        <v>1.19</v>
      </c>
      <c r="AB89" s="196">
        <v>0.76</v>
      </c>
      <c r="AC89" s="196">
        <v>0.97099999999999997</v>
      </c>
      <c r="AD89" s="196">
        <v>1.048</v>
      </c>
      <c r="AE89" s="196"/>
      <c r="AF89" s="196"/>
      <c r="AG89" s="196">
        <v>0.85699999999999998</v>
      </c>
      <c r="AH89" s="112">
        <f t="shared" ref="AH89" si="350">(AH85-AF67)/21</f>
        <v>1.0952380952380953</v>
      </c>
      <c r="AI89" s="112">
        <v>1</v>
      </c>
      <c r="AJ89" s="112">
        <v>1</v>
      </c>
      <c r="AK89" s="196">
        <v>1.452</v>
      </c>
      <c r="AL89" s="112">
        <v>1.1950000000000001</v>
      </c>
      <c r="AM89" s="112">
        <v>1.33</v>
      </c>
      <c r="AN89" s="196">
        <v>1.085</v>
      </c>
      <c r="AO89" s="112">
        <v>0.90500000000000003</v>
      </c>
      <c r="AP89" s="112">
        <v>1.129</v>
      </c>
      <c r="AQ89" s="196">
        <v>1.143</v>
      </c>
      <c r="AR89" s="196">
        <v>1.238</v>
      </c>
      <c r="AS89" s="196">
        <v>0.95199999999999996</v>
      </c>
      <c r="AT89" s="196">
        <v>1.143</v>
      </c>
      <c r="AU89" s="196">
        <v>1.1419999999999999</v>
      </c>
      <c r="AV89" s="196">
        <v>1.095</v>
      </c>
      <c r="AW89" s="196">
        <v>1.048</v>
      </c>
      <c r="AX89" s="196"/>
      <c r="AY89" s="196">
        <v>1.4</v>
      </c>
      <c r="AZ89" s="196">
        <v>1.333</v>
      </c>
      <c r="BA89" s="196">
        <v>1.19</v>
      </c>
      <c r="BB89" s="196">
        <v>0.85699999999999998</v>
      </c>
      <c r="BC89" s="112"/>
      <c r="BD89" s="196">
        <v>1.19</v>
      </c>
      <c r="BE89" s="112"/>
      <c r="BF89" s="196">
        <v>1.19</v>
      </c>
      <c r="BG89" s="112">
        <v>1.071</v>
      </c>
      <c r="BH89" s="196">
        <v>1.2849999999999999</v>
      </c>
      <c r="BI89" s="112">
        <v>1.333</v>
      </c>
      <c r="BJ89" s="112"/>
      <c r="BK89" s="216"/>
    </row>
    <row r="90" spans="1:79" s="2" customFormat="1">
      <c r="A90" s="8" t="s">
        <v>5</v>
      </c>
      <c r="B90" s="96" t="e">
        <f>B91/(SUM(B91,B93,B95))</f>
        <v>#DIV/0!</v>
      </c>
      <c r="C90" s="96" t="e">
        <f t="shared" ref="C90:X90" si="351">C91/(SUM(C91,C93,C95))</f>
        <v>#DIV/0!</v>
      </c>
      <c r="D90" s="96" t="e">
        <f t="shared" si="351"/>
        <v>#DIV/0!</v>
      </c>
      <c r="E90" s="96" t="e">
        <f t="shared" si="351"/>
        <v>#DIV/0!</v>
      </c>
      <c r="F90" s="96" t="e">
        <f t="shared" si="351"/>
        <v>#DIV/0!</v>
      </c>
      <c r="G90" s="96" t="e">
        <f t="shared" si="351"/>
        <v>#DIV/0!</v>
      </c>
      <c r="H90" s="96" t="e">
        <f t="shared" si="351"/>
        <v>#DIV/0!</v>
      </c>
      <c r="I90" s="96" t="e">
        <f t="shared" si="351"/>
        <v>#DIV/0!</v>
      </c>
      <c r="J90" s="96" t="e">
        <f t="shared" si="351"/>
        <v>#DIV/0!</v>
      </c>
      <c r="K90" s="96" t="e">
        <f t="shared" si="351"/>
        <v>#DIV/0!</v>
      </c>
      <c r="L90" s="96" t="e">
        <f t="shared" si="351"/>
        <v>#DIV/0!</v>
      </c>
      <c r="M90" s="96" t="e">
        <f t="shared" si="351"/>
        <v>#DIV/0!</v>
      </c>
      <c r="N90" s="96" t="e">
        <f t="shared" si="351"/>
        <v>#DIV/0!</v>
      </c>
      <c r="O90" s="96">
        <f t="shared" si="351"/>
        <v>0.5</v>
      </c>
      <c r="P90" s="96">
        <f t="shared" si="351"/>
        <v>0.25</v>
      </c>
      <c r="Q90" s="96">
        <f t="shared" si="351"/>
        <v>0.75</v>
      </c>
      <c r="R90" s="96">
        <f t="shared" si="351"/>
        <v>0.25</v>
      </c>
      <c r="S90" s="96">
        <f t="shared" si="351"/>
        <v>0</v>
      </c>
      <c r="T90" s="96">
        <f t="shared" si="351"/>
        <v>0</v>
      </c>
      <c r="U90" s="96">
        <f t="shared" si="351"/>
        <v>0</v>
      </c>
      <c r="V90" s="96">
        <f t="shared" si="351"/>
        <v>0.25</v>
      </c>
      <c r="W90" s="96">
        <f t="shared" si="351"/>
        <v>0</v>
      </c>
      <c r="X90" s="96">
        <f t="shared" si="351"/>
        <v>0.25</v>
      </c>
      <c r="Y90" s="96">
        <f t="shared" ref="Y90" si="352">Y91/(SUM(Y91,Y93,Y95))</f>
        <v>0</v>
      </c>
      <c r="Z90" s="96">
        <f t="shared" ref="Z90" si="353">Z91/(SUM(Z91,Z93,Z95))</f>
        <v>0</v>
      </c>
      <c r="AA90" s="96">
        <f t="shared" ref="AA90" si="354">AA91/(SUM(AA91,AA93,AA95))</f>
        <v>0</v>
      </c>
      <c r="AB90" s="96">
        <f t="shared" ref="AB90" si="355">AB91/(SUM(AB91,AB93,AB95))</f>
        <v>0.33333333333333331</v>
      </c>
      <c r="AC90" s="96">
        <f t="shared" ref="AC90" si="356">AC91/(SUM(AC91,AC93,AC95))</f>
        <v>0</v>
      </c>
      <c r="AD90" s="96">
        <f t="shared" ref="AD90" si="357">AD91/(SUM(AD91,AD93,AD95))</f>
        <v>0</v>
      </c>
      <c r="AE90" s="96">
        <f t="shared" ref="AE90" si="358">AE91/(SUM(AE91,AE93,AE95))</f>
        <v>0</v>
      </c>
      <c r="AF90" s="96">
        <f t="shared" ref="AF90" si="359">AF91/(SUM(AF91,AF93,AF95))</f>
        <v>0.25</v>
      </c>
      <c r="AG90" s="96" t="e">
        <f t="shared" ref="AG90" si="360">AG91/(SUM(AG91,AG93,AG95))</f>
        <v>#DIV/0!</v>
      </c>
      <c r="AH90" s="96">
        <f t="shared" ref="AH90" si="361">AH91/(SUM(AH91,AH93,AH95))</f>
        <v>0</v>
      </c>
      <c r="AI90" s="96">
        <f t="shared" ref="AI90" si="362">AI91/(SUM(AI91,AI93,AI95))</f>
        <v>0</v>
      </c>
      <c r="AJ90" s="96">
        <f t="shared" ref="AJ90" si="363">AJ91/(SUM(AJ91,AJ93,AJ95))</f>
        <v>0</v>
      </c>
      <c r="AK90" s="96">
        <f t="shared" ref="AK90" si="364">AK91/(SUM(AK91,AK93,AK95))</f>
        <v>0</v>
      </c>
      <c r="AL90" s="96">
        <f t="shared" ref="AL90" si="365">AL91/(SUM(AL91,AL93,AL95))</f>
        <v>0.33333333333333331</v>
      </c>
      <c r="AM90" s="96">
        <f t="shared" ref="AM90" si="366">AM91/(SUM(AM91,AM93,AM95))</f>
        <v>0</v>
      </c>
      <c r="AN90" s="96">
        <f t="shared" ref="AN90" si="367">AN91/(SUM(AN91,AN93,AN95))</f>
        <v>0</v>
      </c>
      <c r="AO90" s="96">
        <f t="shared" ref="AO90" si="368">AO91/(SUM(AO91,AO93,AO95))</f>
        <v>0</v>
      </c>
      <c r="AP90" s="96">
        <f t="shared" ref="AP90" si="369">AP91/(SUM(AP91,AP93,AP95))</f>
        <v>0</v>
      </c>
      <c r="AQ90" s="96">
        <f t="shared" ref="AQ90" si="370">AQ91/(SUM(AQ91,AQ93,AQ95))</f>
        <v>0</v>
      </c>
      <c r="AR90" s="96">
        <f t="shared" ref="AR90" si="371">AR91/(SUM(AR91,AR93,AR95))</f>
        <v>0</v>
      </c>
      <c r="AS90" s="96">
        <f t="shared" ref="AS90" si="372">AS91/(SUM(AS91,AS93,AS95))</f>
        <v>0</v>
      </c>
      <c r="AT90" s="96">
        <f t="shared" ref="AT90" si="373">AT91/(SUM(AT91,AT93,AT95))</f>
        <v>0</v>
      </c>
      <c r="AU90" s="96">
        <f t="shared" ref="AU90" si="374">AU91/(SUM(AU91,AU93,AU95))</f>
        <v>0</v>
      </c>
      <c r="AV90" s="96">
        <f t="shared" ref="AV90" si="375">AV91/(SUM(AV91,AV93,AV95))</f>
        <v>0</v>
      </c>
      <c r="AW90" s="96">
        <f t="shared" ref="AW90" si="376">AW91/(SUM(AW91,AW93,AW95))</f>
        <v>0</v>
      </c>
      <c r="AX90" s="96">
        <f t="shared" ref="AX90" si="377">AX91/(SUM(AX91,AX93,AX95))</f>
        <v>0.33333333333333331</v>
      </c>
      <c r="AY90" s="96">
        <f t="shared" ref="AY90" si="378">AY91/(SUM(AY91,AY93,AY95))</f>
        <v>0.33333333333333331</v>
      </c>
      <c r="AZ90" s="96">
        <f t="shared" ref="AZ90" si="379">AZ91/(SUM(AZ91,AZ93,AZ95))</f>
        <v>0</v>
      </c>
      <c r="BA90" s="96">
        <f t="shared" ref="BA90" si="380">BA91/(SUM(BA91,BA93,BA95))</f>
        <v>0</v>
      </c>
      <c r="BB90" s="96">
        <f t="shared" ref="BB90" si="381">BB91/(SUM(BB91,BB93,BB95))</f>
        <v>0.33333333333333331</v>
      </c>
      <c r="BC90" s="96">
        <f t="shared" ref="BC90" si="382">BC91/(SUM(BC91,BC93,BC95))</f>
        <v>0</v>
      </c>
      <c r="BD90" s="96">
        <f t="shared" ref="BD90" si="383">BD91/(SUM(BD91,BD93,BD95))</f>
        <v>0</v>
      </c>
      <c r="BE90" s="96">
        <f t="shared" ref="BE90" si="384">BE91/(SUM(BE91,BE93,BE95))</f>
        <v>1</v>
      </c>
      <c r="BF90" s="96">
        <f t="shared" ref="BF90" si="385">BF91/(SUM(BF91,BF93,BF95))</f>
        <v>1</v>
      </c>
      <c r="BG90" s="96">
        <f t="shared" ref="BG90" si="386">BG91/(SUM(BG91,BG93,BG95))</f>
        <v>1</v>
      </c>
      <c r="BH90" s="96">
        <f t="shared" ref="BH90" si="387">BH91/(SUM(BH91,BH93,BH95))</f>
        <v>0</v>
      </c>
      <c r="BI90" s="96">
        <f t="shared" ref="BI90" si="388">BI91/(SUM(BI91,BI93,BI95))</f>
        <v>0</v>
      </c>
      <c r="BJ90" s="96" t="e">
        <f t="shared" ref="BJ90" si="389">BJ91/(SUM(BJ91,BJ93,BJ95))</f>
        <v>#DIV/0!</v>
      </c>
      <c r="BK90" s="97" t="e">
        <f t="shared" ref="BK90:CA90" si="390">BK91/(SUM(BK91,BK93,BK95))</f>
        <v>#DIV/0!</v>
      </c>
      <c r="BL90" s="97" t="e">
        <f t="shared" si="390"/>
        <v>#DIV/0!</v>
      </c>
      <c r="BM90" s="97" t="e">
        <f t="shared" si="390"/>
        <v>#DIV/0!</v>
      </c>
      <c r="BN90" s="97" t="e">
        <f t="shared" si="390"/>
        <v>#DIV/0!</v>
      </c>
      <c r="BO90" s="97" t="e">
        <f t="shared" si="390"/>
        <v>#DIV/0!</v>
      </c>
      <c r="BP90" s="97" t="e">
        <f t="shared" si="390"/>
        <v>#DIV/0!</v>
      </c>
      <c r="BQ90" s="97" t="e">
        <f t="shared" si="390"/>
        <v>#DIV/0!</v>
      </c>
      <c r="BR90" s="97" t="e">
        <f t="shared" si="390"/>
        <v>#DIV/0!</v>
      </c>
      <c r="BS90" s="97" t="e">
        <f t="shared" si="390"/>
        <v>#DIV/0!</v>
      </c>
      <c r="BT90" s="97" t="e">
        <f t="shared" si="390"/>
        <v>#DIV/0!</v>
      </c>
      <c r="BU90" s="97" t="e">
        <f t="shared" si="390"/>
        <v>#DIV/0!</v>
      </c>
      <c r="BV90" s="97" t="e">
        <f t="shared" si="390"/>
        <v>#DIV/0!</v>
      </c>
      <c r="BW90" s="97" t="e">
        <f t="shared" si="390"/>
        <v>#DIV/0!</v>
      </c>
      <c r="BX90" s="97" t="e">
        <f t="shared" si="390"/>
        <v>#DIV/0!</v>
      </c>
      <c r="BY90" s="97" t="e">
        <f t="shared" si="390"/>
        <v>#DIV/0!</v>
      </c>
      <c r="BZ90" s="97" t="e">
        <f t="shared" si="390"/>
        <v>#DIV/0!</v>
      </c>
      <c r="CA90" s="97" t="e">
        <f t="shared" si="390"/>
        <v>#DIV/0!</v>
      </c>
    </row>
    <row r="91" spans="1:79" s="83" customFormat="1">
      <c r="A91" s="19" t="s">
        <v>6</v>
      </c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167">
        <v>2</v>
      </c>
      <c r="P91" s="167">
        <v>1</v>
      </c>
      <c r="Q91" s="167">
        <v>3</v>
      </c>
      <c r="R91" s="167">
        <v>1</v>
      </c>
      <c r="S91" s="167"/>
      <c r="T91" s="167"/>
      <c r="U91" s="167"/>
      <c r="V91" s="167">
        <v>1</v>
      </c>
      <c r="W91" s="167"/>
      <c r="X91" s="167">
        <v>1</v>
      </c>
      <c r="Y91" s="98"/>
      <c r="Z91" s="98"/>
      <c r="AA91" s="98"/>
      <c r="AB91" s="98">
        <v>1</v>
      </c>
      <c r="AC91" s="98"/>
      <c r="AD91" s="98"/>
      <c r="AE91" s="98"/>
      <c r="AF91" s="98">
        <v>1</v>
      </c>
      <c r="AG91" s="98"/>
      <c r="AH91" s="99"/>
      <c r="AI91" s="98"/>
      <c r="AJ91" s="98">
        <v>0</v>
      </c>
      <c r="AK91" s="98"/>
      <c r="AL91" s="98">
        <v>1</v>
      </c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>
        <v>1</v>
      </c>
      <c r="AY91" s="98">
        <v>1</v>
      </c>
      <c r="AZ91" s="98"/>
      <c r="BA91" s="98"/>
      <c r="BB91" s="98">
        <v>1</v>
      </c>
      <c r="BC91" s="98"/>
      <c r="BD91" s="98"/>
      <c r="BE91" s="98">
        <v>3</v>
      </c>
      <c r="BF91" s="98">
        <v>5</v>
      </c>
      <c r="BG91" s="98">
        <v>4</v>
      </c>
      <c r="BH91" s="98"/>
      <c r="BI91" s="98"/>
      <c r="BJ91" s="98"/>
      <c r="BK91" s="209"/>
    </row>
    <row r="92" spans="1:79" s="2" customFormat="1">
      <c r="A92" s="8" t="s">
        <v>7</v>
      </c>
      <c r="B92" s="96" t="e">
        <f>B93/(SUM(B91,B93,B95))</f>
        <v>#DIV/0!</v>
      </c>
      <c r="C92" s="96" t="e">
        <f t="shared" ref="C92:BB92" si="391">C93/(SUM(C91,C93,C95))</f>
        <v>#DIV/0!</v>
      </c>
      <c r="D92" s="96" t="e">
        <f t="shared" si="391"/>
        <v>#DIV/0!</v>
      </c>
      <c r="E92" s="96" t="e">
        <f t="shared" si="391"/>
        <v>#DIV/0!</v>
      </c>
      <c r="F92" s="96" t="e">
        <f t="shared" si="391"/>
        <v>#DIV/0!</v>
      </c>
      <c r="G92" s="96" t="e">
        <f t="shared" si="391"/>
        <v>#DIV/0!</v>
      </c>
      <c r="H92" s="96" t="e">
        <f t="shared" si="391"/>
        <v>#DIV/0!</v>
      </c>
      <c r="I92" s="96" t="e">
        <f t="shared" si="391"/>
        <v>#DIV/0!</v>
      </c>
      <c r="J92" s="96" t="e">
        <f t="shared" si="391"/>
        <v>#DIV/0!</v>
      </c>
      <c r="K92" s="96" t="e">
        <f t="shared" si="391"/>
        <v>#DIV/0!</v>
      </c>
      <c r="L92" s="96" t="e">
        <f t="shared" si="391"/>
        <v>#DIV/0!</v>
      </c>
      <c r="M92" s="96" t="e">
        <f t="shared" si="391"/>
        <v>#DIV/0!</v>
      </c>
      <c r="N92" s="96" t="e">
        <f t="shared" si="391"/>
        <v>#DIV/0!</v>
      </c>
      <c r="O92" s="96">
        <f t="shared" si="391"/>
        <v>0</v>
      </c>
      <c r="P92" s="96">
        <f t="shared" si="391"/>
        <v>0</v>
      </c>
      <c r="Q92" s="96">
        <f t="shared" si="391"/>
        <v>0</v>
      </c>
      <c r="R92" s="96">
        <f t="shared" si="391"/>
        <v>0</v>
      </c>
      <c r="S92" s="96">
        <f t="shared" si="391"/>
        <v>0</v>
      </c>
      <c r="T92" s="96">
        <f t="shared" si="391"/>
        <v>0</v>
      </c>
      <c r="U92" s="96">
        <f t="shared" si="391"/>
        <v>0</v>
      </c>
      <c r="V92" s="96">
        <f t="shared" si="391"/>
        <v>0</v>
      </c>
      <c r="W92" s="96">
        <f t="shared" si="391"/>
        <v>0</v>
      </c>
      <c r="X92" s="96">
        <f t="shared" si="391"/>
        <v>0</v>
      </c>
      <c r="Y92" s="96">
        <f t="shared" si="391"/>
        <v>0</v>
      </c>
      <c r="Z92" s="96">
        <v>0</v>
      </c>
      <c r="AA92" s="96">
        <f t="shared" si="391"/>
        <v>0</v>
      </c>
      <c r="AB92" s="96">
        <f t="shared" si="391"/>
        <v>0.33333333333333331</v>
      </c>
      <c r="AC92" s="96">
        <f t="shared" si="391"/>
        <v>0.2</v>
      </c>
      <c r="AD92" s="96">
        <f t="shared" si="391"/>
        <v>0.5</v>
      </c>
      <c r="AE92" s="96">
        <f t="shared" si="391"/>
        <v>0.5</v>
      </c>
      <c r="AF92" s="96">
        <f t="shared" si="391"/>
        <v>0</v>
      </c>
      <c r="AG92" s="96">
        <v>0.04</v>
      </c>
      <c r="AH92" s="96">
        <f t="shared" si="391"/>
        <v>0.25</v>
      </c>
      <c r="AI92" s="96">
        <f t="shared" si="391"/>
        <v>0.25</v>
      </c>
      <c r="AJ92" s="96">
        <f t="shared" si="391"/>
        <v>0.66666666666666663</v>
      </c>
      <c r="AK92" s="96">
        <f t="shared" si="391"/>
        <v>0.66666666666666663</v>
      </c>
      <c r="AL92" s="96">
        <f t="shared" si="391"/>
        <v>0.33333333333333331</v>
      </c>
      <c r="AM92" s="96">
        <f t="shared" si="391"/>
        <v>0</v>
      </c>
      <c r="AN92" s="96">
        <f t="shared" si="391"/>
        <v>0.33333333333333331</v>
      </c>
      <c r="AO92" s="96">
        <f t="shared" si="391"/>
        <v>0.33333333333333331</v>
      </c>
      <c r="AP92" s="96">
        <f t="shared" si="391"/>
        <v>0</v>
      </c>
      <c r="AQ92" s="96">
        <f t="shared" si="391"/>
        <v>0</v>
      </c>
      <c r="AR92" s="96">
        <f t="shared" si="391"/>
        <v>0</v>
      </c>
      <c r="AS92" s="96">
        <f t="shared" si="391"/>
        <v>0</v>
      </c>
      <c r="AT92" s="96">
        <f t="shared" si="391"/>
        <v>0.33333333333333331</v>
      </c>
      <c r="AU92" s="96">
        <f t="shared" si="391"/>
        <v>0</v>
      </c>
      <c r="AV92" s="96">
        <f t="shared" si="391"/>
        <v>0</v>
      </c>
      <c r="AW92" s="96">
        <f t="shared" si="391"/>
        <v>0</v>
      </c>
      <c r="AX92" s="96">
        <f t="shared" si="391"/>
        <v>0</v>
      </c>
      <c r="AY92" s="96">
        <f t="shared" si="391"/>
        <v>0.33333333333333331</v>
      </c>
      <c r="AZ92" s="96">
        <f t="shared" si="391"/>
        <v>0.66666666666666663</v>
      </c>
      <c r="BA92" s="96">
        <f t="shared" si="391"/>
        <v>0</v>
      </c>
      <c r="BB92" s="96">
        <f t="shared" si="391"/>
        <v>0.33333333333333331</v>
      </c>
      <c r="BC92" s="96">
        <f t="shared" ref="BC92:CA92" si="392">BC93/(SUM(BC91,BC93,BC95))</f>
        <v>0</v>
      </c>
      <c r="BD92" s="96">
        <f t="shared" si="392"/>
        <v>0</v>
      </c>
      <c r="BE92" s="96">
        <f t="shared" si="392"/>
        <v>0</v>
      </c>
      <c r="BF92" s="96">
        <f t="shared" si="392"/>
        <v>0</v>
      </c>
      <c r="BG92" s="96">
        <f t="shared" si="392"/>
        <v>0</v>
      </c>
      <c r="BH92" s="96">
        <f t="shared" si="392"/>
        <v>0</v>
      </c>
      <c r="BI92" s="96">
        <f t="shared" si="392"/>
        <v>0</v>
      </c>
      <c r="BJ92" s="96" t="e">
        <f t="shared" si="392"/>
        <v>#DIV/0!</v>
      </c>
      <c r="BK92" s="97" t="e">
        <f t="shared" si="392"/>
        <v>#DIV/0!</v>
      </c>
      <c r="BL92" s="97" t="e">
        <f t="shared" si="392"/>
        <v>#DIV/0!</v>
      </c>
      <c r="BM92" s="97" t="e">
        <f t="shared" si="392"/>
        <v>#DIV/0!</v>
      </c>
      <c r="BN92" s="97" t="e">
        <f t="shared" si="392"/>
        <v>#DIV/0!</v>
      </c>
      <c r="BO92" s="97" t="e">
        <f t="shared" si="392"/>
        <v>#DIV/0!</v>
      </c>
      <c r="BP92" s="97" t="e">
        <f t="shared" si="392"/>
        <v>#DIV/0!</v>
      </c>
      <c r="BQ92" s="97" t="e">
        <f t="shared" si="392"/>
        <v>#DIV/0!</v>
      </c>
      <c r="BR92" s="97" t="e">
        <f t="shared" si="392"/>
        <v>#DIV/0!</v>
      </c>
      <c r="BS92" s="97" t="e">
        <f t="shared" si="392"/>
        <v>#DIV/0!</v>
      </c>
      <c r="BT92" s="97" t="e">
        <f t="shared" si="392"/>
        <v>#DIV/0!</v>
      </c>
      <c r="BU92" s="97" t="e">
        <f t="shared" si="392"/>
        <v>#DIV/0!</v>
      </c>
      <c r="BV92" s="97" t="e">
        <f t="shared" si="392"/>
        <v>#DIV/0!</v>
      </c>
      <c r="BW92" s="97" t="e">
        <f t="shared" si="392"/>
        <v>#DIV/0!</v>
      </c>
      <c r="BX92" s="97" t="e">
        <f t="shared" si="392"/>
        <v>#DIV/0!</v>
      </c>
      <c r="BY92" s="97" t="e">
        <f t="shared" si="392"/>
        <v>#DIV/0!</v>
      </c>
      <c r="BZ92" s="97" t="e">
        <f t="shared" si="392"/>
        <v>#DIV/0!</v>
      </c>
      <c r="CA92" s="97" t="e">
        <f t="shared" si="392"/>
        <v>#DIV/0!</v>
      </c>
    </row>
    <row r="93" spans="1:79" s="83" customFormat="1">
      <c r="A93" s="19" t="s">
        <v>8</v>
      </c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167">
        <v>0</v>
      </c>
      <c r="P93" s="167">
        <v>0</v>
      </c>
      <c r="Q93" s="167">
        <v>0</v>
      </c>
      <c r="R93" s="167"/>
      <c r="S93" s="167"/>
      <c r="T93" s="167"/>
      <c r="U93" s="167"/>
      <c r="V93" s="167"/>
      <c r="W93" s="167"/>
      <c r="X93" s="167"/>
      <c r="Y93" s="98"/>
      <c r="Z93" s="98"/>
      <c r="AA93" s="98"/>
      <c r="AB93" s="98">
        <v>1</v>
      </c>
      <c r="AC93" s="98">
        <v>1</v>
      </c>
      <c r="AD93" s="98">
        <v>2</v>
      </c>
      <c r="AE93" s="98">
        <v>2</v>
      </c>
      <c r="AF93" s="98"/>
      <c r="AG93" s="98"/>
      <c r="AH93" s="99">
        <v>1</v>
      </c>
      <c r="AI93" s="98">
        <v>1</v>
      </c>
      <c r="AJ93" s="98">
        <v>2</v>
      </c>
      <c r="AK93" s="98">
        <v>2</v>
      </c>
      <c r="AL93" s="98">
        <v>1</v>
      </c>
      <c r="AM93" s="98"/>
      <c r="AN93" s="98">
        <v>1</v>
      </c>
      <c r="AO93" s="98">
        <v>1</v>
      </c>
      <c r="AP93" s="98"/>
      <c r="AQ93" s="98"/>
      <c r="AR93" s="98"/>
      <c r="AS93" s="98"/>
      <c r="AT93" s="98">
        <v>1</v>
      </c>
      <c r="AU93" s="98"/>
      <c r="AV93" s="98"/>
      <c r="AW93" s="98"/>
      <c r="AX93" s="98"/>
      <c r="AY93" s="98">
        <v>1</v>
      </c>
      <c r="AZ93" s="98">
        <v>2</v>
      </c>
      <c r="BA93" s="98"/>
      <c r="BB93" s="98">
        <v>1</v>
      </c>
      <c r="BC93" s="98"/>
      <c r="BD93" s="98"/>
      <c r="BE93" s="98"/>
      <c r="BF93" s="98"/>
      <c r="BG93" s="98"/>
      <c r="BH93" s="98"/>
      <c r="BI93" s="98"/>
      <c r="BJ93" s="98"/>
      <c r="BK93" s="209"/>
    </row>
    <row r="94" spans="1:79" s="2" customFormat="1">
      <c r="A94" s="8" t="s">
        <v>9</v>
      </c>
      <c r="B94" s="96" t="e">
        <f>B95/(SUM(B91,B93,B95))</f>
        <v>#DIV/0!</v>
      </c>
      <c r="C94" s="96" t="e">
        <f t="shared" ref="C94:BB94" si="393">C95/(SUM(C91,C93,C95))</f>
        <v>#DIV/0!</v>
      </c>
      <c r="D94" s="96" t="e">
        <f t="shared" si="393"/>
        <v>#DIV/0!</v>
      </c>
      <c r="E94" s="96" t="e">
        <f t="shared" si="393"/>
        <v>#DIV/0!</v>
      </c>
      <c r="F94" s="96" t="e">
        <f t="shared" si="393"/>
        <v>#DIV/0!</v>
      </c>
      <c r="G94" s="96" t="e">
        <f t="shared" si="393"/>
        <v>#DIV/0!</v>
      </c>
      <c r="H94" s="96" t="e">
        <f t="shared" si="393"/>
        <v>#DIV/0!</v>
      </c>
      <c r="I94" s="96" t="e">
        <f t="shared" si="393"/>
        <v>#DIV/0!</v>
      </c>
      <c r="J94" s="96" t="e">
        <f t="shared" si="393"/>
        <v>#DIV/0!</v>
      </c>
      <c r="K94" s="96" t="e">
        <f t="shared" si="393"/>
        <v>#DIV/0!</v>
      </c>
      <c r="L94" s="96" t="e">
        <f t="shared" si="393"/>
        <v>#DIV/0!</v>
      </c>
      <c r="M94" s="96" t="e">
        <f t="shared" si="393"/>
        <v>#DIV/0!</v>
      </c>
      <c r="N94" s="96" t="e">
        <f t="shared" si="393"/>
        <v>#DIV/0!</v>
      </c>
      <c r="O94" s="96">
        <f t="shared" si="393"/>
        <v>0.5</v>
      </c>
      <c r="P94" s="96">
        <f t="shared" si="393"/>
        <v>0.75</v>
      </c>
      <c r="Q94" s="96">
        <f t="shared" si="393"/>
        <v>0.25</v>
      </c>
      <c r="R94" s="96">
        <f t="shared" si="393"/>
        <v>0.75</v>
      </c>
      <c r="S94" s="96">
        <f t="shared" si="393"/>
        <v>1</v>
      </c>
      <c r="T94" s="96">
        <f t="shared" si="393"/>
        <v>1</v>
      </c>
      <c r="U94" s="96">
        <f t="shared" si="393"/>
        <v>1</v>
      </c>
      <c r="V94" s="96">
        <f t="shared" si="393"/>
        <v>0.75</v>
      </c>
      <c r="W94" s="96">
        <f t="shared" si="393"/>
        <v>1</v>
      </c>
      <c r="X94" s="96">
        <f t="shared" si="393"/>
        <v>0.75</v>
      </c>
      <c r="Y94" s="96">
        <f t="shared" si="393"/>
        <v>1</v>
      </c>
      <c r="Z94" s="96">
        <f t="shared" si="393"/>
        <v>1</v>
      </c>
      <c r="AA94" s="96">
        <f t="shared" si="393"/>
        <v>1</v>
      </c>
      <c r="AB94" s="96">
        <f t="shared" si="393"/>
        <v>0.33333333333333331</v>
      </c>
      <c r="AC94" s="96">
        <f t="shared" si="393"/>
        <v>0.8</v>
      </c>
      <c r="AD94" s="96">
        <f t="shared" si="393"/>
        <v>0.5</v>
      </c>
      <c r="AE94" s="96">
        <f t="shared" si="393"/>
        <v>0.5</v>
      </c>
      <c r="AF94" s="96">
        <f t="shared" si="393"/>
        <v>0.75</v>
      </c>
      <c r="AG94" s="96" t="e">
        <f t="shared" si="393"/>
        <v>#DIV/0!</v>
      </c>
      <c r="AH94" s="96">
        <f t="shared" si="393"/>
        <v>0.75</v>
      </c>
      <c r="AI94" s="96">
        <f t="shared" si="393"/>
        <v>0.75</v>
      </c>
      <c r="AJ94" s="96">
        <f t="shared" si="393"/>
        <v>0.33333333333333331</v>
      </c>
      <c r="AK94" s="96">
        <f t="shared" si="393"/>
        <v>0.33333333333333331</v>
      </c>
      <c r="AL94" s="96">
        <f t="shared" si="393"/>
        <v>0.33333333333333331</v>
      </c>
      <c r="AM94" s="96">
        <f t="shared" si="393"/>
        <v>1</v>
      </c>
      <c r="AN94" s="96">
        <f t="shared" si="393"/>
        <v>0.66666666666666663</v>
      </c>
      <c r="AO94" s="96">
        <f t="shared" si="393"/>
        <v>0.66666666666666663</v>
      </c>
      <c r="AP94" s="96">
        <f t="shared" si="393"/>
        <v>1</v>
      </c>
      <c r="AQ94" s="96">
        <f t="shared" si="393"/>
        <v>1</v>
      </c>
      <c r="AR94" s="96">
        <f t="shared" si="393"/>
        <v>1</v>
      </c>
      <c r="AS94" s="96">
        <f t="shared" si="393"/>
        <v>1</v>
      </c>
      <c r="AT94" s="96">
        <f t="shared" si="393"/>
        <v>0.66666666666666663</v>
      </c>
      <c r="AU94" s="96">
        <f t="shared" si="393"/>
        <v>1</v>
      </c>
      <c r="AV94" s="96">
        <f t="shared" si="393"/>
        <v>1</v>
      </c>
      <c r="AW94" s="96">
        <f t="shared" si="393"/>
        <v>1</v>
      </c>
      <c r="AX94" s="96">
        <f t="shared" si="393"/>
        <v>0.66666666666666663</v>
      </c>
      <c r="AY94" s="96">
        <f t="shared" si="393"/>
        <v>0.33333333333333331</v>
      </c>
      <c r="AZ94" s="96">
        <f t="shared" si="393"/>
        <v>0.33333333333333331</v>
      </c>
      <c r="BA94" s="96">
        <f t="shared" si="393"/>
        <v>1</v>
      </c>
      <c r="BB94" s="96">
        <f t="shared" si="393"/>
        <v>0.33333333333333331</v>
      </c>
      <c r="BC94" s="96">
        <f t="shared" ref="BC94:CA94" si="394">BC95/(SUM(BC91,BC93,BC95))</f>
        <v>1</v>
      </c>
      <c r="BD94" s="96">
        <f t="shared" si="394"/>
        <v>1</v>
      </c>
      <c r="BE94" s="96">
        <f t="shared" si="394"/>
        <v>0</v>
      </c>
      <c r="BF94" s="96">
        <f t="shared" si="394"/>
        <v>0</v>
      </c>
      <c r="BG94" s="96">
        <f t="shared" si="394"/>
        <v>0</v>
      </c>
      <c r="BH94" s="96">
        <f t="shared" si="394"/>
        <v>1</v>
      </c>
      <c r="BI94" s="96">
        <f t="shared" si="394"/>
        <v>1</v>
      </c>
      <c r="BJ94" s="96" t="e">
        <f t="shared" si="394"/>
        <v>#DIV/0!</v>
      </c>
      <c r="BK94" s="97" t="e">
        <f t="shared" si="394"/>
        <v>#DIV/0!</v>
      </c>
      <c r="BL94" s="97" t="e">
        <f t="shared" si="394"/>
        <v>#DIV/0!</v>
      </c>
      <c r="BM94" s="97" t="e">
        <f t="shared" si="394"/>
        <v>#DIV/0!</v>
      </c>
      <c r="BN94" s="97" t="e">
        <f t="shared" si="394"/>
        <v>#DIV/0!</v>
      </c>
      <c r="BO94" s="97" t="e">
        <f t="shared" si="394"/>
        <v>#DIV/0!</v>
      </c>
      <c r="BP94" s="97" t="e">
        <f t="shared" si="394"/>
        <v>#DIV/0!</v>
      </c>
      <c r="BQ94" s="97" t="e">
        <f t="shared" si="394"/>
        <v>#DIV/0!</v>
      </c>
      <c r="BR94" s="97" t="e">
        <f t="shared" si="394"/>
        <v>#DIV/0!</v>
      </c>
      <c r="BS94" s="97" t="e">
        <f t="shared" si="394"/>
        <v>#DIV/0!</v>
      </c>
      <c r="BT94" s="97" t="e">
        <f t="shared" si="394"/>
        <v>#DIV/0!</v>
      </c>
      <c r="BU94" s="97" t="e">
        <f t="shared" si="394"/>
        <v>#DIV/0!</v>
      </c>
      <c r="BV94" s="97" t="e">
        <f t="shared" si="394"/>
        <v>#DIV/0!</v>
      </c>
      <c r="BW94" s="97" t="e">
        <f t="shared" si="394"/>
        <v>#DIV/0!</v>
      </c>
      <c r="BX94" s="97" t="e">
        <f t="shared" si="394"/>
        <v>#DIV/0!</v>
      </c>
      <c r="BY94" s="97" t="e">
        <f t="shared" si="394"/>
        <v>#DIV/0!</v>
      </c>
      <c r="BZ94" s="97" t="e">
        <f t="shared" si="394"/>
        <v>#DIV/0!</v>
      </c>
      <c r="CA94" s="97" t="e">
        <f t="shared" si="394"/>
        <v>#DIV/0!</v>
      </c>
    </row>
    <row r="95" spans="1:79" s="83" customFormat="1">
      <c r="A95" s="19" t="s">
        <v>10</v>
      </c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167">
        <v>2</v>
      </c>
      <c r="P95" s="167">
        <v>3</v>
      </c>
      <c r="Q95" s="167">
        <v>1</v>
      </c>
      <c r="R95" s="167">
        <v>3</v>
      </c>
      <c r="S95" s="167">
        <v>4</v>
      </c>
      <c r="T95" s="167">
        <v>4</v>
      </c>
      <c r="U95" s="167">
        <v>4</v>
      </c>
      <c r="V95" s="167">
        <v>3</v>
      </c>
      <c r="W95" s="167">
        <v>4</v>
      </c>
      <c r="X95" s="167">
        <v>3</v>
      </c>
      <c r="Y95" s="98">
        <v>4</v>
      </c>
      <c r="Z95" s="98">
        <v>3</v>
      </c>
      <c r="AA95" s="98">
        <v>4</v>
      </c>
      <c r="AB95" s="98">
        <v>1</v>
      </c>
      <c r="AC95" s="98">
        <v>4</v>
      </c>
      <c r="AD95" s="98">
        <v>2</v>
      </c>
      <c r="AE95" s="98">
        <v>2</v>
      </c>
      <c r="AF95" s="98">
        <v>3</v>
      </c>
      <c r="AG95" s="98">
        <v>0</v>
      </c>
      <c r="AH95" s="99">
        <v>3</v>
      </c>
      <c r="AI95" s="98">
        <v>3</v>
      </c>
      <c r="AJ95" s="98">
        <v>1</v>
      </c>
      <c r="AK95" s="98">
        <v>1</v>
      </c>
      <c r="AL95" s="98">
        <v>1</v>
      </c>
      <c r="AM95" s="98">
        <v>3</v>
      </c>
      <c r="AN95" s="98">
        <v>2</v>
      </c>
      <c r="AO95" s="98">
        <v>2</v>
      </c>
      <c r="AP95" s="98">
        <v>3</v>
      </c>
      <c r="AQ95" s="98">
        <v>3</v>
      </c>
      <c r="AR95" s="98">
        <v>3</v>
      </c>
      <c r="AS95" s="98">
        <v>3</v>
      </c>
      <c r="AT95" s="98">
        <v>2</v>
      </c>
      <c r="AU95" s="98">
        <v>3</v>
      </c>
      <c r="AV95" s="98">
        <v>3</v>
      </c>
      <c r="AW95" s="98">
        <v>3</v>
      </c>
      <c r="AX95" s="98">
        <v>2</v>
      </c>
      <c r="AY95" s="98">
        <v>1</v>
      </c>
      <c r="AZ95" s="98">
        <v>1</v>
      </c>
      <c r="BA95" s="98">
        <v>3</v>
      </c>
      <c r="BB95" s="98">
        <v>1</v>
      </c>
      <c r="BC95" s="98">
        <v>3</v>
      </c>
      <c r="BD95" s="98">
        <v>3</v>
      </c>
      <c r="BE95" s="98"/>
      <c r="BF95" s="98"/>
      <c r="BG95" s="98"/>
      <c r="BH95" s="98">
        <v>4</v>
      </c>
      <c r="BI95" s="98">
        <v>4</v>
      </c>
      <c r="BJ95" s="98"/>
      <c r="BK95" s="209"/>
    </row>
    <row r="96" spans="1:79" s="67" customFormat="1" ht="19.5" thickBot="1">
      <c r="A96" s="28" t="s">
        <v>29</v>
      </c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>
        <v>0.5</v>
      </c>
      <c r="P96" s="116">
        <v>0.75</v>
      </c>
      <c r="Q96" s="116">
        <v>0.75</v>
      </c>
      <c r="R96" s="116">
        <v>0.25</v>
      </c>
      <c r="S96" s="116">
        <v>0.75</v>
      </c>
      <c r="T96" s="116">
        <v>0.5</v>
      </c>
      <c r="U96" s="116">
        <v>0.75</v>
      </c>
      <c r="V96" s="116">
        <v>0.25</v>
      </c>
      <c r="W96" s="116">
        <v>0.75</v>
      </c>
      <c r="X96" s="116">
        <v>0.75</v>
      </c>
      <c r="Y96" s="116">
        <v>0.75</v>
      </c>
      <c r="Z96" s="116">
        <v>1</v>
      </c>
      <c r="AA96" s="116">
        <v>0.75</v>
      </c>
      <c r="AB96" s="116">
        <v>1</v>
      </c>
      <c r="AC96" s="116">
        <v>0.6</v>
      </c>
      <c r="AD96" s="116">
        <v>0.5</v>
      </c>
      <c r="AE96" s="116">
        <v>1</v>
      </c>
      <c r="AF96" s="116">
        <v>0.75</v>
      </c>
      <c r="AG96" s="116">
        <v>0.5</v>
      </c>
      <c r="AH96" s="116">
        <v>0.75</v>
      </c>
      <c r="AI96" s="116">
        <v>0.75</v>
      </c>
      <c r="AJ96" s="116">
        <v>1</v>
      </c>
      <c r="AK96" s="116">
        <v>1</v>
      </c>
      <c r="AL96" s="116">
        <v>1</v>
      </c>
      <c r="AM96" s="116">
        <v>1</v>
      </c>
      <c r="AN96" s="116">
        <v>1</v>
      </c>
      <c r="AO96" s="116">
        <v>1</v>
      </c>
      <c r="AP96" s="116">
        <v>1</v>
      </c>
      <c r="AQ96" s="116">
        <v>1</v>
      </c>
      <c r="AR96" s="116">
        <v>1</v>
      </c>
      <c r="AS96" s="116">
        <v>1</v>
      </c>
      <c r="AT96" s="116">
        <v>1</v>
      </c>
      <c r="AU96" s="116">
        <v>1</v>
      </c>
      <c r="AV96" s="116">
        <v>1</v>
      </c>
      <c r="AW96" s="116">
        <v>1</v>
      </c>
      <c r="AX96" s="116">
        <v>1</v>
      </c>
      <c r="AY96" s="116">
        <v>1</v>
      </c>
      <c r="AZ96" s="116">
        <v>1</v>
      </c>
      <c r="BA96" s="116">
        <v>1</v>
      </c>
      <c r="BB96" s="116">
        <v>1</v>
      </c>
      <c r="BC96" s="116">
        <v>1</v>
      </c>
      <c r="BD96" s="116">
        <v>1</v>
      </c>
      <c r="BE96" s="116">
        <v>1</v>
      </c>
      <c r="BF96" s="116">
        <v>1</v>
      </c>
      <c r="BG96" s="116">
        <v>1</v>
      </c>
      <c r="BH96" s="116">
        <v>1</v>
      </c>
      <c r="BI96" s="116">
        <v>1</v>
      </c>
      <c r="BJ96" s="116"/>
      <c r="BK96" s="224"/>
    </row>
    <row r="97" spans="1:79" ht="19.5" thickBot="1">
      <c r="A97" s="5"/>
      <c r="B97" s="3"/>
      <c r="C97" s="3"/>
      <c r="D97" s="3"/>
      <c r="E97" s="3"/>
      <c r="F97" s="103"/>
      <c r="G97" s="103"/>
      <c r="H97" s="103"/>
      <c r="I97" s="103"/>
      <c r="J97" s="3"/>
      <c r="K97" s="3"/>
      <c r="L97" s="3"/>
      <c r="M97" s="3"/>
      <c r="N97" s="3"/>
      <c r="O97" s="103"/>
      <c r="P97" s="103"/>
      <c r="Q97" s="103"/>
      <c r="R97" s="103"/>
      <c r="S97" s="103" t="s">
        <v>13</v>
      </c>
      <c r="T97" s="103"/>
      <c r="U97" s="103"/>
      <c r="V97" s="103"/>
      <c r="W97" s="3"/>
      <c r="X97" s="3"/>
      <c r="Y97" s="3"/>
      <c r="Z97" s="3"/>
      <c r="AA97" s="3"/>
      <c r="AB97" s="103"/>
      <c r="AC97" s="103"/>
      <c r="AD97" s="3"/>
      <c r="AE97" s="3"/>
      <c r="AF97" s="3"/>
      <c r="AG97" s="103"/>
      <c r="AH97" s="103"/>
      <c r="AI97" s="10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</row>
    <row r="98" spans="1:79" s="11" customFormat="1" ht="24" thickBot="1">
      <c r="A98" s="141" t="s">
        <v>99</v>
      </c>
      <c r="B98" s="92"/>
      <c r="C98" s="92"/>
      <c r="D98" s="92"/>
      <c r="E98" s="92"/>
      <c r="F98" s="93"/>
      <c r="G98" s="93"/>
      <c r="H98" s="93"/>
      <c r="I98" s="93"/>
      <c r="J98" s="92"/>
      <c r="K98" s="92"/>
      <c r="L98" s="92"/>
      <c r="M98" s="92"/>
      <c r="N98" s="92"/>
      <c r="O98" s="93"/>
      <c r="P98" s="93"/>
      <c r="Q98" s="93"/>
      <c r="R98" s="93"/>
      <c r="S98" s="93"/>
      <c r="T98" s="93"/>
      <c r="U98" s="93"/>
      <c r="V98" s="93"/>
      <c r="W98" s="92"/>
      <c r="X98" s="92"/>
      <c r="Y98" s="92"/>
      <c r="Z98" s="92"/>
      <c r="AA98" s="92"/>
      <c r="AB98" s="93"/>
      <c r="AC98" s="93"/>
      <c r="AD98" s="92"/>
      <c r="AE98" s="92"/>
      <c r="AF98" s="92"/>
      <c r="AG98" s="93"/>
      <c r="AH98" s="93"/>
      <c r="AI98" s="93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222"/>
    </row>
    <row r="99" spans="1:79" s="14" customFormat="1" ht="19.5" thickBot="1">
      <c r="A99" s="202" t="s">
        <v>137</v>
      </c>
      <c r="B99" s="229">
        <v>175</v>
      </c>
      <c r="C99" s="229">
        <v>175</v>
      </c>
      <c r="D99" s="229">
        <v>175</v>
      </c>
      <c r="E99" s="229">
        <v>175</v>
      </c>
      <c r="F99" s="229">
        <v>175</v>
      </c>
      <c r="G99" s="229">
        <v>175</v>
      </c>
      <c r="H99" s="229">
        <v>175</v>
      </c>
      <c r="I99" s="229">
        <v>175</v>
      </c>
      <c r="J99" s="229">
        <v>175</v>
      </c>
      <c r="K99" s="229">
        <v>175</v>
      </c>
      <c r="L99" s="229">
        <v>175</v>
      </c>
      <c r="M99" s="229">
        <v>175</v>
      </c>
      <c r="N99" s="229">
        <v>175</v>
      </c>
      <c r="O99" s="229">
        <v>175</v>
      </c>
      <c r="P99" s="229">
        <v>175</v>
      </c>
      <c r="Q99" s="229">
        <v>175</v>
      </c>
      <c r="R99" s="229">
        <v>175</v>
      </c>
      <c r="S99" s="229">
        <v>175</v>
      </c>
      <c r="T99" s="229">
        <v>175</v>
      </c>
      <c r="U99" s="229">
        <v>175</v>
      </c>
      <c r="V99" s="229">
        <v>175</v>
      </c>
      <c r="W99" s="229">
        <v>175</v>
      </c>
      <c r="X99" s="229">
        <v>175</v>
      </c>
      <c r="Y99" s="229">
        <v>175</v>
      </c>
      <c r="Z99" s="229">
        <v>175</v>
      </c>
      <c r="AA99" s="229">
        <v>175</v>
      </c>
      <c r="AB99" s="229">
        <v>175</v>
      </c>
      <c r="AC99" s="229">
        <v>175</v>
      </c>
      <c r="AD99" s="229">
        <v>175</v>
      </c>
      <c r="AE99" s="229">
        <v>175</v>
      </c>
      <c r="AF99" s="229">
        <v>175</v>
      </c>
      <c r="AG99" s="229">
        <v>175</v>
      </c>
      <c r="AH99" s="229">
        <v>175</v>
      </c>
      <c r="AI99" s="229">
        <v>175</v>
      </c>
      <c r="AJ99" s="229">
        <v>175</v>
      </c>
      <c r="AK99" s="229">
        <v>175</v>
      </c>
      <c r="AL99" s="229">
        <v>175</v>
      </c>
      <c r="AM99" s="229">
        <v>175</v>
      </c>
      <c r="AN99" s="229">
        <v>175</v>
      </c>
      <c r="AO99" s="229">
        <v>175</v>
      </c>
      <c r="AP99" s="229">
        <v>175</v>
      </c>
      <c r="AQ99" s="229">
        <v>175</v>
      </c>
      <c r="AR99" s="229">
        <v>175</v>
      </c>
      <c r="AS99" s="229">
        <v>175</v>
      </c>
      <c r="AT99" s="229">
        <v>175</v>
      </c>
      <c r="AU99" s="229">
        <v>175</v>
      </c>
      <c r="AV99" s="229">
        <v>175</v>
      </c>
      <c r="AW99" s="229">
        <v>175</v>
      </c>
      <c r="AX99" s="229">
        <v>175</v>
      </c>
      <c r="AY99" s="229">
        <v>175</v>
      </c>
      <c r="AZ99" s="229">
        <v>175</v>
      </c>
      <c r="BA99" s="229">
        <v>175</v>
      </c>
      <c r="BB99" s="229">
        <v>175</v>
      </c>
      <c r="BC99" s="229">
        <v>175</v>
      </c>
      <c r="BD99" s="229">
        <v>175</v>
      </c>
      <c r="BE99" s="229">
        <v>175</v>
      </c>
      <c r="BF99" s="229">
        <v>175</v>
      </c>
      <c r="BG99" s="229">
        <v>175</v>
      </c>
      <c r="BH99" s="229">
        <v>175</v>
      </c>
      <c r="BI99" s="229">
        <v>175</v>
      </c>
      <c r="BJ99" s="229">
        <v>175</v>
      </c>
      <c r="BK99" s="229">
        <v>175</v>
      </c>
      <c r="BL99" s="229">
        <v>175</v>
      </c>
      <c r="BM99" s="229">
        <v>175</v>
      </c>
      <c r="BN99" s="229">
        <v>175</v>
      </c>
      <c r="BO99" s="229">
        <v>175</v>
      </c>
      <c r="BP99" s="229">
        <v>175</v>
      </c>
      <c r="BQ99" s="229">
        <v>175</v>
      </c>
      <c r="BR99" s="229">
        <v>175</v>
      </c>
      <c r="BS99" s="229">
        <v>175</v>
      </c>
      <c r="BT99" s="229">
        <v>175</v>
      </c>
      <c r="BU99" s="229">
        <v>175</v>
      </c>
      <c r="BV99" s="229">
        <v>175</v>
      </c>
      <c r="BW99" s="229">
        <v>175</v>
      </c>
      <c r="BX99" s="229">
        <v>175</v>
      </c>
      <c r="BY99" s="229">
        <v>175</v>
      </c>
      <c r="BZ99" s="229">
        <v>175</v>
      </c>
      <c r="CA99" s="229">
        <v>175</v>
      </c>
    </row>
    <row r="100" spans="1:79" s="14" customFormat="1">
      <c r="A100" s="12" t="s">
        <v>2</v>
      </c>
      <c r="B100" s="17">
        <v>155</v>
      </c>
      <c r="C100" s="17">
        <v>155</v>
      </c>
      <c r="D100" s="17">
        <v>155</v>
      </c>
      <c r="E100" s="17">
        <v>155</v>
      </c>
      <c r="F100" s="17">
        <v>155</v>
      </c>
      <c r="G100" s="17">
        <v>155</v>
      </c>
      <c r="H100" s="17">
        <v>155</v>
      </c>
      <c r="I100" s="17">
        <v>155</v>
      </c>
      <c r="J100" s="17">
        <v>155</v>
      </c>
      <c r="K100" s="17">
        <v>155</v>
      </c>
      <c r="L100" s="17">
        <v>155</v>
      </c>
      <c r="M100" s="17">
        <v>155</v>
      </c>
      <c r="N100" s="17">
        <v>155</v>
      </c>
      <c r="O100" s="17">
        <v>155</v>
      </c>
      <c r="P100" s="17">
        <v>155</v>
      </c>
      <c r="Q100" s="17">
        <v>155</v>
      </c>
      <c r="R100" s="17">
        <v>155</v>
      </c>
      <c r="S100" s="17">
        <v>155</v>
      </c>
      <c r="T100" s="17">
        <v>155</v>
      </c>
      <c r="U100" s="17">
        <v>155</v>
      </c>
      <c r="V100" s="17">
        <v>155</v>
      </c>
      <c r="W100" s="17">
        <v>155</v>
      </c>
      <c r="X100" s="17">
        <v>155</v>
      </c>
      <c r="Y100" s="17">
        <v>155</v>
      </c>
      <c r="Z100" s="17">
        <v>155</v>
      </c>
      <c r="AA100" s="17">
        <v>155</v>
      </c>
      <c r="AB100" s="17">
        <v>155</v>
      </c>
      <c r="AC100" s="17">
        <v>155</v>
      </c>
      <c r="AD100" s="17">
        <v>155</v>
      </c>
      <c r="AE100" s="17">
        <v>155</v>
      </c>
      <c r="AF100" s="17">
        <v>155</v>
      </c>
      <c r="AG100" s="17">
        <v>155</v>
      </c>
      <c r="AH100" s="17">
        <v>155</v>
      </c>
      <c r="AI100" s="17">
        <v>155</v>
      </c>
      <c r="AJ100" s="17">
        <v>155</v>
      </c>
      <c r="AK100" s="17">
        <v>155</v>
      </c>
      <c r="AL100" s="17">
        <v>155</v>
      </c>
      <c r="AM100" s="17">
        <v>155</v>
      </c>
      <c r="AN100" s="17">
        <v>155</v>
      </c>
      <c r="AO100" s="17">
        <v>155</v>
      </c>
      <c r="AP100" s="17">
        <v>155</v>
      </c>
      <c r="AQ100" s="17">
        <v>155</v>
      </c>
      <c r="AR100" s="17">
        <v>155</v>
      </c>
      <c r="AS100" s="17">
        <v>155</v>
      </c>
      <c r="AT100" s="17">
        <v>155</v>
      </c>
      <c r="AU100" s="17">
        <v>155</v>
      </c>
      <c r="AV100" s="17">
        <v>155</v>
      </c>
      <c r="AW100" s="17">
        <v>155</v>
      </c>
      <c r="AX100" s="17">
        <v>155</v>
      </c>
      <c r="AY100" s="17">
        <v>155</v>
      </c>
      <c r="AZ100" s="17">
        <v>155</v>
      </c>
      <c r="BA100" s="17">
        <v>155</v>
      </c>
      <c r="BB100" s="17">
        <v>155</v>
      </c>
      <c r="BC100" s="17">
        <v>155</v>
      </c>
      <c r="BD100" s="17">
        <v>155</v>
      </c>
      <c r="BE100" s="17">
        <v>155</v>
      </c>
      <c r="BF100" s="17">
        <v>155</v>
      </c>
      <c r="BG100" s="17">
        <v>155</v>
      </c>
      <c r="BH100" s="17">
        <v>155</v>
      </c>
      <c r="BI100" s="17">
        <v>155</v>
      </c>
      <c r="BJ100" s="17">
        <v>155</v>
      </c>
      <c r="BK100" s="20">
        <v>155</v>
      </c>
      <c r="BL100" s="20">
        <v>155</v>
      </c>
      <c r="BM100" s="20">
        <v>155</v>
      </c>
      <c r="BN100" s="20">
        <v>155</v>
      </c>
      <c r="BO100" s="20">
        <v>155</v>
      </c>
      <c r="BP100" s="20">
        <v>155</v>
      </c>
      <c r="BQ100" s="20">
        <v>155</v>
      </c>
      <c r="BR100" s="20">
        <v>155</v>
      </c>
      <c r="BS100" s="20">
        <v>155</v>
      </c>
      <c r="BT100" s="20">
        <v>155</v>
      </c>
      <c r="BU100" s="20">
        <v>155</v>
      </c>
      <c r="BV100" s="20">
        <v>155</v>
      </c>
      <c r="BW100" s="20">
        <v>155</v>
      </c>
      <c r="BX100" s="20">
        <v>155</v>
      </c>
      <c r="BY100" s="20">
        <v>155</v>
      </c>
      <c r="BZ100" s="20">
        <v>155</v>
      </c>
      <c r="CA100" s="20">
        <v>155</v>
      </c>
    </row>
    <row r="101" spans="1:79" s="15" customFormat="1" ht="19.5" thickBot="1">
      <c r="A101" s="12" t="s">
        <v>3</v>
      </c>
      <c r="B101" s="17">
        <v>172</v>
      </c>
      <c r="C101" s="17">
        <v>172</v>
      </c>
      <c r="D101" s="17">
        <v>172</v>
      </c>
      <c r="E101" s="17">
        <v>172</v>
      </c>
      <c r="F101" s="17">
        <v>172</v>
      </c>
      <c r="G101" s="17">
        <v>172</v>
      </c>
      <c r="H101" s="17">
        <v>172</v>
      </c>
      <c r="I101" s="17">
        <v>172</v>
      </c>
      <c r="J101" s="17">
        <v>172</v>
      </c>
      <c r="K101" s="17">
        <v>172</v>
      </c>
      <c r="L101" s="17">
        <v>172</v>
      </c>
      <c r="M101" s="17">
        <v>172</v>
      </c>
      <c r="N101" s="17">
        <v>172</v>
      </c>
      <c r="O101" s="17">
        <v>172</v>
      </c>
      <c r="P101" s="17">
        <v>172</v>
      </c>
      <c r="Q101" s="17">
        <v>172</v>
      </c>
      <c r="R101" s="17">
        <v>172</v>
      </c>
      <c r="S101" s="17">
        <v>172</v>
      </c>
      <c r="T101" s="17">
        <v>172</v>
      </c>
      <c r="U101" s="17">
        <v>172</v>
      </c>
      <c r="V101" s="17">
        <v>172</v>
      </c>
      <c r="W101" s="17">
        <v>172</v>
      </c>
      <c r="X101" s="17">
        <v>172</v>
      </c>
      <c r="Y101" s="17">
        <v>172</v>
      </c>
      <c r="Z101" s="17">
        <v>172</v>
      </c>
      <c r="AA101" s="17">
        <v>172</v>
      </c>
      <c r="AB101" s="17">
        <v>172</v>
      </c>
      <c r="AC101" s="17">
        <v>172</v>
      </c>
      <c r="AD101" s="17">
        <v>172</v>
      </c>
      <c r="AE101" s="17">
        <v>172</v>
      </c>
      <c r="AF101" s="17">
        <v>172</v>
      </c>
      <c r="AG101" s="17">
        <v>172</v>
      </c>
      <c r="AH101" s="17">
        <v>172</v>
      </c>
      <c r="AI101" s="17">
        <v>172</v>
      </c>
      <c r="AJ101" s="17">
        <v>172</v>
      </c>
      <c r="AK101" s="17">
        <v>172</v>
      </c>
      <c r="AL101" s="17">
        <v>172</v>
      </c>
      <c r="AM101" s="17">
        <v>172</v>
      </c>
      <c r="AN101" s="17">
        <v>172</v>
      </c>
      <c r="AO101" s="17">
        <v>172</v>
      </c>
      <c r="AP101" s="17">
        <v>172</v>
      </c>
      <c r="AQ101" s="17">
        <v>172</v>
      </c>
      <c r="AR101" s="17">
        <v>172</v>
      </c>
      <c r="AS101" s="17">
        <v>172</v>
      </c>
      <c r="AT101" s="17">
        <v>172</v>
      </c>
      <c r="AU101" s="17">
        <v>172</v>
      </c>
      <c r="AV101" s="17">
        <v>172</v>
      </c>
      <c r="AW101" s="17">
        <v>172</v>
      </c>
      <c r="AX101" s="17">
        <v>172</v>
      </c>
      <c r="AY101" s="17">
        <v>172</v>
      </c>
      <c r="AZ101" s="17">
        <v>172</v>
      </c>
      <c r="BA101" s="17">
        <v>172</v>
      </c>
      <c r="BB101" s="17">
        <v>172</v>
      </c>
      <c r="BC101" s="17">
        <v>172</v>
      </c>
      <c r="BD101" s="17">
        <v>172</v>
      </c>
      <c r="BE101" s="17">
        <v>172</v>
      </c>
      <c r="BF101" s="17">
        <v>172</v>
      </c>
      <c r="BG101" s="17">
        <v>172</v>
      </c>
      <c r="BH101" s="17">
        <v>172</v>
      </c>
      <c r="BI101" s="17">
        <v>172</v>
      </c>
      <c r="BJ101" s="17">
        <v>172</v>
      </c>
      <c r="BK101" s="20">
        <v>172</v>
      </c>
      <c r="BL101" s="20">
        <v>172</v>
      </c>
      <c r="BM101" s="20">
        <v>172</v>
      </c>
      <c r="BN101" s="20">
        <v>172</v>
      </c>
      <c r="BO101" s="20">
        <v>172</v>
      </c>
      <c r="BP101" s="20">
        <v>172</v>
      </c>
      <c r="BQ101" s="20">
        <v>172</v>
      </c>
      <c r="BR101" s="20">
        <v>172</v>
      </c>
      <c r="BS101" s="20">
        <v>172</v>
      </c>
      <c r="BT101" s="20">
        <v>172</v>
      </c>
      <c r="BU101" s="20">
        <v>172</v>
      </c>
      <c r="BV101" s="20">
        <v>172</v>
      </c>
      <c r="BW101" s="20">
        <v>172</v>
      </c>
      <c r="BX101" s="20">
        <v>172</v>
      </c>
      <c r="BY101" s="20">
        <v>172</v>
      </c>
      <c r="BZ101" s="20">
        <v>172</v>
      </c>
      <c r="CA101" s="20">
        <v>172</v>
      </c>
    </row>
    <row r="102" spans="1:79" s="16" customFormat="1">
      <c r="A102" s="54" t="s">
        <v>103</v>
      </c>
      <c r="B102" s="193">
        <v>0</v>
      </c>
      <c r="C102" s="193"/>
      <c r="D102" s="193"/>
      <c r="E102" s="193"/>
      <c r="F102" s="193"/>
      <c r="G102" s="193"/>
      <c r="H102" s="193"/>
      <c r="I102" s="193">
        <v>2</v>
      </c>
      <c r="J102" s="193">
        <v>1</v>
      </c>
      <c r="K102" s="193"/>
      <c r="L102" s="193"/>
      <c r="M102" s="193">
        <v>3</v>
      </c>
      <c r="N102" s="193"/>
      <c r="O102" s="193"/>
      <c r="P102" s="193">
        <v>1</v>
      </c>
      <c r="Q102" s="193"/>
      <c r="R102" s="193">
        <v>1</v>
      </c>
      <c r="S102" s="193"/>
      <c r="T102" s="193"/>
      <c r="U102" s="193"/>
      <c r="V102" s="193"/>
      <c r="W102" s="193"/>
      <c r="X102" s="193"/>
      <c r="Y102" s="193"/>
      <c r="Z102" s="193"/>
      <c r="AA102" s="193">
        <v>1</v>
      </c>
      <c r="AB102" s="193"/>
      <c r="AC102" s="193">
        <v>1</v>
      </c>
      <c r="AD102" s="193">
        <v>1</v>
      </c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193"/>
      <c r="AY102" s="193"/>
      <c r="AZ102" s="193"/>
      <c r="BA102" s="193"/>
      <c r="BB102" s="193">
        <v>1</v>
      </c>
      <c r="BC102" s="193"/>
      <c r="BD102" s="193"/>
      <c r="BE102" s="193">
        <v>2</v>
      </c>
      <c r="BF102" s="193">
        <v>1</v>
      </c>
      <c r="BG102" s="193">
        <v>1</v>
      </c>
      <c r="BH102" s="193"/>
      <c r="BI102" s="193"/>
      <c r="BJ102" s="193"/>
      <c r="BK102" s="194"/>
    </row>
    <row r="103" spans="1:79" s="16" customFormat="1">
      <c r="A103" s="54" t="s">
        <v>104</v>
      </c>
      <c r="B103" s="193">
        <v>6</v>
      </c>
      <c r="C103" s="193">
        <v>3</v>
      </c>
      <c r="D103" s="193">
        <v>5</v>
      </c>
      <c r="E103" s="193"/>
      <c r="F103" s="193"/>
      <c r="G103" s="193">
        <v>4</v>
      </c>
      <c r="H103" s="193">
        <v>2</v>
      </c>
      <c r="I103" s="193">
        <v>1</v>
      </c>
      <c r="J103" s="193">
        <v>4</v>
      </c>
      <c r="K103" s="193">
        <v>2</v>
      </c>
      <c r="L103" s="193">
        <v>2</v>
      </c>
      <c r="M103" s="193">
        <v>7</v>
      </c>
      <c r="N103" s="193">
        <v>2</v>
      </c>
      <c r="O103" s="193">
        <v>2</v>
      </c>
      <c r="P103" s="193">
        <v>4</v>
      </c>
      <c r="Q103" s="193">
        <v>4</v>
      </c>
      <c r="R103" s="193">
        <v>1</v>
      </c>
      <c r="S103" s="193">
        <v>4</v>
      </c>
      <c r="T103" s="193">
        <v>4</v>
      </c>
      <c r="U103" s="193">
        <v>1</v>
      </c>
      <c r="V103" s="193">
        <v>4</v>
      </c>
      <c r="W103" s="193">
        <v>1</v>
      </c>
      <c r="X103" s="193">
        <v>3</v>
      </c>
      <c r="Y103" s="193">
        <v>4</v>
      </c>
      <c r="Z103" s="193">
        <v>3</v>
      </c>
      <c r="AA103" s="193">
        <v>6</v>
      </c>
      <c r="AB103" s="193">
        <v>2</v>
      </c>
      <c r="AC103" s="193">
        <v>6</v>
      </c>
      <c r="AD103" s="193"/>
      <c r="AE103" s="193"/>
      <c r="AF103" s="193">
        <v>2</v>
      </c>
      <c r="AG103" s="193">
        <v>2</v>
      </c>
      <c r="AH103" s="193">
        <v>3</v>
      </c>
      <c r="AI103" s="193">
        <v>3</v>
      </c>
      <c r="AJ103" s="193">
        <v>1</v>
      </c>
      <c r="AK103" s="193"/>
      <c r="AL103" s="193">
        <v>4</v>
      </c>
      <c r="AM103" s="193">
        <v>2</v>
      </c>
      <c r="AN103" s="193">
        <v>2</v>
      </c>
      <c r="AO103" s="193">
        <v>1</v>
      </c>
      <c r="AP103" s="193">
        <v>2</v>
      </c>
      <c r="AQ103" s="193">
        <v>2</v>
      </c>
      <c r="AR103" s="193">
        <v>3</v>
      </c>
      <c r="AS103" s="193">
        <v>2</v>
      </c>
      <c r="AT103" s="193">
        <v>3</v>
      </c>
      <c r="AU103" s="193">
        <v>5</v>
      </c>
      <c r="AV103" s="193">
        <v>2</v>
      </c>
      <c r="AW103" s="193">
        <v>2</v>
      </c>
      <c r="AX103" s="193">
        <v>3</v>
      </c>
      <c r="AY103" s="193">
        <v>2</v>
      </c>
      <c r="AZ103" s="193">
        <v>4</v>
      </c>
      <c r="BA103" s="193"/>
      <c r="BB103" s="193">
        <v>3</v>
      </c>
      <c r="BC103" s="193">
        <v>2</v>
      </c>
      <c r="BD103" s="193">
        <v>3</v>
      </c>
      <c r="BE103" s="193">
        <v>2</v>
      </c>
      <c r="BF103" s="193">
        <v>2</v>
      </c>
      <c r="BG103" s="193">
        <v>3</v>
      </c>
      <c r="BH103" s="193">
        <v>1</v>
      </c>
      <c r="BI103" s="193"/>
      <c r="BJ103" s="193"/>
      <c r="BK103" s="194"/>
    </row>
    <row r="104" spans="1:79" s="16" customFormat="1">
      <c r="A104" s="54" t="s">
        <v>105</v>
      </c>
      <c r="B104" s="193">
        <v>4</v>
      </c>
      <c r="C104" s="193">
        <v>2</v>
      </c>
      <c r="D104" s="193">
        <v>4</v>
      </c>
      <c r="E104" s="193"/>
      <c r="F104" s="193"/>
      <c r="G104" s="193">
        <v>3</v>
      </c>
      <c r="H104" s="193"/>
      <c r="I104" s="193">
        <v>1</v>
      </c>
      <c r="J104" s="193">
        <v>1</v>
      </c>
      <c r="K104" s="193">
        <v>3</v>
      </c>
      <c r="L104" s="193">
        <v>2</v>
      </c>
      <c r="M104" s="193"/>
      <c r="N104" s="193"/>
      <c r="O104" s="193">
        <v>1</v>
      </c>
      <c r="P104" s="193"/>
      <c r="Q104" s="193"/>
      <c r="R104" s="193"/>
      <c r="S104" s="193">
        <v>1</v>
      </c>
      <c r="T104" s="193"/>
      <c r="U104" s="193"/>
      <c r="V104" s="193"/>
      <c r="W104" s="193"/>
      <c r="X104" s="193">
        <v>2</v>
      </c>
      <c r="Y104" s="193">
        <v>2</v>
      </c>
      <c r="Z104" s="193"/>
      <c r="AA104" s="193"/>
      <c r="AB104" s="193">
        <v>1</v>
      </c>
      <c r="AC104" s="193">
        <v>1</v>
      </c>
      <c r="AD104" s="193">
        <v>2</v>
      </c>
      <c r="AE104" s="193"/>
      <c r="AF104" s="193">
        <v>1</v>
      </c>
      <c r="AG104" s="193"/>
      <c r="AH104" s="193"/>
      <c r="AI104" s="193">
        <v>1</v>
      </c>
      <c r="AJ104" s="193"/>
      <c r="AK104" s="193">
        <v>1</v>
      </c>
      <c r="AL104" s="193">
        <v>1</v>
      </c>
      <c r="AM104" s="193">
        <v>5</v>
      </c>
      <c r="AN104" s="193">
        <v>3</v>
      </c>
      <c r="AO104" s="193">
        <v>3</v>
      </c>
      <c r="AP104" s="193">
        <v>2</v>
      </c>
      <c r="AQ104" s="193">
        <v>1</v>
      </c>
      <c r="AR104" s="193"/>
      <c r="AS104" s="193">
        <v>1</v>
      </c>
      <c r="AT104" s="193"/>
      <c r="AU104" s="193">
        <v>1</v>
      </c>
      <c r="AV104" s="193"/>
      <c r="AW104" s="193"/>
      <c r="AX104" s="193"/>
      <c r="AY104" s="193"/>
      <c r="AZ104" s="193"/>
      <c r="BA104" s="193">
        <v>1</v>
      </c>
      <c r="BB104" s="193"/>
      <c r="BC104" s="193">
        <v>1</v>
      </c>
      <c r="BD104" s="193"/>
      <c r="BE104" s="193">
        <v>3</v>
      </c>
      <c r="BF104" s="193">
        <v>1</v>
      </c>
      <c r="BG104" s="193">
        <v>1</v>
      </c>
      <c r="BH104" s="193"/>
      <c r="BI104" s="193"/>
      <c r="BJ104" s="193"/>
      <c r="BK104" s="194"/>
    </row>
    <row r="105" spans="1:79" s="69" customFormat="1">
      <c r="A105" s="61" t="s">
        <v>4</v>
      </c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>
        <v>167</v>
      </c>
      <c r="N105" s="129">
        <v>187</v>
      </c>
      <c r="O105" s="129">
        <v>174</v>
      </c>
      <c r="P105" s="129">
        <v>182</v>
      </c>
      <c r="Q105" s="129">
        <v>186</v>
      </c>
      <c r="R105" s="129">
        <v>164</v>
      </c>
      <c r="S105" s="129">
        <v>172</v>
      </c>
      <c r="T105" s="129">
        <v>169</v>
      </c>
      <c r="U105" s="129">
        <v>177</v>
      </c>
      <c r="V105" s="129">
        <v>166</v>
      </c>
      <c r="W105" s="129">
        <v>165</v>
      </c>
      <c r="X105" s="129">
        <v>167</v>
      </c>
      <c r="Y105" s="104">
        <v>163</v>
      </c>
      <c r="Z105" s="104">
        <v>168</v>
      </c>
      <c r="AA105" s="104">
        <v>166</v>
      </c>
      <c r="AB105" s="104">
        <v>163</v>
      </c>
      <c r="AC105" s="104">
        <v>169</v>
      </c>
      <c r="AD105" s="104">
        <v>175</v>
      </c>
      <c r="AE105" s="104"/>
      <c r="AF105" s="104">
        <v>174</v>
      </c>
      <c r="AG105" s="104">
        <v>175</v>
      </c>
      <c r="AH105" s="104">
        <v>164</v>
      </c>
      <c r="AI105" s="117">
        <v>177</v>
      </c>
      <c r="AJ105" s="104">
        <v>177</v>
      </c>
      <c r="AK105" s="104">
        <v>169</v>
      </c>
      <c r="AL105" s="104">
        <v>167</v>
      </c>
      <c r="AM105" s="104">
        <v>166</v>
      </c>
      <c r="AN105" s="104">
        <v>177</v>
      </c>
      <c r="AO105" s="104">
        <v>166</v>
      </c>
      <c r="AP105" s="104">
        <v>170</v>
      </c>
      <c r="AQ105" s="104">
        <v>163</v>
      </c>
      <c r="AR105" s="104">
        <v>171</v>
      </c>
      <c r="AS105" s="104">
        <v>164</v>
      </c>
      <c r="AT105" s="104">
        <v>169</v>
      </c>
      <c r="AU105" s="104">
        <v>170</v>
      </c>
      <c r="AV105" s="104">
        <v>166</v>
      </c>
      <c r="AW105" s="104">
        <v>167</v>
      </c>
      <c r="AX105" s="104">
        <v>169</v>
      </c>
      <c r="AY105" s="104">
        <v>176</v>
      </c>
      <c r="AZ105" s="104">
        <v>176</v>
      </c>
      <c r="BA105" s="104">
        <v>190</v>
      </c>
      <c r="BB105" s="104">
        <v>182</v>
      </c>
      <c r="BC105" s="104">
        <v>191</v>
      </c>
      <c r="BD105" s="104">
        <v>172</v>
      </c>
      <c r="BE105" s="104">
        <v>168</v>
      </c>
      <c r="BF105" s="104">
        <v>169</v>
      </c>
      <c r="BG105" s="104">
        <v>177</v>
      </c>
      <c r="BH105" s="104">
        <v>195</v>
      </c>
      <c r="BI105" s="104"/>
      <c r="BJ105" s="104"/>
      <c r="BK105" s="225"/>
    </row>
    <row r="106" spans="1:79" s="69" customFormat="1">
      <c r="A106" s="140" t="s">
        <v>97</v>
      </c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17"/>
      <c r="AJ106" s="104"/>
      <c r="AK106" s="104"/>
      <c r="AL106" s="104"/>
      <c r="AM106" s="104">
        <v>152</v>
      </c>
      <c r="AN106" s="104"/>
      <c r="AO106" s="104">
        <v>154</v>
      </c>
      <c r="AP106" s="104" t="s">
        <v>13</v>
      </c>
      <c r="AQ106" s="104">
        <v>150</v>
      </c>
      <c r="AR106" s="104">
        <v>150</v>
      </c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226"/>
    </row>
    <row r="107" spans="1:79" s="69" customFormat="1">
      <c r="A107" s="140" t="s">
        <v>106</v>
      </c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17"/>
      <c r="AJ107" s="104"/>
      <c r="AK107" s="104"/>
      <c r="AL107" s="104"/>
      <c r="AM107" s="104">
        <v>1</v>
      </c>
      <c r="AN107" s="104"/>
      <c r="AO107" s="104">
        <v>1</v>
      </c>
      <c r="AP107" s="104"/>
      <c r="AQ107" s="104">
        <v>1</v>
      </c>
      <c r="AR107" s="104">
        <v>1</v>
      </c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226"/>
    </row>
    <row r="108" spans="1:79" s="69" customFormat="1">
      <c r="A108" s="178" t="s">
        <v>107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>
        <v>164</v>
      </c>
      <c r="N108" s="131"/>
      <c r="O108" s="131">
        <v>166</v>
      </c>
      <c r="P108" s="131">
        <v>172</v>
      </c>
      <c r="Q108" s="131">
        <v>172</v>
      </c>
      <c r="R108" s="131">
        <v>164</v>
      </c>
      <c r="S108" s="131">
        <v>163</v>
      </c>
      <c r="T108" s="131">
        <v>160</v>
      </c>
      <c r="U108" s="131"/>
      <c r="V108" s="131">
        <v>166</v>
      </c>
      <c r="W108" s="131">
        <v>165</v>
      </c>
      <c r="X108" s="131">
        <v>167</v>
      </c>
      <c r="Y108" s="131">
        <v>161</v>
      </c>
      <c r="Z108" s="104">
        <v>159</v>
      </c>
      <c r="AA108" s="104">
        <v>165</v>
      </c>
      <c r="AB108" s="104">
        <v>163</v>
      </c>
      <c r="AC108" s="104">
        <v>164</v>
      </c>
      <c r="AD108" s="104">
        <v>169</v>
      </c>
      <c r="AE108" s="104"/>
      <c r="AF108" s="104">
        <v>169</v>
      </c>
      <c r="AG108" s="104">
        <v>168</v>
      </c>
      <c r="AH108" s="104">
        <v>164</v>
      </c>
      <c r="AI108" s="104">
        <v>167</v>
      </c>
      <c r="AJ108" s="104"/>
      <c r="AK108" s="104">
        <v>169</v>
      </c>
      <c r="AL108" s="104">
        <v>164</v>
      </c>
      <c r="AM108" s="104">
        <v>165</v>
      </c>
      <c r="AN108" s="104">
        <v>166</v>
      </c>
      <c r="AO108" s="104">
        <v>164</v>
      </c>
      <c r="AP108" s="104">
        <v>165</v>
      </c>
      <c r="AQ108" s="104">
        <v>161</v>
      </c>
      <c r="AR108" s="104"/>
      <c r="AS108" s="104">
        <v>164</v>
      </c>
      <c r="AT108" s="104">
        <v>167</v>
      </c>
      <c r="AU108" s="104">
        <v>167</v>
      </c>
      <c r="AV108" s="104">
        <v>156</v>
      </c>
      <c r="AW108" s="104">
        <v>167</v>
      </c>
      <c r="AX108" s="104">
        <v>164</v>
      </c>
      <c r="AY108" s="104"/>
      <c r="AZ108" s="104">
        <v>171</v>
      </c>
      <c r="BA108" s="104"/>
      <c r="BB108" s="104">
        <v>168</v>
      </c>
      <c r="BC108" s="104">
        <v>164</v>
      </c>
      <c r="BD108" s="104">
        <v>165</v>
      </c>
      <c r="BE108" s="104">
        <v>162</v>
      </c>
      <c r="BF108" s="104">
        <v>162</v>
      </c>
      <c r="BG108" s="104">
        <v>170</v>
      </c>
      <c r="BH108" s="104"/>
      <c r="BI108" s="104"/>
      <c r="BJ108" s="104"/>
      <c r="BK108" s="226"/>
    </row>
    <row r="109" spans="1:79" s="69" customFormat="1">
      <c r="A109" s="179" t="s">
        <v>108</v>
      </c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>
        <v>7</v>
      </c>
      <c r="N109" s="131"/>
      <c r="O109" s="131">
        <v>2</v>
      </c>
      <c r="P109" s="131">
        <v>1</v>
      </c>
      <c r="Q109" s="131">
        <v>1</v>
      </c>
      <c r="R109" s="131">
        <v>2</v>
      </c>
      <c r="S109" s="131">
        <v>4</v>
      </c>
      <c r="T109" s="131">
        <v>3</v>
      </c>
      <c r="U109" s="131"/>
      <c r="V109" s="131">
        <v>4</v>
      </c>
      <c r="W109" s="131"/>
      <c r="X109" s="131">
        <v>5</v>
      </c>
      <c r="Y109" s="131">
        <v>5</v>
      </c>
      <c r="Z109" s="104">
        <v>2</v>
      </c>
      <c r="AA109" s="104">
        <v>6</v>
      </c>
      <c r="AB109" s="104">
        <v>3</v>
      </c>
      <c r="AC109" s="104">
        <v>6</v>
      </c>
      <c r="AD109" s="104">
        <v>2</v>
      </c>
      <c r="AE109" s="104"/>
      <c r="AF109" s="104">
        <v>2</v>
      </c>
      <c r="AG109" s="104">
        <v>1</v>
      </c>
      <c r="AH109" s="104">
        <v>3</v>
      </c>
      <c r="AI109" s="104">
        <v>2</v>
      </c>
      <c r="AJ109" s="104"/>
      <c r="AK109" s="104">
        <v>1</v>
      </c>
      <c r="AL109" s="104">
        <v>4</v>
      </c>
      <c r="AM109" s="104">
        <v>4</v>
      </c>
      <c r="AN109" s="104">
        <v>3</v>
      </c>
      <c r="AO109" s="104">
        <v>2</v>
      </c>
      <c r="AP109" s="104">
        <v>3</v>
      </c>
      <c r="AQ109" s="104">
        <v>1</v>
      </c>
      <c r="AR109" s="104"/>
      <c r="AS109" s="104">
        <v>3</v>
      </c>
      <c r="AT109" s="104">
        <v>2</v>
      </c>
      <c r="AU109" s="104">
        <v>5</v>
      </c>
      <c r="AV109" s="104">
        <v>1</v>
      </c>
      <c r="AW109" s="104">
        <v>2</v>
      </c>
      <c r="AX109" s="104">
        <v>2</v>
      </c>
      <c r="AY109" s="104"/>
      <c r="AZ109" s="104">
        <v>2</v>
      </c>
      <c r="BA109" s="104"/>
      <c r="BB109" s="104">
        <v>2</v>
      </c>
      <c r="BC109" s="104">
        <v>1</v>
      </c>
      <c r="BD109" s="104">
        <v>2</v>
      </c>
      <c r="BE109" s="104">
        <v>5</v>
      </c>
      <c r="BF109" s="104">
        <v>2</v>
      </c>
      <c r="BG109" s="104">
        <v>2</v>
      </c>
      <c r="BH109" s="104"/>
      <c r="BI109" s="104"/>
      <c r="BJ109" s="104"/>
      <c r="BK109" s="226"/>
    </row>
    <row r="110" spans="1:79" s="69" customFormat="1">
      <c r="A110" s="140" t="s">
        <v>98</v>
      </c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>
        <v>173</v>
      </c>
      <c r="N110" s="129">
        <v>187</v>
      </c>
      <c r="O110" s="129">
        <v>190</v>
      </c>
      <c r="P110" s="129">
        <v>184</v>
      </c>
      <c r="Q110" s="129">
        <v>189</v>
      </c>
      <c r="R110" s="129"/>
      <c r="S110" s="129">
        <v>207</v>
      </c>
      <c r="T110" s="129">
        <v>177</v>
      </c>
      <c r="U110" s="129">
        <v>177</v>
      </c>
      <c r="V110" s="129"/>
      <c r="W110" s="129"/>
      <c r="X110" s="129"/>
      <c r="Y110" s="104"/>
      <c r="Z110" s="104">
        <v>187</v>
      </c>
      <c r="AA110" s="104">
        <v>175</v>
      </c>
      <c r="AB110" s="104"/>
      <c r="AC110" s="104">
        <v>183</v>
      </c>
      <c r="AD110" s="104">
        <v>187</v>
      </c>
      <c r="AE110" s="104"/>
      <c r="AF110" s="104">
        <v>185</v>
      </c>
      <c r="AG110" s="104">
        <v>181</v>
      </c>
      <c r="AH110" s="104"/>
      <c r="AI110" s="104">
        <v>189</v>
      </c>
      <c r="AJ110" s="104">
        <v>177</v>
      </c>
      <c r="AK110" s="104"/>
      <c r="AL110" s="104">
        <v>178</v>
      </c>
      <c r="AM110" s="104">
        <v>175</v>
      </c>
      <c r="AN110" s="104">
        <v>192</v>
      </c>
      <c r="AO110" s="104">
        <v>184</v>
      </c>
      <c r="AP110" s="104">
        <v>183</v>
      </c>
      <c r="AQ110" s="104">
        <v>178</v>
      </c>
      <c r="AR110" s="104">
        <v>182.5</v>
      </c>
      <c r="AS110" s="104"/>
      <c r="AT110" s="104">
        <v>173</v>
      </c>
      <c r="AU110" s="104">
        <v>186</v>
      </c>
      <c r="AV110" s="104">
        <v>176</v>
      </c>
      <c r="AW110" s="104"/>
      <c r="AX110" s="104">
        <v>180</v>
      </c>
      <c r="AY110" s="104">
        <v>176</v>
      </c>
      <c r="AZ110" s="104">
        <v>181</v>
      </c>
      <c r="BA110" s="104">
        <v>190</v>
      </c>
      <c r="BB110" s="104">
        <v>196</v>
      </c>
      <c r="BC110" s="104">
        <v>204</v>
      </c>
      <c r="BD110" s="104">
        <v>186</v>
      </c>
      <c r="BE110" s="104">
        <v>183</v>
      </c>
      <c r="BF110" s="104">
        <v>183</v>
      </c>
      <c r="BG110" s="104">
        <v>174</v>
      </c>
      <c r="BH110" s="104">
        <v>195</v>
      </c>
      <c r="BI110" s="104"/>
      <c r="BJ110" s="104"/>
      <c r="BK110" s="226"/>
    </row>
    <row r="111" spans="1:79" s="69" customFormat="1">
      <c r="A111" s="140" t="s">
        <v>109</v>
      </c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>
        <v>3</v>
      </c>
      <c r="N111" s="131">
        <v>3</v>
      </c>
      <c r="O111" s="131">
        <v>1</v>
      </c>
      <c r="P111" s="131">
        <v>4</v>
      </c>
      <c r="Q111" s="131">
        <v>3</v>
      </c>
      <c r="R111" s="131"/>
      <c r="S111" s="131">
        <v>1</v>
      </c>
      <c r="T111" s="131">
        <v>2</v>
      </c>
      <c r="U111" s="131">
        <v>1</v>
      </c>
      <c r="V111" s="131"/>
      <c r="W111" s="131"/>
      <c r="X111" s="131"/>
      <c r="Y111" s="131">
        <v>0</v>
      </c>
      <c r="Z111" s="104">
        <v>1</v>
      </c>
      <c r="AA111" s="104">
        <v>1</v>
      </c>
      <c r="AB111" s="104"/>
      <c r="AC111" s="104">
        <v>2</v>
      </c>
      <c r="AD111" s="104">
        <v>1</v>
      </c>
      <c r="AE111" s="104"/>
      <c r="AF111" s="104">
        <v>1</v>
      </c>
      <c r="AG111" s="104">
        <v>1</v>
      </c>
      <c r="AH111" s="104"/>
      <c r="AI111" s="104">
        <v>2</v>
      </c>
      <c r="AJ111" s="104">
        <v>1</v>
      </c>
      <c r="AK111" s="104"/>
      <c r="AL111" s="104">
        <v>1</v>
      </c>
      <c r="AM111" s="104">
        <v>2</v>
      </c>
      <c r="AN111" s="104">
        <v>2</v>
      </c>
      <c r="AO111" s="104">
        <v>1</v>
      </c>
      <c r="AP111" s="104">
        <v>1</v>
      </c>
      <c r="AQ111" s="104">
        <v>1</v>
      </c>
      <c r="AR111" s="104">
        <v>2</v>
      </c>
      <c r="AS111" s="104"/>
      <c r="AT111" s="104">
        <v>1</v>
      </c>
      <c r="AU111" s="104">
        <v>1</v>
      </c>
      <c r="AV111" s="104">
        <v>1</v>
      </c>
      <c r="AW111" s="104"/>
      <c r="AX111" s="104">
        <v>1</v>
      </c>
      <c r="AY111" s="104">
        <v>2</v>
      </c>
      <c r="AZ111" s="104">
        <v>2</v>
      </c>
      <c r="BA111" s="104">
        <v>1</v>
      </c>
      <c r="BB111" s="104">
        <v>2</v>
      </c>
      <c r="BC111" s="104">
        <v>2</v>
      </c>
      <c r="BD111" s="104">
        <v>1</v>
      </c>
      <c r="BE111" s="104">
        <v>2</v>
      </c>
      <c r="BF111" s="104">
        <v>1</v>
      </c>
      <c r="BG111" s="104">
        <v>2</v>
      </c>
      <c r="BH111" s="104">
        <v>1</v>
      </c>
      <c r="BI111" s="104"/>
      <c r="BJ111" s="104"/>
      <c r="BK111" s="226"/>
    </row>
    <row r="112" spans="1:79" s="144" customFormat="1">
      <c r="A112" s="80" t="s">
        <v>92</v>
      </c>
      <c r="B112" s="50">
        <v>0.76</v>
      </c>
      <c r="C112" s="50">
        <v>0.76</v>
      </c>
      <c r="D112" s="50">
        <v>0.76</v>
      </c>
      <c r="E112" s="50">
        <v>0.76</v>
      </c>
      <c r="F112" s="50">
        <v>0.76</v>
      </c>
      <c r="G112" s="50">
        <v>0.76</v>
      </c>
      <c r="H112" s="50">
        <v>0.76</v>
      </c>
      <c r="I112" s="50">
        <v>0.76</v>
      </c>
      <c r="J112" s="50">
        <v>0.76</v>
      </c>
      <c r="K112" s="50">
        <v>0.76</v>
      </c>
      <c r="L112" s="50">
        <v>0.76</v>
      </c>
      <c r="M112" s="50">
        <v>0.76</v>
      </c>
      <c r="N112" s="50">
        <v>0.76</v>
      </c>
      <c r="O112" s="50">
        <v>0.76</v>
      </c>
      <c r="P112" s="50">
        <v>0.76</v>
      </c>
      <c r="Q112" s="50">
        <v>0.76</v>
      </c>
      <c r="R112" s="50">
        <v>0.76</v>
      </c>
      <c r="S112" s="50">
        <v>0.76</v>
      </c>
      <c r="T112" s="50">
        <v>0.76</v>
      </c>
      <c r="U112" s="50">
        <v>0.76</v>
      </c>
      <c r="V112" s="50">
        <v>0.76</v>
      </c>
      <c r="W112" s="50">
        <v>0.76</v>
      </c>
      <c r="X112" s="50">
        <v>0.76</v>
      </c>
      <c r="Y112" s="50">
        <v>0.76</v>
      </c>
      <c r="Z112" s="50">
        <v>0.76</v>
      </c>
      <c r="AA112" s="50">
        <v>0.76</v>
      </c>
      <c r="AB112" s="50">
        <v>0.76</v>
      </c>
      <c r="AC112" s="50">
        <v>0.76</v>
      </c>
      <c r="AD112" s="50">
        <v>0.76</v>
      </c>
      <c r="AE112" s="50">
        <v>0.76</v>
      </c>
      <c r="AF112" s="50">
        <v>0.76</v>
      </c>
      <c r="AG112" s="50">
        <v>0.76</v>
      </c>
      <c r="AH112" s="50">
        <v>0.76</v>
      </c>
      <c r="AI112" s="50">
        <v>0.76</v>
      </c>
      <c r="AJ112" s="50">
        <v>0.76</v>
      </c>
      <c r="AK112" s="50">
        <v>0.76</v>
      </c>
      <c r="AL112" s="50">
        <v>0.76</v>
      </c>
      <c r="AM112" s="50">
        <v>0.76</v>
      </c>
      <c r="AN112" s="50">
        <v>0.76</v>
      </c>
      <c r="AO112" s="50">
        <v>0.76</v>
      </c>
      <c r="AP112" s="50">
        <v>0.76</v>
      </c>
      <c r="AQ112" s="50">
        <v>0.76</v>
      </c>
      <c r="AR112" s="50">
        <v>0.76</v>
      </c>
      <c r="AS112" s="50">
        <v>0.76</v>
      </c>
      <c r="AT112" s="50">
        <v>0.76</v>
      </c>
      <c r="AU112" s="50">
        <v>0.76</v>
      </c>
      <c r="AV112" s="50">
        <v>0.76</v>
      </c>
      <c r="AW112" s="50">
        <v>0.76</v>
      </c>
      <c r="AX112" s="50">
        <v>0.76</v>
      </c>
      <c r="AY112" s="50">
        <v>0.76</v>
      </c>
      <c r="AZ112" s="50">
        <v>0.76</v>
      </c>
      <c r="BA112" s="50">
        <v>0.76</v>
      </c>
      <c r="BB112" s="50">
        <v>0.76</v>
      </c>
      <c r="BC112" s="50">
        <v>0.76</v>
      </c>
      <c r="BD112" s="50">
        <v>0.76</v>
      </c>
      <c r="BE112" s="50">
        <v>0.76</v>
      </c>
      <c r="BF112" s="50">
        <v>0.76</v>
      </c>
      <c r="BG112" s="50">
        <v>0.76</v>
      </c>
      <c r="BH112" s="50">
        <v>0.76</v>
      </c>
      <c r="BI112" s="50">
        <v>0.76</v>
      </c>
      <c r="BJ112" s="50">
        <v>0.76</v>
      </c>
      <c r="BK112" s="50">
        <v>0.76</v>
      </c>
      <c r="BL112" s="50">
        <v>0.76</v>
      </c>
      <c r="BM112" s="50">
        <v>0.76</v>
      </c>
      <c r="BN112" s="50">
        <v>0.76</v>
      </c>
      <c r="BO112" s="50">
        <v>0.76</v>
      </c>
      <c r="BP112" s="50">
        <v>0.76</v>
      </c>
      <c r="BQ112" s="50">
        <v>0.76</v>
      </c>
      <c r="BR112" s="50">
        <v>0.76</v>
      </c>
      <c r="BS112" s="50">
        <v>0.76</v>
      </c>
      <c r="BT112" s="50">
        <v>0.76</v>
      </c>
      <c r="BU112" s="50">
        <v>0.76</v>
      </c>
      <c r="BV112" s="50">
        <v>0.76</v>
      </c>
      <c r="BW112" s="50">
        <v>0.76</v>
      </c>
      <c r="BX112" s="50">
        <v>0.76</v>
      </c>
      <c r="BY112" s="50">
        <v>0.76</v>
      </c>
      <c r="BZ112" s="50">
        <v>0.76</v>
      </c>
      <c r="CA112" s="50">
        <v>0.76</v>
      </c>
    </row>
    <row r="113" spans="1:79" s="69" customFormat="1">
      <c r="A113" s="147" t="s">
        <v>91</v>
      </c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96">
        <v>0.7</v>
      </c>
      <c r="M113" s="196">
        <v>0.97599999999999998</v>
      </c>
      <c r="N113" s="196">
        <v>0.28599999999999998</v>
      </c>
      <c r="O113" s="196">
        <v>0.52</v>
      </c>
      <c r="P113" s="196">
        <v>0.46700000000000003</v>
      </c>
      <c r="Q113" s="196">
        <v>0.85699999999999998</v>
      </c>
      <c r="R113" s="196">
        <v>1.274</v>
      </c>
      <c r="S113" s="196">
        <v>0.95699999999999996</v>
      </c>
      <c r="T113" s="196">
        <v>1.2989999999999999</v>
      </c>
      <c r="U113" s="196">
        <v>1.0900000000000001</v>
      </c>
      <c r="V113" s="196">
        <v>1.0900000000000001</v>
      </c>
      <c r="W113" s="196">
        <v>0.67800000000000005</v>
      </c>
      <c r="X113" s="196">
        <v>0.72299999999999998</v>
      </c>
      <c r="Y113" s="196">
        <v>0.85099999999999998</v>
      </c>
      <c r="Z113" s="196">
        <v>0.90300000000000002</v>
      </c>
      <c r="AA113" s="196">
        <v>0.58899999999999997</v>
      </c>
      <c r="AB113" s="196">
        <v>0.8</v>
      </c>
      <c r="AC113" s="196">
        <v>0.76600000000000001</v>
      </c>
      <c r="AD113" s="196">
        <v>0.72099999999999997</v>
      </c>
      <c r="AE113" s="112"/>
      <c r="AF113" s="196">
        <v>0.81499999999999995</v>
      </c>
      <c r="AG113" s="196">
        <v>1.0609999999999999</v>
      </c>
      <c r="AH113" s="196">
        <v>1.1459999999999999</v>
      </c>
      <c r="AI113" s="196">
        <v>1.139</v>
      </c>
      <c r="AJ113" s="196">
        <v>1.1200000000000001</v>
      </c>
      <c r="AK113" s="196">
        <v>0.69599999999999995</v>
      </c>
      <c r="AL113" s="196">
        <v>0.95299999999999996</v>
      </c>
      <c r="AM113" s="196">
        <v>0.84099999999999997</v>
      </c>
      <c r="AN113" s="196">
        <v>0.8</v>
      </c>
      <c r="AO113" s="196">
        <v>1</v>
      </c>
      <c r="AP113" s="196">
        <v>1.0129999999999999</v>
      </c>
      <c r="AQ113" s="196">
        <v>0.999</v>
      </c>
      <c r="AR113" s="112">
        <v>0.95799999999999996</v>
      </c>
      <c r="AS113" s="196">
        <v>0.86699999999999999</v>
      </c>
      <c r="AT113" s="112">
        <v>0.70099999999999996</v>
      </c>
      <c r="AU113" s="196">
        <v>0.92</v>
      </c>
      <c r="AV113" s="196">
        <v>0.77100000000000002</v>
      </c>
      <c r="AW113" s="196">
        <v>0.90800000000000003</v>
      </c>
      <c r="AX113" s="196">
        <v>0.95799999999999996</v>
      </c>
      <c r="AY113" s="196">
        <v>1.075</v>
      </c>
      <c r="AZ113" s="196">
        <v>0.91100000000000003</v>
      </c>
      <c r="BA113" s="196">
        <v>1.139</v>
      </c>
      <c r="BB113" s="196">
        <v>0.86599999999999999</v>
      </c>
      <c r="BC113" s="196">
        <v>1.214</v>
      </c>
      <c r="BD113" s="196">
        <v>0.76100000000000001</v>
      </c>
      <c r="BE113" s="196">
        <v>0.76400000000000001</v>
      </c>
      <c r="BF113" s="196">
        <v>0.63300000000000001</v>
      </c>
      <c r="BG113" s="196">
        <v>0.78</v>
      </c>
      <c r="BH113" s="196">
        <v>1.083</v>
      </c>
      <c r="BI113" s="112"/>
      <c r="BJ113" s="112"/>
      <c r="BK113" s="112"/>
    </row>
    <row r="114" spans="1:79" s="181" customFormat="1">
      <c r="A114" s="147" t="s">
        <v>110</v>
      </c>
      <c r="B114" s="50">
        <v>0.64200000000000002</v>
      </c>
      <c r="C114" s="50">
        <v>0.64200000000000002</v>
      </c>
      <c r="D114" s="50">
        <v>0.64200000000000002</v>
      </c>
      <c r="E114" s="50">
        <v>0.64200000000000002</v>
      </c>
      <c r="F114" s="50">
        <v>0.64200000000000002</v>
      </c>
      <c r="G114" s="50">
        <v>0.64200000000000002</v>
      </c>
      <c r="H114" s="50">
        <v>0.64200000000000002</v>
      </c>
      <c r="I114" s="50">
        <v>0.64200000000000002</v>
      </c>
      <c r="J114" s="50">
        <v>0.64200000000000002</v>
      </c>
      <c r="K114" s="50">
        <v>0.64200000000000002</v>
      </c>
      <c r="L114" s="50">
        <v>0.64200000000000002</v>
      </c>
      <c r="M114" s="50">
        <v>0.64200000000000002</v>
      </c>
      <c r="N114" s="50">
        <v>0.64200000000000002</v>
      </c>
      <c r="O114" s="50">
        <v>0.64200000000000002</v>
      </c>
      <c r="P114" s="50">
        <v>0.64200000000000002</v>
      </c>
      <c r="Q114" s="50">
        <v>0.64200000000000002</v>
      </c>
      <c r="R114" s="50">
        <v>0.64200000000000002</v>
      </c>
      <c r="S114" s="50">
        <v>0.64200000000000002</v>
      </c>
      <c r="T114" s="50">
        <v>0.64200000000000002</v>
      </c>
      <c r="U114" s="50">
        <v>0.64200000000000002</v>
      </c>
      <c r="V114" s="50">
        <v>0.64200000000000002</v>
      </c>
      <c r="W114" s="50">
        <v>0.64200000000000002</v>
      </c>
      <c r="X114" s="50">
        <v>0.64200000000000002</v>
      </c>
      <c r="Y114" s="50">
        <v>0.64200000000000002</v>
      </c>
      <c r="Z114" s="50">
        <v>0.64200000000000002</v>
      </c>
      <c r="AA114" s="50">
        <v>0.64200000000000002</v>
      </c>
      <c r="AB114" s="50">
        <v>0.64200000000000002</v>
      </c>
      <c r="AC114" s="50">
        <v>0.64200000000000002</v>
      </c>
      <c r="AD114" s="50">
        <v>0.64200000000000002</v>
      </c>
      <c r="AE114" s="50">
        <v>0.64200000000000002</v>
      </c>
      <c r="AF114" s="50">
        <v>0.64200000000000002</v>
      </c>
      <c r="AG114" s="50">
        <v>0.64200000000000002</v>
      </c>
      <c r="AH114" s="50">
        <v>0.64200000000000002</v>
      </c>
      <c r="AI114" s="50">
        <v>0.64200000000000002</v>
      </c>
      <c r="AJ114" s="50">
        <v>0.64200000000000002</v>
      </c>
      <c r="AK114" s="50">
        <v>0.64200000000000002</v>
      </c>
      <c r="AL114" s="50">
        <v>0.64200000000000002</v>
      </c>
      <c r="AM114" s="50">
        <v>0.64200000000000002</v>
      </c>
      <c r="AN114" s="50">
        <v>0.64200000000000002</v>
      </c>
      <c r="AO114" s="50">
        <v>0.64200000000000002</v>
      </c>
      <c r="AP114" s="50">
        <v>0.64200000000000002</v>
      </c>
      <c r="AQ114" s="50">
        <v>0.64200000000000002</v>
      </c>
      <c r="AR114" s="50">
        <v>0.64200000000000002</v>
      </c>
      <c r="AS114" s="50">
        <v>0.64200000000000002</v>
      </c>
      <c r="AT114" s="50">
        <v>0.64200000000000002</v>
      </c>
      <c r="AU114" s="50">
        <v>0.64200000000000002</v>
      </c>
      <c r="AV114" s="50">
        <v>0.64200000000000002</v>
      </c>
      <c r="AW114" s="180">
        <v>0.64200000000000002</v>
      </c>
      <c r="AX114" s="180">
        <v>0.64200000000000002</v>
      </c>
      <c r="AY114" s="180">
        <v>0.64200000000000002</v>
      </c>
      <c r="AZ114" s="180">
        <v>0.64200000000000002</v>
      </c>
      <c r="BA114" s="180">
        <v>0.64200000000000002</v>
      </c>
      <c r="BB114" s="180">
        <v>0.64200000000000002</v>
      </c>
      <c r="BC114" s="180">
        <v>0.64200000000000002</v>
      </c>
      <c r="BD114" s="180">
        <v>0.64200000000000002</v>
      </c>
      <c r="BE114" s="180">
        <v>0.64200000000000002</v>
      </c>
      <c r="BF114" s="180">
        <v>0.64200000000000002</v>
      </c>
      <c r="BG114" s="180">
        <v>0.64200000000000002</v>
      </c>
      <c r="BH114" s="180">
        <v>0.64200000000000002</v>
      </c>
      <c r="BI114" s="180">
        <v>0.64200000000000002</v>
      </c>
      <c r="BJ114" s="180">
        <v>0.64200000000000002</v>
      </c>
      <c r="BK114" s="180">
        <v>0.64200000000000002</v>
      </c>
      <c r="BL114" s="180">
        <v>0.64200000000000002</v>
      </c>
      <c r="BM114" s="180">
        <v>0.64200000000000002</v>
      </c>
      <c r="BN114" s="180">
        <v>0.64200000000000002</v>
      </c>
      <c r="BO114" s="180">
        <v>0.64200000000000002</v>
      </c>
      <c r="BP114" s="180">
        <v>0.64200000000000002</v>
      </c>
      <c r="BQ114" s="180">
        <v>0.64200000000000002</v>
      </c>
      <c r="BR114" s="180">
        <v>0.64200000000000002</v>
      </c>
      <c r="BS114" s="180">
        <v>0.64200000000000002</v>
      </c>
      <c r="BT114" s="180">
        <v>0.64200000000000002</v>
      </c>
      <c r="BU114" s="180">
        <v>0.64200000000000002</v>
      </c>
      <c r="BV114" s="180">
        <v>0.64200000000000002</v>
      </c>
      <c r="BW114" s="180">
        <v>0.64200000000000002</v>
      </c>
      <c r="BX114" s="180">
        <v>0.64200000000000002</v>
      </c>
      <c r="BY114" s="180">
        <v>0.64200000000000002</v>
      </c>
      <c r="BZ114" s="180">
        <v>0.64200000000000002</v>
      </c>
      <c r="CA114" s="180">
        <v>0.64200000000000002</v>
      </c>
    </row>
    <row r="115" spans="1:79" s="69" customFormat="1">
      <c r="A115" s="147" t="s">
        <v>112</v>
      </c>
      <c r="B115" s="112"/>
      <c r="C115" s="112"/>
      <c r="D115" s="112"/>
      <c r="E115" s="112"/>
      <c r="F115" s="112"/>
      <c r="G115" s="196"/>
      <c r="H115" s="196"/>
      <c r="I115" s="196"/>
      <c r="J115" s="196"/>
      <c r="K115" s="196"/>
      <c r="L115" s="196">
        <v>0.4</v>
      </c>
      <c r="M115" s="196">
        <v>0.38200000000000001</v>
      </c>
      <c r="N115" s="196">
        <v>0.28499999999999998</v>
      </c>
      <c r="O115" s="196">
        <v>0.52</v>
      </c>
      <c r="P115" s="196">
        <v>0.46700000000000003</v>
      </c>
      <c r="Q115" s="196">
        <v>0.52300000000000002</v>
      </c>
      <c r="R115" s="196"/>
      <c r="S115" s="196">
        <v>0.64</v>
      </c>
      <c r="T115" s="196"/>
      <c r="U115" s="196"/>
      <c r="V115" s="196">
        <v>0.41599999999999998</v>
      </c>
      <c r="W115" s="196">
        <v>0.68</v>
      </c>
      <c r="X115" s="196">
        <v>0.64</v>
      </c>
      <c r="Y115" s="196">
        <v>0.72599999999999998</v>
      </c>
      <c r="Z115" s="196">
        <v>0.61</v>
      </c>
      <c r="AA115" s="196">
        <v>0.54800000000000004</v>
      </c>
      <c r="AB115" s="196">
        <v>0.6</v>
      </c>
      <c r="AC115" s="196">
        <v>0.55900000000000005</v>
      </c>
      <c r="AD115" s="196">
        <v>0.72099999999999997</v>
      </c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96">
        <v>0.57799999999999996</v>
      </c>
      <c r="AO115" s="112"/>
      <c r="AP115" s="112"/>
      <c r="AQ115" s="112"/>
      <c r="AR115" s="196">
        <v>0.42299999999999999</v>
      </c>
      <c r="AS115" s="196">
        <v>0.625</v>
      </c>
      <c r="AT115" s="112">
        <v>0.53600000000000003</v>
      </c>
      <c r="AU115" s="112"/>
      <c r="AV115" s="196"/>
      <c r="AW115" s="196"/>
      <c r="AX115" s="196">
        <v>0.52800000000000002</v>
      </c>
      <c r="AY115" s="196"/>
      <c r="AZ115" s="196"/>
      <c r="BA115" s="196"/>
      <c r="BB115" s="196">
        <v>7.0999999999999994E-2</v>
      </c>
      <c r="BC115" s="112"/>
      <c r="BD115" s="112"/>
      <c r="BE115" s="196">
        <v>0.55800000000000005</v>
      </c>
      <c r="BF115" s="196">
        <v>0.53800000000000003</v>
      </c>
      <c r="BG115" s="196">
        <v>0.45500000000000002</v>
      </c>
      <c r="BH115" s="112"/>
      <c r="BI115" s="112"/>
      <c r="BJ115" s="112"/>
      <c r="BK115" s="112"/>
    </row>
    <row r="116" spans="1:79" s="181" customFormat="1">
      <c r="A116" s="147" t="s">
        <v>111</v>
      </c>
      <c r="B116" s="50">
        <v>0.67800000000000005</v>
      </c>
      <c r="C116" s="50">
        <v>0.67800000000000005</v>
      </c>
      <c r="D116" s="50">
        <v>0.67800000000000005</v>
      </c>
      <c r="E116" s="50">
        <v>0.67800000000000005</v>
      </c>
      <c r="F116" s="50">
        <v>0.67800000000000005</v>
      </c>
      <c r="G116" s="50">
        <v>0.67800000000000005</v>
      </c>
      <c r="H116" s="50">
        <v>0.67800000000000005</v>
      </c>
      <c r="I116" s="50">
        <v>0.67800000000000005</v>
      </c>
      <c r="J116" s="50">
        <v>0.67800000000000005</v>
      </c>
      <c r="K116" s="50">
        <v>0.67800000000000005</v>
      </c>
      <c r="L116" s="50">
        <v>0.67800000000000005</v>
      </c>
      <c r="M116" s="50">
        <v>0.67800000000000005</v>
      </c>
      <c r="N116" s="50">
        <v>0.67800000000000005</v>
      </c>
      <c r="O116" s="50">
        <v>0.67800000000000005</v>
      </c>
      <c r="P116" s="50">
        <v>0.67800000000000005</v>
      </c>
      <c r="Q116" s="50">
        <v>0.67800000000000005</v>
      </c>
      <c r="R116" s="50">
        <v>0.67800000000000005</v>
      </c>
      <c r="S116" s="50">
        <v>0.67800000000000005</v>
      </c>
      <c r="T116" s="50">
        <v>0.67800000000000005</v>
      </c>
      <c r="U116" s="50">
        <v>0.67800000000000005</v>
      </c>
      <c r="V116" s="50">
        <v>0.67800000000000005</v>
      </c>
      <c r="W116" s="50">
        <v>0.67800000000000005</v>
      </c>
      <c r="X116" s="50">
        <v>0.67800000000000005</v>
      </c>
      <c r="Y116" s="50">
        <v>0.67800000000000005</v>
      </c>
      <c r="Z116" s="50">
        <v>0.67800000000000005</v>
      </c>
      <c r="AA116" s="50">
        <v>0.67800000000000005</v>
      </c>
      <c r="AB116" s="50">
        <v>0.67800000000000005</v>
      </c>
      <c r="AC116" s="50">
        <v>0.67800000000000005</v>
      </c>
      <c r="AD116" s="50">
        <v>0.67800000000000005</v>
      </c>
      <c r="AE116" s="50">
        <v>0.67800000000000005</v>
      </c>
      <c r="AF116" s="50">
        <v>0.67800000000000005</v>
      </c>
      <c r="AG116" s="50">
        <v>0.67800000000000005</v>
      </c>
      <c r="AH116" s="50">
        <v>0.67800000000000005</v>
      </c>
      <c r="AI116" s="50">
        <v>0.67800000000000005</v>
      </c>
      <c r="AJ116" s="50">
        <v>0.67800000000000005</v>
      </c>
      <c r="AK116" s="50">
        <v>0.67800000000000005</v>
      </c>
      <c r="AL116" s="50">
        <v>0.67800000000000005</v>
      </c>
      <c r="AM116" s="50">
        <v>0.67800000000000005</v>
      </c>
      <c r="AN116" s="50">
        <v>0.67800000000000005</v>
      </c>
      <c r="AO116" s="50">
        <v>0.67800000000000005</v>
      </c>
      <c r="AP116" s="50">
        <v>0.67800000000000005</v>
      </c>
      <c r="AQ116" s="50">
        <v>0.67800000000000005</v>
      </c>
      <c r="AR116" s="50">
        <v>0.67800000000000005</v>
      </c>
      <c r="AS116" s="50">
        <v>0.67800000000000005</v>
      </c>
      <c r="AT116" s="50">
        <v>0.67800000000000005</v>
      </c>
      <c r="AU116" s="50">
        <v>0.67800000000000005</v>
      </c>
      <c r="AV116" s="50">
        <v>0.67800000000000005</v>
      </c>
      <c r="AW116" s="180">
        <v>0.67800000000000005</v>
      </c>
      <c r="AX116" s="180">
        <v>0.67800000000000005</v>
      </c>
      <c r="AY116" s="180">
        <v>0.67800000000000005</v>
      </c>
      <c r="AZ116" s="180">
        <v>0.67800000000000005</v>
      </c>
      <c r="BA116" s="180">
        <v>0.67800000000000005</v>
      </c>
      <c r="BB116" s="180">
        <v>0.67800000000000005</v>
      </c>
      <c r="BC116" s="180">
        <v>0.67800000000000005</v>
      </c>
      <c r="BD116" s="180">
        <v>0.67800000000000005</v>
      </c>
      <c r="BE116" s="180">
        <v>0.67800000000000005</v>
      </c>
      <c r="BF116" s="180">
        <v>0.67800000000000005</v>
      </c>
      <c r="BG116" s="180">
        <v>0.67800000000000005</v>
      </c>
      <c r="BH116" s="180">
        <v>0.67800000000000005</v>
      </c>
      <c r="BI116" s="180">
        <v>0.67800000000000005</v>
      </c>
      <c r="BJ116" s="180">
        <v>0.67800000000000005</v>
      </c>
      <c r="BK116" s="180">
        <v>0.67800000000000005</v>
      </c>
      <c r="BL116" s="180">
        <v>0.67800000000000005</v>
      </c>
      <c r="BM116" s="180">
        <v>0.67800000000000005</v>
      </c>
      <c r="BN116" s="180">
        <v>0.67800000000000005</v>
      </c>
      <c r="BO116" s="180">
        <v>0.67800000000000005</v>
      </c>
      <c r="BP116" s="180">
        <v>0.67800000000000005</v>
      </c>
      <c r="BQ116" s="180">
        <v>0.67800000000000005</v>
      </c>
      <c r="BR116" s="180">
        <v>0.67800000000000005</v>
      </c>
      <c r="BS116" s="180">
        <v>0.67800000000000005</v>
      </c>
      <c r="BT116" s="180">
        <v>0.67800000000000005</v>
      </c>
      <c r="BU116" s="180">
        <v>0.67800000000000005</v>
      </c>
      <c r="BV116" s="180">
        <v>0.67800000000000005</v>
      </c>
      <c r="BW116" s="180">
        <v>0.67800000000000005</v>
      </c>
      <c r="BX116" s="180">
        <v>0.67800000000000005</v>
      </c>
      <c r="BY116" s="180">
        <v>0.67800000000000005</v>
      </c>
      <c r="BZ116" s="180">
        <v>0.67800000000000005</v>
      </c>
      <c r="CA116" s="180">
        <v>0.67800000000000005</v>
      </c>
    </row>
    <row r="117" spans="1:79" s="69" customFormat="1">
      <c r="A117" s="147" t="s">
        <v>113</v>
      </c>
      <c r="B117" s="112"/>
      <c r="C117" s="112"/>
      <c r="D117" s="112"/>
      <c r="E117" s="196"/>
      <c r="F117" s="196"/>
      <c r="G117" s="196"/>
      <c r="H117" s="196"/>
      <c r="I117" s="196"/>
      <c r="J117" s="196"/>
      <c r="K117" s="196"/>
      <c r="L117" s="196">
        <v>1</v>
      </c>
      <c r="M117" s="196">
        <v>1.006</v>
      </c>
      <c r="N117" s="196">
        <v>1</v>
      </c>
      <c r="O117" s="196"/>
      <c r="P117" s="196"/>
      <c r="Q117" s="196">
        <v>0.96799999999999997</v>
      </c>
      <c r="R117" s="196">
        <v>1.274</v>
      </c>
      <c r="S117" s="196">
        <v>1.1200000000000001</v>
      </c>
      <c r="T117" s="196"/>
      <c r="U117" s="196"/>
      <c r="V117" s="196">
        <v>1.1000000000000001</v>
      </c>
      <c r="W117" s="196"/>
      <c r="X117" s="196">
        <v>0.84699999999999998</v>
      </c>
      <c r="Y117" s="196">
        <v>0.93500000000000005</v>
      </c>
      <c r="Z117" s="196">
        <v>1.05</v>
      </c>
      <c r="AA117" s="196">
        <v>0.83699999999999997</v>
      </c>
      <c r="AB117" s="196">
        <v>1</v>
      </c>
      <c r="AC117" s="196">
        <v>1.05</v>
      </c>
      <c r="AD117" s="196"/>
      <c r="AE117" s="196"/>
      <c r="AF117" s="196">
        <v>1</v>
      </c>
      <c r="AG117" s="196">
        <v>1.06</v>
      </c>
      <c r="AH117" s="196">
        <v>1.1459999999999999</v>
      </c>
      <c r="AI117" s="196">
        <v>1.1399999999999999</v>
      </c>
      <c r="AJ117" s="196">
        <v>1.1200000000000001</v>
      </c>
      <c r="AK117" s="196">
        <v>0.69599999999999995</v>
      </c>
      <c r="AL117" s="196">
        <v>0.95299999999999996</v>
      </c>
      <c r="AM117" s="196">
        <v>0.91700000000000004</v>
      </c>
      <c r="AN117" s="196">
        <v>0.94799999999999995</v>
      </c>
      <c r="AO117" s="112">
        <v>1</v>
      </c>
      <c r="AP117" s="112">
        <v>1.0129999999999999</v>
      </c>
      <c r="AQ117" s="196">
        <v>0.999</v>
      </c>
      <c r="AR117" s="112">
        <v>1.226</v>
      </c>
      <c r="AS117" s="196">
        <v>0.98799999999999999</v>
      </c>
      <c r="AT117" s="112">
        <v>0.9</v>
      </c>
      <c r="AU117" s="196">
        <v>0.92</v>
      </c>
      <c r="AV117" s="196">
        <v>0.77100000000000002</v>
      </c>
      <c r="AW117" s="196">
        <v>0.90800000000000003</v>
      </c>
      <c r="AX117" s="196">
        <v>1.173</v>
      </c>
      <c r="AY117" s="196">
        <v>1.075</v>
      </c>
      <c r="AZ117" s="196">
        <v>0.91100000000000003</v>
      </c>
      <c r="BA117" s="196">
        <v>1.139</v>
      </c>
      <c r="BB117" s="196">
        <v>1.1299999999999999</v>
      </c>
      <c r="BC117" s="196">
        <v>1.214</v>
      </c>
      <c r="BD117" s="196">
        <v>0.76100000000000001</v>
      </c>
      <c r="BE117" s="196">
        <v>0.747</v>
      </c>
      <c r="BF117" s="196">
        <v>0.82399999999999995</v>
      </c>
      <c r="BG117" s="196">
        <v>0.88900000000000001</v>
      </c>
      <c r="BH117" s="196">
        <v>1.083</v>
      </c>
      <c r="BI117" s="112"/>
      <c r="BJ117" s="112"/>
      <c r="BK117" s="112"/>
    </row>
    <row r="118" spans="1:79" s="2" customFormat="1">
      <c r="A118" s="48" t="s">
        <v>5</v>
      </c>
      <c r="B118" s="105" t="e">
        <f>B119/(SUM(B119,B121,B123))</f>
        <v>#DIV/0!</v>
      </c>
      <c r="C118" s="172" t="e">
        <f t="shared" ref="C118:BB118" si="395">C119/(SUM(C119,C121,C123))</f>
        <v>#DIV/0!</v>
      </c>
      <c r="D118" s="105" t="e">
        <f t="shared" si="395"/>
        <v>#DIV/0!</v>
      </c>
      <c r="E118" s="105" t="e">
        <f t="shared" si="395"/>
        <v>#DIV/0!</v>
      </c>
      <c r="F118" s="105" t="e">
        <f t="shared" si="395"/>
        <v>#DIV/0!</v>
      </c>
      <c r="G118" s="172" t="e">
        <f t="shared" si="395"/>
        <v>#DIV/0!</v>
      </c>
      <c r="H118" s="105" t="e">
        <f t="shared" si="395"/>
        <v>#DIV/0!</v>
      </c>
      <c r="I118" s="105" t="e">
        <f t="shared" si="395"/>
        <v>#DIV/0!</v>
      </c>
      <c r="J118" s="105" t="e">
        <f t="shared" si="395"/>
        <v>#DIV/0!</v>
      </c>
      <c r="K118" s="105" t="e">
        <f t="shared" si="395"/>
        <v>#DIV/0!</v>
      </c>
      <c r="L118" s="105" t="e">
        <f t="shared" si="395"/>
        <v>#DIV/0!</v>
      </c>
      <c r="M118" s="105">
        <f t="shared" si="395"/>
        <v>0</v>
      </c>
      <c r="N118" s="105">
        <f t="shared" si="395"/>
        <v>0</v>
      </c>
      <c r="O118" s="105">
        <f t="shared" si="395"/>
        <v>0</v>
      </c>
      <c r="P118" s="105">
        <f t="shared" si="395"/>
        <v>0</v>
      </c>
      <c r="Q118" s="105">
        <f t="shared" si="395"/>
        <v>0</v>
      </c>
      <c r="R118" s="105">
        <f t="shared" si="395"/>
        <v>0</v>
      </c>
      <c r="S118" s="105">
        <f t="shared" si="395"/>
        <v>0</v>
      </c>
      <c r="T118" s="105">
        <f t="shared" si="395"/>
        <v>0</v>
      </c>
      <c r="U118" s="105">
        <f t="shared" si="395"/>
        <v>0</v>
      </c>
      <c r="V118" s="105">
        <f t="shared" si="395"/>
        <v>0</v>
      </c>
      <c r="W118" s="105">
        <f t="shared" si="395"/>
        <v>0</v>
      </c>
      <c r="X118" s="105">
        <f t="shared" si="395"/>
        <v>0</v>
      </c>
      <c r="Y118" s="105">
        <f t="shared" si="395"/>
        <v>0</v>
      </c>
      <c r="Z118" s="105">
        <f t="shared" si="395"/>
        <v>0</v>
      </c>
      <c r="AA118" s="105">
        <f t="shared" si="395"/>
        <v>0</v>
      </c>
      <c r="AB118" s="105">
        <f t="shared" si="395"/>
        <v>0</v>
      </c>
      <c r="AC118" s="105">
        <f t="shared" si="395"/>
        <v>0</v>
      </c>
      <c r="AD118" s="105">
        <f t="shared" si="395"/>
        <v>0</v>
      </c>
      <c r="AE118" s="105" t="e">
        <f t="shared" si="395"/>
        <v>#DIV/0!</v>
      </c>
      <c r="AF118" s="105">
        <f t="shared" si="395"/>
        <v>0</v>
      </c>
      <c r="AG118" s="105">
        <f t="shared" si="395"/>
        <v>0</v>
      </c>
      <c r="AH118" s="105">
        <f t="shared" si="395"/>
        <v>0</v>
      </c>
      <c r="AI118" s="105">
        <f t="shared" si="395"/>
        <v>0</v>
      </c>
      <c r="AJ118" s="105">
        <f t="shared" si="395"/>
        <v>0</v>
      </c>
      <c r="AK118" s="105">
        <f t="shared" si="395"/>
        <v>0</v>
      </c>
      <c r="AL118" s="105">
        <f t="shared" si="395"/>
        <v>0</v>
      </c>
      <c r="AM118" s="105">
        <f t="shared" si="395"/>
        <v>0</v>
      </c>
      <c r="AN118" s="105">
        <f t="shared" si="395"/>
        <v>0.4</v>
      </c>
      <c r="AO118" s="105">
        <f t="shared" si="395"/>
        <v>0</v>
      </c>
      <c r="AP118" s="105">
        <f t="shared" si="395"/>
        <v>0</v>
      </c>
      <c r="AQ118" s="105">
        <f t="shared" si="395"/>
        <v>0</v>
      </c>
      <c r="AR118" s="105">
        <f t="shared" si="395"/>
        <v>0.33333333333333331</v>
      </c>
      <c r="AS118" s="105">
        <f t="shared" si="395"/>
        <v>0.33333333333333331</v>
      </c>
      <c r="AT118" s="105">
        <f t="shared" si="395"/>
        <v>0.33333333333333331</v>
      </c>
      <c r="AU118" s="105">
        <f t="shared" si="395"/>
        <v>0</v>
      </c>
      <c r="AV118" s="249">
        <f t="shared" si="395"/>
        <v>0</v>
      </c>
      <c r="AW118" s="249">
        <f t="shared" si="395"/>
        <v>0</v>
      </c>
      <c r="AX118" s="249">
        <f t="shared" si="395"/>
        <v>0.33333333333333331</v>
      </c>
      <c r="AY118" s="249">
        <f t="shared" si="395"/>
        <v>0</v>
      </c>
      <c r="AZ118" s="249">
        <f t="shared" si="395"/>
        <v>0</v>
      </c>
      <c r="BA118" s="249">
        <f t="shared" si="395"/>
        <v>0</v>
      </c>
      <c r="BB118" s="249">
        <f t="shared" si="395"/>
        <v>0.25</v>
      </c>
      <c r="BC118" s="105">
        <f t="shared" ref="BC118:CA118" si="396">BC119/(SUM(BC119,BC121,BC123))</f>
        <v>0</v>
      </c>
      <c r="BD118" s="105">
        <f t="shared" si="396"/>
        <v>0</v>
      </c>
      <c r="BE118" s="105">
        <f t="shared" si="396"/>
        <v>0.33333333333333331</v>
      </c>
      <c r="BF118" s="105">
        <f t="shared" si="396"/>
        <v>0.66666666666666663</v>
      </c>
      <c r="BG118" s="105">
        <f t="shared" si="396"/>
        <v>0.25</v>
      </c>
      <c r="BH118" s="105">
        <f t="shared" si="396"/>
        <v>0</v>
      </c>
      <c r="BI118" s="105" t="e">
        <f t="shared" si="396"/>
        <v>#DIV/0!</v>
      </c>
      <c r="BJ118" s="105" t="e">
        <f t="shared" si="396"/>
        <v>#DIV/0!</v>
      </c>
      <c r="BK118" s="106" t="e">
        <f t="shared" si="396"/>
        <v>#DIV/0!</v>
      </c>
      <c r="BL118" s="106" t="e">
        <f t="shared" si="396"/>
        <v>#DIV/0!</v>
      </c>
      <c r="BM118" s="106" t="e">
        <f t="shared" si="396"/>
        <v>#DIV/0!</v>
      </c>
      <c r="BN118" s="106" t="e">
        <f t="shared" si="396"/>
        <v>#DIV/0!</v>
      </c>
      <c r="BO118" s="106" t="e">
        <f t="shared" si="396"/>
        <v>#DIV/0!</v>
      </c>
      <c r="BP118" s="106" t="e">
        <f t="shared" si="396"/>
        <v>#DIV/0!</v>
      </c>
      <c r="BQ118" s="106" t="e">
        <f t="shared" si="396"/>
        <v>#DIV/0!</v>
      </c>
      <c r="BR118" s="106" t="e">
        <f t="shared" si="396"/>
        <v>#DIV/0!</v>
      </c>
      <c r="BS118" s="106" t="e">
        <f t="shared" si="396"/>
        <v>#DIV/0!</v>
      </c>
      <c r="BT118" s="106" t="e">
        <f t="shared" si="396"/>
        <v>#DIV/0!</v>
      </c>
      <c r="BU118" s="106" t="e">
        <f t="shared" si="396"/>
        <v>#DIV/0!</v>
      </c>
      <c r="BV118" s="106" t="e">
        <f t="shared" si="396"/>
        <v>#DIV/0!</v>
      </c>
      <c r="BW118" s="106" t="e">
        <f t="shared" si="396"/>
        <v>#DIV/0!</v>
      </c>
      <c r="BX118" s="106" t="e">
        <f t="shared" si="396"/>
        <v>#DIV/0!</v>
      </c>
      <c r="BY118" s="106" t="e">
        <f t="shared" si="396"/>
        <v>#DIV/0!</v>
      </c>
      <c r="BZ118" s="106" t="e">
        <f t="shared" si="396"/>
        <v>#DIV/0!</v>
      </c>
      <c r="CA118" s="106" t="e">
        <f t="shared" si="396"/>
        <v>#DIV/0!</v>
      </c>
    </row>
    <row r="119" spans="1:79" s="83" customFormat="1">
      <c r="A119" s="19" t="s">
        <v>6</v>
      </c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>
        <v>2</v>
      </c>
      <c r="AO119" s="98"/>
      <c r="AP119" s="98"/>
      <c r="AQ119" s="98"/>
      <c r="AR119" s="98">
        <v>1</v>
      </c>
      <c r="AS119" s="98">
        <v>1</v>
      </c>
      <c r="AT119" s="98">
        <v>1</v>
      </c>
      <c r="AU119" s="98"/>
      <c r="AV119" s="196"/>
      <c r="AW119" s="196"/>
      <c r="AX119" s="98">
        <v>1</v>
      </c>
      <c r="AY119" s="196"/>
      <c r="AZ119" s="196"/>
      <c r="BA119" s="196"/>
      <c r="BB119" s="196">
        <v>1</v>
      </c>
      <c r="BC119" s="98"/>
      <c r="BD119" s="98"/>
      <c r="BE119" s="98">
        <v>2</v>
      </c>
      <c r="BF119" s="98">
        <v>2</v>
      </c>
      <c r="BG119" s="98">
        <v>1</v>
      </c>
      <c r="BH119" s="98"/>
      <c r="BI119" s="98"/>
      <c r="BJ119" s="98"/>
      <c r="BK119" s="209"/>
    </row>
    <row r="120" spans="1:79" s="2" customFormat="1">
      <c r="A120" s="21" t="s">
        <v>7</v>
      </c>
      <c r="B120" s="96" t="e">
        <f>B121/(SUM(B119,B123,B121))</f>
        <v>#DIV/0!</v>
      </c>
      <c r="C120" s="96" t="e">
        <f t="shared" ref="C120:I120" si="397">C121/(SUM(C119,C123,C121))</f>
        <v>#DIV/0!</v>
      </c>
      <c r="D120" s="171" t="e">
        <f t="shared" si="397"/>
        <v>#DIV/0!</v>
      </c>
      <c r="E120" s="96" t="e">
        <f t="shared" si="397"/>
        <v>#DIV/0!</v>
      </c>
      <c r="F120" s="96" t="e">
        <f t="shared" si="397"/>
        <v>#DIV/0!</v>
      </c>
      <c r="G120" s="171" t="e">
        <f t="shared" si="397"/>
        <v>#DIV/0!</v>
      </c>
      <c r="H120" s="96" t="e">
        <f t="shared" si="397"/>
        <v>#DIV/0!</v>
      </c>
      <c r="I120" s="96" t="e">
        <f t="shared" si="397"/>
        <v>#DIV/0!</v>
      </c>
      <c r="J120" s="96" t="e">
        <f t="shared" ref="J120" si="398">J121/(SUM(J119,J123,J121))</f>
        <v>#DIV/0!</v>
      </c>
      <c r="K120" s="96" t="e">
        <f t="shared" ref="K120" si="399">K121/(SUM(K119,K123,K121))</f>
        <v>#DIV/0!</v>
      </c>
      <c r="L120" s="96" t="e">
        <f t="shared" ref="L120" si="400">L121/(SUM(L119,L123,L121))</f>
        <v>#DIV/0!</v>
      </c>
      <c r="M120" s="96">
        <f t="shared" ref="M120" si="401">M121/(SUM(M119,M123,M121))</f>
        <v>0.1</v>
      </c>
      <c r="N120" s="96">
        <f t="shared" ref="N120" si="402">N121/(SUM(N119,N123,N121))</f>
        <v>0</v>
      </c>
      <c r="O120" s="96">
        <f t="shared" ref="O120" si="403">O121/(SUM(O119,O123,O121))</f>
        <v>0.66666666666666663</v>
      </c>
      <c r="P120" s="96">
        <f t="shared" ref="P120" si="404">P121/(SUM(P119,P123,P121))</f>
        <v>0.2</v>
      </c>
      <c r="Q120" s="96">
        <f t="shared" ref="Q120" si="405">Q121/(SUM(Q119,Q123,Q121))</f>
        <v>0.25</v>
      </c>
      <c r="R120" s="96">
        <f t="shared" ref="R120" si="406">R121/(SUM(R119,R123,R121))</f>
        <v>1</v>
      </c>
      <c r="S120" s="96">
        <f t="shared" ref="S120" si="407">S121/(SUM(S119,S123,S121))</f>
        <v>0.8</v>
      </c>
      <c r="T120" s="96">
        <f t="shared" ref="T120" si="408">T121/(SUM(T119,T123,T121))</f>
        <v>0.66666666666666663</v>
      </c>
      <c r="U120" s="96">
        <f t="shared" ref="U120" si="409">U121/(SUM(U119,U123,U121))</f>
        <v>0</v>
      </c>
      <c r="V120" s="96">
        <f t="shared" ref="V120" si="410">V121/(SUM(V119,V123,V121))</f>
        <v>1</v>
      </c>
      <c r="W120" s="96">
        <f t="shared" ref="W120" si="411">W121/(SUM(W119,W123,W121))</f>
        <v>1</v>
      </c>
      <c r="X120" s="96">
        <f t="shared" ref="X120" si="412">X121/(SUM(X119,X123,X121))</f>
        <v>1</v>
      </c>
      <c r="Y120" s="96">
        <f t="shared" ref="Y120" si="413">Y121/(SUM(Y119,Y123,Y121))</f>
        <v>1</v>
      </c>
      <c r="Z120" s="96">
        <f t="shared" ref="Z120" si="414">Z121/(SUM(Z119,Z123,Z121))</f>
        <v>0.66666666666666663</v>
      </c>
      <c r="AA120" s="96">
        <f t="shared" ref="AA120" si="415">AA121/(SUM(AA119,AA123,AA121))</f>
        <v>0.8571428571428571</v>
      </c>
      <c r="AB120" s="96">
        <f t="shared" ref="AB120" si="416">AB121/(SUM(AB119,AB123,AB121))</f>
        <v>1</v>
      </c>
      <c r="AC120" s="96">
        <f t="shared" ref="AC120" si="417">AC121/(SUM(AC119,AC123,AC121))</f>
        <v>0.7142857142857143</v>
      </c>
      <c r="AD120" s="96">
        <f t="shared" ref="AD120" si="418">AD121/(SUM(AD119,AD123,AD121))</f>
        <v>0.66666666666666663</v>
      </c>
      <c r="AE120" s="96" t="e">
        <f t="shared" ref="AE120" si="419">AE121/(SUM(AE119,AE123,AE121))</f>
        <v>#DIV/0!</v>
      </c>
      <c r="AF120" s="96">
        <f t="shared" ref="AF120" si="420">AF121/(SUM(AF119,AF123,AF121))</f>
        <v>0</v>
      </c>
      <c r="AG120" s="96">
        <f t="shared" ref="AG120" si="421">AG121/(SUM(AG119,AG123,AG121))</f>
        <v>0</v>
      </c>
      <c r="AH120" s="96">
        <f t="shared" ref="AH120" si="422">AH121/(SUM(AH119,AH123,AH121))</f>
        <v>0</v>
      </c>
      <c r="AI120" s="96">
        <f t="shared" ref="AI120" si="423">AI121/(SUM(AI119,AI123,AI121))</f>
        <v>0</v>
      </c>
      <c r="AJ120" s="96">
        <f t="shared" ref="AJ120" si="424">AJ121/(SUM(AJ119,AJ123,AJ121))</f>
        <v>0</v>
      </c>
      <c r="AK120" s="96">
        <f t="shared" ref="AK120" si="425">AK121/(SUM(AK119,AK123,AK121))</f>
        <v>0</v>
      </c>
      <c r="AL120" s="96">
        <f t="shared" ref="AL120" si="426">AL121/(SUM(AL119,AL123,AL121))</f>
        <v>0</v>
      </c>
      <c r="AM120" s="96">
        <f t="shared" ref="AM120" si="427">AM121/(SUM(AM119,AM123,AM121))</f>
        <v>0.2857142857142857</v>
      </c>
      <c r="AN120" s="96">
        <f t="shared" ref="AN120" si="428">AN121/(SUM(AN119,AN123,AN121))</f>
        <v>0</v>
      </c>
      <c r="AO120" s="96">
        <f t="shared" ref="AO120" si="429">AO121/(SUM(AO119,AO123,AO121))</f>
        <v>0</v>
      </c>
      <c r="AP120" s="96">
        <f t="shared" ref="AP120" si="430">AP121/(SUM(AP119,AP123,AP121))</f>
        <v>0</v>
      </c>
      <c r="AQ120" s="96">
        <f t="shared" ref="AQ120" si="431">AQ121/(SUM(AQ119,AQ123,AQ121))</f>
        <v>0</v>
      </c>
      <c r="AR120" s="96">
        <f t="shared" ref="AR120" si="432">AR121/(SUM(AR119,AR123,AR121))</f>
        <v>0</v>
      </c>
      <c r="AS120" s="96">
        <f t="shared" ref="AS120" si="433">AS121/(SUM(AS119,AS123,AS121))</f>
        <v>0</v>
      </c>
      <c r="AT120" s="96">
        <f t="shared" ref="AT120" si="434">AT121/(SUM(AT119,AT123,AT121))</f>
        <v>0.33333333333333331</v>
      </c>
      <c r="AU120" s="96">
        <f t="shared" ref="AU120" si="435">AU121/(SUM(AU119,AU123,AU121))</f>
        <v>0</v>
      </c>
      <c r="AV120" s="250">
        <f t="shared" ref="AV120" si="436">AV121/(SUM(AV119,AV123,AV121))</f>
        <v>0</v>
      </c>
      <c r="AW120" s="250">
        <f t="shared" ref="AW120" si="437">AW121/(SUM(AW119,AW123,AW121))</f>
        <v>0</v>
      </c>
      <c r="AX120" s="250">
        <f t="shared" ref="AX120" si="438">AX121/(SUM(AX119,AX123,AX121))</f>
        <v>0</v>
      </c>
      <c r="AY120" s="250">
        <f t="shared" ref="AY120" si="439">AY121/(SUM(AY119,AY123,AY121))</f>
        <v>0</v>
      </c>
      <c r="AZ120" s="250">
        <f t="shared" ref="AZ120" si="440">AZ121/(SUM(AZ119,AZ123,AZ121))</f>
        <v>0</v>
      </c>
      <c r="BA120" s="250">
        <f t="shared" ref="BA120" si="441">BA121/(SUM(BA119,BA123,BA121))</f>
        <v>0</v>
      </c>
      <c r="BB120" s="250">
        <f t="shared" ref="BB120" si="442">BB121/(SUM(BB119,BB123,BB121))</f>
        <v>0</v>
      </c>
      <c r="BC120" s="96">
        <f t="shared" ref="BC120" si="443">BC121/(SUM(BC119,BC123,BC121))</f>
        <v>0</v>
      </c>
      <c r="BD120" s="96">
        <f t="shared" ref="BD120" si="444">BD121/(SUM(BD119,BD123,BD121))</f>
        <v>0</v>
      </c>
      <c r="BE120" s="96">
        <f t="shared" ref="BE120" si="445">BE121/(SUM(BE119,BE123,BE121))</f>
        <v>0</v>
      </c>
      <c r="BF120" s="96">
        <f t="shared" ref="BF120" si="446">BF121/(SUM(BF119,BF123,BF121))</f>
        <v>0</v>
      </c>
      <c r="BG120" s="96">
        <f t="shared" ref="BG120" si="447">BG121/(SUM(BG119,BG123,BG121))</f>
        <v>0</v>
      </c>
      <c r="BH120" s="96">
        <f t="shared" ref="BH120" si="448">BH121/(SUM(BH119,BH123,BH121))</f>
        <v>0</v>
      </c>
      <c r="BI120" s="96" t="e">
        <f t="shared" ref="BI120" si="449">BI121/(SUM(BI119,BI123,BI121))</f>
        <v>#DIV/0!</v>
      </c>
      <c r="BJ120" s="96" t="e">
        <f t="shared" ref="BJ120" si="450">BJ121/(SUM(BJ119,BJ123,BJ121))</f>
        <v>#DIV/0!</v>
      </c>
      <c r="BK120" s="97" t="e">
        <f t="shared" ref="BK120:CA120" si="451">BK121/(SUM(BK119,BK123,BK121))</f>
        <v>#DIV/0!</v>
      </c>
      <c r="BL120" s="97" t="e">
        <f t="shared" si="451"/>
        <v>#DIV/0!</v>
      </c>
      <c r="BM120" s="97" t="e">
        <f t="shared" si="451"/>
        <v>#DIV/0!</v>
      </c>
      <c r="BN120" s="97" t="e">
        <f t="shared" si="451"/>
        <v>#DIV/0!</v>
      </c>
      <c r="BO120" s="97" t="e">
        <f t="shared" si="451"/>
        <v>#DIV/0!</v>
      </c>
      <c r="BP120" s="97" t="e">
        <f t="shared" si="451"/>
        <v>#DIV/0!</v>
      </c>
      <c r="BQ120" s="97" t="e">
        <f t="shared" si="451"/>
        <v>#DIV/0!</v>
      </c>
      <c r="BR120" s="97" t="e">
        <f t="shared" si="451"/>
        <v>#DIV/0!</v>
      </c>
      <c r="BS120" s="97" t="e">
        <f t="shared" si="451"/>
        <v>#DIV/0!</v>
      </c>
      <c r="BT120" s="97" t="e">
        <f t="shared" si="451"/>
        <v>#DIV/0!</v>
      </c>
      <c r="BU120" s="97" t="e">
        <f t="shared" si="451"/>
        <v>#DIV/0!</v>
      </c>
      <c r="BV120" s="97" t="e">
        <f t="shared" si="451"/>
        <v>#DIV/0!</v>
      </c>
      <c r="BW120" s="97" t="e">
        <f t="shared" si="451"/>
        <v>#DIV/0!</v>
      </c>
      <c r="BX120" s="97" t="e">
        <f t="shared" si="451"/>
        <v>#DIV/0!</v>
      </c>
      <c r="BY120" s="97" t="e">
        <f t="shared" si="451"/>
        <v>#DIV/0!</v>
      </c>
      <c r="BZ120" s="97" t="e">
        <f t="shared" si="451"/>
        <v>#DIV/0!</v>
      </c>
      <c r="CA120" s="97" t="e">
        <f t="shared" si="451"/>
        <v>#DIV/0!</v>
      </c>
    </row>
    <row r="121" spans="1:79" s="83" customFormat="1">
      <c r="A121" s="19" t="s">
        <v>8</v>
      </c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>
        <v>1</v>
      </c>
      <c r="N121" s="167"/>
      <c r="O121" s="167">
        <v>2</v>
      </c>
      <c r="P121" s="167">
        <v>1</v>
      </c>
      <c r="Q121" s="167">
        <v>1</v>
      </c>
      <c r="R121" s="167">
        <v>2</v>
      </c>
      <c r="S121" s="167">
        <v>4</v>
      </c>
      <c r="T121" s="167">
        <v>2</v>
      </c>
      <c r="U121" s="167">
        <v>0</v>
      </c>
      <c r="V121" s="167">
        <v>4</v>
      </c>
      <c r="W121" s="167">
        <v>1</v>
      </c>
      <c r="X121" s="167">
        <v>5</v>
      </c>
      <c r="Y121" s="98">
        <v>5</v>
      </c>
      <c r="Z121" s="98">
        <v>2</v>
      </c>
      <c r="AA121" s="98">
        <v>6</v>
      </c>
      <c r="AB121" s="98">
        <v>2</v>
      </c>
      <c r="AC121" s="98">
        <v>5</v>
      </c>
      <c r="AD121" s="98">
        <v>2</v>
      </c>
      <c r="AE121" s="98"/>
      <c r="AF121" s="98"/>
      <c r="AG121" s="98"/>
      <c r="AH121" s="98"/>
      <c r="AI121" s="98"/>
      <c r="AJ121" s="98"/>
      <c r="AK121" s="98"/>
      <c r="AL121" s="98"/>
      <c r="AM121" s="98">
        <v>2</v>
      </c>
      <c r="AN121" s="98"/>
      <c r="AO121" s="98"/>
      <c r="AP121" s="98"/>
      <c r="AQ121" s="98"/>
      <c r="AR121" s="98"/>
      <c r="AS121" s="98"/>
      <c r="AT121" s="98">
        <v>1</v>
      </c>
      <c r="AU121" s="98"/>
      <c r="AV121" s="196"/>
      <c r="AW121" s="196"/>
      <c r="AX121" s="98"/>
      <c r="AY121" s="196"/>
      <c r="AZ121" s="196"/>
      <c r="BA121" s="196"/>
      <c r="BB121" s="196"/>
      <c r="BC121" s="98"/>
      <c r="BD121" s="98"/>
      <c r="BE121" s="98"/>
      <c r="BF121" s="98"/>
      <c r="BG121" s="98"/>
      <c r="BH121" s="98"/>
      <c r="BI121" s="98"/>
      <c r="BJ121" s="98"/>
      <c r="BK121" s="209"/>
    </row>
    <row r="122" spans="1:79" s="2" customFormat="1">
      <c r="A122" s="21" t="s">
        <v>9</v>
      </c>
      <c r="B122" s="96" t="e">
        <f>B123/(SUM(B123,B121,B119))</f>
        <v>#DIV/0!</v>
      </c>
      <c r="C122" s="171" t="e">
        <f t="shared" ref="C122:BB122" si="452">C123/(SUM(C123,C121,C119))</f>
        <v>#DIV/0!</v>
      </c>
      <c r="D122" s="171" t="e">
        <f t="shared" si="452"/>
        <v>#DIV/0!</v>
      </c>
      <c r="E122" s="96" t="e">
        <f t="shared" si="452"/>
        <v>#DIV/0!</v>
      </c>
      <c r="F122" s="96" t="e">
        <f t="shared" si="452"/>
        <v>#DIV/0!</v>
      </c>
      <c r="G122" s="171" t="e">
        <f t="shared" si="452"/>
        <v>#DIV/0!</v>
      </c>
      <c r="H122" s="96" t="e">
        <f t="shared" si="452"/>
        <v>#DIV/0!</v>
      </c>
      <c r="I122" s="96" t="e">
        <f t="shared" si="452"/>
        <v>#DIV/0!</v>
      </c>
      <c r="J122" s="96" t="e">
        <f t="shared" si="452"/>
        <v>#DIV/0!</v>
      </c>
      <c r="K122" s="96" t="e">
        <f t="shared" si="452"/>
        <v>#DIV/0!</v>
      </c>
      <c r="L122" s="96" t="e">
        <f t="shared" si="452"/>
        <v>#DIV/0!</v>
      </c>
      <c r="M122" s="96">
        <f t="shared" si="452"/>
        <v>0.9</v>
      </c>
      <c r="N122" s="96">
        <f t="shared" si="452"/>
        <v>1</v>
      </c>
      <c r="O122" s="96">
        <f t="shared" si="452"/>
        <v>0.33333333333333331</v>
      </c>
      <c r="P122" s="96">
        <f t="shared" si="452"/>
        <v>0.8</v>
      </c>
      <c r="Q122" s="96">
        <f t="shared" si="452"/>
        <v>0.75</v>
      </c>
      <c r="R122" s="96">
        <f t="shared" si="452"/>
        <v>0</v>
      </c>
      <c r="S122" s="96">
        <f t="shared" si="452"/>
        <v>0.2</v>
      </c>
      <c r="T122" s="96">
        <f t="shared" si="452"/>
        <v>0.33333333333333331</v>
      </c>
      <c r="U122" s="96">
        <f t="shared" si="452"/>
        <v>1</v>
      </c>
      <c r="V122" s="96">
        <f t="shared" si="452"/>
        <v>0</v>
      </c>
      <c r="W122" s="96">
        <f t="shared" si="452"/>
        <v>0</v>
      </c>
      <c r="X122" s="96">
        <f t="shared" si="452"/>
        <v>0</v>
      </c>
      <c r="Y122" s="96">
        <f t="shared" si="452"/>
        <v>0</v>
      </c>
      <c r="Z122" s="96">
        <f t="shared" si="452"/>
        <v>0.33333333333333331</v>
      </c>
      <c r="AA122" s="96">
        <f t="shared" si="452"/>
        <v>0.14285714285714285</v>
      </c>
      <c r="AB122" s="96">
        <f t="shared" si="452"/>
        <v>0</v>
      </c>
      <c r="AC122" s="96">
        <f t="shared" si="452"/>
        <v>0.2857142857142857</v>
      </c>
      <c r="AD122" s="96">
        <f t="shared" si="452"/>
        <v>0.33333333333333331</v>
      </c>
      <c r="AE122" s="96" t="e">
        <f t="shared" si="452"/>
        <v>#DIV/0!</v>
      </c>
      <c r="AF122" s="96">
        <f t="shared" si="452"/>
        <v>1</v>
      </c>
      <c r="AG122" s="96">
        <f t="shared" si="452"/>
        <v>1</v>
      </c>
      <c r="AH122" s="96">
        <f t="shared" si="452"/>
        <v>1</v>
      </c>
      <c r="AI122" s="96">
        <f t="shared" si="452"/>
        <v>1</v>
      </c>
      <c r="AJ122" s="96">
        <f t="shared" si="452"/>
        <v>1</v>
      </c>
      <c r="AK122" s="96">
        <f t="shared" si="452"/>
        <v>1</v>
      </c>
      <c r="AL122" s="96">
        <f t="shared" si="452"/>
        <v>1</v>
      </c>
      <c r="AM122" s="96">
        <f t="shared" si="452"/>
        <v>0.7142857142857143</v>
      </c>
      <c r="AN122" s="96">
        <f t="shared" si="452"/>
        <v>0.6</v>
      </c>
      <c r="AO122" s="96">
        <f t="shared" si="452"/>
        <v>1</v>
      </c>
      <c r="AP122" s="96">
        <f t="shared" si="452"/>
        <v>1</v>
      </c>
      <c r="AQ122" s="96">
        <f t="shared" si="452"/>
        <v>1</v>
      </c>
      <c r="AR122" s="96">
        <f t="shared" si="452"/>
        <v>0.66666666666666663</v>
      </c>
      <c r="AS122" s="96">
        <f t="shared" si="452"/>
        <v>0.66666666666666663</v>
      </c>
      <c r="AT122" s="96">
        <f t="shared" si="452"/>
        <v>0.33333333333333331</v>
      </c>
      <c r="AU122" s="96">
        <f t="shared" si="452"/>
        <v>1</v>
      </c>
      <c r="AV122" s="250">
        <f t="shared" si="452"/>
        <v>1</v>
      </c>
      <c r="AW122" s="250">
        <f t="shared" si="452"/>
        <v>1</v>
      </c>
      <c r="AX122" s="250">
        <f t="shared" si="452"/>
        <v>0.66666666666666663</v>
      </c>
      <c r="AY122" s="250">
        <f t="shared" si="452"/>
        <v>1</v>
      </c>
      <c r="AZ122" s="250">
        <f t="shared" si="452"/>
        <v>1</v>
      </c>
      <c r="BA122" s="250">
        <f t="shared" si="452"/>
        <v>1</v>
      </c>
      <c r="BB122" s="250">
        <f t="shared" si="452"/>
        <v>0.75</v>
      </c>
      <c r="BC122" s="96">
        <f t="shared" ref="BC122:CA122" si="453">BC123/(SUM(BC123,BC121,BC119))</f>
        <v>1</v>
      </c>
      <c r="BD122" s="96">
        <f t="shared" si="453"/>
        <v>1</v>
      </c>
      <c r="BE122" s="96">
        <f t="shared" si="453"/>
        <v>0.66666666666666663</v>
      </c>
      <c r="BF122" s="96">
        <f t="shared" si="453"/>
        <v>0.33333333333333331</v>
      </c>
      <c r="BG122" s="96">
        <f t="shared" si="453"/>
        <v>0.75</v>
      </c>
      <c r="BH122" s="96">
        <f t="shared" si="453"/>
        <v>1</v>
      </c>
      <c r="BI122" s="96" t="e">
        <f t="shared" si="453"/>
        <v>#DIV/0!</v>
      </c>
      <c r="BJ122" s="96" t="e">
        <f t="shared" si="453"/>
        <v>#DIV/0!</v>
      </c>
      <c r="BK122" s="97" t="e">
        <f t="shared" si="453"/>
        <v>#DIV/0!</v>
      </c>
      <c r="BL122" s="97" t="e">
        <f t="shared" si="453"/>
        <v>#DIV/0!</v>
      </c>
      <c r="BM122" s="97" t="e">
        <f t="shared" si="453"/>
        <v>#DIV/0!</v>
      </c>
      <c r="BN122" s="97" t="e">
        <f t="shared" si="453"/>
        <v>#DIV/0!</v>
      </c>
      <c r="BO122" s="97" t="e">
        <f t="shared" si="453"/>
        <v>#DIV/0!</v>
      </c>
      <c r="BP122" s="97" t="e">
        <f t="shared" si="453"/>
        <v>#DIV/0!</v>
      </c>
      <c r="BQ122" s="97" t="e">
        <f t="shared" si="453"/>
        <v>#DIV/0!</v>
      </c>
      <c r="BR122" s="97" t="e">
        <f t="shared" si="453"/>
        <v>#DIV/0!</v>
      </c>
      <c r="BS122" s="97" t="e">
        <f t="shared" si="453"/>
        <v>#DIV/0!</v>
      </c>
      <c r="BT122" s="97" t="e">
        <f t="shared" si="453"/>
        <v>#DIV/0!</v>
      </c>
      <c r="BU122" s="97" t="e">
        <f t="shared" si="453"/>
        <v>#DIV/0!</v>
      </c>
      <c r="BV122" s="97" t="e">
        <f t="shared" si="453"/>
        <v>#DIV/0!</v>
      </c>
      <c r="BW122" s="97" t="e">
        <f t="shared" si="453"/>
        <v>#DIV/0!</v>
      </c>
      <c r="BX122" s="97" t="e">
        <f t="shared" si="453"/>
        <v>#DIV/0!</v>
      </c>
      <c r="BY122" s="97" t="e">
        <f t="shared" si="453"/>
        <v>#DIV/0!</v>
      </c>
      <c r="BZ122" s="97" t="e">
        <f t="shared" si="453"/>
        <v>#DIV/0!</v>
      </c>
      <c r="CA122" s="97" t="e">
        <f t="shared" si="453"/>
        <v>#DIV/0!</v>
      </c>
    </row>
    <row r="123" spans="1:79" s="83" customFormat="1" ht="19.5" thickBot="1">
      <c r="A123" s="22" t="s">
        <v>10</v>
      </c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>
        <v>9</v>
      </c>
      <c r="N123" s="129">
        <v>3</v>
      </c>
      <c r="O123" s="129">
        <v>1</v>
      </c>
      <c r="P123" s="129">
        <v>4</v>
      </c>
      <c r="Q123" s="129">
        <v>3</v>
      </c>
      <c r="R123" s="129">
        <v>0</v>
      </c>
      <c r="S123" s="129">
        <v>1</v>
      </c>
      <c r="T123" s="129">
        <v>1</v>
      </c>
      <c r="U123" s="129">
        <v>1</v>
      </c>
      <c r="V123" s="129"/>
      <c r="W123" s="129"/>
      <c r="X123" s="129"/>
      <c r="Y123" s="98"/>
      <c r="Z123" s="98">
        <v>1</v>
      </c>
      <c r="AA123" s="98">
        <v>1</v>
      </c>
      <c r="AB123" s="98"/>
      <c r="AC123" s="98">
        <v>2</v>
      </c>
      <c r="AD123" s="98">
        <v>1</v>
      </c>
      <c r="AE123" s="98"/>
      <c r="AF123" s="98">
        <v>1</v>
      </c>
      <c r="AG123" s="98">
        <v>2</v>
      </c>
      <c r="AH123" s="98">
        <v>3</v>
      </c>
      <c r="AI123" s="98">
        <v>5</v>
      </c>
      <c r="AJ123" s="98">
        <v>1</v>
      </c>
      <c r="AK123" s="98">
        <v>1</v>
      </c>
      <c r="AL123" s="98">
        <v>5</v>
      </c>
      <c r="AM123" s="98">
        <v>5</v>
      </c>
      <c r="AN123" s="98">
        <v>3</v>
      </c>
      <c r="AO123" s="98">
        <v>4</v>
      </c>
      <c r="AP123" s="98">
        <v>4</v>
      </c>
      <c r="AQ123" s="98">
        <v>3</v>
      </c>
      <c r="AR123" s="98">
        <v>2</v>
      </c>
      <c r="AS123" s="98">
        <v>2</v>
      </c>
      <c r="AT123" s="98">
        <v>1</v>
      </c>
      <c r="AU123" s="98">
        <v>6</v>
      </c>
      <c r="AV123" s="98">
        <v>2</v>
      </c>
      <c r="AW123" s="98">
        <v>2</v>
      </c>
      <c r="AX123" s="98">
        <v>2</v>
      </c>
      <c r="AY123" s="98">
        <v>2</v>
      </c>
      <c r="AZ123" s="98">
        <v>2</v>
      </c>
      <c r="BA123" s="98">
        <v>1</v>
      </c>
      <c r="BB123" s="98">
        <v>3</v>
      </c>
      <c r="BC123" s="98">
        <v>3</v>
      </c>
      <c r="BD123" s="98">
        <v>3</v>
      </c>
      <c r="BE123" s="98">
        <v>4</v>
      </c>
      <c r="BF123" s="98">
        <v>1</v>
      </c>
      <c r="BG123" s="98">
        <v>3</v>
      </c>
      <c r="BH123" s="98">
        <v>1</v>
      </c>
      <c r="BI123" s="98"/>
      <c r="BJ123" s="98"/>
      <c r="BK123" s="98"/>
    </row>
    <row r="124" spans="1:79" s="83" customFormat="1">
      <c r="A124" s="51" t="s">
        <v>114</v>
      </c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>
        <v>0.90400000000000003</v>
      </c>
      <c r="N124" s="196"/>
      <c r="O124" s="196"/>
      <c r="P124" s="196">
        <v>0.28499999999999998</v>
      </c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>
        <v>0.2</v>
      </c>
      <c r="AB124" s="196"/>
      <c r="AC124" s="196">
        <v>0.6</v>
      </c>
      <c r="AD124" s="196">
        <v>0.7</v>
      </c>
      <c r="AE124" s="98"/>
      <c r="AF124" s="196"/>
      <c r="AG124" s="99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248"/>
      <c r="AW124" s="248"/>
      <c r="AX124" s="248"/>
      <c r="AY124" s="248"/>
      <c r="AZ124" s="248"/>
      <c r="BA124" s="248"/>
      <c r="BB124" s="196">
        <v>7.0999999999999994E-2</v>
      </c>
      <c r="BC124" s="98"/>
      <c r="BD124" s="98"/>
      <c r="BE124" s="196">
        <v>0.55800000000000005</v>
      </c>
      <c r="BF124" s="196">
        <v>0.82399999999999995</v>
      </c>
      <c r="BG124" s="196">
        <v>1</v>
      </c>
      <c r="BH124" s="98"/>
      <c r="BI124" s="98"/>
      <c r="BJ124" s="98"/>
      <c r="BK124" s="98"/>
    </row>
    <row r="125" spans="1:79" s="83" customFormat="1">
      <c r="A125" s="51" t="s">
        <v>115</v>
      </c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>
        <v>0.42799999999999999</v>
      </c>
      <c r="P125" s="196"/>
      <c r="Q125" s="196"/>
      <c r="R125" s="196">
        <v>1.2669999999999999</v>
      </c>
      <c r="S125" s="196">
        <v>0.76500000000000001</v>
      </c>
      <c r="T125" s="196"/>
      <c r="U125" s="196"/>
      <c r="V125" s="196"/>
      <c r="W125" s="196"/>
      <c r="X125" s="196">
        <v>0.84699999999999998</v>
      </c>
      <c r="Y125" s="196">
        <v>1.0569999999999999</v>
      </c>
      <c r="Z125" s="196"/>
      <c r="AA125" s="196"/>
      <c r="AB125" s="196">
        <v>0.67900000000000005</v>
      </c>
      <c r="AC125" s="196">
        <v>1.07</v>
      </c>
      <c r="AD125" s="196">
        <v>0.72499999999999998</v>
      </c>
      <c r="AE125" s="98"/>
      <c r="AF125" s="196">
        <v>0.871</v>
      </c>
      <c r="AG125" s="99"/>
      <c r="AH125" s="98"/>
      <c r="AI125" s="196">
        <v>1.25</v>
      </c>
      <c r="AJ125" s="98"/>
      <c r="AK125" s="196">
        <v>0.69599999999999995</v>
      </c>
      <c r="AL125" s="196">
        <v>0.81100000000000005</v>
      </c>
      <c r="AM125" s="196">
        <v>0.82899999999999996</v>
      </c>
      <c r="AN125" s="196">
        <v>0.72699999999999998</v>
      </c>
      <c r="AO125" s="196">
        <v>0.93600000000000005</v>
      </c>
      <c r="AP125" s="98">
        <v>0.89500000000000002</v>
      </c>
      <c r="AQ125" s="196">
        <v>1.2090000000000001</v>
      </c>
      <c r="AR125" s="98"/>
      <c r="AS125" s="196">
        <v>0.89400000000000002</v>
      </c>
      <c r="AT125" s="98"/>
      <c r="AU125" s="196">
        <v>0.9</v>
      </c>
      <c r="AV125" s="248"/>
      <c r="AW125" s="248"/>
      <c r="AX125" s="248"/>
      <c r="AY125" s="248"/>
      <c r="AZ125" s="248"/>
      <c r="BA125" s="196">
        <v>1.139</v>
      </c>
      <c r="BB125" s="98"/>
      <c r="BC125" s="196">
        <v>1.073</v>
      </c>
      <c r="BD125" s="98"/>
      <c r="BE125" s="196">
        <v>0.78600000000000003</v>
      </c>
      <c r="BF125" s="98"/>
      <c r="BG125" s="98"/>
      <c r="BH125" s="98"/>
      <c r="BI125" s="98"/>
      <c r="BJ125" s="98"/>
      <c r="BK125" s="98"/>
    </row>
    <row r="126" spans="1:79" s="6" customFormat="1" ht="19.5" thickBot="1">
      <c r="A126" s="51"/>
      <c r="B126" s="142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200"/>
      <c r="AC126" s="200"/>
      <c r="AD126" s="199"/>
      <c r="AE126" s="199"/>
      <c r="AF126" s="199"/>
      <c r="AG126" s="200"/>
      <c r="AH126" s="199"/>
      <c r="AI126" s="200"/>
      <c r="AJ126" s="199"/>
      <c r="AK126" s="199"/>
      <c r="AL126" s="199"/>
      <c r="AM126" s="199"/>
      <c r="AN126" s="199"/>
      <c r="AO126" s="199"/>
      <c r="AP126" s="199"/>
      <c r="AQ126" s="199"/>
      <c r="AR126" s="199"/>
      <c r="AS126" s="199"/>
      <c r="AT126" s="199"/>
      <c r="AU126" s="199"/>
      <c r="AV126" s="199"/>
      <c r="AW126" s="199"/>
      <c r="AX126" s="199"/>
      <c r="AY126" s="199"/>
      <c r="AZ126" s="199"/>
      <c r="BA126" s="199"/>
      <c r="BB126" s="199"/>
      <c r="BC126" s="199"/>
      <c r="BD126" s="199"/>
      <c r="BE126" s="199"/>
      <c r="BF126" s="199"/>
      <c r="BG126" s="199"/>
      <c r="BH126" s="199"/>
      <c r="BI126" s="199"/>
      <c r="BJ126" s="199"/>
      <c r="BK126" s="199"/>
    </row>
    <row r="127" spans="1:79" s="150" customFormat="1">
      <c r="A127" s="148" t="s">
        <v>33</v>
      </c>
      <c r="B127" s="173">
        <v>4</v>
      </c>
      <c r="C127" s="173">
        <v>4</v>
      </c>
      <c r="D127" s="173">
        <v>4</v>
      </c>
      <c r="E127" s="173">
        <v>4</v>
      </c>
      <c r="F127" s="173">
        <v>4</v>
      </c>
      <c r="G127" s="173">
        <v>4</v>
      </c>
      <c r="H127" s="173">
        <v>4</v>
      </c>
      <c r="I127" s="173">
        <v>4</v>
      </c>
      <c r="J127" s="173">
        <v>4</v>
      </c>
      <c r="K127" s="173">
        <v>4</v>
      </c>
      <c r="L127" s="173">
        <v>4</v>
      </c>
      <c r="M127" s="173">
        <v>4</v>
      </c>
      <c r="N127" s="173">
        <v>4</v>
      </c>
      <c r="O127" s="173">
        <v>4</v>
      </c>
      <c r="P127" s="173">
        <v>4</v>
      </c>
      <c r="Q127" s="173">
        <v>4</v>
      </c>
      <c r="R127" s="173">
        <v>4</v>
      </c>
      <c r="S127" s="173">
        <v>4</v>
      </c>
      <c r="T127" s="173">
        <v>4</v>
      </c>
      <c r="U127" s="173">
        <v>4</v>
      </c>
      <c r="V127" s="173">
        <v>4</v>
      </c>
      <c r="W127" s="173">
        <v>4</v>
      </c>
      <c r="X127" s="173">
        <v>4</v>
      </c>
      <c r="Y127" s="173">
        <v>4</v>
      </c>
      <c r="Z127" s="173">
        <v>4</v>
      </c>
      <c r="AA127" s="173">
        <v>4</v>
      </c>
      <c r="AB127" s="173">
        <v>4</v>
      </c>
      <c r="AC127" s="173">
        <v>4</v>
      </c>
      <c r="AD127" s="173">
        <v>4</v>
      </c>
      <c r="AE127" s="173">
        <v>4</v>
      </c>
      <c r="AF127" s="173">
        <v>4</v>
      </c>
      <c r="AG127" s="173">
        <v>4</v>
      </c>
      <c r="AH127" s="173">
        <v>4</v>
      </c>
      <c r="AI127" s="173">
        <v>4</v>
      </c>
      <c r="AJ127" s="173">
        <v>4</v>
      </c>
      <c r="AK127" s="173">
        <v>4</v>
      </c>
      <c r="AL127" s="173">
        <v>4</v>
      </c>
      <c r="AM127" s="173">
        <v>4</v>
      </c>
      <c r="AN127" s="173">
        <v>4</v>
      </c>
      <c r="AO127" s="173">
        <v>4</v>
      </c>
      <c r="AP127" s="173">
        <v>4</v>
      </c>
      <c r="AQ127" s="173">
        <v>4</v>
      </c>
      <c r="AR127" s="173">
        <v>4</v>
      </c>
      <c r="AS127" s="173">
        <v>4</v>
      </c>
      <c r="AT127" s="173">
        <v>4</v>
      </c>
      <c r="AU127" s="173">
        <v>4</v>
      </c>
      <c r="AV127" s="173">
        <v>4</v>
      </c>
      <c r="AW127" s="173">
        <v>4</v>
      </c>
      <c r="AX127" s="173">
        <v>4</v>
      </c>
      <c r="AY127" s="173">
        <v>4</v>
      </c>
      <c r="AZ127" s="173">
        <v>4</v>
      </c>
      <c r="BA127" s="173">
        <v>4</v>
      </c>
      <c r="BB127" s="173">
        <v>4</v>
      </c>
      <c r="BC127" s="173">
        <v>4</v>
      </c>
      <c r="BD127" s="173">
        <v>4</v>
      </c>
      <c r="BE127" s="173">
        <v>4</v>
      </c>
      <c r="BF127" s="173">
        <v>4</v>
      </c>
      <c r="BG127" s="173">
        <v>4</v>
      </c>
      <c r="BH127" s="173">
        <v>4</v>
      </c>
      <c r="BI127" s="173">
        <v>4</v>
      </c>
      <c r="BJ127" s="173">
        <v>4</v>
      </c>
      <c r="BK127" s="173">
        <v>4</v>
      </c>
      <c r="BL127" s="173">
        <v>4</v>
      </c>
      <c r="BM127" s="173">
        <v>4</v>
      </c>
      <c r="BN127" s="173">
        <v>4</v>
      </c>
      <c r="BO127" s="173">
        <v>4</v>
      </c>
      <c r="BP127" s="173">
        <v>4</v>
      </c>
      <c r="BQ127" s="173">
        <v>4</v>
      </c>
      <c r="BR127" s="173">
        <v>4</v>
      </c>
      <c r="BS127" s="173">
        <v>4</v>
      </c>
      <c r="BT127" s="173">
        <v>4</v>
      </c>
      <c r="BU127" s="173">
        <v>4</v>
      </c>
      <c r="BV127" s="173">
        <v>4</v>
      </c>
      <c r="BW127" s="173">
        <v>4</v>
      </c>
      <c r="BX127" s="173">
        <v>4</v>
      </c>
      <c r="BY127" s="173">
        <v>4</v>
      </c>
      <c r="BZ127" s="173">
        <v>4</v>
      </c>
      <c r="CA127" s="173">
        <v>4</v>
      </c>
    </row>
    <row r="128" spans="1:79" s="69" customFormat="1">
      <c r="A128" s="145" t="s">
        <v>14</v>
      </c>
      <c r="B128" s="167">
        <v>10</v>
      </c>
      <c r="C128" s="167">
        <v>6</v>
      </c>
      <c r="D128" s="167">
        <v>9</v>
      </c>
      <c r="E128" s="167">
        <v>1</v>
      </c>
      <c r="F128" s="167"/>
      <c r="G128" s="167">
        <v>7</v>
      </c>
      <c r="H128" s="167">
        <v>2</v>
      </c>
      <c r="I128" s="167">
        <v>4</v>
      </c>
      <c r="J128" s="167">
        <v>6</v>
      </c>
      <c r="K128" s="167">
        <v>5</v>
      </c>
      <c r="L128" s="167">
        <v>4</v>
      </c>
      <c r="M128" s="167">
        <v>10</v>
      </c>
      <c r="N128" s="167">
        <v>3</v>
      </c>
      <c r="O128" s="167">
        <v>3</v>
      </c>
      <c r="P128" s="167">
        <v>5</v>
      </c>
      <c r="Q128" s="167">
        <v>4</v>
      </c>
      <c r="R128" s="167">
        <v>2</v>
      </c>
      <c r="S128" s="167">
        <v>5</v>
      </c>
      <c r="T128" s="167">
        <v>3</v>
      </c>
      <c r="U128" s="167">
        <v>1</v>
      </c>
      <c r="V128" s="167">
        <v>4</v>
      </c>
      <c r="W128" s="167">
        <v>1</v>
      </c>
      <c r="X128" s="167">
        <v>5</v>
      </c>
      <c r="Y128" s="112">
        <v>6</v>
      </c>
      <c r="Z128" s="112">
        <v>3</v>
      </c>
      <c r="AA128" s="112">
        <v>7</v>
      </c>
      <c r="AB128" s="112">
        <v>3</v>
      </c>
      <c r="AC128" s="112">
        <v>8</v>
      </c>
      <c r="AD128" s="112">
        <v>3</v>
      </c>
      <c r="AE128" s="112">
        <v>1</v>
      </c>
      <c r="AF128" s="112">
        <v>3</v>
      </c>
      <c r="AG128" s="112">
        <v>2</v>
      </c>
      <c r="AH128" s="112">
        <v>3</v>
      </c>
      <c r="AI128" s="112">
        <v>5</v>
      </c>
      <c r="AJ128" s="112">
        <v>1</v>
      </c>
      <c r="AK128" s="112">
        <v>1</v>
      </c>
      <c r="AL128" s="112">
        <v>6</v>
      </c>
      <c r="AM128" s="112">
        <v>9</v>
      </c>
      <c r="AN128" s="112">
        <v>5</v>
      </c>
      <c r="AO128" s="112">
        <v>4</v>
      </c>
      <c r="AP128" s="112">
        <v>5</v>
      </c>
      <c r="AQ128" s="112">
        <v>4</v>
      </c>
      <c r="AR128" s="112">
        <v>3</v>
      </c>
      <c r="AS128" s="112">
        <v>3</v>
      </c>
      <c r="AT128" s="112">
        <v>4</v>
      </c>
      <c r="AU128" s="112">
        <v>7</v>
      </c>
      <c r="AV128" s="112">
        <v>2</v>
      </c>
      <c r="AW128" s="112">
        <v>2</v>
      </c>
      <c r="AX128" s="112">
        <v>3</v>
      </c>
      <c r="AY128" s="112">
        <v>2</v>
      </c>
      <c r="AZ128" s="112">
        <v>4</v>
      </c>
      <c r="BA128" s="112">
        <v>1</v>
      </c>
      <c r="BB128" s="112">
        <v>4</v>
      </c>
      <c r="BC128" s="112">
        <v>3</v>
      </c>
      <c r="BD128" s="112">
        <v>3</v>
      </c>
      <c r="BE128" s="112">
        <v>7</v>
      </c>
      <c r="BF128" s="112">
        <v>4</v>
      </c>
      <c r="BG128" s="112">
        <v>5</v>
      </c>
      <c r="BH128" s="112">
        <v>1</v>
      </c>
      <c r="BI128" s="112"/>
      <c r="BJ128" s="112"/>
      <c r="BK128" s="216"/>
      <c r="BL128" s="216"/>
      <c r="BM128" s="216"/>
      <c r="BN128" s="216"/>
      <c r="BO128" s="216"/>
      <c r="BP128" s="216"/>
      <c r="BQ128" s="216"/>
      <c r="BR128" s="216"/>
      <c r="BS128" s="216"/>
      <c r="BT128" s="216"/>
      <c r="BU128" s="216"/>
      <c r="BV128" s="216"/>
      <c r="BW128" s="216"/>
      <c r="BX128" s="216"/>
      <c r="BY128" s="216"/>
      <c r="BZ128" s="216"/>
      <c r="CA128" s="216"/>
    </row>
    <row r="129" spans="1:79" s="150" customFormat="1">
      <c r="A129" s="19" t="s">
        <v>34</v>
      </c>
      <c r="B129" s="151">
        <v>4</v>
      </c>
      <c r="C129" s="151">
        <v>4</v>
      </c>
      <c r="D129" s="151">
        <v>4</v>
      </c>
      <c r="E129" s="151">
        <v>4</v>
      </c>
      <c r="F129" s="151">
        <v>4</v>
      </c>
      <c r="G129" s="151">
        <v>4</v>
      </c>
      <c r="H129" s="151">
        <v>4</v>
      </c>
      <c r="I129" s="151">
        <v>4</v>
      </c>
      <c r="J129" s="151">
        <v>4</v>
      </c>
      <c r="K129" s="151">
        <v>4</v>
      </c>
      <c r="L129" s="151">
        <v>4</v>
      </c>
      <c r="M129" s="151">
        <v>4</v>
      </c>
      <c r="N129" s="151">
        <v>4</v>
      </c>
      <c r="O129" s="151">
        <v>4</v>
      </c>
      <c r="P129" s="151">
        <v>4</v>
      </c>
      <c r="Q129" s="151">
        <v>4</v>
      </c>
      <c r="R129" s="151">
        <v>4</v>
      </c>
      <c r="S129" s="151">
        <v>4</v>
      </c>
      <c r="T129" s="151">
        <v>4</v>
      </c>
      <c r="U129" s="151">
        <v>4</v>
      </c>
      <c r="V129" s="151">
        <v>4</v>
      </c>
      <c r="W129" s="151">
        <v>4</v>
      </c>
      <c r="X129" s="151">
        <v>4</v>
      </c>
      <c r="Y129" s="151">
        <v>4</v>
      </c>
      <c r="Z129" s="151">
        <v>4</v>
      </c>
      <c r="AA129" s="151">
        <v>4</v>
      </c>
      <c r="AB129" s="151">
        <v>4</v>
      </c>
      <c r="AC129" s="151">
        <v>4</v>
      </c>
      <c r="AD129" s="151">
        <v>4</v>
      </c>
      <c r="AE129" s="151">
        <v>4</v>
      </c>
      <c r="AF129" s="151">
        <v>4</v>
      </c>
      <c r="AG129" s="151">
        <v>4</v>
      </c>
      <c r="AH129" s="151">
        <v>4</v>
      </c>
      <c r="AI129" s="151">
        <v>4</v>
      </c>
      <c r="AJ129" s="151">
        <v>4</v>
      </c>
      <c r="AK129" s="151">
        <v>4</v>
      </c>
      <c r="AL129" s="151">
        <v>4</v>
      </c>
      <c r="AM129" s="151">
        <v>4</v>
      </c>
      <c r="AN129" s="151">
        <v>4</v>
      </c>
      <c r="AO129" s="151">
        <v>4</v>
      </c>
      <c r="AP129" s="151">
        <v>4</v>
      </c>
      <c r="AQ129" s="151">
        <v>4</v>
      </c>
      <c r="AR129" s="151">
        <v>4</v>
      </c>
      <c r="AS129" s="151">
        <v>4</v>
      </c>
      <c r="AT129" s="151">
        <v>4</v>
      </c>
      <c r="AU129" s="151">
        <v>4</v>
      </c>
      <c r="AV129" s="151">
        <v>4</v>
      </c>
      <c r="AW129" s="151">
        <v>4</v>
      </c>
      <c r="AX129" s="151">
        <v>4</v>
      </c>
      <c r="AY129" s="151">
        <v>4</v>
      </c>
      <c r="AZ129" s="151">
        <v>4</v>
      </c>
      <c r="BA129" s="151">
        <v>4</v>
      </c>
      <c r="BB129" s="151">
        <v>4</v>
      </c>
      <c r="BC129" s="151">
        <v>4</v>
      </c>
      <c r="BD129" s="151">
        <v>4</v>
      </c>
      <c r="BE129" s="151">
        <v>4</v>
      </c>
      <c r="BF129" s="151">
        <v>4</v>
      </c>
      <c r="BG129" s="151">
        <v>4</v>
      </c>
      <c r="BH129" s="151">
        <v>4</v>
      </c>
      <c r="BI129" s="151">
        <v>4</v>
      </c>
      <c r="BJ129" s="151">
        <v>4</v>
      </c>
      <c r="BK129" s="151">
        <v>4</v>
      </c>
      <c r="BL129" s="151">
        <v>4</v>
      </c>
      <c r="BM129" s="151">
        <v>4</v>
      </c>
      <c r="BN129" s="151">
        <v>4</v>
      </c>
      <c r="BO129" s="151">
        <v>4</v>
      </c>
      <c r="BP129" s="151">
        <v>4</v>
      </c>
      <c r="BQ129" s="151">
        <v>4</v>
      </c>
      <c r="BR129" s="151">
        <v>4</v>
      </c>
      <c r="BS129" s="151">
        <v>4</v>
      </c>
      <c r="BT129" s="151">
        <v>4</v>
      </c>
      <c r="BU129" s="151">
        <v>4</v>
      </c>
      <c r="BV129" s="151">
        <v>4</v>
      </c>
      <c r="BW129" s="151">
        <v>4</v>
      </c>
      <c r="BX129" s="151">
        <v>4</v>
      </c>
      <c r="BY129" s="151">
        <v>4</v>
      </c>
      <c r="BZ129" s="151">
        <v>4</v>
      </c>
      <c r="CA129" s="151">
        <v>4</v>
      </c>
    </row>
    <row r="130" spans="1:79" s="69" customFormat="1">
      <c r="A130" s="19" t="s">
        <v>35</v>
      </c>
      <c r="B130" s="98">
        <v>3</v>
      </c>
      <c r="C130" s="98">
        <v>5</v>
      </c>
      <c r="D130" s="98">
        <v>1</v>
      </c>
      <c r="E130" s="98">
        <v>1</v>
      </c>
      <c r="F130" s="98">
        <v>4</v>
      </c>
      <c r="G130" s="98">
        <v>2</v>
      </c>
      <c r="H130" s="98">
        <v>1</v>
      </c>
      <c r="I130" s="98">
        <v>2</v>
      </c>
      <c r="J130" s="98">
        <v>2</v>
      </c>
      <c r="K130" s="98">
        <v>3</v>
      </c>
      <c r="L130" s="98">
        <v>6</v>
      </c>
      <c r="M130" s="98">
        <v>2</v>
      </c>
      <c r="N130" s="98">
        <v>3</v>
      </c>
      <c r="O130" s="98">
        <v>3</v>
      </c>
      <c r="P130" s="98">
        <v>2</v>
      </c>
      <c r="Q130" s="98">
        <v>2</v>
      </c>
      <c r="R130" s="98">
        <v>3</v>
      </c>
      <c r="S130" s="98">
        <v>2</v>
      </c>
      <c r="T130" s="98">
        <v>2</v>
      </c>
      <c r="U130" s="98"/>
      <c r="V130" s="112">
        <v>2</v>
      </c>
      <c r="W130" s="112">
        <v>7</v>
      </c>
      <c r="X130" s="112">
        <v>4</v>
      </c>
      <c r="Y130" s="112">
        <v>5</v>
      </c>
      <c r="Z130" s="112">
        <v>3</v>
      </c>
      <c r="AA130" s="112">
        <v>3</v>
      </c>
      <c r="AB130" s="112">
        <v>6</v>
      </c>
      <c r="AC130" s="112">
        <v>1</v>
      </c>
      <c r="AD130" s="112">
        <v>3</v>
      </c>
      <c r="AE130" s="112">
        <v>5</v>
      </c>
      <c r="AF130" s="112">
        <v>5</v>
      </c>
      <c r="AG130" s="112">
        <v>2</v>
      </c>
      <c r="AH130" s="112">
        <v>9</v>
      </c>
      <c r="AI130" s="112">
        <v>2</v>
      </c>
      <c r="AJ130" s="112">
        <v>3</v>
      </c>
      <c r="AK130" s="112">
        <v>6</v>
      </c>
      <c r="AL130" s="112">
        <v>3</v>
      </c>
      <c r="AM130" s="112">
        <v>2</v>
      </c>
      <c r="AN130" s="112">
        <v>6</v>
      </c>
      <c r="AO130" s="112">
        <v>4</v>
      </c>
      <c r="AP130" s="112"/>
      <c r="AQ130" s="112">
        <v>3</v>
      </c>
      <c r="AR130" s="112">
        <v>5</v>
      </c>
      <c r="AS130" s="112">
        <v>4</v>
      </c>
      <c r="AT130" s="112">
        <v>4</v>
      </c>
      <c r="AU130" s="112">
        <v>3</v>
      </c>
      <c r="AV130" s="112">
        <v>7</v>
      </c>
      <c r="AW130" s="112">
        <v>5</v>
      </c>
      <c r="AX130" s="112">
        <v>6</v>
      </c>
      <c r="AY130" s="112">
        <v>2</v>
      </c>
      <c r="AZ130" s="112">
        <v>1</v>
      </c>
      <c r="BA130" s="112">
        <v>2</v>
      </c>
      <c r="BB130" s="112">
        <v>1</v>
      </c>
      <c r="BC130" s="112">
        <v>4</v>
      </c>
      <c r="BD130" s="112">
        <v>3</v>
      </c>
      <c r="BE130" s="112">
        <v>3</v>
      </c>
      <c r="BF130" s="112">
        <v>1</v>
      </c>
      <c r="BG130" s="112">
        <v>7</v>
      </c>
      <c r="BH130" s="112">
        <v>7</v>
      </c>
      <c r="BI130" s="112"/>
      <c r="BJ130" s="112"/>
      <c r="BK130" s="216"/>
      <c r="BL130" s="216"/>
      <c r="BM130" s="216"/>
      <c r="BN130" s="216"/>
      <c r="BO130" s="216"/>
      <c r="BP130" s="216"/>
      <c r="BQ130" s="216"/>
      <c r="BR130" s="216"/>
      <c r="BS130" s="216"/>
      <c r="BT130" s="216"/>
      <c r="BU130" s="216"/>
      <c r="BV130" s="216"/>
      <c r="BW130" s="216"/>
      <c r="BX130" s="216"/>
      <c r="BY130" s="216"/>
      <c r="BZ130" s="216"/>
      <c r="CA130" s="216"/>
    </row>
    <row r="131" spans="1:79" s="150" customFormat="1">
      <c r="A131" s="19" t="s">
        <v>131</v>
      </c>
      <c r="B131" s="151">
        <v>12</v>
      </c>
      <c r="C131" s="151">
        <v>12</v>
      </c>
      <c r="D131" s="151">
        <v>12</v>
      </c>
      <c r="E131" s="151">
        <v>12</v>
      </c>
      <c r="F131" s="151">
        <v>12</v>
      </c>
      <c r="G131" s="151">
        <v>12</v>
      </c>
      <c r="H131" s="151">
        <v>12</v>
      </c>
      <c r="I131" s="151">
        <v>12</v>
      </c>
      <c r="J131" s="151">
        <v>12</v>
      </c>
      <c r="K131" s="151">
        <v>12</v>
      </c>
      <c r="L131" s="151">
        <v>12</v>
      </c>
      <c r="M131" s="151">
        <v>12</v>
      </c>
      <c r="N131" s="151">
        <v>12</v>
      </c>
      <c r="O131" s="151">
        <v>12</v>
      </c>
      <c r="P131" s="151">
        <v>12</v>
      </c>
      <c r="Q131" s="151">
        <v>12</v>
      </c>
      <c r="R131" s="151">
        <v>12</v>
      </c>
      <c r="S131" s="151">
        <v>12</v>
      </c>
      <c r="T131" s="151">
        <v>12</v>
      </c>
      <c r="U131" s="151">
        <v>12</v>
      </c>
      <c r="V131" s="151">
        <v>12</v>
      </c>
      <c r="W131" s="151">
        <v>12</v>
      </c>
      <c r="X131" s="151">
        <v>12</v>
      </c>
      <c r="Y131" s="151">
        <v>12</v>
      </c>
      <c r="Z131" s="151">
        <v>12</v>
      </c>
      <c r="AA131" s="151">
        <v>12</v>
      </c>
      <c r="AB131" s="151">
        <v>12</v>
      </c>
      <c r="AC131" s="151">
        <v>12</v>
      </c>
      <c r="AD131" s="151">
        <v>12</v>
      </c>
      <c r="AE131" s="151">
        <v>12</v>
      </c>
      <c r="AF131" s="151">
        <v>12</v>
      </c>
      <c r="AG131" s="151">
        <v>12</v>
      </c>
      <c r="AH131" s="151">
        <v>12</v>
      </c>
      <c r="AI131" s="151">
        <v>12</v>
      </c>
      <c r="AJ131" s="151">
        <v>12</v>
      </c>
      <c r="AK131" s="151">
        <v>12</v>
      </c>
      <c r="AL131" s="151">
        <v>12</v>
      </c>
      <c r="AM131" s="151">
        <v>12</v>
      </c>
      <c r="AN131" s="151">
        <v>12</v>
      </c>
      <c r="AO131" s="151">
        <v>12</v>
      </c>
      <c r="AP131" s="151">
        <v>12</v>
      </c>
      <c r="AQ131" s="151">
        <v>12</v>
      </c>
      <c r="AR131" s="151">
        <v>12</v>
      </c>
      <c r="AS131" s="151">
        <v>12</v>
      </c>
      <c r="AT131" s="151">
        <v>12</v>
      </c>
      <c r="AU131" s="151">
        <v>12</v>
      </c>
      <c r="AV131" s="151">
        <v>12</v>
      </c>
      <c r="AW131" s="151">
        <v>12</v>
      </c>
      <c r="AX131" s="151">
        <v>12</v>
      </c>
      <c r="AY131" s="151">
        <v>12</v>
      </c>
      <c r="AZ131" s="151">
        <v>12</v>
      </c>
      <c r="BA131" s="151">
        <v>12</v>
      </c>
      <c r="BB131" s="151">
        <v>12</v>
      </c>
      <c r="BC131" s="151">
        <v>12</v>
      </c>
      <c r="BD131" s="151">
        <v>12</v>
      </c>
      <c r="BE131" s="151">
        <v>12</v>
      </c>
      <c r="BF131" s="151">
        <v>12</v>
      </c>
      <c r="BG131" s="151">
        <v>12</v>
      </c>
      <c r="BH131" s="151">
        <v>12</v>
      </c>
      <c r="BI131" s="151">
        <v>12</v>
      </c>
      <c r="BJ131" s="151">
        <v>12</v>
      </c>
      <c r="BK131" s="151">
        <v>12</v>
      </c>
      <c r="BL131" s="151">
        <v>12</v>
      </c>
      <c r="BM131" s="151">
        <v>12</v>
      </c>
      <c r="BN131" s="151">
        <v>12</v>
      </c>
      <c r="BO131" s="151">
        <v>12</v>
      </c>
      <c r="BP131" s="151">
        <v>12</v>
      </c>
      <c r="BQ131" s="151">
        <v>12</v>
      </c>
      <c r="BR131" s="151">
        <v>12</v>
      </c>
      <c r="BS131" s="151">
        <v>12</v>
      </c>
      <c r="BT131" s="151">
        <v>12</v>
      </c>
      <c r="BU131" s="151">
        <v>12</v>
      </c>
      <c r="BV131" s="151">
        <v>12</v>
      </c>
      <c r="BW131" s="151">
        <v>12</v>
      </c>
      <c r="BX131" s="151">
        <v>12</v>
      </c>
      <c r="BY131" s="151">
        <v>12</v>
      </c>
      <c r="BZ131" s="151">
        <v>12</v>
      </c>
      <c r="CA131" s="151">
        <v>12</v>
      </c>
    </row>
    <row r="132" spans="1:79" s="68" customFormat="1" ht="19.5" thickBot="1">
      <c r="A132" s="19" t="s">
        <v>130</v>
      </c>
      <c r="B132" s="98">
        <v>13</v>
      </c>
      <c r="C132" s="98">
        <v>11</v>
      </c>
      <c r="D132" s="98">
        <v>12</v>
      </c>
      <c r="E132" s="98">
        <v>15</v>
      </c>
      <c r="F132" s="98">
        <v>12</v>
      </c>
      <c r="G132" s="98">
        <v>11</v>
      </c>
      <c r="H132" s="98">
        <v>17</v>
      </c>
      <c r="I132" s="98">
        <v>16</v>
      </c>
      <c r="J132" s="98">
        <v>13</v>
      </c>
      <c r="K132" s="98">
        <v>12</v>
      </c>
      <c r="L132" s="98">
        <v>10</v>
      </c>
      <c r="M132" s="98">
        <v>9</v>
      </c>
      <c r="N132" s="98">
        <v>13</v>
      </c>
      <c r="O132" s="98">
        <v>14</v>
      </c>
      <c r="P132" s="98">
        <v>13</v>
      </c>
      <c r="Q132" s="98">
        <v>14</v>
      </c>
      <c r="R132" s="98">
        <v>15</v>
      </c>
      <c r="S132" s="98">
        <v>13</v>
      </c>
      <c r="T132" s="98">
        <v>15</v>
      </c>
      <c r="U132" s="98">
        <v>18</v>
      </c>
      <c r="V132" s="98">
        <v>13</v>
      </c>
      <c r="W132" s="98">
        <v>11</v>
      </c>
      <c r="X132" s="98">
        <v>11</v>
      </c>
      <c r="Y132" s="98">
        <v>9</v>
      </c>
      <c r="Z132" s="112">
        <v>12</v>
      </c>
      <c r="AA132" s="112">
        <v>12</v>
      </c>
      <c r="AB132" s="112">
        <v>11</v>
      </c>
      <c r="AC132" s="112">
        <v>11</v>
      </c>
      <c r="AD132" s="112">
        <v>13</v>
      </c>
      <c r="AE132" s="112">
        <v>14</v>
      </c>
      <c r="AF132" s="112">
        <v>12</v>
      </c>
      <c r="AG132" s="112">
        <v>16</v>
      </c>
      <c r="AH132" s="112">
        <v>8</v>
      </c>
      <c r="AI132" s="112">
        <v>13</v>
      </c>
      <c r="AJ132" s="112">
        <v>17</v>
      </c>
      <c r="AK132" s="112">
        <v>13</v>
      </c>
      <c r="AL132" s="112">
        <v>11</v>
      </c>
      <c r="AM132" s="112">
        <v>9</v>
      </c>
      <c r="AN132" s="112">
        <v>9</v>
      </c>
      <c r="AO132" s="112">
        <v>12</v>
      </c>
      <c r="AP132" s="112">
        <v>15</v>
      </c>
      <c r="AQ132" s="112">
        <v>13</v>
      </c>
      <c r="AR132" s="112">
        <v>14</v>
      </c>
      <c r="AS132" s="112">
        <v>15</v>
      </c>
      <c r="AT132" s="112">
        <v>14</v>
      </c>
      <c r="AU132" s="112">
        <v>10</v>
      </c>
      <c r="AV132" s="112">
        <v>11</v>
      </c>
      <c r="AW132" s="112">
        <v>14</v>
      </c>
      <c r="AX132" s="112">
        <v>11</v>
      </c>
      <c r="AY132" s="112">
        <v>15</v>
      </c>
      <c r="AZ132" s="112">
        <v>19</v>
      </c>
      <c r="BA132" s="112">
        <v>14</v>
      </c>
      <c r="BB132" s="112">
        <v>16</v>
      </c>
      <c r="BC132" s="112">
        <v>13</v>
      </c>
      <c r="BD132" s="112">
        <v>17</v>
      </c>
      <c r="BE132" s="112">
        <v>14</v>
      </c>
      <c r="BF132" s="112">
        <v>12</v>
      </c>
      <c r="BG132" s="112">
        <v>12</v>
      </c>
      <c r="BH132" s="112">
        <v>12</v>
      </c>
      <c r="BI132" s="112"/>
      <c r="BJ132" s="112"/>
      <c r="BK132" s="216"/>
      <c r="BL132" s="216"/>
      <c r="BM132" s="216"/>
      <c r="BN132" s="216"/>
      <c r="BO132" s="216"/>
      <c r="BP132" s="216"/>
      <c r="BQ132" s="216"/>
      <c r="BR132" s="216"/>
      <c r="BS132" s="216"/>
      <c r="BT132" s="216"/>
      <c r="BU132" s="216"/>
      <c r="BV132" s="216"/>
      <c r="BW132" s="216"/>
      <c r="BX132" s="216"/>
      <c r="BY132" s="216"/>
      <c r="BZ132" s="216"/>
      <c r="CA132" s="216"/>
    </row>
    <row r="133" spans="1:79" s="152" customFormat="1">
      <c r="A133" s="19" t="s">
        <v>52</v>
      </c>
      <c r="B133" s="151">
        <v>20</v>
      </c>
      <c r="C133" s="151">
        <v>20</v>
      </c>
      <c r="D133" s="151">
        <v>20</v>
      </c>
      <c r="E133" s="151">
        <v>20</v>
      </c>
      <c r="F133" s="151">
        <v>20</v>
      </c>
      <c r="G133" s="151">
        <v>20</v>
      </c>
      <c r="H133" s="151">
        <v>20</v>
      </c>
      <c r="I133" s="151">
        <v>20</v>
      </c>
      <c r="J133" s="151">
        <v>20</v>
      </c>
      <c r="K133" s="151">
        <v>20</v>
      </c>
      <c r="L133" s="151">
        <v>20</v>
      </c>
      <c r="M133" s="151">
        <v>20</v>
      </c>
      <c r="N133" s="151">
        <v>20</v>
      </c>
      <c r="O133" s="151">
        <v>20</v>
      </c>
      <c r="P133" s="151">
        <v>20</v>
      </c>
      <c r="Q133" s="151">
        <v>20</v>
      </c>
      <c r="R133" s="151">
        <v>20</v>
      </c>
      <c r="S133" s="151">
        <v>20</v>
      </c>
      <c r="T133" s="151">
        <v>20</v>
      </c>
      <c r="U133" s="151">
        <v>20</v>
      </c>
      <c r="V133" s="151">
        <v>20</v>
      </c>
      <c r="W133" s="151">
        <v>20</v>
      </c>
      <c r="X133" s="151">
        <v>20</v>
      </c>
      <c r="Y133" s="151">
        <v>20</v>
      </c>
      <c r="Z133" s="151">
        <v>20</v>
      </c>
      <c r="AA133" s="151">
        <v>20</v>
      </c>
      <c r="AB133" s="151">
        <v>20</v>
      </c>
      <c r="AC133" s="151">
        <v>20</v>
      </c>
      <c r="AD133" s="151">
        <v>20</v>
      </c>
      <c r="AE133" s="151">
        <v>20</v>
      </c>
      <c r="AF133" s="151">
        <v>20</v>
      </c>
      <c r="AG133" s="151">
        <v>20</v>
      </c>
      <c r="AH133" s="151">
        <v>20</v>
      </c>
      <c r="AI133" s="151">
        <v>20</v>
      </c>
      <c r="AJ133" s="151">
        <v>20</v>
      </c>
      <c r="AK133" s="151">
        <v>20</v>
      </c>
      <c r="AL133" s="151">
        <v>20</v>
      </c>
      <c r="AM133" s="151">
        <v>20</v>
      </c>
      <c r="AN133" s="151">
        <v>20</v>
      </c>
      <c r="AO133" s="151">
        <v>20</v>
      </c>
      <c r="AP133" s="151">
        <v>20</v>
      </c>
      <c r="AQ133" s="151">
        <v>20</v>
      </c>
      <c r="AR133" s="151">
        <v>20</v>
      </c>
      <c r="AS133" s="151">
        <v>20</v>
      </c>
      <c r="AT133" s="151">
        <v>20</v>
      </c>
      <c r="AU133" s="151">
        <v>20</v>
      </c>
      <c r="AV133" s="151">
        <v>20</v>
      </c>
      <c r="AW133" s="151">
        <v>20</v>
      </c>
      <c r="AX133" s="151">
        <v>20</v>
      </c>
      <c r="AY133" s="151">
        <v>20</v>
      </c>
      <c r="AZ133" s="151">
        <v>20</v>
      </c>
      <c r="BA133" s="151">
        <v>20</v>
      </c>
      <c r="BB133" s="151">
        <v>20</v>
      </c>
      <c r="BC133" s="151">
        <v>20</v>
      </c>
      <c r="BD133" s="151">
        <v>20</v>
      </c>
      <c r="BE133" s="151">
        <v>20</v>
      </c>
      <c r="BF133" s="151">
        <v>20</v>
      </c>
      <c r="BG133" s="151">
        <v>20</v>
      </c>
      <c r="BH133" s="151">
        <v>20</v>
      </c>
      <c r="BI133" s="151">
        <v>20</v>
      </c>
      <c r="BJ133" s="151">
        <v>20</v>
      </c>
      <c r="BK133" s="151">
        <v>20</v>
      </c>
      <c r="BL133" s="151">
        <v>20</v>
      </c>
      <c r="BM133" s="151">
        <v>20</v>
      </c>
      <c r="BN133" s="151">
        <v>20</v>
      </c>
      <c r="BO133" s="151">
        <v>20</v>
      </c>
      <c r="BP133" s="151">
        <v>20</v>
      </c>
      <c r="BQ133" s="151">
        <v>20</v>
      </c>
      <c r="BR133" s="151">
        <v>20</v>
      </c>
      <c r="BS133" s="151">
        <v>20</v>
      </c>
      <c r="BT133" s="151">
        <v>20</v>
      </c>
      <c r="BU133" s="151">
        <v>20</v>
      </c>
      <c r="BV133" s="151">
        <v>20</v>
      </c>
      <c r="BW133" s="151">
        <v>20</v>
      </c>
      <c r="BX133" s="151">
        <v>20</v>
      </c>
      <c r="BY133" s="151">
        <v>20</v>
      </c>
      <c r="BZ133" s="151">
        <v>20</v>
      </c>
      <c r="CA133" s="151">
        <v>20</v>
      </c>
    </row>
    <row r="134" spans="1:79" s="69" customFormat="1">
      <c r="A134" s="19" t="s">
        <v>53</v>
      </c>
      <c r="B134" s="98">
        <v>26</v>
      </c>
      <c r="C134" s="98">
        <v>22</v>
      </c>
      <c r="D134" s="98">
        <v>22</v>
      </c>
      <c r="E134" s="98">
        <v>17</v>
      </c>
      <c r="F134" s="98">
        <v>16</v>
      </c>
      <c r="G134" s="98">
        <v>20</v>
      </c>
      <c r="H134" s="98">
        <v>20</v>
      </c>
      <c r="I134" s="98">
        <v>22</v>
      </c>
      <c r="J134" s="98">
        <v>21</v>
      </c>
      <c r="K134" s="98">
        <v>20</v>
      </c>
      <c r="L134" s="98">
        <v>20</v>
      </c>
      <c r="M134" s="98">
        <v>21</v>
      </c>
      <c r="N134" s="98">
        <v>19</v>
      </c>
      <c r="O134" s="98">
        <v>20</v>
      </c>
      <c r="P134" s="98">
        <v>20</v>
      </c>
      <c r="Q134" s="98">
        <v>20</v>
      </c>
      <c r="R134" s="98">
        <v>20</v>
      </c>
      <c r="S134" s="98">
        <v>20</v>
      </c>
      <c r="T134" s="98">
        <v>20</v>
      </c>
      <c r="U134" s="98">
        <v>19</v>
      </c>
      <c r="V134" s="98">
        <v>19</v>
      </c>
      <c r="W134" s="98">
        <v>19</v>
      </c>
      <c r="X134" s="98">
        <v>20</v>
      </c>
      <c r="Y134" s="112">
        <v>20</v>
      </c>
      <c r="Z134" s="112">
        <v>18</v>
      </c>
      <c r="AA134" s="112">
        <v>22</v>
      </c>
      <c r="AB134" s="112">
        <v>21</v>
      </c>
      <c r="AC134" s="112">
        <v>20</v>
      </c>
      <c r="AD134" s="112">
        <v>19</v>
      </c>
      <c r="AE134" s="112">
        <v>20</v>
      </c>
      <c r="AF134" s="112">
        <v>20</v>
      </c>
      <c r="AG134" s="112">
        <v>20</v>
      </c>
      <c r="AH134" s="112">
        <v>20</v>
      </c>
      <c r="AI134" s="112">
        <v>20</v>
      </c>
      <c r="AJ134" s="112">
        <v>21</v>
      </c>
      <c r="AK134" s="112">
        <v>20</v>
      </c>
      <c r="AL134" s="112">
        <v>20</v>
      </c>
      <c r="AM134" s="112">
        <v>20</v>
      </c>
      <c r="AN134" s="112">
        <v>20</v>
      </c>
      <c r="AO134" s="112">
        <v>20</v>
      </c>
      <c r="AP134" s="112">
        <v>20</v>
      </c>
      <c r="AQ134" s="112">
        <v>20</v>
      </c>
      <c r="AR134" s="112">
        <v>22</v>
      </c>
      <c r="AS134" s="112">
        <v>22</v>
      </c>
      <c r="AT134" s="112">
        <v>22</v>
      </c>
      <c r="AU134" s="112">
        <v>20</v>
      </c>
      <c r="AV134" s="112">
        <v>20</v>
      </c>
      <c r="AW134" s="112">
        <v>21</v>
      </c>
      <c r="AX134" s="112">
        <v>20</v>
      </c>
      <c r="AY134" s="112">
        <v>19</v>
      </c>
      <c r="AZ134" s="112">
        <v>24</v>
      </c>
      <c r="BA134" s="112">
        <v>17</v>
      </c>
      <c r="BB134" s="112">
        <v>21</v>
      </c>
      <c r="BC134" s="112">
        <v>20</v>
      </c>
      <c r="BD134" s="112">
        <v>19</v>
      </c>
      <c r="BE134" s="112">
        <v>24</v>
      </c>
      <c r="BF134" s="112">
        <v>17</v>
      </c>
      <c r="BG134" s="112">
        <v>24</v>
      </c>
      <c r="BH134" s="112">
        <v>20</v>
      </c>
      <c r="BI134" s="112"/>
      <c r="BJ134" s="112"/>
      <c r="BK134" s="216"/>
    </row>
    <row r="135" spans="1:79" s="69" customFormat="1" ht="19.5" thickBot="1">
      <c r="A135" s="49" t="s">
        <v>51</v>
      </c>
      <c r="B135" s="114">
        <v>1</v>
      </c>
      <c r="C135" s="114">
        <v>2</v>
      </c>
      <c r="D135" s="114"/>
      <c r="E135" s="114">
        <v>1</v>
      </c>
      <c r="F135" s="176">
        <v>1</v>
      </c>
      <c r="G135" s="176"/>
      <c r="H135" s="176"/>
      <c r="I135" s="176">
        <v>2</v>
      </c>
      <c r="J135" s="114">
        <v>1</v>
      </c>
      <c r="K135" s="114">
        <v>1</v>
      </c>
      <c r="L135" s="114">
        <v>2</v>
      </c>
      <c r="M135" s="114">
        <v>1</v>
      </c>
      <c r="N135" s="114"/>
      <c r="O135" s="176"/>
      <c r="P135" s="176">
        <v>1</v>
      </c>
      <c r="Q135" s="114">
        <v>1</v>
      </c>
      <c r="R135" s="114">
        <v>2</v>
      </c>
      <c r="S135" s="114"/>
      <c r="T135" s="114">
        <v>1</v>
      </c>
      <c r="U135" s="114">
        <v>1</v>
      </c>
      <c r="V135" s="114"/>
      <c r="W135" s="114"/>
      <c r="X135" s="114">
        <v>1</v>
      </c>
      <c r="Y135" s="114"/>
      <c r="Z135" s="107"/>
      <c r="AA135" s="107"/>
      <c r="AB135" s="107">
        <v>1</v>
      </c>
      <c r="AC135" s="107">
        <v>2</v>
      </c>
      <c r="AD135" s="107"/>
      <c r="AE135" s="107"/>
      <c r="AF135" s="107"/>
      <c r="AG135" s="107">
        <v>1</v>
      </c>
      <c r="AH135" s="107">
        <v>2</v>
      </c>
      <c r="AI135" s="107">
        <v>1</v>
      </c>
      <c r="AJ135" s="107"/>
      <c r="AK135" s="107">
        <v>1</v>
      </c>
      <c r="AL135" s="107"/>
      <c r="AM135" s="107"/>
      <c r="AN135" s="107"/>
      <c r="AO135" s="107">
        <v>1</v>
      </c>
      <c r="AP135" s="107">
        <v>1</v>
      </c>
      <c r="AQ135" s="107"/>
      <c r="AR135" s="107">
        <v>1</v>
      </c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7"/>
      <c r="BC135" s="107"/>
      <c r="BD135" s="107"/>
      <c r="BE135" s="107"/>
      <c r="BF135" s="107"/>
      <c r="BG135" s="107"/>
      <c r="BH135" s="107"/>
      <c r="BI135" s="107"/>
      <c r="BJ135" s="107"/>
      <c r="BK135" s="217"/>
    </row>
    <row r="136" spans="1:79" ht="19.5" thickBot="1">
      <c r="A136" s="52"/>
      <c r="B136" s="3"/>
      <c r="C136" s="119"/>
      <c r="D136" s="119"/>
      <c r="E136" s="120"/>
      <c r="F136" s="103"/>
      <c r="G136" s="121"/>
      <c r="H136" s="103"/>
      <c r="I136" s="122"/>
      <c r="J136" s="3"/>
      <c r="K136" s="119"/>
      <c r="L136" s="123"/>
      <c r="M136" s="123"/>
      <c r="N136" s="3"/>
      <c r="O136" s="103"/>
      <c r="P136" s="121"/>
      <c r="Q136" s="121"/>
      <c r="R136" s="122"/>
      <c r="S136" s="103"/>
      <c r="T136" s="121"/>
      <c r="U136" s="121"/>
      <c r="V136" s="103"/>
      <c r="W136" s="3"/>
      <c r="X136" s="119"/>
      <c r="Y136" s="3"/>
      <c r="Z136" s="119"/>
      <c r="AA136" s="3"/>
      <c r="AB136" s="103"/>
      <c r="AC136" s="121"/>
      <c r="AD136" s="119"/>
      <c r="AE136" s="120"/>
      <c r="AF136" s="3"/>
      <c r="AG136" s="121"/>
      <c r="AH136" s="123"/>
      <c r="AI136" s="103"/>
      <c r="AJ136" s="123"/>
      <c r="AK136" s="3"/>
      <c r="AL136" s="119"/>
      <c r="AM136" s="119"/>
      <c r="AN136" s="3"/>
      <c r="AO136" s="3"/>
      <c r="AP136" s="119"/>
      <c r="AQ136" s="119"/>
      <c r="AR136" s="120"/>
      <c r="AS136" s="3"/>
      <c r="AT136" s="119"/>
      <c r="AU136" s="119"/>
      <c r="AV136" s="120"/>
      <c r="AW136" s="3"/>
      <c r="AX136" s="119"/>
      <c r="AY136" s="3"/>
      <c r="AZ136" s="119"/>
      <c r="BA136" s="120"/>
      <c r="BB136" s="3"/>
      <c r="BC136" s="119"/>
      <c r="BD136" s="119"/>
      <c r="BE136" s="120"/>
      <c r="BF136" s="3"/>
      <c r="BG136" s="119"/>
      <c r="BH136" s="119"/>
      <c r="BI136" s="120"/>
      <c r="BJ136" s="3"/>
      <c r="BK136" s="3"/>
    </row>
    <row r="137" spans="1:79" s="1" customFormat="1" ht="19.5" thickBot="1">
      <c r="A137" s="7" t="s">
        <v>15</v>
      </c>
      <c r="B137" s="124"/>
      <c r="C137" s="124"/>
      <c r="D137" s="124"/>
      <c r="E137" s="124"/>
      <c r="F137" s="125"/>
      <c r="G137" s="125"/>
      <c r="H137" s="125"/>
      <c r="I137" s="125"/>
      <c r="J137" s="124"/>
      <c r="K137" s="124"/>
      <c r="L137" s="124"/>
      <c r="M137" s="124"/>
      <c r="N137" s="124"/>
      <c r="O137" s="125"/>
      <c r="P137" s="125"/>
      <c r="Q137" s="125"/>
      <c r="R137" s="125"/>
      <c r="S137" s="125"/>
      <c r="T137" s="125"/>
      <c r="U137" s="125"/>
      <c r="V137" s="125"/>
      <c r="W137" s="124"/>
      <c r="X137" s="124"/>
      <c r="Y137" s="124"/>
      <c r="Z137" s="124"/>
      <c r="AA137" s="124"/>
      <c r="AB137" s="125"/>
      <c r="AC137" s="125"/>
      <c r="AD137" s="124"/>
      <c r="AE137" s="124"/>
      <c r="AF137" s="124"/>
      <c r="AG137" s="125"/>
      <c r="AH137" s="124"/>
      <c r="AI137" s="125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  <c r="BJ137" s="124"/>
      <c r="BK137" s="227"/>
    </row>
    <row r="138" spans="1:79" s="14" customFormat="1">
      <c r="A138" s="12" t="s">
        <v>16</v>
      </c>
      <c r="B138" s="17">
        <v>236</v>
      </c>
      <c r="C138" s="17">
        <v>236</v>
      </c>
      <c r="D138" s="17">
        <v>236</v>
      </c>
      <c r="E138" s="17">
        <v>236</v>
      </c>
      <c r="F138" s="17">
        <v>236</v>
      </c>
      <c r="G138" s="17">
        <v>236</v>
      </c>
      <c r="H138" s="17">
        <v>236</v>
      </c>
      <c r="I138" s="17">
        <v>236</v>
      </c>
      <c r="J138" s="17">
        <v>236</v>
      </c>
      <c r="K138" s="17">
        <v>236</v>
      </c>
      <c r="L138" s="17">
        <v>236</v>
      </c>
      <c r="M138" s="17">
        <v>236</v>
      </c>
      <c r="N138" s="17">
        <v>236</v>
      </c>
      <c r="O138" s="17">
        <v>236</v>
      </c>
      <c r="P138" s="17">
        <v>236</v>
      </c>
      <c r="Q138" s="17">
        <v>236</v>
      </c>
      <c r="R138" s="17">
        <v>236</v>
      </c>
      <c r="S138" s="17">
        <v>236</v>
      </c>
      <c r="T138" s="17">
        <v>236</v>
      </c>
      <c r="U138" s="17">
        <v>236</v>
      </c>
      <c r="V138" s="17">
        <v>236</v>
      </c>
      <c r="W138" s="17">
        <v>236</v>
      </c>
      <c r="X138" s="17">
        <v>236</v>
      </c>
      <c r="Y138" s="17">
        <v>236</v>
      </c>
      <c r="Z138" s="17">
        <v>236</v>
      </c>
      <c r="AA138" s="17">
        <v>236</v>
      </c>
      <c r="AB138" s="17">
        <v>236</v>
      </c>
      <c r="AC138" s="17">
        <v>236</v>
      </c>
      <c r="AD138" s="17">
        <v>236</v>
      </c>
      <c r="AE138" s="17">
        <v>236</v>
      </c>
      <c r="AF138" s="17">
        <v>236</v>
      </c>
      <c r="AG138" s="17">
        <v>236</v>
      </c>
      <c r="AH138" s="17">
        <v>236</v>
      </c>
      <c r="AI138" s="17">
        <v>236</v>
      </c>
      <c r="AJ138" s="17">
        <v>236</v>
      </c>
      <c r="AK138" s="17">
        <v>236</v>
      </c>
      <c r="AL138" s="17">
        <v>236</v>
      </c>
      <c r="AM138" s="17">
        <v>236</v>
      </c>
      <c r="AN138" s="17">
        <v>236</v>
      </c>
      <c r="AO138" s="17">
        <v>236</v>
      </c>
      <c r="AP138" s="17">
        <v>236</v>
      </c>
      <c r="AQ138" s="17">
        <v>236</v>
      </c>
      <c r="AR138" s="17">
        <v>236</v>
      </c>
      <c r="AS138" s="17">
        <v>236</v>
      </c>
      <c r="AT138" s="17">
        <v>236</v>
      </c>
      <c r="AU138" s="17">
        <v>236</v>
      </c>
      <c r="AV138" s="17">
        <v>236</v>
      </c>
      <c r="AW138" s="17">
        <v>236</v>
      </c>
      <c r="AX138" s="17">
        <v>236</v>
      </c>
      <c r="AY138" s="17">
        <v>236</v>
      </c>
      <c r="AZ138" s="17">
        <v>236</v>
      </c>
      <c r="BA138" s="17">
        <v>236</v>
      </c>
      <c r="BB138" s="17">
        <v>236</v>
      </c>
      <c r="BC138" s="17">
        <v>236</v>
      </c>
      <c r="BD138" s="17">
        <v>236</v>
      </c>
      <c r="BE138" s="17">
        <v>236</v>
      </c>
      <c r="BF138" s="17">
        <v>236</v>
      </c>
      <c r="BG138" s="17">
        <v>236</v>
      </c>
      <c r="BH138" s="17">
        <v>236</v>
      </c>
      <c r="BI138" s="17">
        <v>236</v>
      </c>
      <c r="BJ138" s="17">
        <v>236</v>
      </c>
      <c r="BK138" s="20">
        <v>236</v>
      </c>
      <c r="BL138" s="20">
        <v>236</v>
      </c>
      <c r="BM138" s="20">
        <v>236</v>
      </c>
      <c r="BN138" s="20">
        <v>236</v>
      </c>
      <c r="BO138" s="20">
        <v>236</v>
      </c>
      <c r="BP138" s="20">
        <v>236</v>
      </c>
      <c r="BQ138" s="20">
        <v>236</v>
      </c>
      <c r="BR138" s="20">
        <v>236</v>
      </c>
      <c r="BS138" s="20">
        <v>236</v>
      </c>
      <c r="BT138" s="20">
        <v>236</v>
      </c>
      <c r="BU138" s="20">
        <v>236</v>
      </c>
      <c r="BV138" s="20">
        <v>236</v>
      </c>
      <c r="BW138" s="20">
        <v>236</v>
      </c>
      <c r="BX138" s="20">
        <v>236</v>
      </c>
      <c r="BY138" s="20">
        <v>236</v>
      </c>
      <c r="BZ138" s="20">
        <v>236</v>
      </c>
      <c r="CA138" s="20">
        <v>236</v>
      </c>
    </row>
    <row r="139" spans="1:79" s="15" customFormat="1" ht="19.5" thickBot="1">
      <c r="A139" s="12" t="s">
        <v>17</v>
      </c>
      <c r="B139" s="17">
        <v>246</v>
      </c>
      <c r="C139" s="17">
        <v>246</v>
      </c>
      <c r="D139" s="17">
        <v>246</v>
      </c>
      <c r="E139" s="17">
        <v>246</v>
      </c>
      <c r="F139" s="17">
        <v>246</v>
      </c>
      <c r="G139" s="17">
        <v>246</v>
      </c>
      <c r="H139" s="17">
        <v>246</v>
      </c>
      <c r="I139" s="17">
        <v>246</v>
      </c>
      <c r="J139" s="17">
        <v>246</v>
      </c>
      <c r="K139" s="17">
        <v>246</v>
      </c>
      <c r="L139" s="17">
        <v>246</v>
      </c>
      <c r="M139" s="17">
        <v>246</v>
      </c>
      <c r="N139" s="17">
        <v>246</v>
      </c>
      <c r="O139" s="17">
        <v>246</v>
      </c>
      <c r="P139" s="17">
        <v>246</v>
      </c>
      <c r="Q139" s="17">
        <v>246</v>
      </c>
      <c r="R139" s="17">
        <v>246</v>
      </c>
      <c r="S139" s="17">
        <v>246</v>
      </c>
      <c r="T139" s="17">
        <v>246</v>
      </c>
      <c r="U139" s="17">
        <v>246</v>
      </c>
      <c r="V139" s="17">
        <v>246</v>
      </c>
      <c r="W139" s="17">
        <v>246</v>
      </c>
      <c r="X139" s="17">
        <v>246</v>
      </c>
      <c r="Y139" s="17">
        <v>246</v>
      </c>
      <c r="Z139" s="17">
        <v>246</v>
      </c>
      <c r="AA139" s="17">
        <v>246</v>
      </c>
      <c r="AB139" s="17">
        <v>246</v>
      </c>
      <c r="AC139" s="17">
        <v>246</v>
      </c>
      <c r="AD139" s="17">
        <v>246</v>
      </c>
      <c r="AE139" s="17">
        <v>246</v>
      </c>
      <c r="AF139" s="17">
        <v>246</v>
      </c>
      <c r="AG139" s="17">
        <v>246</v>
      </c>
      <c r="AH139" s="17">
        <v>246</v>
      </c>
      <c r="AI139" s="17">
        <v>246</v>
      </c>
      <c r="AJ139" s="17">
        <v>246</v>
      </c>
      <c r="AK139" s="17">
        <v>246</v>
      </c>
      <c r="AL139" s="17">
        <v>246</v>
      </c>
      <c r="AM139" s="17">
        <v>246</v>
      </c>
      <c r="AN139" s="17">
        <v>246</v>
      </c>
      <c r="AO139" s="17">
        <v>246</v>
      </c>
      <c r="AP139" s="17">
        <v>246</v>
      </c>
      <c r="AQ139" s="17">
        <v>246</v>
      </c>
      <c r="AR139" s="17">
        <v>246</v>
      </c>
      <c r="AS139" s="17">
        <v>246</v>
      </c>
      <c r="AT139" s="17">
        <v>246</v>
      </c>
      <c r="AU139" s="17">
        <v>246</v>
      </c>
      <c r="AV139" s="17">
        <v>246</v>
      </c>
      <c r="AW139" s="17">
        <v>246</v>
      </c>
      <c r="AX139" s="17">
        <v>246</v>
      </c>
      <c r="AY139" s="17">
        <v>246</v>
      </c>
      <c r="AZ139" s="17">
        <v>246</v>
      </c>
      <c r="BA139" s="17">
        <v>246</v>
      </c>
      <c r="BB139" s="17">
        <v>246</v>
      </c>
      <c r="BC139" s="17">
        <v>246</v>
      </c>
      <c r="BD139" s="17">
        <v>246</v>
      </c>
      <c r="BE139" s="17">
        <v>246</v>
      </c>
      <c r="BF139" s="17">
        <v>246</v>
      </c>
      <c r="BG139" s="17">
        <v>246</v>
      </c>
      <c r="BH139" s="17">
        <v>246</v>
      </c>
      <c r="BI139" s="17">
        <v>246</v>
      </c>
      <c r="BJ139" s="17">
        <v>246</v>
      </c>
      <c r="BK139" s="20">
        <v>246</v>
      </c>
      <c r="BL139" s="20">
        <v>246</v>
      </c>
      <c r="BM139" s="20">
        <v>246</v>
      </c>
      <c r="BN139" s="20">
        <v>246</v>
      </c>
      <c r="BO139" s="20">
        <v>246</v>
      </c>
      <c r="BP139" s="20">
        <v>246</v>
      </c>
      <c r="BQ139" s="20">
        <v>246</v>
      </c>
      <c r="BR139" s="20">
        <v>246</v>
      </c>
      <c r="BS139" s="20">
        <v>246</v>
      </c>
      <c r="BT139" s="20">
        <v>246</v>
      </c>
      <c r="BU139" s="20">
        <v>246</v>
      </c>
      <c r="BV139" s="20">
        <v>246</v>
      </c>
      <c r="BW139" s="20">
        <v>246</v>
      </c>
      <c r="BX139" s="20">
        <v>246</v>
      </c>
      <c r="BY139" s="20">
        <v>246</v>
      </c>
      <c r="BZ139" s="20">
        <v>246</v>
      </c>
      <c r="CA139" s="20">
        <v>246</v>
      </c>
    </row>
    <row r="140" spans="1:79" s="79" customFormat="1">
      <c r="A140" s="8" t="s">
        <v>4</v>
      </c>
      <c r="B140" s="98"/>
      <c r="C140" s="98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67">
        <v>242</v>
      </c>
      <c r="Q140" s="167">
        <v>223</v>
      </c>
      <c r="R140" s="167">
        <v>243.3</v>
      </c>
      <c r="S140" s="167">
        <v>252</v>
      </c>
      <c r="T140" s="167">
        <v>250</v>
      </c>
      <c r="U140" s="167">
        <v>251</v>
      </c>
      <c r="V140" s="167"/>
      <c r="W140" s="167">
        <v>240</v>
      </c>
      <c r="X140" s="167">
        <v>287</v>
      </c>
      <c r="Y140" s="126">
        <v>267</v>
      </c>
      <c r="Z140" s="126">
        <v>243</v>
      </c>
      <c r="AA140" s="126">
        <v>237</v>
      </c>
      <c r="AB140" s="126">
        <v>249</v>
      </c>
      <c r="AC140" s="126">
        <v>253</v>
      </c>
      <c r="AD140" s="126">
        <v>245</v>
      </c>
      <c r="AE140" s="126">
        <v>245</v>
      </c>
      <c r="AF140" s="126">
        <v>248</v>
      </c>
      <c r="AG140" s="126">
        <v>258</v>
      </c>
      <c r="AH140" s="126">
        <v>245</v>
      </c>
      <c r="AI140" s="126">
        <v>250</v>
      </c>
      <c r="AJ140" s="126">
        <v>244</v>
      </c>
      <c r="AK140" s="126">
        <v>230</v>
      </c>
      <c r="AL140" s="126">
        <v>254</v>
      </c>
      <c r="AM140" s="126">
        <v>226</v>
      </c>
      <c r="AN140" s="126">
        <v>245</v>
      </c>
      <c r="AO140" s="126">
        <v>246</v>
      </c>
      <c r="AP140" s="126">
        <v>230</v>
      </c>
      <c r="AQ140" s="126">
        <v>253</v>
      </c>
      <c r="AR140" s="126">
        <v>244</v>
      </c>
      <c r="AS140" s="126">
        <v>242</v>
      </c>
      <c r="AT140" s="126">
        <v>249</v>
      </c>
      <c r="AU140" s="126"/>
      <c r="AV140" s="126">
        <v>254</v>
      </c>
      <c r="AW140" s="126">
        <v>258</v>
      </c>
      <c r="AX140" s="126">
        <v>250</v>
      </c>
      <c r="AY140" s="126">
        <v>254</v>
      </c>
      <c r="AZ140" s="126">
        <v>272</v>
      </c>
      <c r="BA140" s="126">
        <v>257</v>
      </c>
      <c r="BB140" s="126">
        <v>254</v>
      </c>
      <c r="BC140" s="126">
        <v>250</v>
      </c>
      <c r="BD140" s="126">
        <v>280</v>
      </c>
      <c r="BE140" s="126">
        <v>266</v>
      </c>
      <c r="BF140" s="126">
        <v>251</v>
      </c>
      <c r="BG140" s="126">
        <v>257</v>
      </c>
      <c r="BH140" s="126">
        <v>258</v>
      </c>
      <c r="BI140" s="126"/>
      <c r="BJ140" s="126"/>
      <c r="BK140" s="208"/>
    </row>
    <row r="141" spans="1:79" s="2" customFormat="1">
      <c r="A141" s="8" t="s">
        <v>5</v>
      </c>
      <c r="B141" s="96" t="e">
        <f>B142/(SUM(B142,B144,B146))</f>
        <v>#DIV/0!</v>
      </c>
      <c r="C141" s="96" t="e">
        <f t="shared" ref="C141:BB141" si="454">C142/(SUM(C142,C144,C146))</f>
        <v>#DIV/0!</v>
      </c>
      <c r="D141" s="96" t="e">
        <f t="shared" si="454"/>
        <v>#DIV/0!</v>
      </c>
      <c r="E141" s="96" t="e">
        <f t="shared" si="454"/>
        <v>#DIV/0!</v>
      </c>
      <c r="F141" s="96" t="e">
        <f t="shared" si="454"/>
        <v>#DIV/0!</v>
      </c>
      <c r="G141" s="96" t="e">
        <f t="shared" si="454"/>
        <v>#DIV/0!</v>
      </c>
      <c r="H141" s="96" t="e">
        <f t="shared" si="454"/>
        <v>#DIV/0!</v>
      </c>
      <c r="I141" s="96" t="e">
        <f t="shared" si="454"/>
        <v>#DIV/0!</v>
      </c>
      <c r="J141" s="96" t="e">
        <f t="shared" si="454"/>
        <v>#DIV/0!</v>
      </c>
      <c r="K141" s="96" t="e">
        <f t="shared" si="454"/>
        <v>#DIV/0!</v>
      </c>
      <c r="L141" s="96" t="e">
        <f t="shared" si="454"/>
        <v>#DIV/0!</v>
      </c>
      <c r="M141" s="96" t="e">
        <f t="shared" si="454"/>
        <v>#DIV/0!</v>
      </c>
      <c r="N141" s="96" t="e">
        <f t="shared" si="454"/>
        <v>#DIV/0!</v>
      </c>
      <c r="O141" s="96" t="e">
        <f t="shared" si="454"/>
        <v>#DIV/0!</v>
      </c>
      <c r="P141" s="96">
        <f t="shared" si="454"/>
        <v>0</v>
      </c>
      <c r="Q141" s="96">
        <f t="shared" si="454"/>
        <v>0.5</v>
      </c>
      <c r="R141" s="96">
        <f t="shared" si="454"/>
        <v>0</v>
      </c>
      <c r="S141" s="96">
        <f t="shared" si="454"/>
        <v>0</v>
      </c>
      <c r="T141" s="96">
        <f t="shared" si="454"/>
        <v>0</v>
      </c>
      <c r="U141" s="96">
        <f t="shared" si="454"/>
        <v>0</v>
      </c>
      <c r="V141" s="96" t="e">
        <f t="shared" si="454"/>
        <v>#DIV/0!</v>
      </c>
      <c r="W141" s="96">
        <f t="shared" si="454"/>
        <v>0.16666666666666666</v>
      </c>
      <c r="X141" s="96">
        <f t="shared" si="454"/>
        <v>0</v>
      </c>
      <c r="Y141" s="96">
        <f t="shared" si="454"/>
        <v>0</v>
      </c>
      <c r="Z141" s="96">
        <f t="shared" si="454"/>
        <v>0.16666666666666666</v>
      </c>
      <c r="AA141" s="96">
        <f t="shared" si="454"/>
        <v>0.4</v>
      </c>
      <c r="AB141" s="96">
        <f t="shared" si="454"/>
        <v>0.33333333333333331</v>
      </c>
      <c r="AC141" s="96">
        <f t="shared" si="454"/>
        <v>0.33333333333333331</v>
      </c>
      <c r="AD141" s="96">
        <f t="shared" si="454"/>
        <v>0.5</v>
      </c>
      <c r="AE141" s="96">
        <f t="shared" si="454"/>
        <v>0</v>
      </c>
      <c r="AF141" s="96">
        <f t="shared" si="454"/>
        <v>0</v>
      </c>
      <c r="AG141" s="96">
        <f t="shared" si="454"/>
        <v>0</v>
      </c>
      <c r="AH141" s="96">
        <f t="shared" si="454"/>
        <v>0.5</v>
      </c>
      <c r="AI141" s="96">
        <f t="shared" si="454"/>
        <v>0.2</v>
      </c>
      <c r="AJ141" s="96">
        <f t="shared" si="454"/>
        <v>0.66666666666666663</v>
      </c>
      <c r="AK141" s="96">
        <f t="shared" si="454"/>
        <v>1</v>
      </c>
      <c r="AL141" s="96">
        <f t="shared" si="454"/>
        <v>0</v>
      </c>
      <c r="AM141" s="96">
        <f t="shared" si="454"/>
        <v>1</v>
      </c>
      <c r="AN141" s="96">
        <f t="shared" si="454"/>
        <v>0.2</v>
      </c>
      <c r="AO141" s="96">
        <f t="shared" si="454"/>
        <v>0.2</v>
      </c>
      <c r="AP141" s="96">
        <f t="shared" si="454"/>
        <v>1</v>
      </c>
      <c r="AQ141" s="96">
        <f t="shared" si="454"/>
        <v>0</v>
      </c>
      <c r="AR141" s="96">
        <f t="shared" si="454"/>
        <v>0.33333333333333331</v>
      </c>
      <c r="AS141" s="96">
        <f t="shared" si="454"/>
        <v>0.5</v>
      </c>
      <c r="AT141" s="96">
        <f t="shared" si="454"/>
        <v>0.33333333333333331</v>
      </c>
      <c r="AU141" s="96" t="e">
        <f t="shared" si="454"/>
        <v>#DIV/0!</v>
      </c>
      <c r="AV141" s="96">
        <f t="shared" si="454"/>
        <v>0</v>
      </c>
      <c r="AW141" s="96">
        <f t="shared" si="454"/>
        <v>0</v>
      </c>
      <c r="AX141" s="96">
        <f t="shared" si="454"/>
        <v>0</v>
      </c>
      <c r="AY141" s="96">
        <f t="shared" si="454"/>
        <v>0</v>
      </c>
      <c r="AZ141" s="96">
        <f t="shared" si="454"/>
        <v>0</v>
      </c>
      <c r="BA141" s="96">
        <f t="shared" si="454"/>
        <v>0</v>
      </c>
      <c r="BB141" s="96">
        <f t="shared" si="454"/>
        <v>0.2</v>
      </c>
      <c r="BC141" s="96">
        <f t="shared" ref="BC141:BK141" si="455">BC142/(SUM(BC142,BC144,BC146))</f>
        <v>0.1111111111111111</v>
      </c>
      <c r="BD141" s="96">
        <f t="shared" si="455"/>
        <v>0</v>
      </c>
      <c r="BE141" s="96">
        <f t="shared" si="455"/>
        <v>0</v>
      </c>
      <c r="BF141" s="96">
        <f t="shared" si="455"/>
        <v>0</v>
      </c>
      <c r="BG141" s="96">
        <f t="shared" si="455"/>
        <v>0</v>
      </c>
      <c r="BH141" s="96">
        <f t="shared" si="455"/>
        <v>0</v>
      </c>
      <c r="BI141" s="96" t="e">
        <f t="shared" si="455"/>
        <v>#DIV/0!</v>
      </c>
      <c r="BJ141" s="96" t="e">
        <f t="shared" si="455"/>
        <v>#DIV/0!</v>
      </c>
      <c r="BK141" s="97" t="e">
        <f t="shared" si="455"/>
        <v>#DIV/0!</v>
      </c>
      <c r="BL141" s="97" t="e">
        <f t="shared" ref="BL141:CA141" si="456">BL142/(SUM(BL142,BL144,BL146))</f>
        <v>#DIV/0!</v>
      </c>
      <c r="BM141" s="97" t="e">
        <f t="shared" si="456"/>
        <v>#DIV/0!</v>
      </c>
      <c r="BN141" s="97" t="e">
        <f t="shared" si="456"/>
        <v>#DIV/0!</v>
      </c>
      <c r="BO141" s="97" t="e">
        <f t="shared" si="456"/>
        <v>#DIV/0!</v>
      </c>
      <c r="BP141" s="97" t="e">
        <f t="shared" si="456"/>
        <v>#DIV/0!</v>
      </c>
      <c r="BQ141" s="97" t="e">
        <f t="shared" si="456"/>
        <v>#DIV/0!</v>
      </c>
      <c r="BR141" s="97" t="e">
        <f t="shared" si="456"/>
        <v>#DIV/0!</v>
      </c>
      <c r="BS141" s="97" t="e">
        <f t="shared" si="456"/>
        <v>#DIV/0!</v>
      </c>
      <c r="BT141" s="97" t="e">
        <f t="shared" si="456"/>
        <v>#DIV/0!</v>
      </c>
      <c r="BU141" s="97" t="e">
        <f t="shared" si="456"/>
        <v>#DIV/0!</v>
      </c>
      <c r="BV141" s="97" t="e">
        <f t="shared" si="456"/>
        <v>#DIV/0!</v>
      </c>
      <c r="BW141" s="97" t="e">
        <f t="shared" si="456"/>
        <v>#DIV/0!</v>
      </c>
      <c r="BX141" s="97" t="e">
        <f t="shared" si="456"/>
        <v>#DIV/0!</v>
      </c>
      <c r="BY141" s="97" t="e">
        <f t="shared" si="456"/>
        <v>#DIV/0!</v>
      </c>
      <c r="BZ141" s="97" t="e">
        <f t="shared" si="456"/>
        <v>#DIV/0!</v>
      </c>
      <c r="CA141" s="97" t="e">
        <f t="shared" si="456"/>
        <v>#DIV/0!</v>
      </c>
    </row>
    <row r="142" spans="1:79" s="83" customFormat="1">
      <c r="A142" s="8" t="s">
        <v>6</v>
      </c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167"/>
      <c r="Q142" s="167">
        <v>1</v>
      </c>
      <c r="R142" s="167"/>
      <c r="S142" s="167"/>
      <c r="T142" s="167"/>
      <c r="U142" s="167"/>
      <c r="V142" s="167"/>
      <c r="W142" s="167">
        <v>1</v>
      </c>
      <c r="X142" s="167"/>
      <c r="Y142" s="98"/>
      <c r="Z142" s="98">
        <v>1</v>
      </c>
      <c r="AA142" s="98">
        <v>2</v>
      </c>
      <c r="AB142" s="98">
        <v>1</v>
      </c>
      <c r="AC142" s="98">
        <v>3</v>
      </c>
      <c r="AD142" s="98">
        <v>1</v>
      </c>
      <c r="AE142" s="98"/>
      <c r="AF142" s="98"/>
      <c r="AG142" s="98"/>
      <c r="AH142" s="98">
        <v>1</v>
      </c>
      <c r="AI142" s="98">
        <v>1</v>
      </c>
      <c r="AJ142" s="98">
        <v>2</v>
      </c>
      <c r="AK142" s="98">
        <v>1</v>
      </c>
      <c r="AL142" s="98"/>
      <c r="AM142" s="98">
        <v>1</v>
      </c>
      <c r="AN142" s="98">
        <v>1</v>
      </c>
      <c r="AO142" s="98">
        <v>1</v>
      </c>
      <c r="AP142" s="98">
        <v>1</v>
      </c>
      <c r="AQ142" s="98"/>
      <c r="AR142" s="98">
        <v>1</v>
      </c>
      <c r="AS142" s="98">
        <v>4</v>
      </c>
      <c r="AT142" s="98">
        <v>1</v>
      </c>
      <c r="AU142" s="98"/>
      <c r="AV142" s="98"/>
      <c r="AW142" s="98"/>
      <c r="AX142" s="98"/>
      <c r="AY142" s="98"/>
      <c r="AZ142" s="98"/>
      <c r="BA142" s="98"/>
      <c r="BB142" s="98">
        <v>1</v>
      </c>
      <c r="BC142" s="98">
        <v>1</v>
      </c>
      <c r="BD142" s="98"/>
      <c r="BE142" s="98"/>
      <c r="BF142" s="98"/>
      <c r="BG142" s="98"/>
      <c r="BH142" s="98"/>
      <c r="BI142" s="98"/>
      <c r="BJ142" s="98"/>
      <c r="BK142" s="209"/>
      <c r="BL142" s="209"/>
      <c r="BM142" s="209"/>
      <c r="BN142" s="209"/>
      <c r="BO142" s="209"/>
      <c r="BP142" s="209"/>
      <c r="BQ142" s="209"/>
      <c r="BR142" s="209"/>
      <c r="BS142" s="209"/>
      <c r="BT142" s="209"/>
      <c r="BU142" s="209"/>
      <c r="BV142" s="209"/>
      <c r="BW142" s="209"/>
      <c r="BX142" s="209"/>
      <c r="BY142" s="209"/>
      <c r="BZ142" s="209"/>
      <c r="CA142" s="209"/>
    </row>
    <row r="143" spans="1:79">
      <c r="A143" s="8" t="s">
        <v>7</v>
      </c>
      <c r="B143" s="96" t="e">
        <f>B144/(SUM(B142,B144,B146))</f>
        <v>#DIV/0!</v>
      </c>
      <c r="C143" s="96" t="e">
        <f t="shared" ref="C143:BB143" si="457">C144/(SUM(C142,C144,C146))</f>
        <v>#DIV/0!</v>
      </c>
      <c r="D143" s="96" t="e">
        <f t="shared" si="457"/>
        <v>#DIV/0!</v>
      </c>
      <c r="E143" s="96" t="e">
        <f t="shared" si="457"/>
        <v>#DIV/0!</v>
      </c>
      <c r="F143" s="96" t="e">
        <f t="shared" si="457"/>
        <v>#DIV/0!</v>
      </c>
      <c r="G143" s="96" t="e">
        <f t="shared" si="457"/>
        <v>#DIV/0!</v>
      </c>
      <c r="H143" s="96" t="e">
        <f t="shared" si="457"/>
        <v>#DIV/0!</v>
      </c>
      <c r="I143" s="96" t="e">
        <f t="shared" si="457"/>
        <v>#DIV/0!</v>
      </c>
      <c r="J143" s="96" t="e">
        <f t="shared" si="457"/>
        <v>#DIV/0!</v>
      </c>
      <c r="K143" s="96" t="e">
        <f t="shared" si="457"/>
        <v>#DIV/0!</v>
      </c>
      <c r="L143" s="96" t="e">
        <f t="shared" si="457"/>
        <v>#DIV/0!</v>
      </c>
      <c r="M143" s="96" t="e">
        <f t="shared" si="457"/>
        <v>#DIV/0!</v>
      </c>
      <c r="N143" s="96" t="e">
        <f t="shared" si="457"/>
        <v>#DIV/0!</v>
      </c>
      <c r="O143" s="96" t="e">
        <f t="shared" si="457"/>
        <v>#DIV/0!</v>
      </c>
      <c r="P143" s="96">
        <f t="shared" si="457"/>
        <v>0.5</v>
      </c>
      <c r="Q143" s="96">
        <f t="shared" si="457"/>
        <v>0.5</v>
      </c>
      <c r="R143" s="96">
        <f t="shared" si="457"/>
        <v>0.375</v>
      </c>
      <c r="S143" s="96">
        <f t="shared" si="457"/>
        <v>0</v>
      </c>
      <c r="T143" s="96">
        <f t="shared" si="457"/>
        <v>0.1111111111111111</v>
      </c>
      <c r="U143" s="96">
        <f t="shared" si="457"/>
        <v>0</v>
      </c>
      <c r="V143" s="96" t="e">
        <f t="shared" si="457"/>
        <v>#DIV/0!</v>
      </c>
      <c r="W143" s="96">
        <f t="shared" si="457"/>
        <v>0</v>
      </c>
      <c r="X143" s="96">
        <f t="shared" si="457"/>
        <v>0</v>
      </c>
      <c r="Y143" s="96">
        <f t="shared" si="457"/>
        <v>0</v>
      </c>
      <c r="Z143" s="96">
        <f t="shared" si="457"/>
        <v>0.5</v>
      </c>
      <c r="AA143" s="96">
        <f t="shared" si="457"/>
        <v>0.2</v>
      </c>
      <c r="AB143" s="96">
        <f t="shared" si="457"/>
        <v>0</v>
      </c>
      <c r="AC143" s="96">
        <f t="shared" si="457"/>
        <v>0.33333333333333331</v>
      </c>
      <c r="AD143" s="96">
        <f t="shared" si="457"/>
        <v>0</v>
      </c>
      <c r="AE143" s="96">
        <f t="shared" si="457"/>
        <v>0</v>
      </c>
      <c r="AF143" s="96">
        <f t="shared" si="457"/>
        <v>0.5</v>
      </c>
      <c r="AG143" s="96">
        <f t="shared" si="457"/>
        <v>0.33333333333333331</v>
      </c>
      <c r="AH143" s="96">
        <f t="shared" si="457"/>
        <v>0</v>
      </c>
      <c r="AI143" s="96">
        <f t="shared" si="457"/>
        <v>0.2</v>
      </c>
      <c r="AJ143" s="96">
        <f t="shared" si="457"/>
        <v>0</v>
      </c>
      <c r="AK143" s="96">
        <f t="shared" si="457"/>
        <v>0</v>
      </c>
      <c r="AL143" s="96">
        <f t="shared" si="457"/>
        <v>0.33333333333333331</v>
      </c>
      <c r="AM143" s="96">
        <f t="shared" si="457"/>
        <v>0</v>
      </c>
      <c r="AN143" s="96">
        <f t="shared" si="457"/>
        <v>0.4</v>
      </c>
      <c r="AO143" s="96">
        <f t="shared" si="457"/>
        <v>0.4</v>
      </c>
      <c r="AP143" s="96">
        <f t="shared" si="457"/>
        <v>0</v>
      </c>
      <c r="AQ143" s="96">
        <f t="shared" si="457"/>
        <v>0.2857142857142857</v>
      </c>
      <c r="AR143" s="96">
        <f t="shared" si="457"/>
        <v>0.33333333333333331</v>
      </c>
      <c r="AS143" s="96">
        <f t="shared" si="457"/>
        <v>0.25</v>
      </c>
      <c r="AT143" s="96">
        <f t="shared" si="457"/>
        <v>0</v>
      </c>
      <c r="AU143" s="96" t="e">
        <f t="shared" si="457"/>
        <v>#DIV/0!</v>
      </c>
      <c r="AV143" s="96">
        <f t="shared" si="457"/>
        <v>0.33333333333333331</v>
      </c>
      <c r="AW143" s="96">
        <f t="shared" si="457"/>
        <v>0</v>
      </c>
      <c r="AX143" s="96">
        <f t="shared" si="457"/>
        <v>0.66666666666666663</v>
      </c>
      <c r="AY143" s="96">
        <f t="shared" si="457"/>
        <v>0.5</v>
      </c>
      <c r="AZ143" s="96">
        <f t="shared" si="457"/>
        <v>0</v>
      </c>
      <c r="BA143" s="96">
        <f t="shared" si="457"/>
        <v>0</v>
      </c>
      <c r="BB143" s="96">
        <f t="shared" si="457"/>
        <v>0.2</v>
      </c>
      <c r="BC143" s="96">
        <f t="shared" ref="BC143:BK143" si="458">BC144/(SUM(BC142,BC144,BC146))</f>
        <v>0.44444444444444442</v>
      </c>
      <c r="BD143" s="96">
        <f t="shared" si="458"/>
        <v>0</v>
      </c>
      <c r="BE143" s="96">
        <f t="shared" si="458"/>
        <v>0.25</v>
      </c>
      <c r="BF143" s="96">
        <f t="shared" si="458"/>
        <v>0.33333333333333331</v>
      </c>
      <c r="BG143" s="96">
        <f t="shared" si="458"/>
        <v>0.25</v>
      </c>
      <c r="BH143" s="96">
        <f t="shared" si="458"/>
        <v>0.33333333333333331</v>
      </c>
      <c r="BI143" s="96" t="e">
        <f t="shared" si="458"/>
        <v>#DIV/0!</v>
      </c>
      <c r="BJ143" s="96" t="e">
        <f t="shared" si="458"/>
        <v>#DIV/0!</v>
      </c>
      <c r="BK143" s="97" t="e">
        <f t="shared" si="458"/>
        <v>#DIV/0!</v>
      </c>
      <c r="BL143" s="97" t="e">
        <f t="shared" ref="BL143:CA143" si="459">BL144/(SUM(BL142,BL144,BL146))</f>
        <v>#DIV/0!</v>
      </c>
      <c r="BM143" s="97" t="e">
        <f t="shared" si="459"/>
        <v>#DIV/0!</v>
      </c>
      <c r="BN143" s="97" t="e">
        <f t="shared" si="459"/>
        <v>#DIV/0!</v>
      </c>
      <c r="BO143" s="97" t="e">
        <f t="shared" si="459"/>
        <v>#DIV/0!</v>
      </c>
      <c r="BP143" s="97" t="e">
        <f t="shared" si="459"/>
        <v>#DIV/0!</v>
      </c>
      <c r="BQ143" s="97" t="e">
        <f t="shared" si="459"/>
        <v>#DIV/0!</v>
      </c>
      <c r="BR143" s="97" t="e">
        <f t="shared" si="459"/>
        <v>#DIV/0!</v>
      </c>
      <c r="BS143" s="97" t="e">
        <f t="shared" si="459"/>
        <v>#DIV/0!</v>
      </c>
      <c r="BT143" s="97" t="e">
        <f t="shared" si="459"/>
        <v>#DIV/0!</v>
      </c>
      <c r="BU143" s="97" t="e">
        <f t="shared" si="459"/>
        <v>#DIV/0!</v>
      </c>
      <c r="BV143" s="97" t="e">
        <f t="shared" si="459"/>
        <v>#DIV/0!</v>
      </c>
      <c r="BW143" s="97" t="e">
        <f t="shared" si="459"/>
        <v>#DIV/0!</v>
      </c>
      <c r="BX143" s="97" t="e">
        <f t="shared" si="459"/>
        <v>#DIV/0!</v>
      </c>
      <c r="BY143" s="97" t="e">
        <f t="shared" si="459"/>
        <v>#DIV/0!</v>
      </c>
      <c r="BZ143" s="97" t="e">
        <f t="shared" si="459"/>
        <v>#DIV/0!</v>
      </c>
      <c r="CA143" s="97" t="e">
        <f t="shared" si="459"/>
        <v>#DIV/0!</v>
      </c>
    </row>
    <row r="144" spans="1:79" s="83" customFormat="1">
      <c r="A144" s="8" t="s">
        <v>8</v>
      </c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167">
        <v>1</v>
      </c>
      <c r="Q144" s="167">
        <v>1</v>
      </c>
      <c r="R144" s="167">
        <v>3</v>
      </c>
      <c r="S144" s="167"/>
      <c r="T144" s="167">
        <v>1</v>
      </c>
      <c r="U144" s="167"/>
      <c r="V144" s="167"/>
      <c r="W144" s="167"/>
      <c r="X144" s="167"/>
      <c r="Y144" s="98"/>
      <c r="Z144" s="98">
        <v>3</v>
      </c>
      <c r="AA144" s="98">
        <v>1</v>
      </c>
      <c r="AB144" s="98"/>
      <c r="AC144" s="98">
        <v>3</v>
      </c>
      <c r="AD144" s="98"/>
      <c r="AE144" s="98"/>
      <c r="AF144" s="98">
        <v>2</v>
      </c>
      <c r="AG144" s="98">
        <v>1</v>
      </c>
      <c r="AH144" s="98"/>
      <c r="AI144" s="98">
        <v>1</v>
      </c>
      <c r="AJ144" s="98"/>
      <c r="AK144" s="98"/>
      <c r="AL144" s="98">
        <v>1</v>
      </c>
      <c r="AM144" s="98"/>
      <c r="AN144" s="98">
        <v>2</v>
      </c>
      <c r="AO144" s="98">
        <v>2</v>
      </c>
      <c r="AP144" s="98"/>
      <c r="AQ144" s="98">
        <v>2</v>
      </c>
      <c r="AR144" s="98">
        <v>1</v>
      </c>
      <c r="AS144" s="98">
        <v>2</v>
      </c>
      <c r="AT144" s="98"/>
      <c r="AU144" s="98"/>
      <c r="AV144" s="98">
        <v>1</v>
      </c>
      <c r="AW144" s="98"/>
      <c r="AX144" s="98">
        <v>2</v>
      </c>
      <c r="AY144" s="98">
        <v>1</v>
      </c>
      <c r="AZ144" s="98"/>
      <c r="BA144" s="98"/>
      <c r="BB144" s="98">
        <v>1</v>
      </c>
      <c r="BC144" s="98">
        <v>4</v>
      </c>
      <c r="BD144" s="98"/>
      <c r="BE144" s="98">
        <v>1</v>
      </c>
      <c r="BF144" s="98">
        <v>1</v>
      </c>
      <c r="BG144" s="98">
        <v>1</v>
      </c>
      <c r="BH144" s="98">
        <v>1</v>
      </c>
      <c r="BI144" s="98"/>
      <c r="BJ144" s="98"/>
      <c r="BK144" s="209"/>
      <c r="BL144" s="209"/>
      <c r="BM144" s="209"/>
      <c r="BN144" s="209"/>
      <c r="BO144" s="209"/>
      <c r="BP144" s="209"/>
      <c r="BQ144" s="209"/>
      <c r="BR144" s="209"/>
      <c r="BS144" s="209"/>
      <c r="BT144" s="209"/>
      <c r="BU144" s="209"/>
      <c r="BV144" s="209"/>
      <c r="BW144" s="209"/>
      <c r="BX144" s="209"/>
      <c r="BY144" s="209"/>
      <c r="BZ144" s="209"/>
      <c r="CA144" s="209"/>
    </row>
    <row r="145" spans="1:79" s="2" customFormat="1">
      <c r="A145" s="8" t="s">
        <v>9</v>
      </c>
      <c r="B145" s="96" t="e">
        <f>B146/(SUM(B146,B144,B142))</f>
        <v>#DIV/0!</v>
      </c>
      <c r="C145" s="96" t="e">
        <f t="shared" ref="C145:BB145" si="460">C146/(SUM(C146,C144,C142))</f>
        <v>#DIV/0!</v>
      </c>
      <c r="D145" s="96" t="e">
        <f t="shared" si="460"/>
        <v>#DIV/0!</v>
      </c>
      <c r="E145" s="96" t="e">
        <f t="shared" si="460"/>
        <v>#DIV/0!</v>
      </c>
      <c r="F145" s="96" t="e">
        <f t="shared" si="460"/>
        <v>#DIV/0!</v>
      </c>
      <c r="G145" s="96" t="e">
        <f t="shared" si="460"/>
        <v>#DIV/0!</v>
      </c>
      <c r="H145" s="96" t="e">
        <f t="shared" si="460"/>
        <v>#DIV/0!</v>
      </c>
      <c r="I145" s="96" t="e">
        <f t="shared" si="460"/>
        <v>#DIV/0!</v>
      </c>
      <c r="J145" s="96" t="e">
        <f t="shared" si="460"/>
        <v>#DIV/0!</v>
      </c>
      <c r="K145" s="96" t="e">
        <f t="shared" si="460"/>
        <v>#DIV/0!</v>
      </c>
      <c r="L145" s="96" t="e">
        <f t="shared" si="460"/>
        <v>#DIV/0!</v>
      </c>
      <c r="M145" s="96" t="e">
        <f t="shared" si="460"/>
        <v>#DIV/0!</v>
      </c>
      <c r="N145" s="96" t="e">
        <f t="shared" si="460"/>
        <v>#DIV/0!</v>
      </c>
      <c r="O145" s="96" t="e">
        <f t="shared" si="460"/>
        <v>#DIV/0!</v>
      </c>
      <c r="P145" s="96">
        <f t="shared" si="460"/>
        <v>0.5</v>
      </c>
      <c r="Q145" s="96">
        <f t="shared" si="460"/>
        <v>0</v>
      </c>
      <c r="R145" s="96">
        <f t="shared" si="460"/>
        <v>0.625</v>
      </c>
      <c r="S145" s="96">
        <f t="shared" si="460"/>
        <v>1</v>
      </c>
      <c r="T145" s="96">
        <f t="shared" si="460"/>
        <v>0.88888888888888884</v>
      </c>
      <c r="U145" s="96">
        <f t="shared" si="460"/>
        <v>1</v>
      </c>
      <c r="V145" s="96" t="e">
        <f t="shared" si="460"/>
        <v>#DIV/0!</v>
      </c>
      <c r="W145" s="96">
        <f t="shared" si="460"/>
        <v>0.83333333333333337</v>
      </c>
      <c r="X145" s="96">
        <f t="shared" si="460"/>
        <v>1</v>
      </c>
      <c r="Y145" s="96">
        <f t="shared" si="460"/>
        <v>1</v>
      </c>
      <c r="Z145" s="96">
        <f t="shared" si="460"/>
        <v>0.33333333333333331</v>
      </c>
      <c r="AA145" s="96">
        <f t="shared" si="460"/>
        <v>0.4</v>
      </c>
      <c r="AB145" s="96">
        <f t="shared" si="460"/>
        <v>0.66666666666666663</v>
      </c>
      <c r="AC145" s="96">
        <f t="shared" si="460"/>
        <v>0.33333333333333331</v>
      </c>
      <c r="AD145" s="96">
        <f t="shared" si="460"/>
        <v>0.5</v>
      </c>
      <c r="AE145" s="96">
        <f t="shared" si="460"/>
        <v>1</v>
      </c>
      <c r="AF145" s="96">
        <f t="shared" si="460"/>
        <v>0.5</v>
      </c>
      <c r="AG145" s="96">
        <f t="shared" si="460"/>
        <v>0.66666666666666663</v>
      </c>
      <c r="AH145" s="96">
        <f t="shared" si="460"/>
        <v>0.5</v>
      </c>
      <c r="AI145" s="96">
        <f t="shared" si="460"/>
        <v>0.6</v>
      </c>
      <c r="AJ145" s="96">
        <f t="shared" si="460"/>
        <v>0.33333333333333331</v>
      </c>
      <c r="AK145" s="96">
        <f t="shared" si="460"/>
        <v>0</v>
      </c>
      <c r="AL145" s="96">
        <f t="shared" si="460"/>
        <v>0.66666666666666663</v>
      </c>
      <c r="AM145" s="96">
        <f t="shared" si="460"/>
        <v>0</v>
      </c>
      <c r="AN145" s="96">
        <f t="shared" si="460"/>
        <v>0.4</v>
      </c>
      <c r="AO145" s="96">
        <f t="shared" si="460"/>
        <v>0.4</v>
      </c>
      <c r="AP145" s="96">
        <f t="shared" si="460"/>
        <v>0</v>
      </c>
      <c r="AQ145" s="96">
        <f t="shared" si="460"/>
        <v>0.7142857142857143</v>
      </c>
      <c r="AR145" s="96">
        <f t="shared" si="460"/>
        <v>0.33333333333333331</v>
      </c>
      <c r="AS145" s="96">
        <f t="shared" si="460"/>
        <v>0.25</v>
      </c>
      <c r="AT145" s="96">
        <f t="shared" si="460"/>
        <v>0.66666666666666663</v>
      </c>
      <c r="AU145" s="96" t="e">
        <f t="shared" si="460"/>
        <v>#DIV/0!</v>
      </c>
      <c r="AV145" s="96">
        <f t="shared" si="460"/>
        <v>0.66666666666666663</v>
      </c>
      <c r="AW145" s="96">
        <f t="shared" si="460"/>
        <v>1</v>
      </c>
      <c r="AX145" s="96">
        <f t="shared" si="460"/>
        <v>0.33333333333333331</v>
      </c>
      <c r="AY145" s="96">
        <f t="shared" si="460"/>
        <v>0.5</v>
      </c>
      <c r="AZ145" s="96">
        <f t="shared" si="460"/>
        <v>1</v>
      </c>
      <c r="BA145" s="96">
        <f t="shared" si="460"/>
        <v>1</v>
      </c>
      <c r="BB145" s="96">
        <f t="shared" si="460"/>
        <v>0.6</v>
      </c>
      <c r="BC145" s="96">
        <f t="shared" ref="BC145:BK145" si="461">BC146/(SUM(BC146,BC144,BC142))</f>
        <v>0.44444444444444442</v>
      </c>
      <c r="BD145" s="96">
        <f t="shared" si="461"/>
        <v>1</v>
      </c>
      <c r="BE145" s="96">
        <f t="shared" si="461"/>
        <v>0.75</v>
      </c>
      <c r="BF145" s="96">
        <f t="shared" si="461"/>
        <v>0.66666666666666663</v>
      </c>
      <c r="BG145" s="96">
        <f t="shared" si="461"/>
        <v>0.75</v>
      </c>
      <c r="BH145" s="96">
        <f t="shared" si="461"/>
        <v>0.66666666666666663</v>
      </c>
      <c r="BI145" s="96" t="e">
        <f t="shared" si="461"/>
        <v>#DIV/0!</v>
      </c>
      <c r="BJ145" s="96" t="e">
        <f t="shared" si="461"/>
        <v>#DIV/0!</v>
      </c>
      <c r="BK145" s="97" t="e">
        <f t="shared" si="461"/>
        <v>#DIV/0!</v>
      </c>
      <c r="BL145" s="97" t="e">
        <f t="shared" ref="BL145:CA145" si="462">BL146/(SUM(BL146,BL144,BL142))</f>
        <v>#DIV/0!</v>
      </c>
      <c r="BM145" s="97" t="e">
        <f t="shared" si="462"/>
        <v>#DIV/0!</v>
      </c>
      <c r="BN145" s="97" t="e">
        <f t="shared" si="462"/>
        <v>#DIV/0!</v>
      </c>
      <c r="BO145" s="97" t="e">
        <f t="shared" si="462"/>
        <v>#DIV/0!</v>
      </c>
      <c r="BP145" s="97" t="e">
        <f t="shared" si="462"/>
        <v>#DIV/0!</v>
      </c>
      <c r="BQ145" s="97" t="e">
        <f t="shared" si="462"/>
        <v>#DIV/0!</v>
      </c>
      <c r="BR145" s="97" t="e">
        <f t="shared" si="462"/>
        <v>#DIV/0!</v>
      </c>
      <c r="BS145" s="97" t="e">
        <f t="shared" si="462"/>
        <v>#DIV/0!</v>
      </c>
      <c r="BT145" s="97" t="e">
        <f t="shared" si="462"/>
        <v>#DIV/0!</v>
      </c>
      <c r="BU145" s="97" t="e">
        <f t="shared" si="462"/>
        <v>#DIV/0!</v>
      </c>
      <c r="BV145" s="97" t="e">
        <f t="shared" si="462"/>
        <v>#DIV/0!</v>
      </c>
      <c r="BW145" s="97" t="e">
        <f t="shared" si="462"/>
        <v>#DIV/0!</v>
      </c>
      <c r="BX145" s="97" t="e">
        <f t="shared" si="462"/>
        <v>#DIV/0!</v>
      </c>
      <c r="BY145" s="97" t="e">
        <f t="shared" si="462"/>
        <v>#DIV/0!</v>
      </c>
      <c r="BZ145" s="97" t="e">
        <f t="shared" si="462"/>
        <v>#DIV/0!</v>
      </c>
      <c r="CA145" s="97" t="e">
        <f t="shared" si="462"/>
        <v>#DIV/0!</v>
      </c>
    </row>
    <row r="146" spans="1:79" s="84" customFormat="1" ht="19.5" thickBot="1">
      <c r="A146" s="8" t="s">
        <v>10</v>
      </c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129">
        <v>1</v>
      </c>
      <c r="Q146" s="129"/>
      <c r="R146" s="129">
        <v>5</v>
      </c>
      <c r="S146" s="129">
        <v>5</v>
      </c>
      <c r="T146" s="129">
        <v>8</v>
      </c>
      <c r="U146" s="129">
        <v>1</v>
      </c>
      <c r="V146" s="129"/>
      <c r="W146" s="129">
        <v>5</v>
      </c>
      <c r="X146" s="129">
        <v>1</v>
      </c>
      <c r="Y146" s="98">
        <v>2</v>
      </c>
      <c r="Z146" s="98">
        <v>2</v>
      </c>
      <c r="AA146" s="98">
        <v>2</v>
      </c>
      <c r="AB146" s="98">
        <v>2</v>
      </c>
      <c r="AC146" s="98">
        <v>3</v>
      </c>
      <c r="AD146" s="98">
        <v>1</v>
      </c>
      <c r="AE146" s="98">
        <v>1</v>
      </c>
      <c r="AF146" s="98">
        <v>2</v>
      </c>
      <c r="AG146" s="98">
        <v>2</v>
      </c>
      <c r="AH146" s="98">
        <v>1</v>
      </c>
      <c r="AI146" s="98">
        <v>3</v>
      </c>
      <c r="AJ146" s="98">
        <v>1</v>
      </c>
      <c r="AK146" s="98"/>
      <c r="AL146" s="98">
        <v>2</v>
      </c>
      <c r="AM146" s="98"/>
      <c r="AN146" s="98">
        <v>2</v>
      </c>
      <c r="AO146" s="98">
        <v>2</v>
      </c>
      <c r="AP146" s="98"/>
      <c r="AQ146" s="98">
        <v>5</v>
      </c>
      <c r="AR146" s="98">
        <v>1</v>
      </c>
      <c r="AS146" s="98">
        <v>2</v>
      </c>
      <c r="AT146" s="98">
        <v>2</v>
      </c>
      <c r="AU146" s="98"/>
      <c r="AV146" s="98">
        <v>2</v>
      </c>
      <c r="AW146" s="98">
        <v>2</v>
      </c>
      <c r="AX146" s="98">
        <v>1</v>
      </c>
      <c r="AY146" s="98">
        <v>1</v>
      </c>
      <c r="AZ146" s="98">
        <v>1</v>
      </c>
      <c r="BA146" s="98">
        <v>1</v>
      </c>
      <c r="BB146" s="98">
        <v>3</v>
      </c>
      <c r="BC146" s="98">
        <v>4</v>
      </c>
      <c r="BD146" s="98">
        <v>2</v>
      </c>
      <c r="BE146" s="98">
        <v>3</v>
      </c>
      <c r="BF146" s="98">
        <v>2</v>
      </c>
      <c r="BG146" s="98">
        <v>3</v>
      </c>
      <c r="BH146" s="98">
        <v>2</v>
      </c>
      <c r="BI146" s="98"/>
      <c r="BJ146" s="98"/>
      <c r="BK146" s="209"/>
    </row>
    <row r="147" spans="1:79" s="79" customFormat="1">
      <c r="A147" s="12" t="s">
        <v>18</v>
      </c>
      <c r="B147" s="98"/>
      <c r="C147" s="98"/>
      <c r="D147" s="98"/>
      <c r="E147" s="98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9">
        <v>87</v>
      </c>
      <c r="Q147" s="129">
        <v>60</v>
      </c>
      <c r="R147" s="129">
        <v>82.1</v>
      </c>
      <c r="S147" s="129">
        <v>97.6</v>
      </c>
      <c r="T147" s="129">
        <v>87.5</v>
      </c>
      <c r="U147" s="129">
        <v>83</v>
      </c>
      <c r="V147" s="129"/>
      <c r="W147" s="129">
        <v>83</v>
      </c>
      <c r="X147" s="129">
        <v>122</v>
      </c>
      <c r="Y147" s="126">
        <v>113</v>
      </c>
      <c r="Z147" s="126">
        <v>84</v>
      </c>
      <c r="AA147" s="126">
        <v>76</v>
      </c>
      <c r="AB147" s="126">
        <v>83</v>
      </c>
      <c r="AC147" s="126">
        <v>74</v>
      </c>
      <c r="AD147" s="126">
        <v>90.5</v>
      </c>
      <c r="AE147" s="126">
        <v>70</v>
      </c>
      <c r="AF147" s="126">
        <v>64</v>
      </c>
      <c r="AG147" s="126">
        <v>81</v>
      </c>
      <c r="AH147" s="126">
        <v>81</v>
      </c>
      <c r="AI147" s="126">
        <v>78</v>
      </c>
      <c r="AJ147" s="126">
        <v>74</v>
      </c>
      <c r="AK147" s="126">
        <v>77</v>
      </c>
      <c r="AL147" s="126">
        <v>89</v>
      </c>
      <c r="AM147" s="126">
        <v>61</v>
      </c>
      <c r="AN147" s="126">
        <v>79</v>
      </c>
      <c r="AO147" s="126">
        <v>79</v>
      </c>
      <c r="AP147" s="126">
        <v>60</v>
      </c>
      <c r="AQ147" s="126">
        <v>87</v>
      </c>
      <c r="AR147" s="126">
        <v>79</v>
      </c>
      <c r="AS147" s="126">
        <v>73</v>
      </c>
      <c r="AT147" s="126">
        <v>75</v>
      </c>
      <c r="AU147" s="126"/>
      <c r="AV147" s="126">
        <v>80</v>
      </c>
      <c r="AW147" s="126">
        <v>83</v>
      </c>
      <c r="AX147" s="126">
        <v>87</v>
      </c>
      <c r="AY147" s="126">
        <v>90</v>
      </c>
      <c r="AZ147" s="126">
        <v>95</v>
      </c>
      <c r="BA147" s="126">
        <v>88</v>
      </c>
      <c r="BB147" s="126">
        <v>87</v>
      </c>
      <c r="BC147" s="126">
        <v>79</v>
      </c>
      <c r="BD147" s="126">
        <v>88</v>
      </c>
      <c r="BE147" s="126">
        <v>83</v>
      </c>
      <c r="BF147" s="126">
        <v>79</v>
      </c>
      <c r="BG147" s="126">
        <v>75</v>
      </c>
      <c r="BH147" s="126">
        <v>86</v>
      </c>
      <c r="BI147" s="126"/>
      <c r="BJ147" s="126"/>
      <c r="BK147" s="208"/>
    </row>
    <row r="148" spans="1:79" s="2" customFormat="1">
      <c r="A148" s="8" t="s">
        <v>5</v>
      </c>
      <c r="B148" s="96" t="e">
        <f>B149/(SUM(B149,B151,B153))</f>
        <v>#DIV/0!</v>
      </c>
      <c r="C148" s="96" t="e">
        <f t="shared" ref="C148:BK148" si="463">C149/(SUM(C149,C151,C153))</f>
        <v>#DIV/0!</v>
      </c>
      <c r="D148" s="96" t="e">
        <f t="shared" si="463"/>
        <v>#DIV/0!</v>
      </c>
      <c r="E148" s="96" t="e">
        <f t="shared" si="463"/>
        <v>#DIV/0!</v>
      </c>
      <c r="F148" s="96" t="e">
        <f t="shared" si="463"/>
        <v>#DIV/0!</v>
      </c>
      <c r="G148" s="96" t="e">
        <f t="shared" si="463"/>
        <v>#DIV/0!</v>
      </c>
      <c r="H148" s="96" t="e">
        <f t="shared" si="463"/>
        <v>#DIV/0!</v>
      </c>
      <c r="I148" s="96" t="e">
        <f t="shared" si="463"/>
        <v>#DIV/0!</v>
      </c>
      <c r="J148" s="96" t="e">
        <f t="shared" si="463"/>
        <v>#DIV/0!</v>
      </c>
      <c r="K148" s="96" t="e">
        <f t="shared" si="463"/>
        <v>#DIV/0!</v>
      </c>
      <c r="L148" s="96" t="e">
        <f t="shared" si="463"/>
        <v>#DIV/0!</v>
      </c>
      <c r="M148" s="96" t="e">
        <f t="shared" si="463"/>
        <v>#DIV/0!</v>
      </c>
      <c r="N148" s="96" t="e">
        <f t="shared" si="463"/>
        <v>#DIV/0!</v>
      </c>
      <c r="O148" s="96" t="e">
        <f t="shared" si="463"/>
        <v>#DIV/0!</v>
      </c>
      <c r="P148" s="96">
        <f t="shared" si="463"/>
        <v>0</v>
      </c>
      <c r="Q148" s="96">
        <f t="shared" si="463"/>
        <v>1</v>
      </c>
      <c r="R148" s="96">
        <f t="shared" si="463"/>
        <v>0.25</v>
      </c>
      <c r="S148" s="96">
        <f t="shared" si="463"/>
        <v>0</v>
      </c>
      <c r="T148" s="96">
        <f t="shared" si="463"/>
        <v>0.1111111111111111</v>
      </c>
      <c r="U148" s="96">
        <f t="shared" si="463"/>
        <v>0</v>
      </c>
      <c r="V148" s="96" t="e">
        <f t="shared" si="463"/>
        <v>#DIV/0!</v>
      </c>
      <c r="W148" s="96">
        <f t="shared" si="463"/>
        <v>0.16666666666666666</v>
      </c>
      <c r="X148" s="96">
        <f t="shared" si="463"/>
        <v>0</v>
      </c>
      <c r="Y148" s="96">
        <f t="shared" si="463"/>
        <v>0</v>
      </c>
      <c r="Z148" s="96">
        <f t="shared" si="463"/>
        <v>0</v>
      </c>
      <c r="AA148" s="96">
        <f t="shared" si="463"/>
        <v>0.4</v>
      </c>
      <c r="AB148" s="96">
        <f t="shared" si="463"/>
        <v>0.33333333333333331</v>
      </c>
      <c r="AC148" s="96">
        <f t="shared" si="463"/>
        <v>0.44444444444444442</v>
      </c>
      <c r="AD148" s="96">
        <f t="shared" si="463"/>
        <v>1</v>
      </c>
      <c r="AE148" s="96">
        <f t="shared" si="463"/>
        <v>0.5</v>
      </c>
      <c r="AF148" s="96">
        <f t="shared" si="463"/>
        <v>1</v>
      </c>
      <c r="AG148" s="96">
        <f t="shared" si="463"/>
        <v>0.5</v>
      </c>
      <c r="AH148" s="96">
        <f t="shared" si="463"/>
        <v>0</v>
      </c>
      <c r="AI148" s="96">
        <f t="shared" si="463"/>
        <v>0.4</v>
      </c>
      <c r="AJ148" s="96">
        <f t="shared" si="463"/>
        <v>0.66666666666666663</v>
      </c>
      <c r="AK148" s="96">
        <f t="shared" si="463"/>
        <v>0</v>
      </c>
      <c r="AL148" s="96">
        <f t="shared" si="463"/>
        <v>0</v>
      </c>
      <c r="AM148" s="96">
        <f t="shared" si="463"/>
        <v>1</v>
      </c>
      <c r="AN148" s="96">
        <f t="shared" si="463"/>
        <v>0.2</v>
      </c>
      <c r="AO148" s="96">
        <f t="shared" si="463"/>
        <v>0.2</v>
      </c>
      <c r="AP148" s="96">
        <f t="shared" si="463"/>
        <v>1</v>
      </c>
      <c r="AQ148" s="96">
        <f t="shared" si="463"/>
        <v>0</v>
      </c>
      <c r="AR148" s="96">
        <f t="shared" si="463"/>
        <v>0.66666666666666663</v>
      </c>
      <c r="AS148" s="96">
        <f t="shared" si="463"/>
        <v>0.625</v>
      </c>
      <c r="AT148" s="96">
        <f t="shared" si="463"/>
        <v>0.33333333333333331</v>
      </c>
      <c r="AU148" s="96" t="e">
        <f t="shared" si="463"/>
        <v>#DIV/0!</v>
      </c>
      <c r="AV148" s="96">
        <f t="shared" si="463"/>
        <v>0.33333333333333331</v>
      </c>
      <c r="AW148" s="96">
        <f t="shared" si="463"/>
        <v>0.5</v>
      </c>
      <c r="AX148" s="96">
        <f t="shared" si="463"/>
        <v>0.33333333333333331</v>
      </c>
      <c r="AY148" s="96">
        <f t="shared" si="463"/>
        <v>0</v>
      </c>
      <c r="AZ148" s="96">
        <f t="shared" si="463"/>
        <v>0</v>
      </c>
      <c r="BA148" s="96">
        <f t="shared" si="463"/>
        <v>0</v>
      </c>
      <c r="BB148" s="96">
        <f t="shared" si="463"/>
        <v>0.2</v>
      </c>
      <c r="BC148" s="96">
        <f t="shared" si="463"/>
        <v>0.33333333333333331</v>
      </c>
      <c r="BD148" s="96">
        <f t="shared" si="463"/>
        <v>0</v>
      </c>
      <c r="BE148" s="96">
        <f t="shared" si="463"/>
        <v>0</v>
      </c>
      <c r="BF148" s="96">
        <f t="shared" si="463"/>
        <v>0</v>
      </c>
      <c r="BG148" s="96">
        <f t="shared" si="463"/>
        <v>0.25</v>
      </c>
      <c r="BH148" s="96">
        <f t="shared" si="463"/>
        <v>0</v>
      </c>
      <c r="BI148" s="96" t="e">
        <f t="shared" si="463"/>
        <v>#DIV/0!</v>
      </c>
      <c r="BJ148" s="96" t="e">
        <f t="shared" si="463"/>
        <v>#DIV/0!</v>
      </c>
      <c r="BK148" s="97" t="e">
        <f t="shared" si="463"/>
        <v>#DIV/0!</v>
      </c>
      <c r="BL148" s="97" t="e">
        <f t="shared" ref="BL148:CA148" si="464">BL149/(SUM(BL149,BL151,BL153))</f>
        <v>#DIV/0!</v>
      </c>
      <c r="BM148" s="97" t="e">
        <f t="shared" si="464"/>
        <v>#DIV/0!</v>
      </c>
      <c r="BN148" s="97" t="e">
        <f t="shared" si="464"/>
        <v>#DIV/0!</v>
      </c>
      <c r="BO148" s="97" t="e">
        <f t="shared" si="464"/>
        <v>#DIV/0!</v>
      </c>
      <c r="BP148" s="97" t="e">
        <f t="shared" si="464"/>
        <v>#DIV/0!</v>
      </c>
      <c r="BQ148" s="97" t="e">
        <f t="shared" si="464"/>
        <v>#DIV/0!</v>
      </c>
      <c r="BR148" s="97" t="e">
        <f t="shared" si="464"/>
        <v>#DIV/0!</v>
      </c>
      <c r="BS148" s="97" t="e">
        <f t="shared" si="464"/>
        <v>#DIV/0!</v>
      </c>
      <c r="BT148" s="97" t="e">
        <f t="shared" si="464"/>
        <v>#DIV/0!</v>
      </c>
      <c r="BU148" s="97" t="e">
        <f t="shared" si="464"/>
        <v>#DIV/0!</v>
      </c>
      <c r="BV148" s="97" t="e">
        <f t="shared" si="464"/>
        <v>#DIV/0!</v>
      </c>
      <c r="BW148" s="97" t="e">
        <f t="shared" si="464"/>
        <v>#DIV/0!</v>
      </c>
      <c r="BX148" s="97" t="e">
        <f t="shared" si="464"/>
        <v>#DIV/0!</v>
      </c>
      <c r="BY148" s="97" t="e">
        <f t="shared" si="464"/>
        <v>#DIV/0!</v>
      </c>
      <c r="BZ148" s="97" t="e">
        <f t="shared" si="464"/>
        <v>#DIV/0!</v>
      </c>
      <c r="CA148" s="97" t="e">
        <f t="shared" si="464"/>
        <v>#DIV/0!</v>
      </c>
    </row>
    <row r="149" spans="1:79" s="83" customFormat="1">
      <c r="A149" s="8" t="s">
        <v>6</v>
      </c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>
        <v>2</v>
      </c>
      <c r="R149" s="98">
        <v>2</v>
      </c>
      <c r="S149" s="98"/>
      <c r="T149" s="98">
        <v>1</v>
      </c>
      <c r="U149" s="98"/>
      <c r="V149" s="98"/>
      <c r="W149" s="98">
        <v>1</v>
      </c>
      <c r="X149" s="98"/>
      <c r="Y149" s="98"/>
      <c r="Z149" s="98"/>
      <c r="AA149" s="98">
        <v>2</v>
      </c>
      <c r="AB149" s="98">
        <v>1</v>
      </c>
      <c r="AC149" s="98">
        <v>4</v>
      </c>
      <c r="AD149" s="98">
        <v>1</v>
      </c>
      <c r="AE149" s="98">
        <v>1</v>
      </c>
      <c r="AF149" s="98">
        <v>4</v>
      </c>
      <c r="AG149" s="98">
        <v>1</v>
      </c>
      <c r="AH149" s="98"/>
      <c r="AI149" s="98">
        <v>2</v>
      </c>
      <c r="AJ149" s="98">
        <v>2</v>
      </c>
      <c r="AK149" s="98"/>
      <c r="AL149" s="98"/>
      <c r="AM149" s="98">
        <v>1</v>
      </c>
      <c r="AN149" s="98">
        <v>1</v>
      </c>
      <c r="AO149" s="98">
        <v>1</v>
      </c>
      <c r="AP149" s="98">
        <v>1</v>
      </c>
      <c r="AQ149" s="98"/>
      <c r="AR149" s="98">
        <v>2</v>
      </c>
      <c r="AS149" s="98">
        <v>5</v>
      </c>
      <c r="AT149" s="98">
        <v>1</v>
      </c>
      <c r="AU149" s="98"/>
      <c r="AV149" s="98">
        <v>1</v>
      </c>
      <c r="AW149" s="98">
        <v>1</v>
      </c>
      <c r="AX149" s="98">
        <v>1</v>
      </c>
      <c r="AY149" s="98"/>
      <c r="AZ149" s="98"/>
      <c r="BA149" s="98"/>
      <c r="BB149" s="98">
        <v>1</v>
      </c>
      <c r="BC149" s="98">
        <v>3</v>
      </c>
      <c r="BD149" s="98"/>
      <c r="BE149" s="98"/>
      <c r="BF149" s="98"/>
      <c r="BG149" s="98">
        <v>1</v>
      </c>
      <c r="BH149" s="98"/>
      <c r="BI149" s="98"/>
      <c r="BJ149" s="98"/>
      <c r="BK149" s="209"/>
      <c r="BL149" s="209"/>
      <c r="BM149" s="209"/>
      <c r="BN149" s="209"/>
      <c r="BO149" s="209"/>
      <c r="BP149" s="209"/>
      <c r="BQ149" s="209"/>
      <c r="BR149" s="209"/>
      <c r="BS149" s="209"/>
      <c r="BT149" s="209"/>
      <c r="BU149" s="209"/>
      <c r="BV149" s="209"/>
      <c r="BW149" s="209"/>
      <c r="BX149" s="209"/>
      <c r="BY149" s="209"/>
      <c r="BZ149" s="209"/>
      <c r="CA149" s="209"/>
    </row>
    <row r="150" spans="1:79">
      <c r="A150" s="8" t="s">
        <v>7</v>
      </c>
      <c r="B150" s="96" t="e">
        <f>B151/(SUM(B149,B151,B153))</f>
        <v>#DIV/0!</v>
      </c>
      <c r="C150" s="96" t="e">
        <f t="shared" ref="C150:BK150" si="465">C151/(SUM(C149,C151,C153))</f>
        <v>#DIV/0!</v>
      </c>
      <c r="D150" s="96" t="e">
        <f t="shared" si="465"/>
        <v>#DIV/0!</v>
      </c>
      <c r="E150" s="96" t="e">
        <f t="shared" si="465"/>
        <v>#DIV/0!</v>
      </c>
      <c r="F150" s="96" t="e">
        <f t="shared" si="465"/>
        <v>#DIV/0!</v>
      </c>
      <c r="G150" s="96" t="e">
        <f t="shared" si="465"/>
        <v>#DIV/0!</v>
      </c>
      <c r="H150" s="96" t="e">
        <f t="shared" si="465"/>
        <v>#DIV/0!</v>
      </c>
      <c r="I150" s="96" t="e">
        <f t="shared" si="465"/>
        <v>#DIV/0!</v>
      </c>
      <c r="J150" s="96" t="e">
        <f t="shared" si="465"/>
        <v>#DIV/0!</v>
      </c>
      <c r="K150" s="96" t="e">
        <f t="shared" si="465"/>
        <v>#DIV/0!</v>
      </c>
      <c r="L150" s="96" t="e">
        <f t="shared" si="465"/>
        <v>#DIV/0!</v>
      </c>
      <c r="M150" s="96" t="e">
        <f t="shared" si="465"/>
        <v>#DIV/0!</v>
      </c>
      <c r="N150" s="96" t="e">
        <f t="shared" si="465"/>
        <v>#DIV/0!</v>
      </c>
      <c r="O150" s="96" t="e">
        <f t="shared" si="465"/>
        <v>#DIV/0!</v>
      </c>
      <c r="P150" s="96">
        <f t="shared" si="465"/>
        <v>0</v>
      </c>
      <c r="Q150" s="96">
        <f t="shared" si="465"/>
        <v>0</v>
      </c>
      <c r="R150" s="96">
        <f t="shared" si="465"/>
        <v>0.125</v>
      </c>
      <c r="S150" s="96">
        <f t="shared" si="465"/>
        <v>0.2</v>
      </c>
      <c r="T150" s="96">
        <f t="shared" si="465"/>
        <v>0.33333333333333331</v>
      </c>
      <c r="U150" s="96">
        <f t="shared" si="465"/>
        <v>0</v>
      </c>
      <c r="V150" s="96" t="e">
        <f t="shared" si="465"/>
        <v>#DIV/0!</v>
      </c>
      <c r="W150" s="96">
        <f t="shared" si="465"/>
        <v>0</v>
      </c>
      <c r="X150" s="96">
        <f t="shared" si="465"/>
        <v>0</v>
      </c>
      <c r="Y150" s="96">
        <f t="shared" si="465"/>
        <v>0</v>
      </c>
      <c r="Z150" s="96">
        <f t="shared" si="465"/>
        <v>0.33333333333333331</v>
      </c>
      <c r="AA150" s="96">
        <f t="shared" si="465"/>
        <v>0</v>
      </c>
      <c r="AB150" s="96">
        <f t="shared" si="465"/>
        <v>0</v>
      </c>
      <c r="AC150" s="96">
        <f t="shared" si="465"/>
        <v>0.22222222222222221</v>
      </c>
      <c r="AD150" s="96">
        <f t="shared" si="465"/>
        <v>0</v>
      </c>
      <c r="AE150" s="96">
        <f t="shared" si="465"/>
        <v>0.5</v>
      </c>
      <c r="AF150" s="96">
        <f t="shared" si="465"/>
        <v>0</v>
      </c>
      <c r="AG150" s="96">
        <f t="shared" si="465"/>
        <v>0</v>
      </c>
      <c r="AH150" s="96">
        <f t="shared" si="465"/>
        <v>0.5</v>
      </c>
      <c r="AI150" s="96">
        <f t="shared" si="465"/>
        <v>0.2</v>
      </c>
      <c r="AJ150" s="96">
        <f t="shared" si="465"/>
        <v>0</v>
      </c>
      <c r="AK150" s="96">
        <f t="shared" si="465"/>
        <v>1</v>
      </c>
      <c r="AL150" s="96">
        <f t="shared" si="465"/>
        <v>0</v>
      </c>
      <c r="AM150" s="96">
        <f t="shared" si="465"/>
        <v>0</v>
      </c>
      <c r="AN150" s="96">
        <f t="shared" si="465"/>
        <v>0.4</v>
      </c>
      <c r="AO150" s="96">
        <f t="shared" si="465"/>
        <v>0.4</v>
      </c>
      <c r="AP150" s="96">
        <f t="shared" si="465"/>
        <v>0</v>
      </c>
      <c r="AQ150" s="96">
        <f t="shared" si="465"/>
        <v>0.42857142857142855</v>
      </c>
      <c r="AR150" s="96">
        <f t="shared" si="465"/>
        <v>0</v>
      </c>
      <c r="AS150" s="96">
        <f t="shared" si="465"/>
        <v>0.125</v>
      </c>
      <c r="AT150" s="96">
        <f t="shared" si="465"/>
        <v>0</v>
      </c>
      <c r="AU150" s="96" t="e">
        <f t="shared" si="465"/>
        <v>#DIV/0!</v>
      </c>
      <c r="AV150" s="96">
        <f t="shared" si="465"/>
        <v>0.33333333333333331</v>
      </c>
      <c r="AW150" s="96">
        <f t="shared" si="465"/>
        <v>0</v>
      </c>
      <c r="AX150" s="96">
        <f t="shared" si="465"/>
        <v>0</v>
      </c>
      <c r="AY150" s="96">
        <f t="shared" si="465"/>
        <v>0</v>
      </c>
      <c r="AZ150" s="96">
        <f t="shared" si="465"/>
        <v>0</v>
      </c>
      <c r="BA150" s="96">
        <f t="shared" si="465"/>
        <v>0</v>
      </c>
      <c r="BB150" s="96">
        <f t="shared" si="465"/>
        <v>0.2</v>
      </c>
      <c r="BC150" s="96">
        <f t="shared" si="465"/>
        <v>0.22222222222222221</v>
      </c>
      <c r="BD150" s="96">
        <f t="shared" si="465"/>
        <v>0</v>
      </c>
      <c r="BE150" s="96">
        <f t="shared" si="465"/>
        <v>0.75</v>
      </c>
      <c r="BF150" s="96">
        <f t="shared" si="465"/>
        <v>0.33333333333333331</v>
      </c>
      <c r="BG150" s="96">
        <f t="shared" si="465"/>
        <v>0.25</v>
      </c>
      <c r="BH150" s="96">
        <f t="shared" si="465"/>
        <v>0.33333333333333331</v>
      </c>
      <c r="BI150" s="96" t="e">
        <f t="shared" si="465"/>
        <v>#DIV/0!</v>
      </c>
      <c r="BJ150" s="96" t="e">
        <f t="shared" si="465"/>
        <v>#DIV/0!</v>
      </c>
      <c r="BK150" s="97" t="e">
        <f t="shared" si="465"/>
        <v>#DIV/0!</v>
      </c>
      <c r="BL150" s="97" t="e">
        <f t="shared" ref="BL150:CA150" si="466">BL151/(SUM(BL149,BL151,BL153))</f>
        <v>#DIV/0!</v>
      </c>
      <c r="BM150" s="97" t="e">
        <f t="shared" si="466"/>
        <v>#DIV/0!</v>
      </c>
      <c r="BN150" s="97" t="e">
        <f t="shared" si="466"/>
        <v>#DIV/0!</v>
      </c>
      <c r="BO150" s="97" t="e">
        <f t="shared" si="466"/>
        <v>#DIV/0!</v>
      </c>
      <c r="BP150" s="97" t="e">
        <f t="shared" si="466"/>
        <v>#DIV/0!</v>
      </c>
      <c r="BQ150" s="97" t="e">
        <f t="shared" si="466"/>
        <v>#DIV/0!</v>
      </c>
      <c r="BR150" s="97" t="e">
        <f t="shared" si="466"/>
        <v>#DIV/0!</v>
      </c>
      <c r="BS150" s="97" t="e">
        <f t="shared" si="466"/>
        <v>#DIV/0!</v>
      </c>
      <c r="BT150" s="97" t="e">
        <f t="shared" si="466"/>
        <v>#DIV/0!</v>
      </c>
      <c r="BU150" s="97" t="e">
        <f t="shared" si="466"/>
        <v>#DIV/0!</v>
      </c>
      <c r="BV150" s="97" t="e">
        <f t="shared" si="466"/>
        <v>#DIV/0!</v>
      </c>
      <c r="BW150" s="97" t="e">
        <f t="shared" si="466"/>
        <v>#DIV/0!</v>
      </c>
      <c r="BX150" s="97" t="e">
        <f t="shared" si="466"/>
        <v>#DIV/0!</v>
      </c>
      <c r="BY150" s="97" t="e">
        <f t="shared" si="466"/>
        <v>#DIV/0!</v>
      </c>
      <c r="BZ150" s="97" t="e">
        <f t="shared" si="466"/>
        <v>#DIV/0!</v>
      </c>
      <c r="CA150" s="97" t="e">
        <f t="shared" si="466"/>
        <v>#DIV/0!</v>
      </c>
    </row>
    <row r="151" spans="1:79" s="83" customFormat="1">
      <c r="A151" s="8" t="s">
        <v>8</v>
      </c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>
        <v>1</v>
      </c>
      <c r="S151" s="98">
        <v>1</v>
      </c>
      <c r="T151" s="98">
        <v>3</v>
      </c>
      <c r="U151" s="98"/>
      <c r="V151" s="98"/>
      <c r="W151" s="98"/>
      <c r="X151" s="98"/>
      <c r="Y151" s="98"/>
      <c r="Z151" s="98">
        <v>2</v>
      </c>
      <c r="AA151" s="98"/>
      <c r="AB151" s="98"/>
      <c r="AC151" s="98">
        <v>2</v>
      </c>
      <c r="AD151" s="98"/>
      <c r="AE151" s="98">
        <v>1</v>
      </c>
      <c r="AF151" s="98"/>
      <c r="AG151" s="98"/>
      <c r="AH151" s="98">
        <v>1</v>
      </c>
      <c r="AI151" s="98">
        <v>1</v>
      </c>
      <c r="AJ151" s="98"/>
      <c r="AK151" s="98">
        <v>1</v>
      </c>
      <c r="AL151" s="98"/>
      <c r="AM151" s="98"/>
      <c r="AN151" s="98">
        <v>2</v>
      </c>
      <c r="AO151" s="98">
        <v>2</v>
      </c>
      <c r="AP151" s="98"/>
      <c r="AQ151" s="98">
        <v>3</v>
      </c>
      <c r="AR151" s="98"/>
      <c r="AS151" s="98">
        <v>1</v>
      </c>
      <c r="AT151" s="98"/>
      <c r="AU151" s="98"/>
      <c r="AV151" s="98">
        <v>1</v>
      </c>
      <c r="AW151" s="98"/>
      <c r="AX151" s="98"/>
      <c r="AY151" s="98"/>
      <c r="AZ151" s="98"/>
      <c r="BA151" s="98"/>
      <c r="BB151" s="98">
        <v>1</v>
      </c>
      <c r="BC151" s="98">
        <v>2</v>
      </c>
      <c r="BD151" s="98"/>
      <c r="BE151" s="98">
        <v>3</v>
      </c>
      <c r="BF151" s="98">
        <v>1</v>
      </c>
      <c r="BG151" s="98">
        <v>1</v>
      </c>
      <c r="BH151" s="98">
        <v>1</v>
      </c>
      <c r="BI151" s="98"/>
      <c r="BJ151" s="98"/>
      <c r="BK151" s="209"/>
      <c r="BL151" s="209"/>
      <c r="BM151" s="209"/>
      <c r="BN151" s="209"/>
      <c r="BO151" s="209"/>
      <c r="BP151" s="209"/>
      <c r="BQ151" s="209"/>
      <c r="BR151" s="209"/>
      <c r="BS151" s="209"/>
      <c r="BT151" s="209"/>
      <c r="BU151" s="209"/>
      <c r="BV151" s="209"/>
      <c r="BW151" s="209"/>
      <c r="BX151" s="209"/>
      <c r="BY151" s="209"/>
      <c r="BZ151" s="209"/>
      <c r="CA151" s="209"/>
    </row>
    <row r="152" spans="1:79" s="2" customFormat="1">
      <c r="A152" s="8" t="s">
        <v>9</v>
      </c>
      <c r="B152" s="96" t="e">
        <f>B153/(SUM(B153,B151,B149))</f>
        <v>#DIV/0!</v>
      </c>
      <c r="C152" s="96" t="e">
        <f t="shared" ref="C152:BK152" si="467">C153/(SUM(C153,C151,C149))</f>
        <v>#DIV/0!</v>
      </c>
      <c r="D152" s="96" t="e">
        <f t="shared" si="467"/>
        <v>#DIV/0!</v>
      </c>
      <c r="E152" s="96" t="e">
        <f t="shared" si="467"/>
        <v>#DIV/0!</v>
      </c>
      <c r="F152" s="96" t="e">
        <f t="shared" si="467"/>
        <v>#DIV/0!</v>
      </c>
      <c r="G152" s="96" t="e">
        <f t="shared" si="467"/>
        <v>#DIV/0!</v>
      </c>
      <c r="H152" s="96" t="e">
        <f t="shared" si="467"/>
        <v>#DIV/0!</v>
      </c>
      <c r="I152" s="96" t="e">
        <f t="shared" si="467"/>
        <v>#DIV/0!</v>
      </c>
      <c r="J152" s="96" t="e">
        <f t="shared" si="467"/>
        <v>#DIV/0!</v>
      </c>
      <c r="K152" s="96" t="e">
        <f t="shared" si="467"/>
        <v>#DIV/0!</v>
      </c>
      <c r="L152" s="96" t="e">
        <f t="shared" si="467"/>
        <v>#DIV/0!</v>
      </c>
      <c r="M152" s="96" t="e">
        <f t="shared" si="467"/>
        <v>#DIV/0!</v>
      </c>
      <c r="N152" s="96" t="e">
        <f t="shared" si="467"/>
        <v>#DIV/0!</v>
      </c>
      <c r="O152" s="96" t="e">
        <f t="shared" si="467"/>
        <v>#DIV/0!</v>
      </c>
      <c r="P152" s="96">
        <f t="shared" si="467"/>
        <v>1</v>
      </c>
      <c r="Q152" s="96">
        <f t="shared" si="467"/>
        <v>0</v>
      </c>
      <c r="R152" s="96">
        <f t="shared" si="467"/>
        <v>0.625</v>
      </c>
      <c r="S152" s="96">
        <f t="shared" si="467"/>
        <v>0.8</v>
      </c>
      <c r="T152" s="96">
        <f t="shared" si="467"/>
        <v>0.55555555555555558</v>
      </c>
      <c r="U152" s="96">
        <f t="shared" si="467"/>
        <v>1</v>
      </c>
      <c r="V152" s="96" t="e">
        <f t="shared" si="467"/>
        <v>#DIV/0!</v>
      </c>
      <c r="W152" s="96">
        <f t="shared" si="467"/>
        <v>0.83333333333333337</v>
      </c>
      <c r="X152" s="96">
        <f t="shared" si="467"/>
        <v>1</v>
      </c>
      <c r="Y152" s="96">
        <f t="shared" si="467"/>
        <v>1</v>
      </c>
      <c r="Z152" s="96">
        <f t="shared" si="467"/>
        <v>0.66666666666666663</v>
      </c>
      <c r="AA152" s="96">
        <f t="shared" si="467"/>
        <v>0.6</v>
      </c>
      <c r="AB152" s="96">
        <f t="shared" si="467"/>
        <v>0.66666666666666663</v>
      </c>
      <c r="AC152" s="96">
        <f t="shared" si="467"/>
        <v>0.33333333333333331</v>
      </c>
      <c r="AD152" s="96">
        <f t="shared" si="467"/>
        <v>0</v>
      </c>
      <c r="AE152" s="96">
        <f t="shared" si="467"/>
        <v>0</v>
      </c>
      <c r="AF152" s="96">
        <f t="shared" si="467"/>
        <v>0</v>
      </c>
      <c r="AG152" s="96">
        <f t="shared" si="467"/>
        <v>0.5</v>
      </c>
      <c r="AH152" s="96">
        <f t="shared" si="467"/>
        <v>0.5</v>
      </c>
      <c r="AI152" s="96">
        <f t="shared" si="467"/>
        <v>0.4</v>
      </c>
      <c r="AJ152" s="96">
        <f t="shared" si="467"/>
        <v>0.33333333333333331</v>
      </c>
      <c r="AK152" s="96">
        <f t="shared" si="467"/>
        <v>0</v>
      </c>
      <c r="AL152" s="96">
        <f t="shared" si="467"/>
        <v>1</v>
      </c>
      <c r="AM152" s="96">
        <f t="shared" si="467"/>
        <v>0</v>
      </c>
      <c r="AN152" s="96">
        <f t="shared" si="467"/>
        <v>0.4</v>
      </c>
      <c r="AO152" s="96">
        <f t="shared" si="467"/>
        <v>0.4</v>
      </c>
      <c r="AP152" s="96">
        <f t="shared" si="467"/>
        <v>0</v>
      </c>
      <c r="AQ152" s="96">
        <f t="shared" si="467"/>
        <v>0.5714285714285714</v>
      </c>
      <c r="AR152" s="96">
        <f t="shared" si="467"/>
        <v>0.33333333333333331</v>
      </c>
      <c r="AS152" s="96">
        <f t="shared" si="467"/>
        <v>0.25</v>
      </c>
      <c r="AT152" s="96">
        <f t="shared" si="467"/>
        <v>0.66666666666666663</v>
      </c>
      <c r="AU152" s="96" t="e">
        <f t="shared" si="467"/>
        <v>#DIV/0!</v>
      </c>
      <c r="AV152" s="96">
        <f t="shared" si="467"/>
        <v>0.33333333333333331</v>
      </c>
      <c r="AW152" s="96">
        <f t="shared" si="467"/>
        <v>0.5</v>
      </c>
      <c r="AX152" s="96">
        <f t="shared" si="467"/>
        <v>0.66666666666666663</v>
      </c>
      <c r="AY152" s="96">
        <f t="shared" si="467"/>
        <v>1</v>
      </c>
      <c r="AZ152" s="96">
        <f t="shared" si="467"/>
        <v>1</v>
      </c>
      <c r="BA152" s="96">
        <f t="shared" si="467"/>
        <v>1</v>
      </c>
      <c r="BB152" s="96">
        <f t="shared" si="467"/>
        <v>0.6</v>
      </c>
      <c r="BC152" s="96">
        <f t="shared" si="467"/>
        <v>0.44444444444444442</v>
      </c>
      <c r="BD152" s="96">
        <f t="shared" si="467"/>
        <v>1</v>
      </c>
      <c r="BE152" s="96">
        <f t="shared" si="467"/>
        <v>0.25</v>
      </c>
      <c r="BF152" s="96">
        <f t="shared" si="467"/>
        <v>0.66666666666666663</v>
      </c>
      <c r="BG152" s="96">
        <f t="shared" si="467"/>
        <v>0.5</v>
      </c>
      <c r="BH152" s="96">
        <f t="shared" si="467"/>
        <v>0.66666666666666663</v>
      </c>
      <c r="BI152" s="96" t="e">
        <f t="shared" si="467"/>
        <v>#DIV/0!</v>
      </c>
      <c r="BJ152" s="96" t="e">
        <f t="shared" si="467"/>
        <v>#DIV/0!</v>
      </c>
      <c r="BK152" s="97" t="e">
        <f t="shared" si="467"/>
        <v>#DIV/0!</v>
      </c>
      <c r="BL152" s="97" t="e">
        <f t="shared" ref="BL152:CA152" si="468">BL153/(SUM(BL153,BL151,BL149))</f>
        <v>#DIV/0!</v>
      </c>
      <c r="BM152" s="97" t="e">
        <f t="shared" si="468"/>
        <v>#DIV/0!</v>
      </c>
      <c r="BN152" s="97" t="e">
        <f t="shared" si="468"/>
        <v>#DIV/0!</v>
      </c>
      <c r="BO152" s="97" t="e">
        <f t="shared" si="468"/>
        <v>#DIV/0!</v>
      </c>
      <c r="BP152" s="97" t="e">
        <f t="shared" si="468"/>
        <v>#DIV/0!</v>
      </c>
      <c r="BQ152" s="97" t="e">
        <f t="shared" si="468"/>
        <v>#DIV/0!</v>
      </c>
      <c r="BR152" s="97" t="e">
        <f t="shared" si="468"/>
        <v>#DIV/0!</v>
      </c>
      <c r="BS152" s="97" t="e">
        <f t="shared" si="468"/>
        <v>#DIV/0!</v>
      </c>
      <c r="BT152" s="97" t="e">
        <f t="shared" si="468"/>
        <v>#DIV/0!</v>
      </c>
      <c r="BU152" s="97" t="e">
        <f t="shared" si="468"/>
        <v>#DIV/0!</v>
      </c>
      <c r="BV152" s="97" t="e">
        <f t="shared" si="468"/>
        <v>#DIV/0!</v>
      </c>
      <c r="BW152" s="97" t="e">
        <f t="shared" si="468"/>
        <v>#DIV/0!</v>
      </c>
      <c r="BX152" s="97" t="e">
        <f t="shared" si="468"/>
        <v>#DIV/0!</v>
      </c>
      <c r="BY152" s="97" t="e">
        <f t="shared" si="468"/>
        <v>#DIV/0!</v>
      </c>
      <c r="BZ152" s="97" t="e">
        <f t="shared" si="468"/>
        <v>#DIV/0!</v>
      </c>
      <c r="CA152" s="97" t="e">
        <f t="shared" si="468"/>
        <v>#DIV/0!</v>
      </c>
    </row>
    <row r="153" spans="1:79" s="84" customFormat="1" ht="19.5" thickBot="1">
      <c r="A153" s="8" t="s">
        <v>10</v>
      </c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>
        <v>1</v>
      </c>
      <c r="Q153" s="98"/>
      <c r="R153" s="98">
        <v>5</v>
      </c>
      <c r="S153" s="98">
        <v>4</v>
      </c>
      <c r="T153" s="98">
        <v>5</v>
      </c>
      <c r="U153" s="98">
        <v>1</v>
      </c>
      <c r="V153" s="98"/>
      <c r="W153" s="98">
        <v>5</v>
      </c>
      <c r="X153" s="98">
        <v>1</v>
      </c>
      <c r="Y153" s="98">
        <v>2</v>
      </c>
      <c r="Z153" s="98">
        <v>4</v>
      </c>
      <c r="AA153" s="98">
        <v>3</v>
      </c>
      <c r="AB153" s="98">
        <v>2</v>
      </c>
      <c r="AC153" s="98">
        <v>3</v>
      </c>
      <c r="AD153" s="98"/>
      <c r="AE153" s="98"/>
      <c r="AF153" s="98"/>
      <c r="AG153" s="98">
        <v>1</v>
      </c>
      <c r="AH153" s="98">
        <v>1</v>
      </c>
      <c r="AI153" s="98">
        <v>2</v>
      </c>
      <c r="AJ153" s="98">
        <v>1</v>
      </c>
      <c r="AK153" s="98"/>
      <c r="AL153" s="98">
        <v>3</v>
      </c>
      <c r="AM153" s="98"/>
      <c r="AN153" s="98">
        <v>2</v>
      </c>
      <c r="AO153" s="98">
        <v>2</v>
      </c>
      <c r="AP153" s="98"/>
      <c r="AQ153" s="98">
        <v>4</v>
      </c>
      <c r="AR153" s="98">
        <v>1</v>
      </c>
      <c r="AS153" s="98">
        <v>2</v>
      </c>
      <c r="AT153" s="98">
        <v>2</v>
      </c>
      <c r="AU153" s="98"/>
      <c r="AV153" s="98">
        <v>1</v>
      </c>
      <c r="AW153" s="98">
        <v>1</v>
      </c>
      <c r="AX153" s="98">
        <v>2</v>
      </c>
      <c r="AY153" s="98">
        <v>2</v>
      </c>
      <c r="AZ153" s="98">
        <v>1</v>
      </c>
      <c r="BA153" s="98">
        <v>1</v>
      </c>
      <c r="BB153" s="98">
        <v>3</v>
      </c>
      <c r="BC153" s="98">
        <v>4</v>
      </c>
      <c r="BD153" s="98">
        <v>2</v>
      </c>
      <c r="BE153" s="98">
        <v>1</v>
      </c>
      <c r="BF153" s="98">
        <v>2</v>
      </c>
      <c r="BG153" s="98">
        <v>2</v>
      </c>
      <c r="BH153" s="98">
        <v>2</v>
      </c>
      <c r="BI153" s="98"/>
      <c r="BJ153" s="98"/>
      <c r="BK153" s="209"/>
    </row>
    <row r="154" spans="1:79" s="79" customFormat="1">
      <c r="A154" s="54" t="s">
        <v>126</v>
      </c>
      <c r="B154" s="131"/>
      <c r="C154" s="131"/>
      <c r="D154" s="131"/>
      <c r="E154" s="131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>
        <v>87</v>
      </c>
      <c r="Q154" s="160"/>
      <c r="R154" s="160">
        <v>89</v>
      </c>
      <c r="S154" s="160">
        <v>102</v>
      </c>
      <c r="T154" s="160">
        <v>91</v>
      </c>
      <c r="U154" s="160">
        <v>83</v>
      </c>
      <c r="V154" s="160"/>
      <c r="W154" s="160">
        <v>90</v>
      </c>
      <c r="X154" s="160">
        <v>122</v>
      </c>
      <c r="Y154" s="160">
        <v>113</v>
      </c>
      <c r="Z154" s="160">
        <v>89</v>
      </c>
      <c r="AA154" s="160">
        <v>90.3</v>
      </c>
      <c r="AB154" s="160">
        <v>90.5</v>
      </c>
      <c r="AC154" s="160">
        <v>88</v>
      </c>
      <c r="AD154" s="160">
        <v>0</v>
      </c>
      <c r="AE154" s="160"/>
      <c r="AF154" s="160"/>
      <c r="AG154" s="160">
        <v>94</v>
      </c>
      <c r="AH154" s="160">
        <v>85</v>
      </c>
      <c r="AI154" s="160">
        <v>87</v>
      </c>
      <c r="AJ154" s="160">
        <v>87</v>
      </c>
      <c r="AK154" s="160"/>
      <c r="AL154" s="160">
        <v>89</v>
      </c>
      <c r="AM154" s="160"/>
      <c r="AN154" s="160">
        <v>84</v>
      </c>
      <c r="AO154" s="160">
        <v>84</v>
      </c>
      <c r="AP154" s="160"/>
      <c r="AQ154" s="160">
        <v>94</v>
      </c>
      <c r="AR154" s="160">
        <v>93</v>
      </c>
      <c r="AS154" s="160">
        <v>101</v>
      </c>
      <c r="AT154" s="160">
        <v>84</v>
      </c>
      <c r="AU154" s="160"/>
      <c r="AV154" s="160">
        <v>89</v>
      </c>
      <c r="AW154" s="160">
        <v>97</v>
      </c>
      <c r="AX154" s="160">
        <v>96</v>
      </c>
      <c r="AY154" s="160">
        <v>90</v>
      </c>
      <c r="AZ154" s="160">
        <v>95</v>
      </c>
      <c r="BA154" s="160">
        <v>88</v>
      </c>
      <c r="BB154" s="160">
        <v>97</v>
      </c>
      <c r="BC154" s="160">
        <v>93</v>
      </c>
      <c r="BD154" s="160">
        <v>88</v>
      </c>
      <c r="BE154" s="160">
        <v>96</v>
      </c>
      <c r="BF154" s="160">
        <v>80</v>
      </c>
      <c r="BG154" s="160">
        <v>91</v>
      </c>
      <c r="BH154" s="160">
        <v>89</v>
      </c>
      <c r="BI154" s="160"/>
      <c r="BJ154" s="160"/>
      <c r="BK154" s="210"/>
    </row>
    <row r="155" spans="1:79" s="79" customFormat="1">
      <c r="A155" s="54" t="s">
        <v>127</v>
      </c>
      <c r="B155" s="131"/>
      <c r="C155" s="131"/>
      <c r="D155" s="131"/>
      <c r="E155" s="131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>
        <v>60</v>
      </c>
      <c r="R155" s="160">
        <v>68</v>
      </c>
      <c r="S155" s="160"/>
      <c r="T155" s="160"/>
      <c r="U155" s="160"/>
      <c r="V155" s="160"/>
      <c r="W155" s="160">
        <v>45</v>
      </c>
      <c r="X155" s="160"/>
      <c r="Y155" s="160"/>
      <c r="Z155" s="160"/>
      <c r="AA155" s="160">
        <v>55</v>
      </c>
      <c r="AB155" s="160">
        <v>67</v>
      </c>
      <c r="AC155" s="160">
        <v>61</v>
      </c>
      <c r="AD155" s="160">
        <v>69</v>
      </c>
      <c r="AE155" s="160">
        <v>64</v>
      </c>
      <c r="AF155" s="160">
        <v>64</v>
      </c>
      <c r="AG155" s="160">
        <v>69</v>
      </c>
      <c r="AH155" s="160"/>
      <c r="AI155" s="160">
        <v>71</v>
      </c>
      <c r="AJ155" s="160">
        <v>68</v>
      </c>
      <c r="AK155" s="160"/>
      <c r="AL155" s="160"/>
      <c r="AM155" s="160">
        <v>61</v>
      </c>
      <c r="AN155" s="160">
        <v>70</v>
      </c>
      <c r="AO155" s="160">
        <v>70</v>
      </c>
      <c r="AP155" s="160">
        <v>60</v>
      </c>
      <c r="AQ155" s="160"/>
      <c r="AR155" s="160">
        <v>72</v>
      </c>
      <c r="AS155" s="160">
        <v>67</v>
      </c>
      <c r="AT155" s="160">
        <v>56</v>
      </c>
      <c r="AU155" s="160"/>
      <c r="AV155" s="160">
        <v>71</v>
      </c>
      <c r="AW155" s="160">
        <v>69</v>
      </c>
      <c r="AX155" s="160">
        <v>69</v>
      </c>
      <c r="AY155" s="160"/>
      <c r="AZ155" s="160"/>
      <c r="BA155" s="160"/>
      <c r="BB155" s="160">
        <v>66</v>
      </c>
      <c r="BC155" s="160">
        <v>62</v>
      </c>
      <c r="BD155" s="160"/>
      <c r="BE155" s="160"/>
      <c r="BF155" s="160"/>
      <c r="BG155" s="160">
        <v>42</v>
      </c>
      <c r="BH155" s="160"/>
      <c r="BI155" s="160"/>
      <c r="BJ155" s="160"/>
      <c r="BK155" s="210"/>
    </row>
    <row r="156" spans="1:79" s="165" customFormat="1" ht="19.5" thickBot="1">
      <c r="A156" s="54" t="s">
        <v>101</v>
      </c>
      <c r="B156" s="56">
        <v>74</v>
      </c>
      <c r="C156" s="56">
        <v>74</v>
      </c>
      <c r="D156" s="56">
        <v>74</v>
      </c>
      <c r="E156" s="56">
        <v>74</v>
      </c>
      <c r="F156" s="56">
        <v>74</v>
      </c>
      <c r="G156" s="56">
        <v>74</v>
      </c>
      <c r="H156" s="56">
        <v>74</v>
      </c>
      <c r="I156" s="56">
        <v>74</v>
      </c>
      <c r="J156" s="56">
        <v>74</v>
      </c>
      <c r="K156" s="56">
        <v>74</v>
      </c>
      <c r="L156" s="56">
        <v>74</v>
      </c>
      <c r="M156" s="56">
        <v>74</v>
      </c>
      <c r="N156" s="56">
        <v>74</v>
      </c>
      <c r="O156" s="56">
        <v>74</v>
      </c>
      <c r="P156" s="56">
        <v>74</v>
      </c>
      <c r="Q156" s="56">
        <v>74</v>
      </c>
      <c r="R156" s="56">
        <v>74</v>
      </c>
      <c r="S156" s="56">
        <v>74</v>
      </c>
      <c r="T156" s="56">
        <v>74</v>
      </c>
      <c r="U156" s="56">
        <v>74</v>
      </c>
      <c r="V156" s="56">
        <v>74</v>
      </c>
      <c r="W156" s="56">
        <v>74</v>
      </c>
      <c r="X156" s="56">
        <v>74</v>
      </c>
      <c r="Y156" s="56">
        <v>74</v>
      </c>
      <c r="Z156" s="56">
        <v>74</v>
      </c>
      <c r="AA156" s="56">
        <v>74</v>
      </c>
      <c r="AB156" s="56">
        <v>74</v>
      </c>
      <c r="AC156" s="56">
        <v>74</v>
      </c>
      <c r="AD156" s="56">
        <v>74</v>
      </c>
      <c r="AE156" s="56">
        <v>74</v>
      </c>
      <c r="AF156" s="56">
        <v>74</v>
      </c>
      <c r="AG156" s="56">
        <v>74</v>
      </c>
      <c r="AH156" s="56">
        <v>74</v>
      </c>
      <c r="AI156" s="56">
        <v>74</v>
      </c>
      <c r="AJ156" s="56">
        <v>74</v>
      </c>
      <c r="AK156" s="56">
        <v>74</v>
      </c>
      <c r="AL156" s="56">
        <v>74</v>
      </c>
      <c r="AM156" s="56">
        <v>74</v>
      </c>
      <c r="AN156" s="56">
        <v>74</v>
      </c>
      <c r="AO156" s="56">
        <v>74</v>
      </c>
      <c r="AP156" s="56">
        <v>74</v>
      </c>
      <c r="AQ156" s="56">
        <v>74</v>
      </c>
      <c r="AR156" s="56">
        <v>74</v>
      </c>
      <c r="AS156" s="56">
        <v>74</v>
      </c>
      <c r="AT156" s="56">
        <v>74</v>
      </c>
      <c r="AU156" s="56">
        <v>74</v>
      </c>
      <c r="AV156" s="56">
        <v>74</v>
      </c>
      <c r="AW156" s="56">
        <v>74</v>
      </c>
      <c r="AX156" s="56">
        <v>74</v>
      </c>
      <c r="AY156" s="56">
        <v>74</v>
      </c>
      <c r="AZ156" s="56">
        <v>74</v>
      </c>
      <c r="BA156" s="56">
        <v>74</v>
      </c>
      <c r="BB156" s="56">
        <v>74</v>
      </c>
      <c r="BC156" s="56">
        <v>74</v>
      </c>
      <c r="BD156" s="56">
        <v>74</v>
      </c>
      <c r="BE156" s="56">
        <v>74</v>
      </c>
      <c r="BF156" s="56">
        <v>74</v>
      </c>
      <c r="BG156" s="56">
        <v>74</v>
      </c>
      <c r="BH156" s="56">
        <v>74</v>
      </c>
      <c r="BI156" s="56">
        <v>74</v>
      </c>
      <c r="BJ156" s="56">
        <v>74</v>
      </c>
      <c r="BK156" s="56">
        <v>74</v>
      </c>
      <c r="BL156" s="56">
        <v>74</v>
      </c>
      <c r="BM156" s="56">
        <v>74</v>
      </c>
      <c r="BN156" s="56">
        <v>74</v>
      </c>
      <c r="BO156" s="56">
        <v>74</v>
      </c>
      <c r="BP156" s="56">
        <v>74</v>
      </c>
      <c r="BQ156" s="56">
        <v>74</v>
      </c>
      <c r="BR156" s="56">
        <v>74</v>
      </c>
      <c r="BS156" s="56">
        <v>74</v>
      </c>
      <c r="BT156" s="56">
        <v>74</v>
      </c>
      <c r="BU156" s="56">
        <v>74</v>
      </c>
      <c r="BV156" s="56">
        <v>74</v>
      </c>
      <c r="BW156" s="56">
        <v>74</v>
      </c>
      <c r="BX156" s="56">
        <v>74</v>
      </c>
      <c r="BY156" s="56">
        <v>74</v>
      </c>
      <c r="BZ156" s="56">
        <v>74</v>
      </c>
      <c r="CA156" s="56">
        <v>74</v>
      </c>
    </row>
    <row r="157" spans="1:79" s="166" customFormat="1" ht="19.5" thickBot="1">
      <c r="A157" s="28" t="s">
        <v>100</v>
      </c>
      <c r="B157" s="164">
        <v>81</v>
      </c>
      <c r="C157" s="164">
        <v>81</v>
      </c>
      <c r="D157" s="164">
        <v>81</v>
      </c>
      <c r="E157" s="164">
        <v>81</v>
      </c>
      <c r="F157" s="164">
        <v>81</v>
      </c>
      <c r="G157" s="164">
        <v>81</v>
      </c>
      <c r="H157" s="164">
        <v>81</v>
      </c>
      <c r="I157" s="164">
        <v>81</v>
      </c>
      <c r="J157" s="164">
        <v>81</v>
      </c>
      <c r="K157" s="164">
        <v>81</v>
      </c>
      <c r="L157" s="164">
        <v>81</v>
      </c>
      <c r="M157" s="164">
        <v>81</v>
      </c>
      <c r="N157" s="164">
        <v>81</v>
      </c>
      <c r="O157" s="164">
        <v>81</v>
      </c>
      <c r="P157" s="164">
        <v>81</v>
      </c>
      <c r="Q157" s="164">
        <v>81</v>
      </c>
      <c r="R157" s="164">
        <v>81</v>
      </c>
      <c r="S157" s="164">
        <v>81</v>
      </c>
      <c r="T157" s="164">
        <v>81</v>
      </c>
      <c r="U157" s="164">
        <v>81</v>
      </c>
      <c r="V157" s="164">
        <v>81</v>
      </c>
      <c r="W157" s="164">
        <v>81</v>
      </c>
      <c r="X157" s="164">
        <v>81</v>
      </c>
      <c r="Y157" s="164">
        <v>81</v>
      </c>
      <c r="Z157" s="164">
        <v>81</v>
      </c>
      <c r="AA157" s="164">
        <v>81</v>
      </c>
      <c r="AB157" s="164">
        <v>81</v>
      </c>
      <c r="AC157" s="164">
        <v>81</v>
      </c>
      <c r="AD157" s="164">
        <v>81</v>
      </c>
      <c r="AE157" s="164">
        <v>81</v>
      </c>
      <c r="AF157" s="164">
        <v>81</v>
      </c>
      <c r="AG157" s="164">
        <v>81</v>
      </c>
      <c r="AH157" s="164">
        <v>81</v>
      </c>
      <c r="AI157" s="164">
        <v>81</v>
      </c>
      <c r="AJ157" s="164">
        <v>81</v>
      </c>
      <c r="AK157" s="164">
        <v>81</v>
      </c>
      <c r="AL157" s="164">
        <v>81</v>
      </c>
      <c r="AM157" s="164">
        <v>81</v>
      </c>
      <c r="AN157" s="164">
        <v>81</v>
      </c>
      <c r="AO157" s="164">
        <v>81</v>
      </c>
      <c r="AP157" s="164">
        <v>81</v>
      </c>
      <c r="AQ157" s="164">
        <v>81</v>
      </c>
      <c r="AR157" s="164">
        <v>81</v>
      </c>
      <c r="AS157" s="164">
        <v>81</v>
      </c>
      <c r="AT157" s="164">
        <v>81</v>
      </c>
      <c r="AU157" s="164">
        <v>81</v>
      </c>
      <c r="AV157" s="164">
        <v>81</v>
      </c>
      <c r="AW157" s="164">
        <v>81</v>
      </c>
      <c r="AX157" s="164">
        <v>81</v>
      </c>
      <c r="AY157" s="164">
        <v>81</v>
      </c>
      <c r="AZ157" s="164">
        <v>81</v>
      </c>
      <c r="BA157" s="164">
        <v>81</v>
      </c>
      <c r="BB157" s="164">
        <v>81</v>
      </c>
      <c r="BC157" s="164">
        <v>81</v>
      </c>
      <c r="BD157" s="164">
        <v>81</v>
      </c>
      <c r="BE157" s="164">
        <v>81</v>
      </c>
      <c r="BF157" s="164">
        <v>81</v>
      </c>
      <c r="BG157" s="164">
        <v>81</v>
      </c>
      <c r="BH157" s="164">
        <v>81</v>
      </c>
      <c r="BI157" s="164">
        <v>81</v>
      </c>
      <c r="BJ157" s="164">
        <v>81</v>
      </c>
      <c r="BK157" s="164">
        <v>81</v>
      </c>
      <c r="BL157" s="164">
        <v>81</v>
      </c>
      <c r="BM157" s="164">
        <v>81</v>
      </c>
      <c r="BN157" s="164">
        <v>81</v>
      </c>
      <c r="BO157" s="164">
        <v>81</v>
      </c>
      <c r="BP157" s="164">
        <v>81</v>
      </c>
      <c r="BQ157" s="164">
        <v>81</v>
      </c>
      <c r="BR157" s="164">
        <v>81</v>
      </c>
      <c r="BS157" s="164">
        <v>81</v>
      </c>
      <c r="BT157" s="164">
        <v>81</v>
      </c>
      <c r="BU157" s="164">
        <v>81</v>
      </c>
      <c r="BV157" s="164">
        <v>81</v>
      </c>
      <c r="BW157" s="164">
        <v>81</v>
      </c>
      <c r="BX157" s="164">
        <v>81</v>
      </c>
      <c r="BY157" s="164">
        <v>81</v>
      </c>
      <c r="BZ157" s="164">
        <v>81</v>
      </c>
      <c r="CA157" s="164">
        <v>81</v>
      </c>
    </row>
    <row r="158" spans="1:79" ht="19.5" thickBot="1">
      <c r="A158" s="5"/>
      <c r="B158" s="3"/>
      <c r="C158" s="3"/>
      <c r="D158" s="3"/>
      <c r="E158" s="3"/>
      <c r="F158" s="103"/>
      <c r="G158" s="103"/>
      <c r="H158" s="103"/>
      <c r="I158" s="103"/>
      <c r="J158" s="3"/>
      <c r="K158" s="3"/>
      <c r="L158" s="3"/>
      <c r="M158" s="3"/>
      <c r="N158" s="3"/>
      <c r="O158" s="103"/>
      <c r="P158" s="103"/>
      <c r="Q158" s="103"/>
      <c r="R158" s="103"/>
      <c r="S158" s="103"/>
      <c r="T158" s="103"/>
      <c r="U158" s="103"/>
      <c r="V158" s="103"/>
      <c r="W158" s="3"/>
      <c r="X158" s="3"/>
      <c r="Y158" s="3"/>
      <c r="Z158" s="3"/>
      <c r="AA158" s="3"/>
      <c r="AB158" s="103"/>
      <c r="AC158" s="103"/>
      <c r="AD158" s="3"/>
      <c r="AE158" s="3"/>
      <c r="AF158" s="3"/>
      <c r="AG158" s="103"/>
      <c r="AH158" s="3"/>
      <c r="AI158" s="10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</row>
    <row r="159" spans="1:79" s="78" customFormat="1" ht="19.5" thickBot="1">
      <c r="A159" s="36" t="s">
        <v>36</v>
      </c>
      <c r="B159" s="90"/>
      <c r="C159" s="90"/>
      <c r="D159" s="90"/>
      <c r="E159" s="127"/>
      <c r="F159" s="127"/>
      <c r="G159" s="127"/>
      <c r="H159" s="127"/>
      <c r="I159" s="127"/>
      <c r="J159" s="128"/>
      <c r="K159" s="128"/>
      <c r="L159" s="127"/>
      <c r="M159" s="127"/>
      <c r="N159" s="127"/>
      <c r="O159" s="127"/>
      <c r="P159" s="127">
        <v>94.4</v>
      </c>
      <c r="Q159" s="127">
        <v>83.3</v>
      </c>
      <c r="R159" s="127">
        <v>92.3</v>
      </c>
      <c r="S159" s="127">
        <v>91.3</v>
      </c>
      <c r="T159" s="127">
        <v>100</v>
      </c>
      <c r="U159" s="127">
        <v>76.400000000000006</v>
      </c>
      <c r="V159" s="127">
        <v>81.3</v>
      </c>
      <c r="W159" s="127">
        <v>90</v>
      </c>
      <c r="X159" s="127">
        <v>90</v>
      </c>
      <c r="Y159" s="127">
        <v>95.5</v>
      </c>
      <c r="Z159" s="127">
        <v>95</v>
      </c>
      <c r="AA159" s="127">
        <v>100</v>
      </c>
      <c r="AB159" s="127">
        <v>100</v>
      </c>
      <c r="AC159" s="127">
        <v>95.2</v>
      </c>
      <c r="AD159" s="127">
        <v>95.6</v>
      </c>
      <c r="AE159" s="127">
        <v>85</v>
      </c>
      <c r="AF159" s="127">
        <v>95</v>
      </c>
      <c r="AG159" s="127">
        <v>90</v>
      </c>
      <c r="AH159" s="127">
        <v>95</v>
      </c>
      <c r="AI159" s="127">
        <v>95</v>
      </c>
      <c r="AJ159" s="127">
        <v>85</v>
      </c>
      <c r="AK159" s="127">
        <v>94.7</v>
      </c>
      <c r="AL159" s="201">
        <v>84.2</v>
      </c>
      <c r="AM159" s="127">
        <v>94.7</v>
      </c>
      <c r="AN159" s="127">
        <v>90</v>
      </c>
      <c r="AO159" s="127">
        <v>90</v>
      </c>
      <c r="AP159" s="127">
        <v>88.8</v>
      </c>
      <c r="AQ159" s="127">
        <v>95.5</v>
      </c>
      <c r="AR159" s="127">
        <v>95</v>
      </c>
      <c r="AS159" s="127">
        <v>85</v>
      </c>
      <c r="AT159" s="127">
        <v>90</v>
      </c>
      <c r="AU159" s="127">
        <v>90</v>
      </c>
      <c r="AV159" s="127">
        <v>85</v>
      </c>
      <c r="AW159" s="127">
        <v>95</v>
      </c>
      <c r="AX159" s="127">
        <v>90</v>
      </c>
      <c r="AY159" s="127">
        <v>60</v>
      </c>
      <c r="AZ159" s="127">
        <v>80</v>
      </c>
      <c r="BA159" s="127">
        <v>100</v>
      </c>
      <c r="BB159" s="127">
        <v>80</v>
      </c>
      <c r="BC159" s="127">
        <v>95</v>
      </c>
      <c r="BD159" s="127">
        <v>85</v>
      </c>
      <c r="BE159" s="127">
        <v>95</v>
      </c>
      <c r="BF159" s="127">
        <v>75</v>
      </c>
      <c r="BG159" s="127">
        <v>95</v>
      </c>
      <c r="BH159" s="127">
        <v>95.5</v>
      </c>
      <c r="BI159" s="127">
        <v>77.3</v>
      </c>
      <c r="BJ159" s="127"/>
      <c r="BK159" s="211"/>
    </row>
    <row r="160" spans="1:79" s="78" customFormat="1" ht="19.5" thickBot="1">
      <c r="A160" s="8" t="s">
        <v>37</v>
      </c>
      <c r="B160" s="91"/>
      <c r="C160" s="91"/>
      <c r="D160" s="91"/>
      <c r="E160" s="129"/>
      <c r="F160" s="129"/>
      <c r="G160" s="129"/>
      <c r="H160" s="129"/>
      <c r="I160" s="129"/>
      <c r="J160" s="112"/>
      <c r="K160" s="112"/>
      <c r="L160" s="129"/>
      <c r="M160" s="129"/>
      <c r="N160" s="129"/>
      <c r="O160" s="129"/>
      <c r="P160" s="129">
        <v>100</v>
      </c>
      <c r="Q160" s="129">
        <v>100</v>
      </c>
      <c r="R160" s="129">
        <v>90</v>
      </c>
      <c r="S160" s="129">
        <v>83.3</v>
      </c>
      <c r="T160" s="129">
        <v>100</v>
      </c>
      <c r="U160" s="129">
        <v>100</v>
      </c>
      <c r="V160" s="129"/>
      <c r="W160" s="129">
        <v>100</v>
      </c>
      <c r="X160" s="129">
        <v>50</v>
      </c>
      <c r="Y160" s="129">
        <v>75</v>
      </c>
      <c r="Z160" s="129">
        <v>100</v>
      </c>
      <c r="AA160" s="129">
        <v>100</v>
      </c>
      <c r="AB160" s="129">
        <v>100</v>
      </c>
      <c r="AC160" s="129">
        <v>90</v>
      </c>
      <c r="AD160" s="129">
        <v>66.599999999999994</v>
      </c>
      <c r="AE160" s="129">
        <v>66.599999999999994</v>
      </c>
      <c r="AF160" s="129">
        <v>85.5</v>
      </c>
      <c r="AG160" s="129">
        <v>75</v>
      </c>
      <c r="AH160" s="129">
        <v>100</v>
      </c>
      <c r="AI160" s="129">
        <v>100</v>
      </c>
      <c r="AJ160" s="129">
        <v>100</v>
      </c>
      <c r="AK160" s="129">
        <v>100</v>
      </c>
      <c r="AL160" s="71">
        <v>75</v>
      </c>
      <c r="AM160" s="129">
        <v>100</v>
      </c>
      <c r="AN160" s="129">
        <v>60</v>
      </c>
      <c r="AO160" s="129">
        <v>83.3</v>
      </c>
      <c r="AP160" s="129">
        <v>66.3</v>
      </c>
      <c r="AQ160" s="129">
        <v>100</v>
      </c>
      <c r="AR160" s="129">
        <v>100</v>
      </c>
      <c r="AS160" s="129">
        <v>100</v>
      </c>
      <c r="AT160" s="129">
        <v>100</v>
      </c>
      <c r="AU160" s="129"/>
      <c r="AV160" s="129">
        <v>100</v>
      </c>
      <c r="AW160" s="129">
        <v>100</v>
      </c>
      <c r="AX160" s="129">
        <v>100</v>
      </c>
      <c r="AY160" s="129">
        <v>40</v>
      </c>
      <c r="AZ160" s="129">
        <v>100</v>
      </c>
      <c r="BA160" s="129">
        <v>100</v>
      </c>
      <c r="BB160" s="129">
        <v>83.3</v>
      </c>
      <c r="BC160" s="129">
        <v>100</v>
      </c>
      <c r="BD160" s="129">
        <v>80</v>
      </c>
      <c r="BE160" s="129">
        <v>100</v>
      </c>
      <c r="BF160" s="129">
        <v>100</v>
      </c>
      <c r="BG160" s="129">
        <v>100</v>
      </c>
      <c r="BH160" s="129">
        <v>100</v>
      </c>
      <c r="BI160" s="129">
        <v>66.7</v>
      </c>
      <c r="BJ160" s="129"/>
      <c r="BK160" s="212"/>
    </row>
    <row r="161" spans="1:79" s="78" customFormat="1" ht="19.5" thickBot="1">
      <c r="A161" s="8" t="s">
        <v>38</v>
      </c>
      <c r="B161" s="91"/>
      <c r="C161" s="91"/>
      <c r="D161" s="91"/>
      <c r="E161" s="129"/>
      <c r="F161" s="129"/>
      <c r="G161" s="129"/>
      <c r="H161" s="129"/>
      <c r="I161" s="129"/>
      <c r="J161" s="112"/>
      <c r="K161" s="112"/>
      <c r="L161" s="129"/>
      <c r="M161" s="129"/>
      <c r="N161" s="129"/>
      <c r="O161" s="129"/>
      <c r="P161" s="129">
        <v>85.7</v>
      </c>
      <c r="Q161" s="129">
        <v>66.7</v>
      </c>
      <c r="R161" s="129">
        <v>100</v>
      </c>
      <c r="S161" s="129">
        <v>80</v>
      </c>
      <c r="T161" s="129">
        <v>100</v>
      </c>
      <c r="U161" s="129">
        <v>100</v>
      </c>
      <c r="V161" s="129">
        <v>100</v>
      </c>
      <c r="W161" s="129">
        <v>100</v>
      </c>
      <c r="X161" s="129">
        <v>100</v>
      </c>
      <c r="Y161" s="129">
        <v>100</v>
      </c>
      <c r="Z161" s="129">
        <v>100</v>
      </c>
      <c r="AA161" s="129">
        <v>100</v>
      </c>
      <c r="AB161" s="129">
        <v>100</v>
      </c>
      <c r="AC161" s="129">
        <v>100</v>
      </c>
      <c r="AD161" s="129">
        <v>100</v>
      </c>
      <c r="AE161" s="129">
        <v>66.599999999999994</v>
      </c>
      <c r="AF161" s="129">
        <v>100</v>
      </c>
      <c r="AG161" s="129">
        <v>100</v>
      </c>
      <c r="AH161" s="129">
        <v>100</v>
      </c>
      <c r="AI161" s="129">
        <v>100</v>
      </c>
      <c r="AJ161" s="129">
        <v>100</v>
      </c>
      <c r="AK161" s="129"/>
      <c r="AL161" s="71">
        <v>100</v>
      </c>
      <c r="AM161" s="129">
        <v>100</v>
      </c>
      <c r="AN161" s="129">
        <v>100</v>
      </c>
      <c r="AO161" s="129">
        <v>100</v>
      </c>
      <c r="AP161" s="129">
        <v>100</v>
      </c>
      <c r="AQ161" s="129">
        <v>100</v>
      </c>
      <c r="AR161" s="129">
        <v>83.3</v>
      </c>
      <c r="AS161" s="129">
        <v>100</v>
      </c>
      <c r="AT161" s="129">
        <v>100</v>
      </c>
      <c r="AU161" s="129">
        <v>100</v>
      </c>
      <c r="AV161" s="129">
        <v>100</v>
      </c>
      <c r="AW161" s="129">
        <v>100</v>
      </c>
      <c r="AX161" s="129">
        <v>88</v>
      </c>
      <c r="AY161" s="129">
        <v>50</v>
      </c>
      <c r="AZ161" s="129">
        <v>100</v>
      </c>
      <c r="BA161" s="129">
        <v>100</v>
      </c>
      <c r="BB161" s="129">
        <v>66.7</v>
      </c>
      <c r="BC161" s="129">
        <v>100</v>
      </c>
      <c r="BD161" s="129">
        <v>100</v>
      </c>
      <c r="BE161" s="129">
        <v>100</v>
      </c>
      <c r="BF161" s="129">
        <v>100</v>
      </c>
      <c r="BG161" s="129">
        <v>100</v>
      </c>
      <c r="BH161" s="129">
        <v>100</v>
      </c>
      <c r="BI161" s="129">
        <v>100</v>
      </c>
      <c r="BJ161" s="129"/>
      <c r="BK161" s="212"/>
    </row>
    <row r="162" spans="1:79" s="78" customFormat="1" ht="19.5" thickBot="1">
      <c r="A162" s="8" t="s">
        <v>39</v>
      </c>
      <c r="B162" s="91"/>
      <c r="C162" s="91"/>
      <c r="D162" s="91"/>
      <c r="E162" s="129"/>
      <c r="F162" s="129"/>
      <c r="G162" s="129"/>
      <c r="H162" s="129"/>
      <c r="I162" s="129"/>
      <c r="J162" s="112"/>
      <c r="K162" s="112"/>
      <c r="L162" s="129"/>
      <c r="M162" s="129"/>
      <c r="N162" s="129"/>
      <c r="O162" s="129"/>
      <c r="P162" s="129">
        <v>100</v>
      </c>
      <c r="Q162" s="129">
        <v>76.900000000000006</v>
      </c>
      <c r="R162" s="129">
        <v>92.3</v>
      </c>
      <c r="S162" s="129">
        <v>100</v>
      </c>
      <c r="T162" s="129">
        <v>100</v>
      </c>
      <c r="U162" s="129">
        <v>80</v>
      </c>
      <c r="V162" s="129">
        <v>75</v>
      </c>
      <c r="W162" s="129">
        <v>81.8</v>
      </c>
      <c r="X162" s="129">
        <v>94.1</v>
      </c>
      <c r="Y162" s="129">
        <v>100</v>
      </c>
      <c r="Z162" s="129">
        <v>91.6</v>
      </c>
      <c r="AA162" s="129">
        <v>100</v>
      </c>
      <c r="AB162" s="129">
        <v>100</v>
      </c>
      <c r="AC162" s="129">
        <v>100</v>
      </c>
      <c r="AD162" s="129">
        <v>100</v>
      </c>
      <c r="AE162" s="129">
        <v>92.8</v>
      </c>
      <c r="AF162" s="129">
        <v>100</v>
      </c>
      <c r="AG162" s="129">
        <v>92.9</v>
      </c>
      <c r="AH162" s="129">
        <v>93</v>
      </c>
      <c r="AI162" s="129">
        <v>92.3</v>
      </c>
      <c r="AJ162" s="129">
        <v>80</v>
      </c>
      <c r="AK162" s="129">
        <v>94.4</v>
      </c>
      <c r="AL162" s="71">
        <v>92</v>
      </c>
      <c r="AM162" s="129">
        <v>91</v>
      </c>
      <c r="AN162" s="129">
        <v>100</v>
      </c>
      <c r="AO162" s="129">
        <v>100</v>
      </c>
      <c r="AP162" s="129">
        <v>91.6</v>
      </c>
      <c r="AQ162" s="129">
        <v>91.6</v>
      </c>
      <c r="AR162" s="129">
        <v>100</v>
      </c>
      <c r="AS162" s="129">
        <v>81.8</v>
      </c>
      <c r="AT162" s="129">
        <v>80</v>
      </c>
      <c r="AU162" s="129">
        <v>92.8</v>
      </c>
      <c r="AV162" s="129">
        <v>75</v>
      </c>
      <c r="AW162" s="129">
        <v>93.7</v>
      </c>
      <c r="AX162" s="129">
        <v>87</v>
      </c>
      <c r="AY162" s="129">
        <v>69.2</v>
      </c>
      <c r="AZ162" s="129">
        <v>75</v>
      </c>
      <c r="BA162" s="129">
        <v>100</v>
      </c>
      <c r="BB162" s="129">
        <v>81</v>
      </c>
      <c r="BC162" s="129">
        <v>88.8</v>
      </c>
      <c r="BD162" s="129">
        <v>77</v>
      </c>
      <c r="BE162" s="129">
        <v>91.6</v>
      </c>
      <c r="BF162" s="129">
        <v>71.400000000000006</v>
      </c>
      <c r="BG162" s="129">
        <v>92.3</v>
      </c>
      <c r="BH162" s="129">
        <v>92.8</v>
      </c>
      <c r="BI162" s="129">
        <v>73.3</v>
      </c>
      <c r="BJ162" s="129"/>
      <c r="BK162" s="212"/>
    </row>
    <row r="163" spans="1:79" s="1" customFormat="1" ht="19.5" thickBot="1">
      <c r="A163" s="23" t="s">
        <v>19</v>
      </c>
      <c r="B163" s="24">
        <v>90</v>
      </c>
      <c r="C163" s="24">
        <v>90</v>
      </c>
      <c r="D163" s="24">
        <v>90</v>
      </c>
      <c r="E163" s="24">
        <v>90</v>
      </c>
      <c r="F163" s="24">
        <v>90</v>
      </c>
      <c r="G163" s="24">
        <v>90</v>
      </c>
      <c r="H163" s="24">
        <v>90</v>
      </c>
      <c r="I163" s="24">
        <v>90</v>
      </c>
      <c r="J163" s="24">
        <v>90</v>
      </c>
      <c r="K163" s="24">
        <v>90</v>
      </c>
      <c r="L163" s="24">
        <v>90</v>
      </c>
      <c r="M163" s="24">
        <v>90</v>
      </c>
      <c r="N163" s="24">
        <v>90</v>
      </c>
      <c r="O163" s="24">
        <v>90</v>
      </c>
      <c r="P163" s="24">
        <v>90</v>
      </c>
      <c r="Q163" s="24">
        <v>90</v>
      </c>
      <c r="R163" s="24">
        <v>90</v>
      </c>
      <c r="S163" s="24">
        <v>90</v>
      </c>
      <c r="T163" s="24">
        <v>90</v>
      </c>
      <c r="U163" s="24">
        <v>90</v>
      </c>
      <c r="V163" s="24">
        <v>90</v>
      </c>
      <c r="W163" s="24">
        <v>90</v>
      </c>
      <c r="X163" s="24">
        <v>90</v>
      </c>
      <c r="Y163" s="24">
        <v>90</v>
      </c>
      <c r="Z163" s="24">
        <v>90</v>
      </c>
      <c r="AA163" s="24">
        <v>90</v>
      </c>
      <c r="AB163" s="24">
        <v>90</v>
      </c>
      <c r="AC163" s="24">
        <v>90</v>
      </c>
      <c r="AD163" s="24">
        <v>90</v>
      </c>
      <c r="AE163" s="24">
        <v>90</v>
      </c>
      <c r="AF163" s="24">
        <v>90</v>
      </c>
      <c r="AG163" s="24">
        <v>90</v>
      </c>
      <c r="AH163" s="24">
        <v>90</v>
      </c>
      <c r="AI163" s="24">
        <v>90</v>
      </c>
      <c r="AJ163" s="24">
        <v>90</v>
      </c>
      <c r="AK163" s="24">
        <v>90</v>
      </c>
      <c r="AL163" s="24">
        <v>90</v>
      </c>
      <c r="AM163" s="24">
        <v>90</v>
      </c>
      <c r="AN163" s="24">
        <v>90</v>
      </c>
      <c r="AO163" s="24">
        <v>90</v>
      </c>
      <c r="AP163" s="24">
        <v>90</v>
      </c>
      <c r="AQ163" s="24">
        <v>90</v>
      </c>
      <c r="AR163" s="24">
        <v>90</v>
      </c>
      <c r="AS163" s="24">
        <v>90</v>
      </c>
      <c r="AT163" s="24">
        <v>90</v>
      </c>
      <c r="AU163" s="24">
        <v>90</v>
      </c>
      <c r="AV163" s="24">
        <v>90</v>
      </c>
      <c r="AW163" s="24">
        <v>90</v>
      </c>
      <c r="AX163" s="24">
        <v>90</v>
      </c>
      <c r="AY163" s="24">
        <v>90</v>
      </c>
      <c r="AZ163" s="24">
        <v>90</v>
      </c>
      <c r="BA163" s="24">
        <v>90</v>
      </c>
      <c r="BB163" s="24">
        <v>90</v>
      </c>
      <c r="BC163" s="24">
        <v>90</v>
      </c>
      <c r="BD163" s="24">
        <v>90</v>
      </c>
      <c r="BE163" s="24">
        <v>90</v>
      </c>
      <c r="BF163" s="24">
        <v>90</v>
      </c>
      <c r="BG163" s="24">
        <v>90</v>
      </c>
      <c r="BH163" s="24">
        <v>90</v>
      </c>
      <c r="BI163" s="24">
        <v>90</v>
      </c>
      <c r="BJ163" s="24">
        <v>90</v>
      </c>
      <c r="BK163" s="24">
        <v>90</v>
      </c>
      <c r="BL163" s="24">
        <v>90</v>
      </c>
      <c r="BM163" s="24">
        <v>90</v>
      </c>
      <c r="BN163" s="24">
        <v>90</v>
      </c>
      <c r="BO163" s="24">
        <v>90</v>
      </c>
      <c r="BP163" s="24">
        <v>90</v>
      </c>
      <c r="BQ163" s="24">
        <v>90</v>
      </c>
      <c r="BR163" s="24">
        <v>90</v>
      </c>
      <c r="BS163" s="24">
        <v>90</v>
      </c>
      <c r="BT163" s="24">
        <v>90</v>
      </c>
      <c r="BU163" s="24">
        <v>90</v>
      </c>
      <c r="BV163" s="24">
        <v>90</v>
      </c>
      <c r="BW163" s="24">
        <v>90</v>
      </c>
      <c r="BX163" s="24">
        <v>90</v>
      </c>
      <c r="BY163" s="24">
        <v>90</v>
      </c>
      <c r="BZ163" s="24">
        <v>90</v>
      </c>
      <c r="CA163" s="24">
        <v>90</v>
      </c>
    </row>
    <row r="164" spans="1:79" s="16" customFormat="1" ht="19.5" thickBot="1">
      <c r="A164" s="31"/>
      <c r="B164" s="85"/>
      <c r="C164" s="86"/>
      <c r="D164" s="86"/>
      <c r="E164" s="34"/>
      <c r="F164" s="32"/>
      <c r="G164" s="33"/>
      <c r="H164" s="33"/>
      <c r="I164" s="34"/>
      <c r="J164" s="32"/>
      <c r="K164" s="33"/>
      <c r="L164" s="33"/>
      <c r="M164" s="33"/>
      <c r="N164" s="34"/>
      <c r="O164" s="32"/>
      <c r="P164" s="33"/>
      <c r="Q164" s="33"/>
      <c r="R164" s="34"/>
      <c r="S164" s="32"/>
      <c r="T164" s="33"/>
      <c r="U164" s="33"/>
      <c r="V164" s="34"/>
      <c r="W164" s="32"/>
      <c r="X164" s="33"/>
      <c r="Y164" s="33"/>
      <c r="Z164" s="33"/>
      <c r="AA164" s="34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</row>
    <row r="165" spans="1:79" s="66" customFormat="1">
      <c r="A165" s="10" t="s">
        <v>40</v>
      </c>
      <c r="B165" s="90"/>
      <c r="C165" s="90"/>
      <c r="D165" s="90"/>
      <c r="E165" s="127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>
        <v>16.5</v>
      </c>
      <c r="Q165" s="128">
        <v>15.3</v>
      </c>
      <c r="R165" s="128">
        <v>16.3</v>
      </c>
      <c r="S165" s="128">
        <v>13.6</v>
      </c>
      <c r="T165" s="174">
        <v>17</v>
      </c>
      <c r="U165" s="174">
        <v>14.3</v>
      </c>
      <c r="V165" s="128">
        <v>14.9</v>
      </c>
      <c r="W165" s="128">
        <v>14.5</v>
      </c>
      <c r="X165" s="128">
        <v>17.600000000000001</v>
      </c>
      <c r="Y165" s="128">
        <v>14</v>
      </c>
      <c r="Z165" s="128">
        <v>15</v>
      </c>
      <c r="AA165" s="128">
        <v>14.67</v>
      </c>
      <c r="AB165" s="127">
        <v>17.5</v>
      </c>
      <c r="AC165" s="127">
        <v>15.1</v>
      </c>
      <c r="AD165" s="127">
        <v>8</v>
      </c>
      <c r="AE165" s="127">
        <v>13.5</v>
      </c>
      <c r="AF165" s="127">
        <v>16</v>
      </c>
      <c r="AG165" s="127">
        <v>13.75</v>
      </c>
      <c r="AH165" s="127">
        <v>14.5</v>
      </c>
      <c r="AI165" s="127">
        <v>15</v>
      </c>
      <c r="AJ165" s="127">
        <v>15</v>
      </c>
      <c r="AK165" s="127">
        <v>20</v>
      </c>
      <c r="AL165" s="127">
        <v>14.7</v>
      </c>
      <c r="AM165" s="127">
        <v>12.5</v>
      </c>
      <c r="AN165" s="127"/>
      <c r="AO165" s="127">
        <v>15.3</v>
      </c>
      <c r="AP165" s="127">
        <v>17</v>
      </c>
      <c r="AQ165" s="127">
        <v>17.399999999999999</v>
      </c>
      <c r="AR165" s="127">
        <v>16.2</v>
      </c>
      <c r="AS165" s="127">
        <v>14.7</v>
      </c>
      <c r="AT165" s="127">
        <v>10</v>
      </c>
      <c r="AU165" s="127"/>
      <c r="AV165" s="127">
        <v>16.5</v>
      </c>
      <c r="AW165" s="127">
        <v>15</v>
      </c>
      <c r="AX165" s="127">
        <v>16.7</v>
      </c>
      <c r="AY165" s="127">
        <v>14.3</v>
      </c>
      <c r="AZ165" s="127">
        <v>14.5</v>
      </c>
      <c r="BA165" s="127">
        <v>18</v>
      </c>
      <c r="BB165" s="127">
        <v>17.399999999999999</v>
      </c>
      <c r="BC165" s="127">
        <v>17</v>
      </c>
      <c r="BD165" s="127">
        <v>16.5</v>
      </c>
      <c r="BE165" s="127">
        <v>13</v>
      </c>
      <c r="BF165" s="127">
        <v>14.3</v>
      </c>
      <c r="BG165" s="127">
        <v>16.8</v>
      </c>
      <c r="BH165" s="127">
        <v>17.7</v>
      </c>
      <c r="BI165" s="127"/>
      <c r="BJ165" s="127"/>
      <c r="BK165" s="211"/>
    </row>
    <row r="166" spans="1:79" s="66" customFormat="1" ht="19.5" thickBot="1">
      <c r="A166" s="12" t="s">
        <v>41</v>
      </c>
      <c r="B166" s="91"/>
      <c r="C166" s="91"/>
      <c r="D166" s="91"/>
      <c r="E166" s="129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>
        <v>18.8</v>
      </c>
      <c r="Q166" s="112">
        <v>7</v>
      </c>
      <c r="R166" s="112">
        <v>15</v>
      </c>
      <c r="S166" s="112">
        <v>15</v>
      </c>
      <c r="T166" s="112">
        <v>19.399999999999999</v>
      </c>
      <c r="U166" s="112">
        <v>11.5</v>
      </c>
      <c r="V166" s="112">
        <v>15</v>
      </c>
      <c r="W166" s="112">
        <v>15.8</v>
      </c>
      <c r="X166" s="112">
        <v>13</v>
      </c>
      <c r="Y166" s="112">
        <v>15.5</v>
      </c>
      <c r="Z166" s="112">
        <v>15</v>
      </c>
      <c r="AA166" s="112">
        <v>17</v>
      </c>
      <c r="AB166" s="129">
        <v>20</v>
      </c>
      <c r="AC166" s="129">
        <v>17</v>
      </c>
      <c r="AD166" s="129">
        <v>17.25</v>
      </c>
      <c r="AE166" s="129">
        <v>17</v>
      </c>
      <c r="AF166" s="129">
        <v>19</v>
      </c>
      <c r="AG166" s="129">
        <v>15.5</v>
      </c>
      <c r="AH166" s="129">
        <v>15.5</v>
      </c>
      <c r="AI166" s="129">
        <v>18</v>
      </c>
      <c r="AJ166" s="129">
        <v>18.5</v>
      </c>
      <c r="AK166" s="113"/>
      <c r="AL166" s="129">
        <v>17.5</v>
      </c>
      <c r="AM166" s="129">
        <v>16</v>
      </c>
      <c r="AN166" s="129">
        <v>20</v>
      </c>
      <c r="AO166" s="129">
        <v>18</v>
      </c>
      <c r="AP166" s="129">
        <v>19</v>
      </c>
      <c r="AQ166" s="129">
        <v>16.7</v>
      </c>
      <c r="AR166" s="129">
        <v>17</v>
      </c>
      <c r="AS166" s="129">
        <v>19</v>
      </c>
      <c r="AT166" s="129">
        <v>20</v>
      </c>
      <c r="AU166" s="129">
        <v>14.3</v>
      </c>
      <c r="AV166" s="129">
        <v>12.2</v>
      </c>
      <c r="AW166" s="129">
        <v>14.5</v>
      </c>
      <c r="AX166" s="129">
        <v>17.5</v>
      </c>
      <c r="AY166" s="112">
        <v>12</v>
      </c>
      <c r="AZ166" s="129">
        <v>15</v>
      </c>
      <c r="BA166" s="129">
        <v>15</v>
      </c>
      <c r="BB166" s="129">
        <v>15.5</v>
      </c>
      <c r="BC166" s="129">
        <v>6.5</v>
      </c>
      <c r="BD166" s="129">
        <v>18</v>
      </c>
      <c r="BE166" s="129">
        <v>10.3</v>
      </c>
      <c r="BF166" s="129"/>
      <c r="BG166" s="129">
        <v>15.7</v>
      </c>
      <c r="BH166" s="129">
        <v>17.600000000000001</v>
      </c>
      <c r="BI166" s="129"/>
      <c r="BJ166" s="129"/>
      <c r="BK166" s="212"/>
    </row>
    <row r="167" spans="1:79" s="77" customFormat="1" ht="19.5" thickBot="1">
      <c r="A167" s="12" t="s">
        <v>42</v>
      </c>
      <c r="B167" s="87"/>
      <c r="C167" s="87"/>
      <c r="D167" s="87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>
        <v>17.7</v>
      </c>
      <c r="Q167" s="75">
        <v>16</v>
      </c>
      <c r="R167" s="75">
        <v>14</v>
      </c>
      <c r="S167" s="75">
        <v>13.4</v>
      </c>
      <c r="T167" s="75">
        <v>17.7</v>
      </c>
      <c r="U167" s="75">
        <v>16.8</v>
      </c>
      <c r="V167" s="75">
        <v>15.3</v>
      </c>
      <c r="W167" s="75">
        <v>12.8</v>
      </c>
      <c r="X167" s="75">
        <v>12.4</v>
      </c>
      <c r="Y167" s="75">
        <v>16.100000000000001</v>
      </c>
      <c r="Z167" s="75">
        <v>17</v>
      </c>
      <c r="AA167" s="75">
        <v>16.55</v>
      </c>
      <c r="AB167" s="75">
        <v>15.2</v>
      </c>
      <c r="AC167" s="75">
        <v>16</v>
      </c>
      <c r="AD167" s="75">
        <v>18</v>
      </c>
      <c r="AE167" s="75">
        <v>17</v>
      </c>
      <c r="AF167" s="75">
        <v>15.7</v>
      </c>
      <c r="AG167" s="75">
        <v>16.2</v>
      </c>
      <c r="AH167" s="75">
        <v>15</v>
      </c>
      <c r="AI167" s="75">
        <v>17.3</v>
      </c>
      <c r="AJ167" s="75">
        <v>16.600000000000001</v>
      </c>
      <c r="AK167" s="75">
        <v>16.100000000000001</v>
      </c>
      <c r="AL167" s="75">
        <v>14.9</v>
      </c>
      <c r="AM167" s="75">
        <v>17.5</v>
      </c>
      <c r="AN167" s="75">
        <v>15.5</v>
      </c>
      <c r="AO167" s="75">
        <v>15.6</v>
      </c>
      <c r="AP167" s="75">
        <v>13.3</v>
      </c>
      <c r="AQ167" s="75">
        <v>13.8</v>
      </c>
      <c r="AR167" s="75">
        <v>15.3</v>
      </c>
      <c r="AS167" s="75">
        <v>13.1</v>
      </c>
      <c r="AT167" s="75">
        <v>15.8</v>
      </c>
      <c r="AU167" s="75">
        <v>13.8</v>
      </c>
      <c r="AV167" s="75">
        <v>12.2</v>
      </c>
      <c r="AW167" s="75">
        <v>13.3</v>
      </c>
      <c r="AX167" s="75">
        <v>17</v>
      </c>
      <c r="AY167" s="75">
        <v>10.9</v>
      </c>
      <c r="AZ167" s="75">
        <v>15</v>
      </c>
      <c r="BA167" s="75">
        <v>15.9</v>
      </c>
      <c r="BB167" s="75">
        <v>17.2</v>
      </c>
      <c r="BC167" s="75">
        <v>18</v>
      </c>
      <c r="BD167" s="75">
        <v>16.5</v>
      </c>
      <c r="BE167" s="75">
        <v>14.6</v>
      </c>
      <c r="BF167" s="75">
        <v>15.2</v>
      </c>
      <c r="BG167" s="75">
        <v>16.7</v>
      </c>
      <c r="BH167" s="75">
        <v>18.399999999999999</v>
      </c>
      <c r="BI167" s="75"/>
      <c r="BJ167" s="75"/>
      <c r="BK167" s="76"/>
    </row>
    <row r="168" spans="1:79" s="14" customFormat="1" ht="19.5" thickBot="1">
      <c r="A168" s="28" t="s">
        <v>20</v>
      </c>
      <c r="B168" s="88">
        <v>15</v>
      </c>
      <c r="C168" s="88">
        <v>15</v>
      </c>
      <c r="D168" s="88">
        <v>15</v>
      </c>
      <c r="E168" s="30">
        <v>15</v>
      </c>
      <c r="F168" s="30">
        <v>15</v>
      </c>
      <c r="G168" s="30">
        <v>15</v>
      </c>
      <c r="H168" s="30">
        <v>15</v>
      </c>
      <c r="I168" s="30">
        <v>15</v>
      </c>
      <c r="J168" s="30">
        <v>15</v>
      </c>
      <c r="K168" s="30">
        <v>15</v>
      </c>
      <c r="L168" s="30">
        <v>15</v>
      </c>
      <c r="M168" s="30">
        <v>15</v>
      </c>
      <c r="N168" s="30">
        <v>15</v>
      </c>
      <c r="O168" s="30">
        <v>15</v>
      </c>
      <c r="P168" s="30">
        <v>15</v>
      </c>
      <c r="Q168" s="30">
        <v>15</v>
      </c>
      <c r="R168" s="30">
        <v>15</v>
      </c>
      <c r="S168" s="30">
        <v>15</v>
      </c>
      <c r="T168" s="30">
        <v>15</v>
      </c>
      <c r="U168" s="30">
        <v>15</v>
      </c>
      <c r="V168" s="30">
        <v>15</v>
      </c>
      <c r="W168" s="30">
        <v>15</v>
      </c>
      <c r="X168" s="30">
        <v>15</v>
      </c>
      <c r="Y168" s="30">
        <v>15</v>
      </c>
      <c r="Z168" s="30">
        <v>15</v>
      </c>
      <c r="AA168" s="30">
        <v>15</v>
      </c>
      <c r="AB168" s="30">
        <v>15</v>
      </c>
      <c r="AC168" s="30">
        <v>15</v>
      </c>
      <c r="AD168" s="30">
        <v>15</v>
      </c>
      <c r="AE168" s="30">
        <v>15</v>
      </c>
      <c r="AF168" s="30">
        <v>15</v>
      </c>
      <c r="AG168" s="30">
        <v>15</v>
      </c>
      <c r="AH168" s="30">
        <v>15</v>
      </c>
      <c r="AI168" s="30">
        <v>15</v>
      </c>
      <c r="AJ168" s="30">
        <v>15</v>
      </c>
      <c r="AK168" s="30">
        <v>15</v>
      </c>
      <c r="AL168" s="30">
        <v>15</v>
      </c>
      <c r="AM168" s="30">
        <v>15</v>
      </c>
      <c r="AN168" s="30">
        <v>15</v>
      </c>
      <c r="AO168" s="30">
        <v>15</v>
      </c>
      <c r="AP168" s="30">
        <v>15</v>
      </c>
      <c r="AQ168" s="30">
        <v>15</v>
      </c>
      <c r="AR168" s="30">
        <v>15</v>
      </c>
      <c r="AS168" s="30">
        <v>15</v>
      </c>
      <c r="AT168" s="30">
        <v>15</v>
      </c>
      <c r="AU168" s="30">
        <v>15</v>
      </c>
      <c r="AV168" s="30">
        <v>15</v>
      </c>
      <c r="AW168" s="30">
        <v>15</v>
      </c>
      <c r="AX168" s="30">
        <v>15</v>
      </c>
      <c r="AY168" s="30">
        <v>15</v>
      </c>
      <c r="AZ168" s="30">
        <v>15</v>
      </c>
      <c r="BA168" s="30">
        <v>15</v>
      </c>
      <c r="BB168" s="30">
        <v>15</v>
      </c>
      <c r="BC168" s="30">
        <v>15</v>
      </c>
      <c r="BD168" s="30">
        <v>15</v>
      </c>
      <c r="BE168" s="30">
        <v>15</v>
      </c>
      <c r="BF168" s="30">
        <v>15</v>
      </c>
      <c r="BG168" s="30">
        <v>15</v>
      </c>
      <c r="BH168" s="30">
        <v>15</v>
      </c>
      <c r="BI168" s="30">
        <v>15</v>
      </c>
      <c r="BJ168" s="30">
        <v>15</v>
      </c>
      <c r="BK168" s="37">
        <v>15</v>
      </c>
      <c r="BL168" s="37">
        <v>15</v>
      </c>
      <c r="BM168" s="37">
        <v>15</v>
      </c>
      <c r="BN168" s="37">
        <v>15</v>
      </c>
      <c r="BO168" s="37">
        <v>15</v>
      </c>
      <c r="BP168" s="37">
        <v>15</v>
      </c>
      <c r="BQ168" s="37">
        <v>15</v>
      </c>
      <c r="BR168" s="37">
        <v>15</v>
      </c>
      <c r="BS168" s="37">
        <v>15</v>
      </c>
      <c r="BT168" s="37">
        <v>15</v>
      </c>
      <c r="BU168" s="37">
        <v>15</v>
      </c>
      <c r="BV168" s="37">
        <v>15</v>
      </c>
      <c r="BW168" s="37">
        <v>15</v>
      </c>
      <c r="BX168" s="37">
        <v>15</v>
      </c>
      <c r="BY168" s="37">
        <v>15</v>
      </c>
      <c r="BZ168" s="37">
        <v>15</v>
      </c>
      <c r="CA168" s="37">
        <v>15</v>
      </c>
    </row>
    <row r="169" spans="1:79" s="66" customFormat="1">
      <c r="A169" s="182" t="s">
        <v>116</v>
      </c>
      <c r="B169" s="183"/>
      <c r="C169" s="183"/>
      <c r="D169" s="183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95">
        <v>18.100000000000001</v>
      </c>
      <c r="Q169" s="195">
        <v>15.7</v>
      </c>
      <c r="R169" s="195">
        <v>15.2</v>
      </c>
      <c r="S169" s="195">
        <v>14</v>
      </c>
      <c r="T169" s="195">
        <v>14.4</v>
      </c>
      <c r="U169" s="195">
        <v>15</v>
      </c>
      <c r="V169" s="195">
        <v>15.7</v>
      </c>
      <c r="W169" s="195">
        <v>14.8</v>
      </c>
      <c r="X169" s="195">
        <v>15.8</v>
      </c>
      <c r="Y169" s="195">
        <v>16.399999999999999</v>
      </c>
      <c r="Z169" s="195">
        <v>16.2</v>
      </c>
      <c r="AA169" s="195">
        <v>16</v>
      </c>
      <c r="AB169" s="195">
        <v>15.7</v>
      </c>
      <c r="AC169" s="195">
        <v>15.7</v>
      </c>
      <c r="AD169" s="184">
        <v>16.7</v>
      </c>
      <c r="AE169" s="184">
        <v>15</v>
      </c>
      <c r="AF169" s="195">
        <v>16.899999999999999</v>
      </c>
      <c r="AG169" s="195">
        <v>15.6</v>
      </c>
      <c r="AH169" s="195">
        <v>15.7</v>
      </c>
      <c r="AI169" s="195">
        <v>15.4</v>
      </c>
      <c r="AJ169" s="195">
        <v>16.5</v>
      </c>
      <c r="AK169" s="195">
        <v>16.3</v>
      </c>
      <c r="AL169" s="195">
        <v>15.2</v>
      </c>
      <c r="AM169" s="195">
        <v>16.399999999999999</v>
      </c>
      <c r="AN169" s="195">
        <v>16</v>
      </c>
      <c r="AO169" s="195">
        <v>16.2</v>
      </c>
      <c r="AP169" s="195">
        <v>14.7</v>
      </c>
      <c r="AQ169" s="195">
        <v>15.4</v>
      </c>
      <c r="AR169" s="195">
        <v>15.9</v>
      </c>
      <c r="AS169" s="195">
        <v>14.1</v>
      </c>
      <c r="AT169" s="195">
        <v>15.6</v>
      </c>
      <c r="AU169" s="184">
        <v>14</v>
      </c>
      <c r="AV169" s="195">
        <v>13.2</v>
      </c>
      <c r="AW169" s="195">
        <v>13.3</v>
      </c>
      <c r="AX169" s="195">
        <v>16.899999999999999</v>
      </c>
      <c r="AY169" s="195">
        <v>11.7</v>
      </c>
      <c r="AZ169" s="195">
        <v>14.8</v>
      </c>
      <c r="BA169" s="195">
        <v>15.8</v>
      </c>
      <c r="BB169" s="195">
        <v>16.899999999999999</v>
      </c>
      <c r="BC169" s="195">
        <v>16.3</v>
      </c>
      <c r="BD169" s="195">
        <v>16.899999999999999</v>
      </c>
      <c r="BE169" s="195">
        <v>13.3</v>
      </c>
      <c r="BF169" s="195">
        <v>14.9</v>
      </c>
      <c r="BG169" s="195">
        <v>16.600000000000001</v>
      </c>
      <c r="BH169" s="195">
        <v>18.100000000000001</v>
      </c>
      <c r="BI169" s="184"/>
      <c r="BJ169" s="184"/>
      <c r="BK169" s="184"/>
    </row>
    <row r="170" spans="1:79" s="187" customFormat="1">
      <c r="A170" s="71" t="s">
        <v>117</v>
      </c>
      <c r="B170" s="185"/>
      <c r="C170" s="185"/>
      <c r="D170" s="185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75">
        <v>1</v>
      </c>
      <c r="Q170" s="75">
        <v>2.2999999999999998</v>
      </c>
      <c r="R170" s="75">
        <v>1.7</v>
      </c>
      <c r="S170" s="75">
        <v>2</v>
      </c>
      <c r="T170" s="75">
        <v>2.1</v>
      </c>
      <c r="U170" s="75"/>
      <c r="V170" s="75">
        <v>1</v>
      </c>
      <c r="W170" s="75">
        <v>1.4</v>
      </c>
      <c r="X170" s="75">
        <v>1</v>
      </c>
      <c r="Y170" s="75">
        <v>1.5</v>
      </c>
      <c r="Z170" s="75">
        <v>1.7</v>
      </c>
      <c r="AA170" s="75">
        <v>1</v>
      </c>
      <c r="AB170" s="75">
        <v>4</v>
      </c>
      <c r="AC170" s="75">
        <v>0.67</v>
      </c>
      <c r="AD170" s="191">
        <v>0.1</v>
      </c>
      <c r="AE170" s="75">
        <v>0.5</v>
      </c>
      <c r="AF170" s="75">
        <v>1.3</v>
      </c>
      <c r="AG170" s="186">
        <v>1.75</v>
      </c>
      <c r="AH170" s="75">
        <v>1</v>
      </c>
      <c r="AI170" s="75">
        <v>2.25</v>
      </c>
      <c r="AJ170" s="75">
        <v>1</v>
      </c>
      <c r="AK170" s="186"/>
      <c r="AL170" s="75">
        <v>1</v>
      </c>
      <c r="AM170" s="75">
        <v>0.5</v>
      </c>
      <c r="AN170" s="75">
        <v>1.25</v>
      </c>
      <c r="AO170" s="75">
        <v>1.25</v>
      </c>
      <c r="AP170" s="75">
        <v>1.67</v>
      </c>
      <c r="AQ170" s="75">
        <v>1.25</v>
      </c>
      <c r="AR170" s="75">
        <v>0.5</v>
      </c>
      <c r="AS170" s="75">
        <v>0.85</v>
      </c>
      <c r="AT170" s="75"/>
      <c r="AU170" s="186"/>
      <c r="AV170" s="75">
        <v>2</v>
      </c>
      <c r="AW170" s="75">
        <v>2</v>
      </c>
      <c r="AX170" s="75">
        <v>0.7</v>
      </c>
      <c r="AY170" s="75">
        <v>3</v>
      </c>
      <c r="AZ170" s="75">
        <v>0.5</v>
      </c>
      <c r="BA170" s="75">
        <v>2</v>
      </c>
      <c r="BB170" s="75">
        <v>0.6</v>
      </c>
      <c r="BC170" s="75">
        <v>1</v>
      </c>
      <c r="BD170" s="191">
        <v>0.25</v>
      </c>
      <c r="BE170" s="75">
        <v>1.5</v>
      </c>
      <c r="BF170" s="75">
        <v>2</v>
      </c>
      <c r="BG170" s="75">
        <v>2.8</v>
      </c>
      <c r="BH170" s="75">
        <v>1.7</v>
      </c>
      <c r="BI170" s="186"/>
      <c r="BJ170" s="186"/>
      <c r="BK170" s="186"/>
    </row>
    <row r="171" spans="1:79" s="187" customFormat="1">
      <c r="A171" s="71" t="s">
        <v>118</v>
      </c>
      <c r="B171" s="185"/>
      <c r="C171" s="185"/>
      <c r="D171" s="185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75">
        <v>0.8</v>
      </c>
      <c r="Q171" s="75"/>
      <c r="R171" s="75">
        <v>1</v>
      </c>
      <c r="S171" s="75">
        <v>1</v>
      </c>
      <c r="T171" s="75">
        <v>1.5</v>
      </c>
      <c r="U171" s="75"/>
      <c r="V171" s="75">
        <v>2</v>
      </c>
      <c r="W171" s="75">
        <v>1.5</v>
      </c>
      <c r="X171" s="75">
        <v>3</v>
      </c>
      <c r="Y171" s="75">
        <v>1.5</v>
      </c>
      <c r="Z171" s="75"/>
      <c r="AA171" s="75">
        <v>0.3</v>
      </c>
      <c r="AB171" s="75">
        <v>0.8</v>
      </c>
      <c r="AC171" s="75">
        <v>1.5</v>
      </c>
      <c r="AD171" s="191">
        <v>7.0000000000000007E-2</v>
      </c>
      <c r="AE171" s="186"/>
      <c r="AF171" s="75"/>
      <c r="AG171" s="75">
        <v>2.5</v>
      </c>
      <c r="AH171" s="75">
        <v>0.3</v>
      </c>
      <c r="AI171" s="75">
        <v>1</v>
      </c>
      <c r="AJ171" s="75">
        <v>1.5</v>
      </c>
      <c r="AK171" s="186"/>
      <c r="AL171" s="75">
        <v>2</v>
      </c>
      <c r="AM171" s="75">
        <v>0.86</v>
      </c>
      <c r="AN171" s="75">
        <v>0.3</v>
      </c>
      <c r="AO171" s="75">
        <v>1.4</v>
      </c>
      <c r="AP171" s="75">
        <v>1.5</v>
      </c>
      <c r="AQ171" s="75">
        <v>1.7</v>
      </c>
      <c r="AR171" s="75">
        <v>1</v>
      </c>
      <c r="AS171" s="75">
        <v>1</v>
      </c>
      <c r="AT171" s="75">
        <v>0.5</v>
      </c>
      <c r="AU171" s="75">
        <v>1.8</v>
      </c>
      <c r="AV171" s="75">
        <v>2</v>
      </c>
      <c r="AW171" s="75">
        <v>0.75</v>
      </c>
      <c r="AX171" s="75">
        <v>0.6</v>
      </c>
      <c r="AY171" s="75">
        <v>0.5</v>
      </c>
      <c r="AZ171" s="75"/>
      <c r="BA171" s="75">
        <v>1.7</v>
      </c>
      <c r="BB171" s="75">
        <v>1.5</v>
      </c>
      <c r="BC171" s="75">
        <v>2.5</v>
      </c>
      <c r="BD171" s="191">
        <v>0.67</v>
      </c>
      <c r="BE171" s="75">
        <v>1</v>
      </c>
      <c r="BF171" s="75"/>
      <c r="BG171" s="75">
        <v>1.3</v>
      </c>
      <c r="BH171" s="75">
        <v>0.4</v>
      </c>
      <c r="BI171" s="186"/>
      <c r="BJ171" s="186"/>
      <c r="BK171" s="186"/>
    </row>
    <row r="172" spans="1:79" s="187" customFormat="1">
      <c r="A172" s="71" t="s">
        <v>119</v>
      </c>
      <c r="B172" s="185"/>
      <c r="C172" s="185"/>
      <c r="D172" s="185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75">
        <v>1.6</v>
      </c>
      <c r="Q172" s="75">
        <v>1.2</v>
      </c>
      <c r="R172" s="75">
        <v>2.4</v>
      </c>
      <c r="S172" s="75">
        <v>2.8</v>
      </c>
      <c r="T172" s="75">
        <v>1.4</v>
      </c>
      <c r="U172" s="75">
        <v>2.1</v>
      </c>
      <c r="V172" s="75">
        <v>2.6</v>
      </c>
      <c r="W172" s="75">
        <v>1.6</v>
      </c>
      <c r="X172" s="75">
        <v>0.9</v>
      </c>
      <c r="Y172" s="75">
        <v>1.8</v>
      </c>
      <c r="Z172" s="75">
        <v>0.9</v>
      </c>
      <c r="AA172" s="75">
        <v>1.6</v>
      </c>
      <c r="AB172" s="75">
        <v>1.4</v>
      </c>
      <c r="AC172" s="75">
        <v>1.89</v>
      </c>
      <c r="AD172" s="191">
        <v>7.0000000000000007E-2</v>
      </c>
      <c r="AE172" s="75">
        <v>1.4</v>
      </c>
      <c r="AF172" s="75">
        <v>1.3</v>
      </c>
      <c r="AG172" s="75">
        <v>2.58</v>
      </c>
      <c r="AH172" s="75">
        <v>1.1000000000000001</v>
      </c>
      <c r="AI172" s="75">
        <v>2.0699999999999998</v>
      </c>
      <c r="AJ172" s="75">
        <v>1</v>
      </c>
      <c r="AK172" s="75">
        <v>1.9</v>
      </c>
      <c r="AL172" s="75">
        <v>1.8</v>
      </c>
      <c r="AM172" s="75">
        <v>1.8</v>
      </c>
      <c r="AN172" s="75">
        <v>1.8</v>
      </c>
      <c r="AO172" s="75">
        <v>2.75</v>
      </c>
      <c r="AP172" s="75">
        <v>2.7</v>
      </c>
      <c r="AQ172" s="75">
        <v>2.2999999999999998</v>
      </c>
      <c r="AR172" s="75">
        <v>1.6</v>
      </c>
      <c r="AS172" s="75">
        <v>1.8</v>
      </c>
      <c r="AT172" s="75">
        <v>2</v>
      </c>
      <c r="AU172" s="75">
        <v>1.3</v>
      </c>
      <c r="AV172" s="75">
        <v>1.1000000000000001</v>
      </c>
      <c r="AW172" s="75">
        <v>2.9</v>
      </c>
      <c r="AX172" s="75">
        <v>1.8</v>
      </c>
      <c r="AY172" s="75">
        <v>0.6</v>
      </c>
      <c r="AZ172" s="75">
        <v>3</v>
      </c>
      <c r="BA172" s="75">
        <v>0.8</v>
      </c>
      <c r="BB172" s="75">
        <v>0.9</v>
      </c>
      <c r="BC172" s="75">
        <v>1</v>
      </c>
      <c r="BD172" s="191">
        <v>0.56999999999999995</v>
      </c>
      <c r="BE172" s="75">
        <v>1.9</v>
      </c>
      <c r="BF172" s="75">
        <v>1.9</v>
      </c>
      <c r="BG172" s="75">
        <v>2.2000000000000002</v>
      </c>
      <c r="BH172" s="75">
        <v>1.5</v>
      </c>
      <c r="BI172" s="186"/>
      <c r="BJ172" s="186"/>
      <c r="BK172" s="186"/>
    </row>
    <row r="173" spans="1:79" s="189" customFormat="1">
      <c r="A173" s="17" t="s">
        <v>120</v>
      </c>
      <c r="B173" s="188">
        <v>0.7</v>
      </c>
      <c r="C173" s="188">
        <v>0.7</v>
      </c>
      <c r="D173" s="188">
        <v>0.7</v>
      </c>
      <c r="E173" s="188">
        <v>0.7</v>
      </c>
      <c r="F173" s="188">
        <v>0.7</v>
      </c>
      <c r="G173" s="188">
        <v>0.7</v>
      </c>
      <c r="H173" s="188">
        <v>0.7</v>
      </c>
      <c r="I173" s="188">
        <v>0.7</v>
      </c>
      <c r="J173" s="188">
        <v>0.7</v>
      </c>
      <c r="K173" s="188">
        <v>0.7</v>
      </c>
      <c r="L173" s="188">
        <v>0.7</v>
      </c>
      <c r="M173" s="188">
        <v>0.7</v>
      </c>
      <c r="N173" s="188">
        <v>0.7</v>
      </c>
      <c r="O173" s="188">
        <v>0.7</v>
      </c>
      <c r="P173" s="188">
        <v>0.7</v>
      </c>
      <c r="Q173" s="188">
        <v>0.7</v>
      </c>
      <c r="R173" s="188">
        <v>0.7</v>
      </c>
      <c r="S173" s="188">
        <v>0.7</v>
      </c>
      <c r="T173" s="188">
        <v>0.7</v>
      </c>
      <c r="U173" s="188">
        <v>0.7</v>
      </c>
      <c r="V173" s="188">
        <v>0.7</v>
      </c>
      <c r="W173" s="188">
        <v>0.7</v>
      </c>
      <c r="X173" s="188">
        <v>0.7</v>
      </c>
      <c r="Y173" s="188">
        <v>0.7</v>
      </c>
      <c r="Z173" s="188">
        <v>0.7</v>
      </c>
      <c r="AA173" s="188">
        <v>0.7</v>
      </c>
      <c r="AB173" s="188">
        <v>0.7</v>
      </c>
      <c r="AC173" s="188">
        <v>0.7</v>
      </c>
      <c r="AD173" s="188">
        <v>0.7</v>
      </c>
      <c r="AE173" s="188">
        <v>0.7</v>
      </c>
      <c r="AF173" s="188">
        <v>0.7</v>
      </c>
      <c r="AG173" s="188">
        <v>0.7</v>
      </c>
      <c r="AH173" s="188">
        <v>0.7</v>
      </c>
      <c r="AI173" s="188">
        <v>0.7</v>
      </c>
      <c r="AJ173" s="188">
        <v>0.7</v>
      </c>
      <c r="AK173" s="188">
        <v>0.7</v>
      </c>
      <c r="AL173" s="188">
        <v>0.7</v>
      </c>
      <c r="AM173" s="188">
        <v>0.7</v>
      </c>
      <c r="AN173" s="188">
        <v>0.7</v>
      </c>
      <c r="AO173" s="188">
        <v>0.7</v>
      </c>
      <c r="AP173" s="188">
        <v>0.7</v>
      </c>
      <c r="AQ173" s="188">
        <v>0.7</v>
      </c>
      <c r="AR173" s="188">
        <v>0.7</v>
      </c>
      <c r="AS173" s="188">
        <v>0.7</v>
      </c>
      <c r="AT173" s="188">
        <v>0.7</v>
      </c>
      <c r="AU173" s="188">
        <v>0.7</v>
      </c>
      <c r="AV173" s="188">
        <v>0.7</v>
      </c>
      <c r="AW173" s="188">
        <v>0.7</v>
      </c>
      <c r="AX173" s="188">
        <v>0.7</v>
      </c>
      <c r="AY173" s="188">
        <v>0.7</v>
      </c>
      <c r="AZ173" s="188">
        <v>0.7</v>
      </c>
      <c r="BA173" s="188">
        <v>0.7</v>
      </c>
      <c r="BB173" s="188">
        <v>0.7</v>
      </c>
      <c r="BC173" s="188">
        <v>0.7</v>
      </c>
      <c r="BD173" s="188">
        <v>0.7</v>
      </c>
      <c r="BE173" s="188">
        <v>0.7</v>
      </c>
      <c r="BF173" s="188">
        <v>0.7</v>
      </c>
      <c r="BG173" s="188">
        <v>0.7</v>
      </c>
      <c r="BH173" s="188">
        <v>0.7</v>
      </c>
      <c r="BI173" s="188">
        <v>0.7</v>
      </c>
      <c r="BJ173" s="188">
        <v>0.7</v>
      </c>
      <c r="BK173" s="188">
        <v>0.7</v>
      </c>
      <c r="BL173" s="188">
        <v>0.7</v>
      </c>
      <c r="BM173" s="188">
        <v>0.7</v>
      </c>
      <c r="BN173" s="188">
        <v>0.7</v>
      </c>
      <c r="BO173" s="188">
        <v>0.7</v>
      </c>
      <c r="BP173" s="188">
        <v>0.7</v>
      </c>
      <c r="BQ173" s="188">
        <v>0.7</v>
      </c>
      <c r="BR173" s="188">
        <v>0.7</v>
      </c>
      <c r="BS173" s="188">
        <v>0.7</v>
      </c>
      <c r="BT173" s="188">
        <v>0.7</v>
      </c>
      <c r="BU173" s="188">
        <v>0.7</v>
      </c>
      <c r="BV173" s="188">
        <v>0.7</v>
      </c>
      <c r="BW173" s="188">
        <v>0.7</v>
      </c>
      <c r="BX173" s="188">
        <v>0.7</v>
      </c>
      <c r="BY173" s="188">
        <v>0.7</v>
      </c>
      <c r="BZ173" s="188">
        <v>0.7</v>
      </c>
      <c r="CA173" s="188">
        <v>0.7</v>
      </c>
    </row>
    <row r="174" spans="1:79" s="16" customFormat="1" ht="19.5" thickBot="1">
      <c r="A174" s="35"/>
      <c r="B174" s="89"/>
      <c r="C174" s="89"/>
      <c r="D174" s="89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</row>
    <row r="175" spans="1:79" s="67" customFormat="1" ht="19.5" thickBot="1">
      <c r="A175" s="42" t="s">
        <v>21</v>
      </c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77">
        <v>5.5E-2</v>
      </c>
      <c r="Q175" s="177">
        <v>8.3000000000000004E-2</v>
      </c>
      <c r="R175" s="177">
        <v>4.3999999999999997E-2</v>
      </c>
      <c r="S175" s="177">
        <v>4.3999999999999997E-2</v>
      </c>
      <c r="T175" s="177">
        <v>4.2000000000000003E-2</v>
      </c>
      <c r="U175" s="177">
        <v>2.8000000000000001E-2</v>
      </c>
      <c r="V175" s="177">
        <v>4.3999999999999997E-2</v>
      </c>
      <c r="W175" s="177">
        <v>3.1E-2</v>
      </c>
      <c r="X175" s="177">
        <v>5.0999999999999997E-2</v>
      </c>
      <c r="Y175" s="130">
        <v>5.5E-2</v>
      </c>
      <c r="Z175" s="130">
        <v>5.2999999999999999E-2</v>
      </c>
      <c r="AA175" s="130">
        <v>5.2999999999999999E-2</v>
      </c>
      <c r="AB175" s="130">
        <v>6.3E-2</v>
      </c>
      <c r="AC175" s="130">
        <v>3.7999999999999999E-2</v>
      </c>
      <c r="AD175" s="130">
        <v>4.4999999999999998E-2</v>
      </c>
      <c r="AE175" s="130">
        <v>3.2000000000000001E-2</v>
      </c>
      <c r="AF175" s="130">
        <v>1.7000000000000001E-2</v>
      </c>
      <c r="AG175" s="130">
        <v>3.5000000000000003E-2</v>
      </c>
      <c r="AH175" s="130">
        <v>5.2999999999999999E-2</v>
      </c>
      <c r="AI175" s="130">
        <v>3.1E-2</v>
      </c>
      <c r="AJ175" s="130">
        <v>5.1999999999999998E-2</v>
      </c>
      <c r="AK175" s="130">
        <v>7.0000000000000007E-2</v>
      </c>
      <c r="AL175" s="130">
        <v>2.9000000000000001E-2</v>
      </c>
      <c r="AM175" s="130">
        <v>0.02</v>
      </c>
      <c r="AN175" s="130">
        <v>3.9E-2</v>
      </c>
      <c r="AO175" s="130">
        <v>4.2000000000000003E-2</v>
      </c>
      <c r="AP175" s="130">
        <v>3.0499999999999999E-2</v>
      </c>
      <c r="AQ175" s="130">
        <v>7.1999999999999995E-2</v>
      </c>
      <c r="AR175" s="130">
        <v>4.4999999999999998E-2</v>
      </c>
      <c r="AS175" s="130">
        <v>3.3000000000000002E-2</v>
      </c>
      <c r="AT175" s="130">
        <v>3.3000000000000002E-2</v>
      </c>
      <c r="AU175" s="130">
        <v>2.5000000000000001E-2</v>
      </c>
      <c r="AV175" s="130">
        <v>2.5999999999999999E-2</v>
      </c>
      <c r="AW175" s="130">
        <v>2.1000000000000001E-2</v>
      </c>
      <c r="AX175" s="130">
        <v>5.2999999999999999E-2</v>
      </c>
      <c r="AY175" s="130">
        <v>3.5000000000000003E-2</v>
      </c>
      <c r="AZ175" s="130">
        <v>4.4999999999999998E-2</v>
      </c>
      <c r="BA175" s="130">
        <v>4.3999999999999997E-2</v>
      </c>
      <c r="BB175" s="130">
        <v>3.5999999999999997E-2</v>
      </c>
      <c r="BC175" s="130">
        <v>0.05</v>
      </c>
      <c r="BD175" s="130">
        <v>0.02</v>
      </c>
      <c r="BE175" s="130">
        <v>3.9E-2</v>
      </c>
      <c r="BF175" s="130">
        <v>5.5E-2</v>
      </c>
      <c r="BG175" s="130">
        <v>5.8000000000000003E-2</v>
      </c>
      <c r="BH175" s="130">
        <v>3.4000000000000002E-2</v>
      </c>
      <c r="BI175" s="130"/>
      <c r="BJ175" s="130"/>
      <c r="BK175" s="213"/>
    </row>
    <row r="176" spans="1:79" s="11" customFormat="1" ht="19.5" thickBot="1">
      <c r="A176" s="12" t="s">
        <v>22</v>
      </c>
      <c r="B176" s="41">
        <v>3.5000000000000003E-2</v>
      </c>
      <c r="C176" s="41">
        <v>3.5000000000000003E-2</v>
      </c>
      <c r="D176" s="41">
        <v>3.5000000000000003E-2</v>
      </c>
      <c r="E176" s="41">
        <v>3.5000000000000003E-2</v>
      </c>
      <c r="F176" s="41">
        <v>3.5000000000000003E-2</v>
      </c>
      <c r="G176" s="41">
        <v>3.5000000000000003E-2</v>
      </c>
      <c r="H176" s="41">
        <v>3.5000000000000003E-2</v>
      </c>
      <c r="I176" s="41">
        <v>3.5000000000000003E-2</v>
      </c>
      <c r="J176" s="41">
        <v>3.5000000000000003E-2</v>
      </c>
      <c r="K176" s="41">
        <v>3.5000000000000003E-2</v>
      </c>
      <c r="L176" s="41">
        <v>3.5000000000000003E-2</v>
      </c>
      <c r="M176" s="41">
        <v>3.5000000000000003E-2</v>
      </c>
      <c r="N176" s="41">
        <v>3.5000000000000003E-2</v>
      </c>
      <c r="O176" s="41">
        <v>3.5000000000000003E-2</v>
      </c>
      <c r="P176" s="41">
        <v>3.5000000000000003E-2</v>
      </c>
      <c r="Q176" s="41">
        <v>3.5000000000000003E-2</v>
      </c>
      <c r="R176" s="41">
        <v>3.5000000000000003E-2</v>
      </c>
      <c r="S176" s="41">
        <v>3.5000000000000003E-2</v>
      </c>
      <c r="T176" s="41">
        <v>3.5000000000000003E-2</v>
      </c>
      <c r="U176" s="41">
        <v>3.5000000000000003E-2</v>
      </c>
      <c r="V176" s="41">
        <v>3.5000000000000003E-2</v>
      </c>
      <c r="W176" s="41">
        <v>3.5000000000000003E-2</v>
      </c>
      <c r="X176" s="41">
        <v>3.5000000000000003E-2</v>
      </c>
      <c r="Y176" s="41">
        <v>3.5000000000000003E-2</v>
      </c>
      <c r="Z176" s="41">
        <v>3.5000000000000003E-2</v>
      </c>
      <c r="AA176" s="41">
        <v>3.5000000000000003E-2</v>
      </c>
      <c r="AB176" s="41">
        <v>3.5000000000000003E-2</v>
      </c>
      <c r="AC176" s="41">
        <v>3.5000000000000003E-2</v>
      </c>
      <c r="AD176" s="41">
        <v>3.5000000000000003E-2</v>
      </c>
      <c r="AE176" s="41">
        <v>3.5000000000000003E-2</v>
      </c>
      <c r="AF176" s="41">
        <v>3.5000000000000003E-2</v>
      </c>
      <c r="AG176" s="41">
        <v>3.5000000000000003E-2</v>
      </c>
      <c r="AH176" s="41">
        <v>3.5000000000000003E-2</v>
      </c>
      <c r="AI176" s="41">
        <v>3.5000000000000003E-2</v>
      </c>
      <c r="AJ176" s="41">
        <v>3.5000000000000003E-2</v>
      </c>
      <c r="AK176" s="41">
        <v>3.5000000000000003E-2</v>
      </c>
      <c r="AL176" s="41">
        <v>3.5000000000000003E-2</v>
      </c>
      <c r="AM176" s="41">
        <v>3.5000000000000003E-2</v>
      </c>
      <c r="AN176" s="41">
        <v>3.5000000000000003E-2</v>
      </c>
      <c r="AO176" s="41">
        <v>3.5000000000000003E-2</v>
      </c>
      <c r="AP176" s="41">
        <v>3.5000000000000003E-2</v>
      </c>
      <c r="AQ176" s="41">
        <v>3.5000000000000003E-2</v>
      </c>
      <c r="AR176" s="41">
        <v>3.5000000000000003E-2</v>
      </c>
      <c r="AS176" s="41">
        <v>3.5000000000000003E-2</v>
      </c>
      <c r="AT176" s="41">
        <v>3.5000000000000003E-2</v>
      </c>
      <c r="AU176" s="41">
        <v>3.5000000000000003E-2</v>
      </c>
      <c r="AV176" s="41">
        <v>3.5000000000000003E-2</v>
      </c>
      <c r="AW176" s="41">
        <v>3.5000000000000003E-2</v>
      </c>
      <c r="AX176" s="41">
        <v>3.5000000000000003E-2</v>
      </c>
      <c r="AY176" s="41">
        <v>3.5000000000000003E-2</v>
      </c>
      <c r="AZ176" s="41">
        <v>3.5000000000000003E-2</v>
      </c>
      <c r="BA176" s="41">
        <v>3.5000000000000003E-2</v>
      </c>
      <c r="BB176" s="41">
        <v>3.5000000000000003E-2</v>
      </c>
      <c r="BC176" s="41">
        <v>3.5000000000000003E-2</v>
      </c>
      <c r="BD176" s="41">
        <v>3.5000000000000003E-2</v>
      </c>
      <c r="BE176" s="41">
        <v>3.5000000000000003E-2</v>
      </c>
      <c r="BF176" s="41">
        <v>3.5000000000000003E-2</v>
      </c>
      <c r="BG176" s="41">
        <v>3.5000000000000003E-2</v>
      </c>
      <c r="BH176" s="41">
        <v>3.5000000000000003E-2</v>
      </c>
      <c r="BI176" s="41">
        <v>3.5000000000000003E-2</v>
      </c>
      <c r="BJ176" s="41">
        <v>3.5000000000000003E-2</v>
      </c>
      <c r="BK176" s="43">
        <v>3.5000000000000003E-2</v>
      </c>
      <c r="BL176" s="43">
        <v>3.5000000000000003E-2</v>
      </c>
      <c r="BM176" s="43">
        <v>3.5000000000000003E-2</v>
      </c>
      <c r="BN176" s="43">
        <v>3.5000000000000003E-2</v>
      </c>
      <c r="BO176" s="43">
        <v>3.5000000000000003E-2</v>
      </c>
      <c r="BP176" s="43">
        <v>3.5000000000000003E-2</v>
      </c>
      <c r="BQ176" s="43">
        <v>3.5000000000000003E-2</v>
      </c>
      <c r="BR176" s="43">
        <v>3.5000000000000003E-2</v>
      </c>
      <c r="BS176" s="43">
        <v>3.5000000000000003E-2</v>
      </c>
      <c r="BT176" s="43">
        <v>3.5000000000000003E-2</v>
      </c>
      <c r="BU176" s="43">
        <v>3.5000000000000003E-2</v>
      </c>
      <c r="BV176" s="43">
        <v>3.5000000000000003E-2</v>
      </c>
      <c r="BW176" s="43">
        <v>3.5000000000000003E-2</v>
      </c>
      <c r="BX176" s="43">
        <v>3.5000000000000003E-2</v>
      </c>
      <c r="BY176" s="43">
        <v>3.5000000000000003E-2</v>
      </c>
      <c r="BZ176" s="43">
        <v>3.5000000000000003E-2</v>
      </c>
      <c r="CA176" s="43">
        <v>3.5000000000000003E-2</v>
      </c>
    </row>
    <row r="177" spans="1:79" s="66" customFormat="1" ht="19.5" thickBot="1">
      <c r="A177" s="12" t="s">
        <v>43</v>
      </c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175">
        <v>0.19</v>
      </c>
      <c r="U177" s="175">
        <v>9.5000000000000001E-2</v>
      </c>
      <c r="V177" s="175">
        <v>3.9E-2</v>
      </c>
      <c r="W177" s="175">
        <v>8.5000000000000006E-2</v>
      </c>
      <c r="X177" s="175">
        <v>6.6000000000000003E-2</v>
      </c>
      <c r="Y177" s="73">
        <v>4.5999999999999999E-2</v>
      </c>
      <c r="Z177" s="73">
        <v>7.0000000000000007E-2</v>
      </c>
      <c r="AA177" s="73">
        <v>8.3000000000000004E-2</v>
      </c>
      <c r="AB177" s="73">
        <v>0.10100000000000001</v>
      </c>
      <c r="AC177" s="73">
        <v>0.1</v>
      </c>
      <c r="AD177" s="73">
        <v>0.09</v>
      </c>
      <c r="AE177" s="73">
        <v>0.1</v>
      </c>
      <c r="AF177" s="73">
        <v>9.6000000000000002E-2</v>
      </c>
      <c r="AG177" s="73">
        <v>7.5999999999999998E-2</v>
      </c>
      <c r="AH177" s="73">
        <v>9.6000000000000002E-2</v>
      </c>
      <c r="AI177" s="73">
        <v>7.2999999999999995E-2</v>
      </c>
      <c r="AJ177" s="73">
        <v>6.7000000000000004E-2</v>
      </c>
      <c r="AK177" s="73">
        <v>8.6999999999999994E-2</v>
      </c>
      <c r="AL177" s="73">
        <v>0.12</v>
      </c>
      <c r="AM177" s="73">
        <v>0.14000000000000001</v>
      </c>
      <c r="AN177" s="73">
        <v>9.2999999999999999E-2</v>
      </c>
      <c r="AO177" s="73">
        <v>0.13200000000000001</v>
      </c>
      <c r="AP177" s="73">
        <v>6.9000000000000006E-2</v>
      </c>
      <c r="AQ177" s="73">
        <v>5.7000000000000002E-2</v>
      </c>
      <c r="AR177" s="73">
        <v>6.9000000000000006E-2</v>
      </c>
      <c r="AS177" s="73">
        <v>0.127</v>
      </c>
      <c r="AT177" s="73">
        <v>9.0999999999999998E-2</v>
      </c>
      <c r="AU177" s="73">
        <v>0.13700000000000001</v>
      </c>
      <c r="AV177" s="73">
        <v>0.112</v>
      </c>
      <c r="AW177" s="73">
        <v>0.1111</v>
      </c>
      <c r="AX177" s="73">
        <v>8.5999999999999993E-2</v>
      </c>
      <c r="AY177" s="73">
        <v>3.4000000000000002E-2</v>
      </c>
      <c r="AZ177" s="73">
        <v>7.0000000000000007E-2</v>
      </c>
      <c r="BA177" s="73">
        <v>4.1000000000000002E-2</v>
      </c>
      <c r="BB177" s="73">
        <v>9.7000000000000003E-2</v>
      </c>
      <c r="BC177" s="73">
        <v>8.5000000000000006E-2</v>
      </c>
      <c r="BD177" s="73">
        <v>0.13100000000000001</v>
      </c>
      <c r="BE177" s="73">
        <v>7.0000000000000007E-2</v>
      </c>
      <c r="BF177" s="73">
        <v>0.104</v>
      </c>
      <c r="BG177" s="73">
        <v>8.5999999999999993E-2</v>
      </c>
      <c r="BH177" s="73">
        <v>0.11899999999999999</v>
      </c>
      <c r="BI177" s="73"/>
      <c r="BJ177" s="73"/>
      <c r="BK177" s="74"/>
    </row>
    <row r="178" spans="1:79" s="16" customFormat="1" ht="19.5" thickBot="1">
      <c r="A178" s="28" t="s">
        <v>44</v>
      </c>
      <c r="B178" s="44">
        <v>0.08</v>
      </c>
      <c r="C178" s="44">
        <v>0.08</v>
      </c>
      <c r="D178" s="44">
        <v>0.08</v>
      </c>
      <c r="E178" s="44">
        <v>0.08</v>
      </c>
      <c r="F178" s="44">
        <v>0.08</v>
      </c>
      <c r="G178" s="44">
        <v>0.08</v>
      </c>
      <c r="H178" s="44">
        <v>0.08</v>
      </c>
      <c r="I178" s="44">
        <v>0.08</v>
      </c>
      <c r="J178" s="44">
        <v>0.08</v>
      </c>
      <c r="K178" s="44">
        <v>0.08</v>
      </c>
      <c r="L178" s="44">
        <v>0.08</v>
      </c>
      <c r="M178" s="44">
        <v>0.08</v>
      </c>
      <c r="N178" s="44">
        <v>0.08</v>
      </c>
      <c r="O178" s="44">
        <v>0.08</v>
      </c>
      <c r="P178" s="44">
        <v>0.08</v>
      </c>
      <c r="Q178" s="44">
        <v>0.08</v>
      </c>
      <c r="R178" s="44">
        <v>0.08</v>
      </c>
      <c r="S178" s="44">
        <v>0.08</v>
      </c>
      <c r="T178" s="44">
        <v>0.08</v>
      </c>
      <c r="U178" s="44">
        <v>0.08</v>
      </c>
      <c r="V178" s="44">
        <v>0.08</v>
      </c>
      <c r="W178" s="44">
        <v>0.08</v>
      </c>
      <c r="X178" s="44">
        <v>0.08</v>
      </c>
      <c r="Y178" s="44">
        <v>0.08</v>
      </c>
      <c r="Z178" s="44">
        <v>0.08</v>
      </c>
      <c r="AA178" s="44">
        <v>0.08</v>
      </c>
      <c r="AB178" s="44">
        <v>0.08</v>
      </c>
      <c r="AC178" s="44">
        <v>0.08</v>
      </c>
      <c r="AD178" s="44">
        <v>0.08</v>
      </c>
      <c r="AE178" s="44">
        <v>0.08</v>
      </c>
      <c r="AF178" s="44">
        <v>0.08</v>
      </c>
      <c r="AG178" s="44">
        <v>0.08</v>
      </c>
      <c r="AH178" s="44">
        <v>0.08</v>
      </c>
      <c r="AI178" s="44">
        <v>0.08</v>
      </c>
      <c r="AJ178" s="44">
        <v>0.08</v>
      </c>
      <c r="AK178" s="44">
        <v>0.08</v>
      </c>
      <c r="AL178" s="44">
        <v>0.08</v>
      </c>
      <c r="AM178" s="44">
        <v>0.08</v>
      </c>
      <c r="AN178" s="44">
        <v>0.08</v>
      </c>
      <c r="AO178" s="44">
        <v>0.08</v>
      </c>
      <c r="AP178" s="44">
        <v>0.08</v>
      </c>
      <c r="AQ178" s="44">
        <v>0.08</v>
      </c>
      <c r="AR178" s="44">
        <v>0.08</v>
      </c>
      <c r="AS178" s="44">
        <v>0.08</v>
      </c>
      <c r="AT178" s="44">
        <v>0.08</v>
      </c>
      <c r="AU178" s="44">
        <v>0.08</v>
      </c>
      <c r="AV178" s="44">
        <v>0.08</v>
      </c>
      <c r="AW178" s="44">
        <v>0.08</v>
      </c>
      <c r="AX178" s="44">
        <v>0.08</v>
      </c>
      <c r="AY178" s="44">
        <v>0.08</v>
      </c>
      <c r="AZ178" s="44">
        <v>0.08</v>
      </c>
      <c r="BA178" s="44">
        <v>0.08</v>
      </c>
      <c r="BB178" s="44">
        <v>0.08</v>
      </c>
      <c r="BC178" s="44">
        <v>0.08</v>
      </c>
      <c r="BD178" s="44">
        <v>0.08</v>
      </c>
      <c r="BE178" s="44">
        <v>0.08</v>
      </c>
      <c r="BF178" s="44">
        <v>0.08</v>
      </c>
      <c r="BG178" s="44">
        <v>0.08</v>
      </c>
      <c r="BH178" s="44">
        <v>0.08</v>
      </c>
      <c r="BI178" s="44">
        <v>0.08</v>
      </c>
      <c r="BJ178" s="44">
        <v>0.08</v>
      </c>
      <c r="BK178" s="44">
        <v>0.08</v>
      </c>
      <c r="BL178" s="44">
        <v>0.08</v>
      </c>
      <c r="BM178" s="44">
        <v>0.08</v>
      </c>
      <c r="BN178" s="44">
        <v>0.08</v>
      </c>
      <c r="BO178" s="44">
        <v>0.08</v>
      </c>
      <c r="BP178" s="44">
        <v>0.08</v>
      </c>
      <c r="BQ178" s="44">
        <v>0.08</v>
      </c>
      <c r="BR178" s="44">
        <v>0.08</v>
      </c>
      <c r="BS178" s="44">
        <v>0.08</v>
      </c>
      <c r="BT178" s="44">
        <v>0.08</v>
      </c>
      <c r="BU178" s="44">
        <v>0.08</v>
      </c>
      <c r="BV178" s="44">
        <v>0.08</v>
      </c>
      <c r="BW178" s="44">
        <v>0.08</v>
      </c>
      <c r="BX178" s="44">
        <v>0.08</v>
      </c>
      <c r="BY178" s="44">
        <v>0.08</v>
      </c>
      <c r="BZ178" s="44">
        <v>0.08</v>
      </c>
      <c r="CA178" s="44">
        <v>0.08</v>
      </c>
    </row>
    <row r="179" spans="1:79" s="16" customFormat="1" ht="19.5" thickBot="1">
      <c r="A179" s="25"/>
      <c r="B179" s="38"/>
      <c r="C179" s="39"/>
      <c r="D179" s="39"/>
      <c r="E179" s="40"/>
      <c r="F179" s="38"/>
      <c r="G179" s="39"/>
      <c r="H179" s="39"/>
      <c r="I179" s="40"/>
      <c r="J179" s="38"/>
      <c r="K179" s="39"/>
      <c r="L179" s="39"/>
      <c r="M179" s="39"/>
      <c r="N179" s="40"/>
      <c r="O179" s="38"/>
      <c r="P179" s="39"/>
      <c r="Q179" s="39"/>
      <c r="R179" s="40"/>
      <c r="S179" s="38"/>
      <c r="T179" s="39"/>
      <c r="U179" s="39"/>
      <c r="V179" s="40"/>
      <c r="W179" s="38"/>
      <c r="X179" s="39"/>
      <c r="Y179" s="39"/>
      <c r="Z179" s="39"/>
      <c r="AA179" s="40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</row>
    <row r="180" spans="1:79" s="83" customFormat="1">
      <c r="A180" s="10" t="s">
        <v>23</v>
      </c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>
        <v>16</v>
      </c>
      <c r="U180" s="95">
        <v>15</v>
      </c>
      <c r="V180" s="95">
        <v>17</v>
      </c>
      <c r="W180" s="95">
        <v>19</v>
      </c>
      <c r="X180" s="95">
        <v>18</v>
      </c>
      <c r="Y180" s="95">
        <v>14</v>
      </c>
      <c r="Z180" s="95">
        <v>13</v>
      </c>
      <c r="AA180" s="95">
        <v>17</v>
      </c>
      <c r="AB180" s="95">
        <v>16</v>
      </c>
      <c r="AC180" s="95">
        <v>23</v>
      </c>
      <c r="AD180" s="95">
        <v>20</v>
      </c>
      <c r="AE180" s="95">
        <v>20</v>
      </c>
      <c r="AF180" s="95">
        <v>21</v>
      </c>
      <c r="AG180" s="95">
        <v>18</v>
      </c>
      <c r="AH180" s="95">
        <v>17</v>
      </c>
      <c r="AI180" s="95">
        <v>19</v>
      </c>
      <c r="AJ180" s="95">
        <v>18</v>
      </c>
      <c r="AK180" s="95">
        <v>18</v>
      </c>
      <c r="AL180" s="95">
        <v>21</v>
      </c>
      <c r="AM180" s="95">
        <v>23</v>
      </c>
      <c r="AN180" s="95">
        <v>17</v>
      </c>
      <c r="AO180" s="95">
        <v>19</v>
      </c>
      <c r="AP180" s="95">
        <v>16</v>
      </c>
      <c r="AQ180" s="95">
        <v>19</v>
      </c>
      <c r="AR180" s="95">
        <v>22</v>
      </c>
      <c r="AS180" s="95">
        <v>17</v>
      </c>
      <c r="AT180" s="95">
        <v>15</v>
      </c>
      <c r="AU180" s="95">
        <v>21</v>
      </c>
      <c r="AV180" s="95">
        <v>18</v>
      </c>
      <c r="AW180" s="95">
        <v>17</v>
      </c>
      <c r="AX180" s="95">
        <v>17</v>
      </c>
      <c r="AY180" s="95">
        <v>17</v>
      </c>
      <c r="AZ180" s="95">
        <v>18</v>
      </c>
      <c r="BA180" s="95">
        <v>19</v>
      </c>
      <c r="BB180" s="95">
        <v>15</v>
      </c>
      <c r="BC180" s="95">
        <v>17</v>
      </c>
      <c r="BD180" s="95">
        <v>16</v>
      </c>
      <c r="BE180" s="95">
        <v>17</v>
      </c>
      <c r="BF180" s="95">
        <v>17</v>
      </c>
      <c r="BG180" s="95">
        <v>18</v>
      </c>
      <c r="BH180" s="95">
        <v>17</v>
      </c>
      <c r="BI180" s="95">
        <v>18</v>
      </c>
      <c r="BJ180" s="95"/>
      <c r="BK180" s="214"/>
    </row>
    <row r="181" spans="1:79" s="83" customFormat="1">
      <c r="A181" s="12" t="s">
        <v>24</v>
      </c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>
        <v>239</v>
      </c>
      <c r="U181" s="98">
        <v>222</v>
      </c>
      <c r="V181" s="98">
        <v>303</v>
      </c>
      <c r="W181" s="98">
        <v>257</v>
      </c>
      <c r="X181" s="98">
        <v>255</v>
      </c>
      <c r="Y181" s="98">
        <v>173</v>
      </c>
      <c r="Z181" s="98">
        <v>209</v>
      </c>
      <c r="AA181" s="98">
        <v>249</v>
      </c>
      <c r="AB181" s="98">
        <v>228</v>
      </c>
      <c r="AC181" s="98">
        <v>298</v>
      </c>
      <c r="AD181" s="98">
        <v>262</v>
      </c>
      <c r="AE181" s="98">
        <v>307</v>
      </c>
      <c r="AF181" s="98">
        <v>296</v>
      </c>
      <c r="AG181" s="98">
        <v>276</v>
      </c>
      <c r="AH181" s="98">
        <v>248</v>
      </c>
      <c r="AI181" s="98">
        <v>220</v>
      </c>
      <c r="AJ181" s="98">
        <v>283</v>
      </c>
      <c r="AK181" s="98">
        <v>252</v>
      </c>
      <c r="AL181" s="98">
        <v>259</v>
      </c>
      <c r="AM181" s="98">
        <v>209</v>
      </c>
      <c r="AN181" s="98">
        <v>252</v>
      </c>
      <c r="AO181" s="98">
        <v>257</v>
      </c>
      <c r="AP181" s="98">
        <v>220</v>
      </c>
      <c r="AQ181" s="98">
        <v>278</v>
      </c>
      <c r="AR181" s="98">
        <v>248</v>
      </c>
      <c r="AS181" s="98">
        <v>244</v>
      </c>
      <c r="AT181" s="98">
        <v>209</v>
      </c>
      <c r="AU181" s="98">
        <v>282</v>
      </c>
      <c r="AV181" s="98">
        <v>262</v>
      </c>
      <c r="AW181" s="98">
        <v>218</v>
      </c>
      <c r="AX181" s="98">
        <v>235</v>
      </c>
      <c r="AY181" s="98">
        <v>229</v>
      </c>
      <c r="AZ181" s="98">
        <v>224</v>
      </c>
      <c r="BA181" s="98">
        <v>248</v>
      </c>
      <c r="BB181" s="98">
        <v>243</v>
      </c>
      <c r="BC181" s="98">
        <v>154</v>
      </c>
      <c r="BD181" s="98">
        <v>229</v>
      </c>
      <c r="BE181" s="98">
        <v>276</v>
      </c>
      <c r="BF181" s="98">
        <v>245</v>
      </c>
      <c r="BG181" s="98">
        <v>269</v>
      </c>
      <c r="BH181" s="98">
        <v>258</v>
      </c>
      <c r="BI181" s="98">
        <v>235</v>
      </c>
      <c r="BJ181" s="98"/>
      <c r="BK181" s="209"/>
    </row>
    <row r="182" spans="1:79" s="83" customFormat="1">
      <c r="A182" s="12" t="s">
        <v>45</v>
      </c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  <c r="AO182" s="98"/>
      <c r="AP182" s="98"/>
      <c r="AQ182" s="98"/>
      <c r="AR182" s="98"/>
      <c r="AS182" s="98">
        <v>40</v>
      </c>
      <c r="AT182" s="98">
        <v>50</v>
      </c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209"/>
    </row>
    <row r="183" spans="1:79" s="83" customFormat="1" ht="19.5" thickBot="1">
      <c r="A183" s="54" t="s">
        <v>102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98">
        <v>70</v>
      </c>
      <c r="U183" s="98">
        <v>68</v>
      </c>
      <c r="V183" s="98">
        <v>67</v>
      </c>
      <c r="W183" s="98">
        <v>68</v>
      </c>
      <c r="X183" s="98">
        <v>68</v>
      </c>
      <c r="Y183" s="131">
        <v>68</v>
      </c>
      <c r="Z183" s="131">
        <v>68</v>
      </c>
      <c r="AA183" s="131">
        <v>70</v>
      </c>
      <c r="AB183" s="131">
        <v>68</v>
      </c>
      <c r="AC183" s="131">
        <v>68</v>
      </c>
      <c r="AD183" s="131">
        <v>68</v>
      </c>
      <c r="AE183" s="131">
        <v>68</v>
      </c>
      <c r="AF183" s="131">
        <v>68</v>
      </c>
      <c r="AG183" s="131">
        <v>67</v>
      </c>
      <c r="AH183" s="131">
        <v>68</v>
      </c>
      <c r="AI183" s="131">
        <v>68</v>
      </c>
      <c r="AJ183" s="131">
        <v>119</v>
      </c>
      <c r="AK183" s="131">
        <v>71</v>
      </c>
      <c r="AL183" s="131">
        <v>83</v>
      </c>
      <c r="AM183" s="131">
        <v>83</v>
      </c>
      <c r="AN183" s="131">
        <v>80</v>
      </c>
      <c r="AO183" s="131">
        <v>78</v>
      </c>
      <c r="AP183" s="131">
        <v>83</v>
      </c>
      <c r="AQ183" s="131">
        <v>78</v>
      </c>
      <c r="AR183" s="131">
        <v>76</v>
      </c>
      <c r="AS183" s="131">
        <v>77</v>
      </c>
      <c r="AT183" s="131">
        <v>50</v>
      </c>
      <c r="AU183" s="131">
        <v>94</v>
      </c>
      <c r="AV183" s="131">
        <v>83</v>
      </c>
      <c r="AW183" s="131">
        <v>82</v>
      </c>
      <c r="AX183" s="131">
        <v>75</v>
      </c>
      <c r="AY183" s="131">
        <v>79</v>
      </c>
      <c r="AZ183" s="131">
        <v>77</v>
      </c>
      <c r="BA183" s="131">
        <v>81</v>
      </c>
      <c r="BB183" s="131">
        <v>79</v>
      </c>
      <c r="BC183" s="131">
        <v>50</v>
      </c>
      <c r="BD183" s="131">
        <v>69</v>
      </c>
      <c r="BE183" s="131">
        <v>89</v>
      </c>
      <c r="BF183" s="131">
        <v>89</v>
      </c>
      <c r="BG183" s="131">
        <v>82</v>
      </c>
      <c r="BH183" s="131">
        <v>77</v>
      </c>
      <c r="BI183" s="131">
        <v>72</v>
      </c>
      <c r="BJ183" s="131"/>
      <c r="BK183" s="215"/>
    </row>
    <row r="184" spans="1:79" s="66" customFormat="1" ht="19.5" thickBot="1">
      <c r="A184" s="55" t="s">
        <v>25</v>
      </c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74">
        <f>T181/T180</f>
        <v>14.9375</v>
      </c>
      <c r="U184" s="174">
        <f t="shared" ref="U184:X184" si="469">U181/U180</f>
        <v>14.8</v>
      </c>
      <c r="V184" s="174">
        <v>13.8</v>
      </c>
      <c r="W184" s="174">
        <f t="shared" si="469"/>
        <v>13.526315789473685</v>
      </c>
      <c r="X184" s="174">
        <f t="shared" si="469"/>
        <v>14.166666666666666</v>
      </c>
      <c r="Y184" s="128">
        <v>13.6</v>
      </c>
      <c r="Z184" s="128">
        <v>16.100000000000001</v>
      </c>
      <c r="AA184" s="128">
        <v>15</v>
      </c>
      <c r="AB184" s="127">
        <v>14.95</v>
      </c>
      <c r="AC184" s="127">
        <v>12.96</v>
      </c>
      <c r="AD184" s="127">
        <v>13.5</v>
      </c>
      <c r="AE184" s="127">
        <v>14.1</v>
      </c>
      <c r="AF184" s="127">
        <v>15.5</v>
      </c>
      <c r="AG184" s="127">
        <v>15.4</v>
      </c>
      <c r="AH184" s="127">
        <v>14.3</v>
      </c>
      <c r="AI184" s="127">
        <v>11.6</v>
      </c>
      <c r="AJ184" s="127">
        <v>15.5</v>
      </c>
      <c r="AK184" s="127">
        <v>15</v>
      </c>
      <c r="AL184" s="127">
        <v>13.4</v>
      </c>
      <c r="AM184" s="127">
        <v>13.1</v>
      </c>
      <c r="AN184" s="127">
        <v>14.7</v>
      </c>
      <c r="AO184" s="127">
        <v>12.4</v>
      </c>
      <c r="AP184" s="127">
        <v>13.9</v>
      </c>
      <c r="AQ184" s="127">
        <v>14.6</v>
      </c>
      <c r="AR184" s="127">
        <v>14.1</v>
      </c>
      <c r="AS184" s="127">
        <v>14.7</v>
      </c>
      <c r="AT184" s="127">
        <v>14.2</v>
      </c>
      <c r="AU184" s="127">
        <v>13.4</v>
      </c>
      <c r="AV184" s="127">
        <v>14.8</v>
      </c>
      <c r="AW184" s="127">
        <v>12.9</v>
      </c>
      <c r="AX184" s="127">
        <v>14</v>
      </c>
      <c r="AY184" s="127">
        <v>13.6</v>
      </c>
      <c r="AZ184" s="127">
        <v>12.5</v>
      </c>
      <c r="BA184" s="127">
        <v>13.1</v>
      </c>
      <c r="BB184" s="127">
        <v>15.9</v>
      </c>
      <c r="BC184" s="127">
        <v>12.7</v>
      </c>
      <c r="BD184" s="127">
        <v>14.3</v>
      </c>
      <c r="BE184" s="127">
        <v>13.1</v>
      </c>
      <c r="BF184" s="127">
        <v>14.3</v>
      </c>
      <c r="BG184" s="127">
        <v>14.6</v>
      </c>
      <c r="BH184" s="127">
        <v>15.2</v>
      </c>
      <c r="BI184" s="127">
        <v>12.8</v>
      </c>
      <c r="BJ184" s="127"/>
      <c r="BK184" s="211"/>
    </row>
    <row r="185" spans="1:79" s="11" customFormat="1" ht="19.5" thickBot="1">
      <c r="A185" s="53" t="s">
        <v>26</v>
      </c>
      <c r="B185" s="29">
        <v>14.2</v>
      </c>
      <c r="C185" s="29">
        <v>14.2</v>
      </c>
      <c r="D185" s="29">
        <v>14.2</v>
      </c>
      <c r="E185" s="29">
        <v>14.2</v>
      </c>
      <c r="F185" s="29">
        <v>14.2</v>
      </c>
      <c r="G185" s="29">
        <v>14.2</v>
      </c>
      <c r="H185" s="29">
        <v>14.2</v>
      </c>
      <c r="I185" s="29">
        <v>14.2</v>
      </c>
      <c r="J185" s="29">
        <v>14.2</v>
      </c>
      <c r="K185" s="29">
        <v>14.2</v>
      </c>
      <c r="L185" s="29">
        <v>14.2</v>
      </c>
      <c r="M185" s="29">
        <v>14.2</v>
      </c>
      <c r="N185" s="29">
        <v>14.2</v>
      </c>
      <c r="O185" s="29">
        <v>14.2</v>
      </c>
      <c r="P185" s="29">
        <v>14.2</v>
      </c>
      <c r="Q185" s="29">
        <v>14.2</v>
      </c>
      <c r="R185" s="29">
        <v>14.2</v>
      </c>
      <c r="S185" s="29">
        <v>14.2</v>
      </c>
      <c r="T185" s="29">
        <v>14.2</v>
      </c>
      <c r="U185" s="29">
        <v>14.2</v>
      </c>
      <c r="V185" s="29">
        <v>14.2</v>
      </c>
      <c r="W185" s="29">
        <v>14.2</v>
      </c>
      <c r="X185" s="29">
        <v>14.2</v>
      </c>
      <c r="Y185" s="29">
        <v>14.2</v>
      </c>
      <c r="Z185" s="29">
        <v>14.2</v>
      </c>
      <c r="AA185" s="29">
        <v>14.2</v>
      </c>
      <c r="AB185" s="29">
        <v>14.2</v>
      </c>
      <c r="AC185" s="29">
        <v>14.2</v>
      </c>
      <c r="AD185" s="29">
        <v>14.2</v>
      </c>
      <c r="AE185" s="29">
        <v>14.2</v>
      </c>
      <c r="AF185" s="29">
        <v>14.2</v>
      </c>
      <c r="AG185" s="29">
        <v>14.2</v>
      </c>
      <c r="AH185" s="29">
        <v>14.2</v>
      </c>
      <c r="AI185" s="29">
        <v>14.2</v>
      </c>
      <c r="AJ185" s="29">
        <v>14.2</v>
      </c>
      <c r="AK185" s="29">
        <v>14.2</v>
      </c>
      <c r="AL185" s="29">
        <v>14.2</v>
      </c>
      <c r="AM185" s="29">
        <v>14.2</v>
      </c>
      <c r="AN185" s="29">
        <v>14.2</v>
      </c>
      <c r="AO185" s="29">
        <v>14.2</v>
      </c>
      <c r="AP185" s="29">
        <v>14.2</v>
      </c>
      <c r="AQ185" s="29">
        <v>14.2</v>
      </c>
      <c r="AR185" s="29">
        <v>14.2</v>
      </c>
      <c r="AS185" s="29">
        <v>14.2</v>
      </c>
      <c r="AT185" s="29">
        <v>14.2</v>
      </c>
      <c r="AU185" s="29">
        <v>14.2</v>
      </c>
      <c r="AV185" s="29">
        <v>14.2</v>
      </c>
      <c r="AW185" s="29">
        <v>14.2</v>
      </c>
      <c r="AX185" s="29">
        <v>14.2</v>
      </c>
      <c r="AY185" s="29">
        <v>14.2</v>
      </c>
      <c r="AZ185" s="29">
        <v>14.2</v>
      </c>
      <c r="BA185" s="29">
        <v>14.2</v>
      </c>
      <c r="BB185" s="29">
        <v>14.2</v>
      </c>
      <c r="BC185" s="29">
        <v>14.2</v>
      </c>
      <c r="BD185" s="29">
        <v>14.2</v>
      </c>
      <c r="BE185" s="29">
        <v>14.2</v>
      </c>
      <c r="BF185" s="29">
        <v>14.2</v>
      </c>
      <c r="BG185" s="29">
        <v>14.2</v>
      </c>
      <c r="BH185" s="29">
        <v>14.2</v>
      </c>
      <c r="BI185" s="29">
        <v>14.2</v>
      </c>
      <c r="BJ185" s="29">
        <v>14.2</v>
      </c>
      <c r="BK185" s="29">
        <v>14.2</v>
      </c>
      <c r="BL185" s="29">
        <v>14.2</v>
      </c>
      <c r="BM185" s="29">
        <v>14.2</v>
      </c>
      <c r="BN185" s="29">
        <v>14.2</v>
      </c>
      <c r="BO185" s="29">
        <v>14.2</v>
      </c>
      <c r="BP185" s="29">
        <v>14.2</v>
      </c>
      <c r="BQ185" s="29">
        <v>14.2</v>
      </c>
      <c r="BR185" s="29">
        <v>14.2</v>
      </c>
      <c r="BS185" s="29">
        <v>14.2</v>
      </c>
      <c r="BT185" s="29">
        <v>14.2</v>
      </c>
      <c r="BU185" s="29">
        <v>14.2</v>
      </c>
      <c r="BV185" s="29">
        <v>14.2</v>
      </c>
      <c r="BW185" s="29">
        <v>14.2</v>
      </c>
      <c r="BX185" s="29">
        <v>14.2</v>
      </c>
      <c r="BY185" s="29">
        <v>14.2</v>
      </c>
      <c r="BZ185" s="29">
        <v>14.2</v>
      </c>
      <c r="CA185" s="29">
        <v>14.2</v>
      </c>
    </row>
    <row r="186" spans="1:79" s="16" customFormat="1">
      <c r="A186" s="25"/>
      <c r="B186" s="26"/>
      <c r="C186" s="27"/>
      <c r="D186" s="27"/>
      <c r="E186" s="27"/>
      <c r="F186" s="26"/>
      <c r="G186" s="27"/>
      <c r="H186" s="27"/>
      <c r="I186" s="27"/>
      <c r="J186" s="26"/>
      <c r="K186" s="27"/>
      <c r="L186" s="27"/>
      <c r="M186" s="27"/>
      <c r="N186" s="27"/>
      <c r="O186" s="26"/>
      <c r="P186" s="27"/>
      <c r="Q186" s="27"/>
      <c r="R186" s="27"/>
      <c r="S186" s="26"/>
      <c r="T186" s="27"/>
      <c r="U186" s="27"/>
      <c r="V186" s="27"/>
      <c r="W186" s="26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</row>
    <row r="187" spans="1:79" s="16" customFormat="1" ht="19.5" thickBot="1">
      <c r="A187" s="25"/>
      <c r="B187" s="26"/>
      <c r="C187" s="27"/>
      <c r="D187" s="27"/>
      <c r="E187" s="27"/>
      <c r="F187" s="26"/>
      <c r="G187" s="27"/>
      <c r="H187" s="27"/>
      <c r="I187" s="27"/>
      <c r="J187" s="26"/>
      <c r="K187" s="27"/>
      <c r="L187" s="27"/>
      <c r="M187" s="27"/>
      <c r="N187" s="27"/>
      <c r="O187" s="26"/>
      <c r="P187" s="27"/>
      <c r="Q187" s="27"/>
      <c r="R187" s="27"/>
      <c r="S187" s="26"/>
      <c r="T187" s="27"/>
      <c r="U187" s="27"/>
      <c r="V187" s="27"/>
      <c r="W187" s="26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</row>
    <row r="188" spans="1:79" s="66" customFormat="1" ht="19.5" thickBot="1">
      <c r="A188" s="10" t="s">
        <v>27</v>
      </c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>
        <v>7.5</v>
      </c>
      <c r="U188" s="128">
        <v>7.7</v>
      </c>
      <c r="V188" s="128">
        <v>7</v>
      </c>
      <c r="W188" s="128">
        <v>8</v>
      </c>
      <c r="X188" s="128">
        <v>7.3</v>
      </c>
      <c r="Y188" s="128">
        <v>8.4</v>
      </c>
      <c r="Z188" s="128">
        <v>7.4</v>
      </c>
      <c r="AA188" s="128">
        <v>6.8</v>
      </c>
      <c r="AB188" s="127">
        <v>7.6</v>
      </c>
      <c r="AC188" s="127">
        <v>7.34</v>
      </c>
      <c r="AD188" s="127">
        <v>7.7</v>
      </c>
      <c r="AE188" s="127">
        <v>7.11</v>
      </c>
      <c r="AF188" s="127">
        <v>7.2</v>
      </c>
      <c r="AG188" s="127">
        <v>6.6</v>
      </c>
      <c r="AH188" s="127">
        <v>6.8</v>
      </c>
      <c r="AI188" s="127">
        <v>7.7</v>
      </c>
      <c r="AJ188" s="127">
        <v>6.6</v>
      </c>
      <c r="AK188" s="127">
        <v>7.22</v>
      </c>
      <c r="AL188" s="127">
        <v>7.1</v>
      </c>
      <c r="AM188" s="127">
        <v>6.5</v>
      </c>
      <c r="AN188" s="127">
        <v>6.8</v>
      </c>
      <c r="AO188" s="127">
        <v>6.3</v>
      </c>
      <c r="AP188" s="127">
        <v>7.1</v>
      </c>
      <c r="AQ188" s="127">
        <v>6.4</v>
      </c>
      <c r="AR188" s="127">
        <v>6.7</v>
      </c>
      <c r="AS188" s="127">
        <v>6.8</v>
      </c>
      <c r="AT188" s="127">
        <v>6.8</v>
      </c>
      <c r="AU188" s="127">
        <v>7.2</v>
      </c>
      <c r="AV188" s="127">
        <v>6.9</v>
      </c>
      <c r="AW188" s="127">
        <v>8.1</v>
      </c>
      <c r="AX188" s="127">
        <v>7.3</v>
      </c>
      <c r="AY188" s="127">
        <v>8</v>
      </c>
      <c r="AZ188" s="127">
        <v>7.3</v>
      </c>
      <c r="BA188" s="127">
        <v>8.1</v>
      </c>
      <c r="BB188" s="127">
        <v>7.2</v>
      </c>
      <c r="BC188" s="127">
        <v>8.3000000000000007</v>
      </c>
      <c r="BD188" s="127">
        <v>6.7</v>
      </c>
      <c r="BE188" s="127">
        <v>8.1</v>
      </c>
      <c r="BF188" s="127">
        <v>7.3</v>
      </c>
      <c r="BG188" s="127">
        <v>7.4</v>
      </c>
      <c r="BH188" s="127">
        <v>7.5</v>
      </c>
      <c r="BI188" s="127">
        <v>8.1</v>
      </c>
      <c r="BJ188" s="127"/>
      <c r="BK188" s="211"/>
    </row>
    <row r="189" spans="1:79" s="11" customFormat="1" ht="19.5" thickBot="1">
      <c r="A189" s="12" t="s">
        <v>28</v>
      </c>
      <c r="B189" s="17">
        <v>7.5</v>
      </c>
      <c r="C189" s="17">
        <v>7.5</v>
      </c>
      <c r="D189" s="17">
        <v>7.5</v>
      </c>
      <c r="E189" s="17">
        <v>7.5</v>
      </c>
      <c r="F189" s="17">
        <v>7.5</v>
      </c>
      <c r="G189" s="17">
        <v>7.5</v>
      </c>
      <c r="H189" s="17">
        <v>7.5</v>
      </c>
      <c r="I189" s="17">
        <v>7.5</v>
      </c>
      <c r="J189" s="17">
        <v>7.5</v>
      </c>
      <c r="K189" s="17">
        <v>7.5</v>
      </c>
      <c r="L189" s="17">
        <v>7.5</v>
      </c>
      <c r="M189" s="17">
        <v>7.5</v>
      </c>
      <c r="N189" s="17">
        <v>7.5</v>
      </c>
      <c r="O189" s="17">
        <v>7.5</v>
      </c>
      <c r="P189" s="17">
        <v>7.5</v>
      </c>
      <c r="Q189" s="17">
        <v>7.5</v>
      </c>
      <c r="R189" s="17">
        <v>7.5</v>
      </c>
      <c r="S189" s="17">
        <v>7.5</v>
      </c>
      <c r="T189" s="17">
        <v>7.5</v>
      </c>
      <c r="U189" s="17">
        <v>7.5</v>
      </c>
      <c r="V189" s="17">
        <v>7.5</v>
      </c>
      <c r="W189" s="17">
        <v>7.5</v>
      </c>
      <c r="X189" s="17">
        <v>7.5</v>
      </c>
      <c r="Y189" s="17">
        <v>7.5</v>
      </c>
      <c r="Z189" s="17">
        <v>7.5</v>
      </c>
      <c r="AA189" s="17">
        <v>7.5</v>
      </c>
      <c r="AB189" s="17">
        <v>7.5</v>
      </c>
      <c r="AC189" s="17">
        <v>7.5</v>
      </c>
      <c r="AD189" s="17">
        <v>7.5</v>
      </c>
      <c r="AE189" s="17">
        <v>7.5</v>
      </c>
      <c r="AF189" s="17">
        <v>7.5</v>
      </c>
      <c r="AG189" s="17">
        <v>7.5</v>
      </c>
      <c r="AH189" s="17">
        <v>7.5</v>
      </c>
      <c r="AI189" s="17">
        <v>7.5</v>
      </c>
      <c r="AJ189" s="17">
        <v>7.5</v>
      </c>
      <c r="AK189" s="17">
        <v>7.5</v>
      </c>
      <c r="AL189" s="17">
        <v>7.5</v>
      </c>
      <c r="AM189" s="17">
        <v>7.5</v>
      </c>
      <c r="AN189" s="17">
        <v>7.5</v>
      </c>
      <c r="AO189" s="17">
        <v>7.5</v>
      </c>
      <c r="AP189" s="17">
        <v>7.5</v>
      </c>
      <c r="AQ189" s="17">
        <v>7.5</v>
      </c>
      <c r="AR189" s="17">
        <v>7.5</v>
      </c>
      <c r="AS189" s="17">
        <v>7.5</v>
      </c>
      <c r="AT189" s="17">
        <v>7.5</v>
      </c>
      <c r="AU189" s="17">
        <v>7.5</v>
      </c>
      <c r="AV189" s="17">
        <v>7.5</v>
      </c>
      <c r="AW189" s="17">
        <v>7.5</v>
      </c>
      <c r="AX189" s="17">
        <v>7.5</v>
      </c>
      <c r="AY189" s="17">
        <v>7.5</v>
      </c>
      <c r="AZ189" s="17">
        <v>7.5</v>
      </c>
      <c r="BA189" s="17">
        <v>7.5</v>
      </c>
      <c r="BB189" s="17">
        <v>7.5</v>
      </c>
      <c r="BC189" s="17">
        <v>7.5</v>
      </c>
      <c r="BD189" s="17">
        <v>7.5</v>
      </c>
      <c r="BE189" s="17">
        <v>7.5</v>
      </c>
      <c r="BF189" s="17">
        <v>7.5</v>
      </c>
      <c r="BG189" s="17">
        <v>7.5</v>
      </c>
      <c r="BH189" s="17">
        <v>7.5</v>
      </c>
      <c r="BI189" s="17">
        <v>7.5</v>
      </c>
      <c r="BJ189" s="17">
        <v>7.5</v>
      </c>
      <c r="BK189" s="17">
        <v>7.5</v>
      </c>
      <c r="BL189" s="17">
        <v>7.5</v>
      </c>
      <c r="BM189" s="17">
        <v>7.5</v>
      </c>
      <c r="BN189" s="17">
        <v>7.5</v>
      </c>
      <c r="BO189" s="17">
        <v>7.5</v>
      </c>
      <c r="BP189" s="17">
        <v>7.5</v>
      </c>
      <c r="BQ189" s="17">
        <v>7.5</v>
      </c>
      <c r="BR189" s="17">
        <v>7.5</v>
      </c>
      <c r="BS189" s="17">
        <v>7.5</v>
      </c>
      <c r="BT189" s="17">
        <v>7.5</v>
      </c>
      <c r="BU189" s="17">
        <v>7.5</v>
      </c>
      <c r="BV189" s="17">
        <v>7.5</v>
      </c>
      <c r="BW189" s="17">
        <v>7.5</v>
      </c>
      <c r="BX189" s="17">
        <v>7.5</v>
      </c>
      <c r="BY189" s="17">
        <v>7.5</v>
      </c>
      <c r="BZ189" s="17">
        <v>7.5</v>
      </c>
      <c r="CA189" s="17">
        <v>7.5</v>
      </c>
    </row>
    <row r="190" spans="1:79" s="66" customFormat="1">
      <c r="A190" s="12" t="s">
        <v>46</v>
      </c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>
        <v>107.3</v>
      </c>
      <c r="U190" s="71">
        <v>110</v>
      </c>
      <c r="V190" s="71">
        <v>96.7</v>
      </c>
      <c r="W190" s="71">
        <v>106.7</v>
      </c>
      <c r="X190" s="71">
        <v>99.5</v>
      </c>
      <c r="Y190" s="71">
        <v>108.6</v>
      </c>
      <c r="Z190" s="71">
        <v>111</v>
      </c>
      <c r="AA190" s="71">
        <v>101.7</v>
      </c>
      <c r="AB190" s="71">
        <v>105.7</v>
      </c>
      <c r="AC190" s="71">
        <v>95.13</v>
      </c>
      <c r="AD190" s="71">
        <v>103.6</v>
      </c>
      <c r="AE190" s="71">
        <v>115.5</v>
      </c>
      <c r="AF190" s="71">
        <v>111.7</v>
      </c>
      <c r="AG190" s="71">
        <v>101.3</v>
      </c>
      <c r="AH190" s="71">
        <v>96.4</v>
      </c>
      <c r="AI190" s="71">
        <v>89.1</v>
      </c>
      <c r="AJ190" s="71">
        <v>101.5</v>
      </c>
      <c r="AK190" s="71">
        <v>108.2</v>
      </c>
      <c r="AL190" s="71">
        <v>94.3</v>
      </c>
      <c r="AM190" s="71">
        <v>84.7</v>
      </c>
      <c r="AN190" s="71">
        <v>99.4</v>
      </c>
      <c r="AO190" s="71">
        <v>78</v>
      </c>
      <c r="AP190" s="71">
        <v>98.8</v>
      </c>
      <c r="AQ190" s="71">
        <v>92.3</v>
      </c>
      <c r="AR190" s="71">
        <v>94.8</v>
      </c>
      <c r="AS190" s="71">
        <v>100.8</v>
      </c>
      <c r="AT190" s="71">
        <v>96.5</v>
      </c>
      <c r="AU190" s="71">
        <v>96.04</v>
      </c>
      <c r="AV190" s="71">
        <v>101.8</v>
      </c>
      <c r="AW190" s="71">
        <v>104</v>
      </c>
      <c r="AX190" s="71">
        <v>101.6</v>
      </c>
      <c r="AY190" s="71">
        <v>108.3</v>
      </c>
      <c r="AZ190" s="71">
        <v>91.2</v>
      </c>
      <c r="BA190" s="71">
        <v>106.5</v>
      </c>
      <c r="BB190" s="71">
        <v>114.7</v>
      </c>
      <c r="BC190" s="71">
        <v>104.9</v>
      </c>
      <c r="BD190" s="71">
        <v>96.5</v>
      </c>
      <c r="BE190" s="71">
        <v>106.3</v>
      </c>
      <c r="BF190" s="71">
        <v>105.5</v>
      </c>
      <c r="BG190" s="71">
        <v>108.5</v>
      </c>
      <c r="BH190" s="71">
        <v>113.5</v>
      </c>
      <c r="BI190" s="71">
        <v>108.9</v>
      </c>
      <c r="BJ190" s="71"/>
      <c r="BK190" s="72"/>
    </row>
    <row r="191" spans="1:79" s="16" customFormat="1" ht="19.5" thickBot="1">
      <c r="A191" s="28" t="s">
        <v>47</v>
      </c>
      <c r="B191" s="46">
        <v>105</v>
      </c>
      <c r="C191" s="46">
        <v>105</v>
      </c>
      <c r="D191" s="46">
        <v>105</v>
      </c>
      <c r="E191" s="46">
        <v>105</v>
      </c>
      <c r="F191" s="46">
        <v>105</v>
      </c>
      <c r="G191" s="46">
        <v>105</v>
      </c>
      <c r="H191" s="46">
        <v>105</v>
      </c>
      <c r="I191" s="46">
        <v>105</v>
      </c>
      <c r="J191" s="46">
        <v>105</v>
      </c>
      <c r="K191" s="46">
        <v>105</v>
      </c>
      <c r="L191" s="46">
        <v>105</v>
      </c>
      <c r="M191" s="46">
        <v>105</v>
      </c>
      <c r="N191" s="46">
        <v>105</v>
      </c>
      <c r="O191" s="46">
        <v>105</v>
      </c>
      <c r="P191" s="46">
        <v>105</v>
      </c>
      <c r="Q191" s="46">
        <v>105</v>
      </c>
      <c r="R191" s="46">
        <v>105</v>
      </c>
      <c r="S191" s="46">
        <v>105</v>
      </c>
      <c r="T191" s="46">
        <v>105</v>
      </c>
      <c r="U191" s="46">
        <v>105</v>
      </c>
      <c r="V191" s="46">
        <v>105</v>
      </c>
      <c r="W191" s="46">
        <v>105</v>
      </c>
      <c r="X191" s="46">
        <v>105</v>
      </c>
      <c r="Y191" s="46">
        <v>105</v>
      </c>
      <c r="Z191" s="46">
        <v>105</v>
      </c>
      <c r="AA191" s="46">
        <v>105</v>
      </c>
      <c r="AB191" s="46">
        <v>105</v>
      </c>
      <c r="AC191" s="46">
        <v>105</v>
      </c>
      <c r="AD191" s="46">
        <v>105</v>
      </c>
      <c r="AE191" s="46">
        <v>105</v>
      </c>
      <c r="AF191" s="46">
        <v>105</v>
      </c>
      <c r="AG191" s="46">
        <v>105</v>
      </c>
      <c r="AH191" s="46">
        <v>105</v>
      </c>
      <c r="AI191" s="46">
        <v>105</v>
      </c>
      <c r="AJ191" s="46">
        <v>105</v>
      </c>
      <c r="AK191" s="46">
        <v>105</v>
      </c>
      <c r="AL191" s="46">
        <v>105</v>
      </c>
      <c r="AM191" s="46">
        <v>105</v>
      </c>
      <c r="AN191" s="46">
        <v>105</v>
      </c>
      <c r="AO191" s="46">
        <v>105</v>
      </c>
      <c r="AP191" s="46">
        <v>105</v>
      </c>
      <c r="AQ191" s="46">
        <v>105</v>
      </c>
      <c r="AR191" s="46">
        <v>105</v>
      </c>
      <c r="AS191" s="46">
        <v>105</v>
      </c>
      <c r="AT191" s="46">
        <v>105</v>
      </c>
      <c r="AU191" s="46">
        <v>105</v>
      </c>
      <c r="AV191" s="46">
        <v>105</v>
      </c>
      <c r="AW191" s="46">
        <v>105</v>
      </c>
      <c r="AX191" s="46">
        <v>105</v>
      </c>
      <c r="AY191" s="46">
        <v>105</v>
      </c>
      <c r="AZ191" s="46">
        <v>105</v>
      </c>
      <c r="BA191" s="46">
        <v>105</v>
      </c>
      <c r="BB191" s="46">
        <v>105</v>
      </c>
      <c r="BC191" s="46">
        <v>105</v>
      </c>
      <c r="BD191" s="46">
        <v>105</v>
      </c>
      <c r="BE191" s="46">
        <v>105</v>
      </c>
      <c r="BF191" s="46">
        <v>105</v>
      </c>
      <c r="BG191" s="46">
        <v>105</v>
      </c>
      <c r="BH191" s="46">
        <v>105</v>
      </c>
      <c r="BI191" s="46">
        <v>105</v>
      </c>
      <c r="BJ191" s="46">
        <v>105</v>
      </c>
      <c r="BK191" s="46">
        <v>105</v>
      </c>
      <c r="BL191" s="46">
        <v>105</v>
      </c>
      <c r="BM191" s="46">
        <v>105</v>
      </c>
      <c r="BN191" s="46">
        <v>105</v>
      </c>
      <c r="BO191" s="46">
        <v>105</v>
      </c>
      <c r="BP191" s="46">
        <v>105</v>
      </c>
      <c r="BQ191" s="46">
        <v>105</v>
      </c>
      <c r="BR191" s="46">
        <v>105</v>
      </c>
      <c r="BS191" s="46">
        <v>105</v>
      </c>
      <c r="BT191" s="46">
        <v>105</v>
      </c>
      <c r="BU191" s="46">
        <v>105</v>
      </c>
      <c r="BV191" s="46">
        <v>105</v>
      </c>
      <c r="BW191" s="46">
        <v>105</v>
      </c>
      <c r="BX191" s="46">
        <v>105</v>
      </c>
      <c r="BY191" s="46">
        <v>105</v>
      </c>
      <c r="BZ191" s="46">
        <v>105</v>
      </c>
      <c r="CA191" s="46">
        <v>105</v>
      </c>
    </row>
    <row r="192" spans="1:79" s="16" customFormat="1" ht="19.5" thickBot="1">
      <c r="A192" s="25"/>
      <c r="B192" s="31"/>
      <c r="C192" s="35"/>
      <c r="D192" s="35"/>
      <c r="E192" s="45"/>
      <c r="F192" s="31"/>
      <c r="G192" s="35"/>
      <c r="H192" s="35"/>
      <c r="I192" s="45"/>
      <c r="J192" s="31"/>
      <c r="K192" s="35"/>
      <c r="L192" s="35"/>
      <c r="M192" s="35"/>
      <c r="N192" s="45"/>
      <c r="O192" s="31"/>
      <c r="P192" s="35"/>
      <c r="Q192" s="35"/>
      <c r="R192" s="45"/>
      <c r="S192" s="31"/>
      <c r="T192" s="35"/>
      <c r="U192" s="35"/>
      <c r="V192" s="45"/>
      <c r="W192" s="31"/>
      <c r="X192" s="35"/>
      <c r="Y192" s="35"/>
      <c r="Z192" s="35"/>
      <c r="AA192" s="4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45"/>
    </row>
    <row r="193" spans="1:79" s="67" customFormat="1">
      <c r="A193" s="47" t="s">
        <v>48</v>
      </c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>
        <v>0.19800000000000001</v>
      </c>
      <c r="U193" s="130">
        <v>7.0999999999999994E-2</v>
      </c>
      <c r="V193" s="130">
        <v>3.2000000000000001E-2</v>
      </c>
      <c r="W193" s="130">
        <v>2.4E-2</v>
      </c>
      <c r="X193" s="130">
        <v>0.127</v>
      </c>
      <c r="Y193" s="130">
        <v>0.16600000000000001</v>
      </c>
      <c r="Z193" s="130">
        <v>0.14399999999999999</v>
      </c>
      <c r="AA193" s="130">
        <v>4.3999999999999997E-2</v>
      </c>
      <c r="AB193" s="130">
        <v>0.23699999999999999</v>
      </c>
      <c r="AC193" s="130">
        <v>0.14199999999999999</v>
      </c>
      <c r="AD193" s="130">
        <v>0.13200000000000001</v>
      </c>
      <c r="AE193" s="130">
        <v>0.13200000000000001</v>
      </c>
      <c r="AF193" s="130">
        <v>0.12</v>
      </c>
      <c r="AG193" s="130">
        <v>5.8999999999999997E-2</v>
      </c>
      <c r="AH193" s="130">
        <v>0.14399999999999999</v>
      </c>
      <c r="AI193" s="130">
        <v>5.6000000000000001E-2</v>
      </c>
      <c r="AJ193" s="130">
        <v>0.109</v>
      </c>
      <c r="AK193" s="130">
        <v>0.153</v>
      </c>
      <c r="AL193" s="130">
        <v>5.2999999999999999E-2</v>
      </c>
      <c r="AM193" s="130"/>
      <c r="AN193" s="130">
        <v>0.152</v>
      </c>
      <c r="AO193" s="130"/>
      <c r="AP193" s="130">
        <v>0.13200000000000001</v>
      </c>
      <c r="AQ193" s="130">
        <v>7.9000000000000001E-2</v>
      </c>
      <c r="AR193" s="130">
        <v>0.16200000000000001</v>
      </c>
      <c r="AS193" s="130">
        <v>0.19800000000000001</v>
      </c>
      <c r="AT193" s="130">
        <v>0.13300000000000001</v>
      </c>
      <c r="AU193" s="130">
        <v>0.16900000000000001</v>
      </c>
      <c r="AV193" s="130">
        <v>6.6000000000000003E-2</v>
      </c>
      <c r="AW193" s="130">
        <v>0.17299999999999999</v>
      </c>
      <c r="AX193" s="130">
        <v>0.11799999999999999</v>
      </c>
      <c r="AY193" s="130"/>
      <c r="AZ193" s="130">
        <v>0.114</v>
      </c>
      <c r="BA193" s="130">
        <v>0.17499999999999999</v>
      </c>
      <c r="BB193" s="130">
        <v>0.14499999999999999</v>
      </c>
      <c r="BC193" s="130">
        <v>0.151</v>
      </c>
      <c r="BD193" s="130">
        <v>0.108</v>
      </c>
      <c r="BE193" s="130">
        <v>3.1E-2</v>
      </c>
      <c r="BF193" s="130">
        <v>0.14399999999999999</v>
      </c>
      <c r="BG193" s="130">
        <v>0.154</v>
      </c>
      <c r="BH193" s="130">
        <v>0.14099999999999999</v>
      </c>
      <c r="BI193" s="130">
        <v>0.105</v>
      </c>
      <c r="BJ193" s="130"/>
      <c r="BK193" s="213"/>
    </row>
    <row r="194" spans="1:79" s="59" customFormat="1">
      <c r="A194" s="21" t="s">
        <v>49</v>
      </c>
      <c r="B194" s="132">
        <v>0.11</v>
      </c>
      <c r="C194" s="132">
        <v>0.11</v>
      </c>
      <c r="D194" s="132">
        <v>0.11</v>
      </c>
      <c r="E194" s="132">
        <v>0.11</v>
      </c>
      <c r="F194" s="132">
        <v>0.11</v>
      </c>
      <c r="G194" s="132">
        <v>0.11</v>
      </c>
      <c r="H194" s="132">
        <v>0.11</v>
      </c>
      <c r="I194" s="132">
        <v>0.11</v>
      </c>
      <c r="J194" s="132">
        <v>0.11</v>
      </c>
      <c r="K194" s="132">
        <v>0.11</v>
      </c>
      <c r="L194" s="132">
        <v>0.11</v>
      </c>
      <c r="M194" s="132">
        <v>0.11</v>
      </c>
      <c r="N194" s="132">
        <v>0.11</v>
      </c>
      <c r="O194" s="132">
        <v>0.11</v>
      </c>
      <c r="P194" s="132">
        <v>0.11</v>
      </c>
      <c r="Q194" s="132">
        <v>0.11</v>
      </c>
      <c r="R194" s="132">
        <v>0.11</v>
      </c>
      <c r="S194" s="132">
        <v>0.11</v>
      </c>
      <c r="T194" s="132">
        <v>0.11</v>
      </c>
      <c r="U194" s="132">
        <v>0.11</v>
      </c>
      <c r="V194" s="132">
        <v>0.11</v>
      </c>
      <c r="W194" s="132">
        <v>0.11</v>
      </c>
      <c r="X194" s="132">
        <v>0.11</v>
      </c>
      <c r="Y194" s="132">
        <v>0.11</v>
      </c>
      <c r="Z194" s="132">
        <v>0.11</v>
      </c>
      <c r="AA194" s="132">
        <v>0.11</v>
      </c>
      <c r="AB194" s="132">
        <v>0.11</v>
      </c>
      <c r="AC194" s="132">
        <v>0.11</v>
      </c>
      <c r="AD194" s="132">
        <v>0.11</v>
      </c>
      <c r="AE194" s="132">
        <v>0.11</v>
      </c>
      <c r="AF194" s="132">
        <v>0.11</v>
      </c>
      <c r="AG194" s="132">
        <v>0.11</v>
      </c>
      <c r="AH194" s="132">
        <v>0.11</v>
      </c>
      <c r="AI194" s="132">
        <v>0.11</v>
      </c>
      <c r="AJ194" s="132">
        <v>0.11</v>
      </c>
      <c r="AK194" s="132">
        <v>0.11</v>
      </c>
      <c r="AL194" s="132">
        <v>0.11</v>
      </c>
      <c r="AM194" s="132">
        <v>0.11</v>
      </c>
      <c r="AN194" s="132">
        <v>0.11</v>
      </c>
      <c r="AO194" s="132">
        <v>0.11</v>
      </c>
      <c r="AP194" s="132">
        <v>0.11</v>
      </c>
      <c r="AQ194" s="132">
        <v>0.11</v>
      </c>
      <c r="AR194" s="132">
        <v>0.11</v>
      </c>
      <c r="AS194" s="132">
        <v>0.11</v>
      </c>
      <c r="AT194" s="132">
        <v>0.11</v>
      </c>
      <c r="AU194" s="132">
        <v>0.11</v>
      </c>
      <c r="AV194" s="132">
        <v>0.11</v>
      </c>
      <c r="AW194" s="132">
        <v>0.11</v>
      </c>
      <c r="AX194" s="132">
        <v>0.11</v>
      </c>
      <c r="AY194" s="132">
        <v>0.11</v>
      </c>
      <c r="AZ194" s="132">
        <v>0.11</v>
      </c>
      <c r="BA194" s="132">
        <v>0.11</v>
      </c>
      <c r="BB194" s="132">
        <v>0.11</v>
      </c>
      <c r="BC194" s="132">
        <v>0.11</v>
      </c>
      <c r="BD194" s="132">
        <v>0.11</v>
      </c>
      <c r="BE194" s="132">
        <v>0.11</v>
      </c>
      <c r="BF194" s="132">
        <v>0.11</v>
      </c>
      <c r="BG194" s="132">
        <v>0.11</v>
      </c>
      <c r="BH194" s="132">
        <v>0.11</v>
      </c>
      <c r="BI194" s="132">
        <v>0.11</v>
      </c>
      <c r="BJ194" s="132">
        <v>0.11</v>
      </c>
      <c r="BK194" s="132">
        <v>0.11</v>
      </c>
      <c r="BL194" s="132">
        <v>0.11</v>
      </c>
      <c r="BM194" s="132">
        <v>0.11</v>
      </c>
      <c r="BN194" s="132">
        <v>0.11</v>
      </c>
      <c r="BO194" s="132">
        <v>0.11</v>
      </c>
      <c r="BP194" s="132">
        <v>0.11</v>
      </c>
      <c r="BQ194" s="132">
        <v>0.11</v>
      </c>
      <c r="BR194" s="132">
        <v>0.11</v>
      </c>
      <c r="BS194" s="132">
        <v>0.11</v>
      </c>
      <c r="BT194" s="132">
        <v>0.11</v>
      </c>
      <c r="BU194" s="132">
        <v>0.11</v>
      </c>
      <c r="BV194" s="132">
        <v>0.11</v>
      </c>
      <c r="BW194" s="132">
        <v>0.11</v>
      </c>
      <c r="BX194" s="132">
        <v>0.11</v>
      </c>
      <c r="BY194" s="132">
        <v>0.11</v>
      </c>
      <c r="BZ194" s="132">
        <v>0.11</v>
      </c>
      <c r="CA194" s="132">
        <v>0.11</v>
      </c>
    </row>
    <row r="195" spans="1:79" s="59" customFormat="1" ht="19.5" thickBot="1">
      <c r="A195" s="49" t="s">
        <v>50</v>
      </c>
      <c r="B195" s="133">
        <v>0.08</v>
      </c>
      <c r="C195" s="133">
        <v>0.08</v>
      </c>
      <c r="D195" s="133">
        <v>0.08</v>
      </c>
      <c r="E195" s="133">
        <v>0.08</v>
      </c>
      <c r="F195" s="133">
        <v>0.08</v>
      </c>
      <c r="G195" s="133">
        <v>0.08</v>
      </c>
      <c r="H195" s="133">
        <v>0.08</v>
      </c>
      <c r="I195" s="133">
        <v>0.08</v>
      </c>
      <c r="J195" s="133">
        <v>0.08</v>
      </c>
      <c r="K195" s="133">
        <v>0.08</v>
      </c>
      <c r="L195" s="133">
        <v>0.08</v>
      </c>
      <c r="M195" s="133">
        <v>0.08</v>
      </c>
      <c r="N195" s="133">
        <v>0.08</v>
      </c>
      <c r="O195" s="133">
        <v>0.08</v>
      </c>
      <c r="P195" s="133">
        <v>0.08</v>
      </c>
      <c r="Q195" s="133">
        <v>0.08</v>
      </c>
      <c r="R195" s="133">
        <v>0.08</v>
      </c>
      <c r="S195" s="133">
        <v>0.08</v>
      </c>
      <c r="T195" s="133">
        <v>0.08</v>
      </c>
      <c r="U195" s="133">
        <v>0.08</v>
      </c>
      <c r="V195" s="133">
        <v>0.08</v>
      </c>
      <c r="W195" s="133">
        <v>0.08</v>
      </c>
      <c r="X195" s="133">
        <v>0.08</v>
      </c>
      <c r="Y195" s="133">
        <v>0.08</v>
      </c>
      <c r="Z195" s="133">
        <v>0.08</v>
      </c>
      <c r="AA195" s="133">
        <v>0.08</v>
      </c>
      <c r="AB195" s="133">
        <v>0.08</v>
      </c>
      <c r="AC195" s="133">
        <v>0.08</v>
      </c>
      <c r="AD195" s="133">
        <v>0.08</v>
      </c>
      <c r="AE195" s="133">
        <v>0.08</v>
      </c>
      <c r="AF195" s="133">
        <v>0.08</v>
      </c>
      <c r="AG195" s="133">
        <v>0.08</v>
      </c>
      <c r="AH195" s="133">
        <v>0.08</v>
      </c>
      <c r="AI195" s="133">
        <v>0.08</v>
      </c>
      <c r="AJ195" s="133">
        <v>0.08</v>
      </c>
      <c r="AK195" s="133">
        <v>0.08</v>
      </c>
      <c r="AL195" s="133">
        <v>0.08</v>
      </c>
      <c r="AM195" s="133">
        <v>0.08</v>
      </c>
      <c r="AN195" s="133">
        <v>0.08</v>
      </c>
      <c r="AO195" s="133">
        <v>0.08</v>
      </c>
      <c r="AP195" s="133">
        <v>0.08</v>
      </c>
      <c r="AQ195" s="133">
        <v>0.08</v>
      </c>
      <c r="AR195" s="133">
        <v>0.08</v>
      </c>
      <c r="AS195" s="133">
        <v>0.08</v>
      </c>
      <c r="AT195" s="133">
        <v>0.08</v>
      </c>
      <c r="AU195" s="133">
        <v>0.08</v>
      </c>
      <c r="AV195" s="133">
        <v>0.08</v>
      </c>
      <c r="AW195" s="133">
        <v>0.08</v>
      </c>
      <c r="AX195" s="133">
        <v>0.08</v>
      </c>
      <c r="AY195" s="133">
        <v>0.08</v>
      </c>
      <c r="AZ195" s="133">
        <v>0.08</v>
      </c>
      <c r="BA195" s="133">
        <v>0.08</v>
      </c>
      <c r="BB195" s="133">
        <v>0.08</v>
      </c>
      <c r="BC195" s="133">
        <v>0.08</v>
      </c>
      <c r="BD195" s="133">
        <v>0.08</v>
      </c>
      <c r="BE195" s="133">
        <v>0.08</v>
      </c>
      <c r="BF195" s="133">
        <v>0.08</v>
      </c>
      <c r="BG195" s="133">
        <v>0.08</v>
      </c>
      <c r="BH195" s="133">
        <v>0.08</v>
      </c>
      <c r="BI195" s="133">
        <v>0.08</v>
      </c>
      <c r="BJ195" s="133">
        <v>0.08</v>
      </c>
      <c r="BK195" s="133">
        <v>0.08</v>
      </c>
      <c r="BL195" s="133">
        <v>0.08</v>
      </c>
      <c r="BM195" s="133">
        <v>0.08</v>
      </c>
      <c r="BN195" s="133">
        <v>0.08</v>
      </c>
      <c r="BO195" s="133">
        <v>0.08</v>
      </c>
      <c r="BP195" s="133">
        <v>0.08</v>
      </c>
      <c r="BQ195" s="133">
        <v>0.08</v>
      </c>
      <c r="BR195" s="133">
        <v>0.08</v>
      </c>
      <c r="BS195" s="133">
        <v>0.08</v>
      </c>
      <c r="BT195" s="133">
        <v>0.08</v>
      </c>
      <c r="BU195" s="133">
        <v>0.08</v>
      </c>
      <c r="BV195" s="133">
        <v>0.08</v>
      </c>
      <c r="BW195" s="133">
        <v>0.08</v>
      </c>
      <c r="BX195" s="133">
        <v>0.08</v>
      </c>
      <c r="BY195" s="133">
        <v>0.08</v>
      </c>
      <c r="BZ195" s="133">
        <v>0.08</v>
      </c>
      <c r="CA195" s="133">
        <v>0.08</v>
      </c>
    </row>
    <row r="196" spans="1:79" s="70" customFormat="1">
      <c r="A196" s="52" t="s">
        <v>121</v>
      </c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>
        <v>0.19800000000000001</v>
      </c>
      <c r="U196" s="134">
        <v>0.157</v>
      </c>
      <c r="V196" s="134"/>
      <c r="W196" s="134">
        <v>0.123</v>
      </c>
      <c r="X196" s="134">
        <v>0.17699999999999999</v>
      </c>
      <c r="Y196" s="134">
        <v>0.221</v>
      </c>
      <c r="Z196" s="134">
        <v>0.188</v>
      </c>
      <c r="AA196" s="134">
        <v>0.17199999999999999</v>
      </c>
      <c r="AB196" s="134">
        <v>0.23300000000000001</v>
      </c>
      <c r="AC196" s="134"/>
      <c r="AD196" s="134">
        <v>0.17699999999999999</v>
      </c>
      <c r="AE196" s="134">
        <v>0.159</v>
      </c>
      <c r="AF196" s="134">
        <v>0.161</v>
      </c>
      <c r="AG196" s="134">
        <v>0.16800000000000001</v>
      </c>
      <c r="AH196" s="134">
        <v>0.14399999999999999</v>
      </c>
      <c r="AI196" s="134"/>
      <c r="AJ196" s="134">
        <v>0.13600000000000001</v>
      </c>
      <c r="AK196" s="134">
        <v>0.153</v>
      </c>
      <c r="AL196" s="134"/>
      <c r="AM196" s="134">
        <v>0.152</v>
      </c>
      <c r="AN196" s="134">
        <v>0.152</v>
      </c>
      <c r="AO196" s="134"/>
      <c r="AP196" s="134">
        <v>0.16200000000000001</v>
      </c>
      <c r="AQ196" s="134">
        <v>0.14299999999999999</v>
      </c>
      <c r="AR196" s="134">
        <v>0.19800000000000001</v>
      </c>
      <c r="AS196" s="134">
        <v>0.247</v>
      </c>
      <c r="AT196" s="134">
        <v>0.16900000000000001</v>
      </c>
      <c r="AU196" s="134">
        <v>0.185</v>
      </c>
      <c r="AV196" s="134">
        <v>0.114</v>
      </c>
      <c r="AW196" s="134">
        <v>0.20899999999999999</v>
      </c>
      <c r="AX196" s="134">
        <v>0.13</v>
      </c>
      <c r="AY196" s="134"/>
      <c r="AZ196" s="134">
        <v>0.159</v>
      </c>
      <c r="BA196" s="134">
        <v>0.17499999999999999</v>
      </c>
      <c r="BB196" s="134">
        <v>0.19400000000000001</v>
      </c>
      <c r="BC196" s="134">
        <v>0.151</v>
      </c>
      <c r="BD196" s="134"/>
      <c r="BE196" s="134"/>
      <c r="BF196" s="134">
        <v>0.23100000000000001</v>
      </c>
      <c r="BG196" s="134">
        <v>0.17499999999999999</v>
      </c>
      <c r="BH196" s="134">
        <v>0.14099999999999999</v>
      </c>
      <c r="BI196" s="134">
        <v>0.13</v>
      </c>
      <c r="BJ196" s="134"/>
      <c r="BK196" s="135"/>
    </row>
    <row r="197" spans="1:79" s="70" customFormat="1">
      <c r="A197" s="52" t="s">
        <v>122</v>
      </c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>
        <v>2.7E-2</v>
      </c>
      <c r="V197" s="134">
        <v>0.04</v>
      </c>
      <c r="W197" s="134">
        <v>4.1000000000000002E-2</v>
      </c>
      <c r="X197" s="134">
        <v>6.4000000000000001E-2</v>
      </c>
      <c r="Y197" s="134"/>
      <c r="Z197" s="134"/>
      <c r="AA197" s="134">
        <v>0.01</v>
      </c>
      <c r="AB197" s="134">
        <v>4.0000000000000001E-3</v>
      </c>
      <c r="AC197" s="134">
        <v>2.5000000000000001E-2</v>
      </c>
      <c r="AD197" s="134">
        <v>7.4999999999999997E-2</v>
      </c>
      <c r="AE197" s="134">
        <v>7.6999999999999999E-2</v>
      </c>
      <c r="AF197" s="134">
        <v>7.9000000000000001E-2</v>
      </c>
      <c r="AG197" s="134">
        <v>2.3E-2</v>
      </c>
      <c r="AH197" s="134"/>
      <c r="AI197" s="134">
        <v>2.4E-2</v>
      </c>
      <c r="AJ197" s="134">
        <v>5.7000000000000002E-2</v>
      </c>
      <c r="AK197" s="134"/>
      <c r="AL197" s="134">
        <v>5.2999999999999999E-2</v>
      </c>
      <c r="AM197" s="134"/>
      <c r="AN197" s="134"/>
      <c r="AO197" s="134"/>
      <c r="AP197" s="134">
        <v>7.2999999999999995E-2</v>
      </c>
      <c r="AQ197" s="134">
        <v>1.4999999999999999E-2</v>
      </c>
      <c r="AR197" s="134"/>
      <c r="AS197" s="134">
        <v>5.1999999999999998E-2</v>
      </c>
      <c r="AT197" s="134">
        <v>6.0999999999999999E-2</v>
      </c>
      <c r="AU197" s="134">
        <v>1.4999999999999999E-2</v>
      </c>
      <c r="AV197" s="134">
        <v>0.05</v>
      </c>
      <c r="AW197" s="134">
        <v>7.3999999999999996E-2</v>
      </c>
      <c r="AX197" s="134"/>
      <c r="AY197" s="134"/>
      <c r="AZ197" s="134">
        <v>6.9000000000000006E-2</v>
      </c>
      <c r="BA197" s="134"/>
      <c r="BB197" s="134">
        <v>4.8000000000000001E-2</v>
      </c>
      <c r="BC197" s="134"/>
      <c r="BD197" s="134"/>
      <c r="BE197" s="134">
        <v>3.1E-2</v>
      </c>
      <c r="BF197" s="134"/>
      <c r="BG197" s="134">
        <v>4.8000000000000001E-2</v>
      </c>
      <c r="BH197" s="134"/>
      <c r="BI197" s="134">
        <v>5.6000000000000001E-2</v>
      </c>
      <c r="BJ197" s="134"/>
      <c r="BK197" s="135"/>
    </row>
    <row r="198" spans="1:79" s="2" customFormat="1">
      <c r="A198" s="48" t="s">
        <v>5</v>
      </c>
      <c r="B198" s="105" t="e">
        <f>B199/SUM(B199,B201,B203)</f>
        <v>#DIV/0!</v>
      </c>
      <c r="C198" s="105" t="e">
        <f t="shared" ref="C198:BN198" si="470">C199/SUM(C199,C201,C203)</f>
        <v>#DIV/0!</v>
      </c>
      <c r="D198" s="105" t="e">
        <f t="shared" si="470"/>
        <v>#DIV/0!</v>
      </c>
      <c r="E198" s="105" t="e">
        <f t="shared" si="470"/>
        <v>#DIV/0!</v>
      </c>
      <c r="F198" s="105" t="e">
        <f t="shared" si="470"/>
        <v>#DIV/0!</v>
      </c>
      <c r="G198" s="105" t="e">
        <f t="shared" si="470"/>
        <v>#DIV/0!</v>
      </c>
      <c r="H198" s="105" t="e">
        <f t="shared" si="470"/>
        <v>#DIV/0!</v>
      </c>
      <c r="I198" s="105" t="e">
        <f t="shared" si="470"/>
        <v>#DIV/0!</v>
      </c>
      <c r="J198" s="105" t="e">
        <f t="shared" si="470"/>
        <v>#DIV/0!</v>
      </c>
      <c r="K198" s="105" t="e">
        <f t="shared" si="470"/>
        <v>#DIV/0!</v>
      </c>
      <c r="L198" s="105" t="e">
        <f t="shared" si="470"/>
        <v>#DIV/0!</v>
      </c>
      <c r="M198" s="105" t="e">
        <f t="shared" si="470"/>
        <v>#DIV/0!</v>
      </c>
      <c r="N198" s="105" t="e">
        <f t="shared" si="470"/>
        <v>#DIV/0!</v>
      </c>
      <c r="O198" s="105" t="e">
        <f t="shared" si="470"/>
        <v>#DIV/0!</v>
      </c>
      <c r="P198" s="105" t="e">
        <f t="shared" si="470"/>
        <v>#DIV/0!</v>
      </c>
      <c r="Q198" s="105" t="e">
        <f t="shared" si="470"/>
        <v>#DIV/0!</v>
      </c>
      <c r="R198" s="105" t="e">
        <f t="shared" si="470"/>
        <v>#DIV/0!</v>
      </c>
      <c r="S198" s="105" t="e">
        <f t="shared" si="470"/>
        <v>#DIV/0!</v>
      </c>
      <c r="T198" s="105">
        <f t="shared" si="470"/>
        <v>1</v>
      </c>
      <c r="U198" s="105">
        <f t="shared" si="470"/>
        <v>0.33333333333333331</v>
      </c>
      <c r="V198" s="105">
        <f t="shared" si="470"/>
        <v>0</v>
      </c>
      <c r="W198" s="105">
        <f t="shared" si="470"/>
        <v>0.16666666666666666</v>
      </c>
      <c r="X198" s="105">
        <f t="shared" si="470"/>
        <v>0.5714285714285714</v>
      </c>
      <c r="Y198" s="105">
        <f t="shared" si="470"/>
        <v>0.5</v>
      </c>
      <c r="Z198" s="105">
        <f t="shared" si="470"/>
        <v>0.33333333333333331</v>
      </c>
      <c r="AA198" s="105">
        <f t="shared" si="470"/>
        <v>0.16666666666666666</v>
      </c>
      <c r="AB198" s="105">
        <f t="shared" si="470"/>
        <v>0.5</v>
      </c>
      <c r="AC198" s="105">
        <f t="shared" si="470"/>
        <v>0</v>
      </c>
      <c r="AD198" s="105">
        <f t="shared" si="470"/>
        <v>0.5</v>
      </c>
      <c r="AE198" s="105">
        <f t="shared" si="470"/>
        <v>0.66666666666666663</v>
      </c>
      <c r="AF198" s="105">
        <f t="shared" si="470"/>
        <v>0.5</v>
      </c>
      <c r="AG198" s="105">
        <f t="shared" si="470"/>
        <v>0.25</v>
      </c>
      <c r="AH198" s="105">
        <f t="shared" si="470"/>
        <v>1</v>
      </c>
      <c r="AI198" s="105">
        <f t="shared" si="470"/>
        <v>0</v>
      </c>
      <c r="AJ198" s="105">
        <f t="shared" si="470"/>
        <v>0.66666666666666663</v>
      </c>
      <c r="AK198" s="105">
        <f t="shared" si="470"/>
        <v>1</v>
      </c>
      <c r="AL198" s="105">
        <f t="shared" si="470"/>
        <v>0</v>
      </c>
      <c r="AM198" s="105">
        <f t="shared" si="470"/>
        <v>0</v>
      </c>
      <c r="AN198" s="105">
        <f t="shared" si="470"/>
        <v>1</v>
      </c>
      <c r="AO198" s="105" t="e">
        <f t="shared" si="470"/>
        <v>#DIV/0!</v>
      </c>
      <c r="AP198" s="105">
        <f t="shared" si="470"/>
        <v>0.66666666666666663</v>
      </c>
      <c r="AQ198" s="105">
        <f t="shared" si="470"/>
        <v>0.5</v>
      </c>
      <c r="AR198" s="105">
        <f t="shared" si="470"/>
        <v>0.5</v>
      </c>
      <c r="AS198" s="105">
        <f t="shared" si="470"/>
        <v>0.75</v>
      </c>
      <c r="AT198" s="105">
        <f t="shared" si="470"/>
        <v>0.66666666666666663</v>
      </c>
      <c r="AU198" s="105">
        <f t="shared" si="470"/>
        <v>0.8571428571428571</v>
      </c>
      <c r="AV198" s="105">
        <f t="shared" si="470"/>
        <v>0.25</v>
      </c>
      <c r="AW198" s="105">
        <f t="shared" si="470"/>
        <v>0.625</v>
      </c>
      <c r="AX198" s="105">
        <f t="shared" si="470"/>
        <v>0.33333333333333331</v>
      </c>
      <c r="AY198" s="105" t="e">
        <f t="shared" si="470"/>
        <v>#DIV/0!</v>
      </c>
      <c r="AZ198" s="105">
        <f t="shared" si="470"/>
        <v>0.5</v>
      </c>
      <c r="BA198" s="105">
        <f t="shared" si="470"/>
        <v>1</v>
      </c>
      <c r="BB198" s="105">
        <f t="shared" si="470"/>
        <v>0.66666666666666663</v>
      </c>
      <c r="BC198" s="105">
        <f t="shared" si="470"/>
        <v>1</v>
      </c>
      <c r="BD198" s="105">
        <f t="shared" si="470"/>
        <v>0</v>
      </c>
      <c r="BE198" s="105">
        <f t="shared" si="470"/>
        <v>0</v>
      </c>
      <c r="BF198" s="105">
        <f t="shared" si="470"/>
        <v>0.6</v>
      </c>
      <c r="BG198" s="105">
        <f t="shared" si="470"/>
        <v>0.7142857142857143</v>
      </c>
      <c r="BH198" s="105">
        <f t="shared" si="470"/>
        <v>1</v>
      </c>
      <c r="BI198" s="105">
        <f t="shared" si="470"/>
        <v>0.66666666666666663</v>
      </c>
      <c r="BJ198" s="105" t="e">
        <f t="shared" si="470"/>
        <v>#DIV/0!</v>
      </c>
      <c r="BK198" s="105" t="e">
        <f t="shared" si="470"/>
        <v>#DIV/0!</v>
      </c>
      <c r="BL198" s="105" t="e">
        <f t="shared" si="470"/>
        <v>#DIV/0!</v>
      </c>
      <c r="BM198" s="105" t="e">
        <f t="shared" si="470"/>
        <v>#DIV/0!</v>
      </c>
      <c r="BN198" s="105" t="e">
        <f t="shared" si="470"/>
        <v>#DIV/0!</v>
      </c>
      <c r="BO198" s="105" t="e">
        <f t="shared" ref="BO198:CA198" si="471">BO199/SUM(BO199,BO201,BO203)</f>
        <v>#DIV/0!</v>
      </c>
      <c r="BP198" s="105" t="e">
        <f t="shared" si="471"/>
        <v>#DIV/0!</v>
      </c>
      <c r="BQ198" s="105" t="e">
        <f t="shared" si="471"/>
        <v>#DIV/0!</v>
      </c>
      <c r="BR198" s="105" t="e">
        <f t="shared" si="471"/>
        <v>#DIV/0!</v>
      </c>
      <c r="BS198" s="105" t="e">
        <f t="shared" si="471"/>
        <v>#DIV/0!</v>
      </c>
      <c r="BT198" s="105" t="e">
        <f t="shared" si="471"/>
        <v>#DIV/0!</v>
      </c>
      <c r="BU198" s="105" t="e">
        <f t="shared" si="471"/>
        <v>#DIV/0!</v>
      </c>
      <c r="BV198" s="105" t="e">
        <f t="shared" si="471"/>
        <v>#DIV/0!</v>
      </c>
      <c r="BW198" s="105" t="e">
        <f t="shared" si="471"/>
        <v>#DIV/0!</v>
      </c>
      <c r="BX198" s="105" t="e">
        <f t="shared" si="471"/>
        <v>#DIV/0!</v>
      </c>
      <c r="BY198" s="105" t="e">
        <f t="shared" si="471"/>
        <v>#DIV/0!</v>
      </c>
      <c r="BZ198" s="105" t="e">
        <f t="shared" si="471"/>
        <v>#DIV/0!</v>
      </c>
      <c r="CA198" s="105" t="e">
        <f t="shared" si="471"/>
        <v>#DIV/0!</v>
      </c>
    </row>
    <row r="199" spans="1:79" s="69" customFormat="1">
      <c r="A199" s="19" t="s">
        <v>123</v>
      </c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>
        <v>2</v>
      </c>
      <c r="U199" s="112">
        <v>1</v>
      </c>
      <c r="V199" s="112"/>
      <c r="W199" s="112">
        <v>1</v>
      </c>
      <c r="X199" s="112">
        <v>4</v>
      </c>
      <c r="Y199" s="112">
        <v>1</v>
      </c>
      <c r="Z199" s="112">
        <v>1</v>
      </c>
      <c r="AA199" s="112">
        <v>1</v>
      </c>
      <c r="AB199" s="112">
        <v>1</v>
      </c>
      <c r="AC199" s="112"/>
      <c r="AD199" s="112">
        <v>3</v>
      </c>
      <c r="AE199" s="112">
        <v>4</v>
      </c>
      <c r="AF199" s="112">
        <v>1</v>
      </c>
      <c r="AG199" s="112">
        <v>2</v>
      </c>
      <c r="AH199" s="112">
        <v>2</v>
      </c>
      <c r="AI199" s="112"/>
      <c r="AJ199" s="112">
        <v>2</v>
      </c>
      <c r="AK199" s="115">
        <v>4</v>
      </c>
      <c r="AL199" s="112"/>
      <c r="AM199" s="112"/>
      <c r="AN199" s="112">
        <v>4</v>
      </c>
      <c r="AO199" s="112"/>
      <c r="AP199" s="112">
        <v>2</v>
      </c>
      <c r="AQ199" s="112">
        <v>1</v>
      </c>
      <c r="AR199" s="112">
        <v>2</v>
      </c>
      <c r="AS199" s="112">
        <v>3</v>
      </c>
      <c r="AT199" s="112">
        <v>2</v>
      </c>
      <c r="AU199" s="112">
        <v>6</v>
      </c>
      <c r="AV199" s="112">
        <v>1</v>
      </c>
      <c r="AW199" s="112">
        <v>5</v>
      </c>
      <c r="AX199" s="112">
        <v>1</v>
      </c>
      <c r="AY199" s="112"/>
      <c r="AZ199" s="112">
        <v>2</v>
      </c>
      <c r="BA199" s="112">
        <v>1</v>
      </c>
      <c r="BB199" s="112">
        <v>2</v>
      </c>
      <c r="BC199" s="112">
        <v>2</v>
      </c>
      <c r="BD199" s="112"/>
      <c r="BE199" s="112"/>
      <c r="BF199" s="112">
        <v>3</v>
      </c>
      <c r="BG199" s="112">
        <v>5</v>
      </c>
      <c r="BH199" s="112">
        <v>4</v>
      </c>
      <c r="BI199" s="112">
        <v>2</v>
      </c>
      <c r="BJ199" s="112"/>
      <c r="BK199" s="216"/>
    </row>
    <row r="200" spans="1:79" s="2" customFormat="1">
      <c r="A200" s="21" t="s">
        <v>7</v>
      </c>
      <c r="B200" s="96" t="e">
        <f>B201/SUM(B201,B203,B199)</f>
        <v>#DIV/0!</v>
      </c>
      <c r="C200" s="96" t="e">
        <f t="shared" ref="C200:BN200" si="472">C201/SUM(C201,C203,C199)</f>
        <v>#DIV/0!</v>
      </c>
      <c r="D200" s="96" t="e">
        <f t="shared" si="472"/>
        <v>#DIV/0!</v>
      </c>
      <c r="E200" s="96" t="e">
        <f t="shared" si="472"/>
        <v>#DIV/0!</v>
      </c>
      <c r="F200" s="96" t="e">
        <f t="shared" si="472"/>
        <v>#DIV/0!</v>
      </c>
      <c r="G200" s="96" t="e">
        <f t="shared" si="472"/>
        <v>#DIV/0!</v>
      </c>
      <c r="H200" s="96" t="e">
        <f t="shared" si="472"/>
        <v>#DIV/0!</v>
      </c>
      <c r="I200" s="96" t="e">
        <f t="shared" si="472"/>
        <v>#DIV/0!</v>
      </c>
      <c r="J200" s="96" t="e">
        <f t="shared" si="472"/>
        <v>#DIV/0!</v>
      </c>
      <c r="K200" s="96" t="e">
        <f t="shared" si="472"/>
        <v>#DIV/0!</v>
      </c>
      <c r="L200" s="96" t="e">
        <f t="shared" si="472"/>
        <v>#DIV/0!</v>
      </c>
      <c r="M200" s="96" t="e">
        <f t="shared" si="472"/>
        <v>#DIV/0!</v>
      </c>
      <c r="N200" s="96" t="e">
        <f t="shared" si="472"/>
        <v>#DIV/0!</v>
      </c>
      <c r="O200" s="96" t="e">
        <f t="shared" si="472"/>
        <v>#DIV/0!</v>
      </c>
      <c r="P200" s="96" t="e">
        <f t="shared" si="472"/>
        <v>#DIV/0!</v>
      </c>
      <c r="Q200" s="96" t="e">
        <f t="shared" si="472"/>
        <v>#DIV/0!</v>
      </c>
      <c r="R200" s="96" t="e">
        <f t="shared" si="472"/>
        <v>#DIV/0!</v>
      </c>
      <c r="S200" s="96" t="e">
        <f t="shared" si="472"/>
        <v>#DIV/0!</v>
      </c>
      <c r="T200" s="96"/>
      <c r="U200" s="96">
        <f t="shared" si="472"/>
        <v>0</v>
      </c>
      <c r="V200" s="96">
        <f t="shared" si="472"/>
        <v>0.2857142857142857</v>
      </c>
      <c r="W200" s="96">
        <f t="shared" si="472"/>
        <v>0.16666666666666666</v>
      </c>
      <c r="X200" s="96">
        <f t="shared" si="472"/>
        <v>0</v>
      </c>
      <c r="Y200" s="96">
        <f t="shared" si="472"/>
        <v>0.5</v>
      </c>
      <c r="Z200" s="96">
        <f t="shared" si="472"/>
        <v>0.33333333333333331</v>
      </c>
      <c r="AA200" s="96">
        <f t="shared" si="472"/>
        <v>0.16666666666666666</v>
      </c>
      <c r="AB200" s="96">
        <f t="shared" si="472"/>
        <v>0</v>
      </c>
      <c r="AC200" s="96">
        <f t="shared" si="472"/>
        <v>0.5</v>
      </c>
      <c r="AD200" s="96">
        <f t="shared" si="472"/>
        <v>0.16666666666666666</v>
      </c>
      <c r="AE200" s="96">
        <f t="shared" si="472"/>
        <v>0.16666666666666666</v>
      </c>
      <c r="AF200" s="96">
        <f t="shared" si="472"/>
        <v>0</v>
      </c>
      <c r="AG200" s="96">
        <f t="shared" si="472"/>
        <v>0</v>
      </c>
      <c r="AH200" s="96">
        <f t="shared" si="472"/>
        <v>0</v>
      </c>
      <c r="AI200" s="96">
        <f t="shared" si="472"/>
        <v>0.5</v>
      </c>
      <c r="AJ200" s="96">
        <f t="shared" si="472"/>
        <v>0</v>
      </c>
      <c r="AK200" s="96">
        <f t="shared" si="472"/>
        <v>0</v>
      </c>
      <c r="AL200" s="96">
        <f t="shared" si="472"/>
        <v>0</v>
      </c>
      <c r="AM200" s="96">
        <f t="shared" si="472"/>
        <v>0</v>
      </c>
      <c r="AN200" s="96">
        <f t="shared" si="472"/>
        <v>0</v>
      </c>
      <c r="AO200" s="96" t="e">
        <f t="shared" si="472"/>
        <v>#DIV/0!</v>
      </c>
      <c r="AP200" s="96">
        <f t="shared" si="472"/>
        <v>0</v>
      </c>
      <c r="AQ200" s="96">
        <f t="shared" si="472"/>
        <v>0</v>
      </c>
      <c r="AR200" s="96">
        <f t="shared" si="472"/>
        <v>0.25</v>
      </c>
      <c r="AS200" s="96">
        <f t="shared" si="472"/>
        <v>0</v>
      </c>
      <c r="AT200" s="96">
        <f t="shared" si="472"/>
        <v>0</v>
      </c>
      <c r="AU200" s="96">
        <f t="shared" si="472"/>
        <v>0</v>
      </c>
      <c r="AV200" s="96">
        <f t="shared" si="472"/>
        <v>0</v>
      </c>
      <c r="AW200" s="96">
        <f t="shared" si="472"/>
        <v>0.125</v>
      </c>
      <c r="AX200" s="96">
        <f t="shared" si="472"/>
        <v>0.33333333333333331</v>
      </c>
      <c r="AY200" s="96" t="e">
        <f t="shared" si="472"/>
        <v>#DIV/0!</v>
      </c>
      <c r="AZ200" s="96">
        <f t="shared" si="472"/>
        <v>0</v>
      </c>
      <c r="BA200" s="96">
        <f t="shared" si="472"/>
        <v>0</v>
      </c>
      <c r="BB200" s="96">
        <f t="shared" si="472"/>
        <v>0</v>
      </c>
      <c r="BC200" s="96">
        <f t="shared" si="472"/>
        <v>0</v>
      </c>
      <c r="BD200" s="96">
        <f t="shared" si="472"/>
        <v>1</v>
      </c>
      <c r="BE200" s="96">
        <f t="shared" si="472"/>
        <v>0</v>
      </c>
      <c r="BF200" s="96">
        <f t="shared" si="472"/>
        <v>0.2</v>
      </c>
      <c r="BG200" s="96">
        <f t="shared" si="472"/>
        <v>0.14285714285714285</v>
      </c>
      <c r="BH200" s="96">
        <f t="shared" si="472"/>
        <v>0</v>
      </c>
      <c r="BI200" s="96">
        <f t="shared" si="472"/>
        <v>0</v>
      </c>
      <c r="BJ200" s="96" t="e">
        <f t="shared" si="472"/>
        <v>#DIV/0!</v>
      </c>
      <c r="BK200" s="96" t="e">
        <f t="shared" si="472"/>
        <v>#DIV/0!</v>
      </c>
      <c r="BL200" s="96" t="e">
        <f t="shared" si="472"/>
        <v>#DIV/0!</v>
      </c>
      <c r="BM200" s="96" t="e">
        <f t="shared" si="472"/>
        <v>#DIV/0!</v>
      </c>
      <c r="BN200" s="96" t="e">
        <f t="shared" si="472"/>
        <v>#DIV/0!</v>
      </c>
      <c r="BO200" s="96" t="e">
        <f t="shared" ref="BO200:CA200" si="473">BO201/SUM(BO201,BO203,BO199)</f>
        <v>#DIV/0!</v>
      </c>
      <c r="BP200" s="96" t="e">
        <f t="shared" si="473"/>
        <v>#DIV/0!</v>
      </c>
      <c r="BQ200" s="96" t="e">
        <f t="shared" si="473"/>
        <v>#DIV/0!</v>
      </c>
      <c r="BR200" s="96" t="e">
        <f t="shared" si="473"/>
        <v>#DIV/0!</v>
      </c>
      <c r="BS200" s="96" t="e">
        <f t="shared" si="473"/>
        <v>#DIV/0!</v>
      </c>
      <c r="BT200" s="96" t="e">
        <f t="shared" si="473"/>
        <v>#DIV/0!</v>
      </c>
      <c r="BU200" s="96" t="e">
        <f t="shared" si="473"/>
        <v>#DIV/0!</v>
      </c>
      <c r="BV200" s="96" t="e">
        <f t="shared" si="473"/>
        <v>#DIV/0!</v>
      </c>
      <c r="BW200" s="96" t="e">
        <f t="shared" si="473"/>
        <v>#DIV/0!</v>
      </c>
      <c r="BX200" s="96" t="e">
        <f t="shared" si="473"/>
        <v>#DIV/0!</v>
      </c>
      <c r="BY200" s="96" t="e">
        <f t="shared" si="473"/>
        <v>#DIV/0!</v>
      </c>
      <c r="BZ200" s="96" t="e">
        <f t="shared" si="473"/>
        <v>#DIV/0!</v>
      </c>
      <c r="CA200" s="96" t="e">
        <f t="shared" si="473"/>
        <v>#DIV/0!</v>
      </c>
    </row>
    <row r="201" spans="1:79" s="69" customFormat="1">
      <c r="A201" s="19" t="s">
        <v>124</v>
      </c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>
        <v>2</v>
      </c>
      <c r="W201" s="112">
        <v>1</v>
      </c>
      <c r="X201" s="112"/>
      <c r="Y201" s="112">
        <v>1</v>
      </c>
      <c r="Z201" s="112">
        <v>1</v>
      </c>
      <c r="AA201" s="112">
        <v>1</v>
      </c>
      <c r="AB201" s="112"/>
      <c r="AC201" s="112">
        <v>1</v>
      </c>
      <c r="AD201" s="112">
        <v>1</v>
      </c>
      <c r="AE201" s="112">
        <v>1</v>
      </c>
      <c r="AF201" s="112"/>
      <c r="AG201" s="112"/>
      <c r="AH201" s="112"/>
      <c r="AI201" s="112">
        <v>1</v>
      </c>
      <c r="AJ201" s="112"/>
      <c r="AK201" s="115"/>
      <c r="AL201" s="112"/>
      <c r="AM201" s="112"/>
      <c r="AN201" s="112"/>
      <c r="AO201" s="112"/>
      <c r="AP201" s="112"/>
      <c r="AQ201" s="112"/>
      <c r="AR201" s="112">
        <v>1</v>
      </c>
      <c r="AS201" s="112"/>
      <c r="AT201" s="112"/>
      <c r="AU201" s="112"/>
      <c r="AV201" s="112"/>
      <c r="AW201" s="112">
        <v>1</v>
      </c>
      <c r="AX201" s="112">
        <v>1</v>
      </c>
      <c r="AY201" s="112"/>
      <c r="AZ201" s="112"/>
      <c r="BA201" s="112"/>
      <c r="BB201" s="112"/>
      <c r="BC201" s="112"/>
      <c r="BD201" s="112">
        <v>1</v>
      </c>
      <c r="BE201" s="112"/>
      <c r="BF201" s="112">
        <v>1</v>
      </c>
      <c r="BG201" s="112">
        <v>1</v>
      </c>
      <c r="BH201" s="112"/>
      <c r="BI201" s="112"/>
      <c r="BJ201" s="112"/>
      <c r="BK201" s="216"/>
    </row>
    <row r="202" spans="1:79" s="2" customFormat="1">
      <c r="A202" s="21" t="s">
        <v>9</v>
      </c>
      <c r="B202" s="96" t="e">
        <f>B203/SUM(B203,B199,B201)</f>
        <v>#DIV/0!</v>
      </c>
      <c r="C202" s="96" t="e">
        <f t="shared" ref="C202:BN202" si="474">C203/SUM(C203,C199,C201)</f>
        <v>#DIV/0!</v>
      </c>
      <c r="D202" s="96" t="e">
        <f t="shared" si="474"/>
        <v>#DIV/0!</v>
      </c>
      <c r="E202" s="96" t="e">
        <f t="shared" si="474"/>
        <v>#DIV/0!</v>
      </c>
      <c r="F202" s="96" t="e">
        <f t="shared" si="474"/>
        <v>#DIV/0!</v>
      </c>
      <c r="G202" s="96" t="e">
        <f t="shared" si="474"/>
        <v>#DIV/0!</v>
      </c>
      <c r="H202" s="96" t="e">
        <f t="shared" si="474"/>
        <v>#DIV/0!</v>
      </c>
      <c r="I202" s="96" t="e">
        <f t="shared" si="474"/>
        <v>#DIV/0!</v>
      </c>
      <c r="J202" s="96" t="e">
        <f t="shared" si="474"/>
        <v>#DIV/0!</v>
      </c>
      <c r="K202" s="96" t="e">
        <f t="shared" si="474"/>
        <v>#DIV/0!</v>
      </c>
      <c r="L202" s="96" t="e">
        <f t="shared" si="474"/>
        <v>#DIV/0!</v>
      </c>
      <c r="M202" s="96" t="e">
        <f t="shared" si="474"/>
        <v>#DIV/0!</v>
      </c>
      <c r="N202" s="96" t="e">
        <f t="shared" si="474"/>
        <v>#DIV/0!</v>
      </c>
      <c r="O202" s="96" t="e">
        <f t="shared" si="474"/>
        <v>#DIV/0!</v>
      </c>
      <c r="P202" s="96" t="e">
        <f t="shared" si="474"/>
        <v>#DIV/0!</v>
      </c>
      <c r="Q202" s="96" t="e">
        <f t="shared" si="474"/>
        <v>#DIV/0!</v>
      </c>
      <c r="R202" s="96" t="e">
        <f t="shared" si="474"/>
        <v>#DIV/0!</v>
      </c>
      <c r="S202" s="96" t="e">
        <f t="shared" si="474"/>
        <v>#DIV/0!</v>
      </c>
      <c r="T202" s="96">
        <f t="shared" si="474"/>
        <v>0</v>
      </c>
      <c r="U202" s="96">
        <f t="shared" si="474"/>
        <v>0.66666666666666663</v>
      </c>
      <c r="V202" s="96">
        <f t="shared" si="474"/>
        <v>0.7142857142857143</v>
      </c>
      <c r="W202" s="96">
        <f t="shared" si="474"/>
        <v>0.66666666666666663</v>
      </c>
      <c r="X202" s="96">
        <f t="shared" si="474"/>
        <v>0.42857142857142855</v>
      </c>
      <c r="Y202" s="96">
        <f t="shared" si="474"/>
        <v>0</v>
      </c>
      <c r="Z202" s="96">
        <f>Z203/SUM(Z203,Z199,Z201)</f>
        <v>0.33333333333333331</v>
      </c>
      <c r="AA202" s="96">
        <f t="shared" si="474"/>
        <v>0.66666666666666663</v>
      </c>
      <c r="AB202" s="96">
        <f t="shared" si="474"/>
        <v>0.5</v>
      </c>
      <c r="AC202" s="96">
        <f t="shared" si="474"/>
        <v>0.5</v>
      </c>
      <c r="AD202" s="96">
        <f t="shared" si="474"/>
        <v>0.33333333333333331</v>
      </c>
      <c r="AE202" s="96">
        <f t="shared" si="474"/>
        <v>0.16666666666666666</v>
      </c>
      <c r="AF202" s="96">
        <f t="shared" si="474"/>
        <v>0.5</v>
      </c>
      <c r="AG202" s="96">
        <f t="shared" si="474"/>
        <v>0.75</v>
      </c>
      <c r="AH202" s="96">
        <f t="shared" si="474"/>
        <v>0</v>
      </c>
      <c r="AI202" s="96">
        <f t="shared" si="474"/>
        <v>0.5</v>
      </c>
      <c r="AJ202" s="96">
        <f t="shared" si="474"/>
        <v>0.33333333333333331</v>
      </c>
      <c r="AK202" s="96">
        <f t="shared" si="474"/>
        <v>0</v>
      </c>
      <c r="AL202" s="96">
        <f t="shared" si="474"/>
        <v>1</v>
      </c>
      <c r="AM202" s="96">
        <f t="shared" si="474"/>
        <v>1</v>
      </c>
      <c r="AN202" s="96">
        <f t="shared" si="474"/>
        <v>0</v>
      </c>
      <c r="AO202" s="96" t="e">
        <f t="shared" si="474"/>
        <v>#DIV/0!</v>
      </c>
      <c r="AP202" s="96">
        <f t="shared" si="474"/>
        <v>0.33333333333333331</v>
      </c>
      <c r="AQ202" s="96">
        <f t="shared" si="474"/>
        <v>0.5</v>
      </c>
      <c r="AR202" s="96">
        <f t="shared" si="474"/>
        <v>0.25</v>
      </c>
      <c r="AS202" s="96">
        <f t="shared" si="474"/>
        <v>0.25</v>
      </c>
      <c r="AT202" s="96">
        <f t="shared" si="474"/>
        <v>0.33333333333333331</v>
      </c>
      <c r="AU202" s="96">
        <f t="shared" si="474"/>
        <v>0.14285714285714285</v>
      </c>
      <c r="AV202" s="96">
        <f t="shared" si="474"/>
        <v>0.75</v>
      </c>
      <c r="AW202" s="96">
        <f t="shared" si="474"/>
        <v>0.25</v>
      </c>
      <c r="AX202" s="96">
        <f t="shared" si="474"/>
        <v>0.33333333333333331</v>
      </c>
      <c r="AY202" s="96" t="e">
        <f t="shared" si="474"/>
        <v>#DIV/0!</v>
      </c>
      <c r="AZ202" s="96">
        <f t="shared" si="474"/>
        <v>0.5</v>
      </c>
      <c r="BA202" s="96">
        <f t="shared" si="474"/>
        <v>0</v>
      </c>
      <c r="BB202" s="96">
        <f t="shared" si="474"/>
        <v>0.33333333333333331</v>
      </c>
      <c r="BC202" s="96">
        <f t="shared" si="474"/>
        <v>0</v>
      </c>
      <c r="BD202" s="96">
        <f t="shared" si="474"/>
        <v>0</v>
      </c>
      <c r="BE202" s="96">
        <f t="shared" si="474"/>
        <v>1</v>
      </c>
      <c r="BF202" s="96">
        <f t="shared" si="474"/>
        <v>0.2</v>
      </c>
      <c r="BG202" s="96">
        <f t="shared" si="474"/>
        <v>0.14285714285714285</v>
      </c>
      <c r="BH202" s="96">
        <f t="shared" si="474"/>
        <v>0</v>
      </c>
      <c r="BI202" s="96">
        <f t="shared" si="474"/>
        <v>0.33333333333333331</v>
      </c>
      <c r="BJ202" s="96" t="e">
        <f t="shared" si="474"/>
        <v>#DIV/0!</v>
      </c>
      <c r="BK202" s="96" t="e">
        <f t="shared" si="474"/>
        <v>#DIV/0!</v>
      </c>
      <c r="BL202" s="96" t="e">
        <f t="shared" si="474"/>
        <v>#DIV/0!</v>
      </c>
      <c r="BM202" s="96" t="e">
        <f t="shared" si="474"/>
        <v>#DIV/0!</v>
      </c>
      <c r="BN202" s="96" t="e">
        <f t="shared" si="474"/>
        <v>#DIV/0!</v>
      </c>
      <c r="BO202" s="96" t="e">
        <f t="shared" ref="BO202:CA202" si="475">BO203/SUM(BO203,BO199,BO201)</f>
        <v>#DIV/0!</v>
      </c>
      <c r="BP202" s="96" t="e">
        <f t="shared" si="475"/>
        <v>#DIV/0!</v>
      </c>
      <c r="BQ202" s="96" t="e">
        <f t="shared" si="475"/>
        <v>#DIV/0!</v>
      </c>
      <c r="BR202" s="96" t="e">
        <f t="shared" si="475"/>
        <v>#DIV/0!</v>
      </c>
      <c r="BS202" s="96" t="e">
        <f t="shared" si="475"/>
        <v>#DIV/0!</v>
      </c>
      <c r="BT202" s="96" t="e">
        <f t="shared" si="475"/>
        <v>#DIV/0!</v>
      </c>
      <c r="BU202" s="96" t="e">
        <f t="shared" si="475"/>
        <v>#DIV/0!</v>
      </c>
      <c r="BV202" s="96" t="e">
        <f t="shared" si="475"/>
        <v>#DIV/0!</v>
      </c>
      <c r="BW202" s="96" t="e">
        <f t="shared" si="475"/>
        <v>#DIV/0!</v>
      </c>
      <c r="BX202" s="96" t="e">
        <f t="shared" si="475"/>
        <v>#DIV/0!</v>
      </c>
      <c r="BY202" s="96" t="e">
        <f t="shared" si="475"/>
        <v>#DIV/0!</v>
      </c>
      <c r="BZ202" s="96" t="e">
        <f t="shared" si="475"/>
        <v>#DIV/0!</v>
      </c>
      <c r="CA202" s="96" t="e">
        <f t="shared" si="475"/>
        <v>#DIV/0!</v>
      </c>
    </row>
    <row r="203" spans="1:79" s="68" customFormat="1" ht="19.5" thickBot="1">
      <c r="A203" s="22" t="s">
        <v>125</v>
      </c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>
        <v>2</v>
      </c>
      <c r="V203" s="107">
        <v>5</v>
      </c>
      <c r="W203" s="107">
        <v>4</v>
      </c>
      <c r="X203" s="107">
        <v>3</v>
      </c>
      <c r="Y203" s="107"/>
      <c r="Z203" s="107">
        <v>1</v>
      </c>
      <c r="AA203" s="107">
        <v>4</v>
      </c>
      <c r="AB203" s="107">
        <v>1</v>
      </c>
      <c r="AC203" s="107">
        <v>1</v>
      </c>
      <c r="AD203" s="107">
        <v>2</v>
      </c>
      <c r="AE203" s="107">
        <v>1</v>
      </c>
      <c r="AF203" s="107">
        <v>1</v>
      </c>
      <c r="AG203" s="107">
        <v>6</v>
      </c>
      <c r="AH203" s="107"/>
      <c r="AI203" s="107">
        <v>1</v>
      </c>
      <c r="AJ203" s="107">
        <v>1</v>
      </c>
      <c r="AK203" s="118"/>
      <c r="AL203" s="107">
        <v>2</v>
      </c>
      <c r="AM203" s="107">
        <v>3</v>
      </c>
      <c r="AN203" s="107"/>
      <c r="AO203" s="107"/>
      <c r="AP203" s="107">
        <v>1</v>
      </c>
      <c r="AQ203" s="107">
        <v>1</v>
      </c>
      <c r="AR203" s="107">
        <v>1</v>
      </c>
      <c r="AS203" s="107">
        <v>1</v>
      </c>
      <c r="AT203" s="107">
        <v>1</v>
      </c>
      <c r="AU203" s="107">
        <v>1</v>
      </c>
      <c r="AV203" s="107">
        <v>3</v>
      </c>
      <c r="AW203" s="107">
        <v>2</v>
      </c>
      <c r="AX203" s="107">
        <v>1</v>
      </c>
      <c r="AY203" s="107"/>
      <c r="AZ203" s="107">
        <v>2</v>
      </c>
      <c r="BA203" s="107"/>
      <c r="BB203" s="107">
        <v>1</v>
      </c>
      <c r="BC203" s="107"/>
      <c r="BD203" s="107"/>
      <c r="BE203" s="107">
        <v>1</v>
      </c>
      <c r="BF203" s="107">
        <v>1</v>
      </c>
      <c r="BG203" s="107">
        <v>1</v>
      </c>
      <c r="BH203" s="107"/>
      <c r="BI203" s="107">
        <v>1</v>
      </c>
      <c r="BJ203" s="107"/>
      <c r="BK203" s="217"/>
    </row>
    <row r="204" spans="1:79" s="6" customFormat="1">
      <c r="A204" s="57" t="s">
        <v>67</v>
      </c>
      <c r="B204" s="136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136"/>
      <c r="Y204" s="58"/>
      <c r="Z204" s="58"/>
      <c r="AA204" s="58"/>
      <c r="AB204" s="137"/>
      <c r="AC204" s="137"/>
      <c r="AD204" s="137"/>
      <c r="AE204" s="137"/>
      <c r="AF204" s="137"/>
      <c r="AG204" s="137"/>
      <c r="AH204" s="58"/>
      <c r="AI204" s="137"/>
      <c r="AJ204" s="137"/>
      <c r="AK204" s="137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</row>
    <row r="205" spans="1:79" ht="19.5" thickBot="1">
      <c r="B205" s="3"/>
      <c r="C205" s="3"/>
      <c r="D205" s="3"/>
      <c r="E205" s="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3"/>
      <c r="AI205" s="103"/>
      <c r="AJ205" s="103"/>
      <c r="AK205" s="10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79">
      <c r="A206" s="47" t="s">
        <v>54</v>
      </c>
      <c r="B206" s="138"/>
      <c r="C206" s="138"/>
      <c r="D206" s="138"/>
      <c r="E206" s="138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8"/>
      <c r="AI206" s="139"/>
      <c r="AJ206" s="139"/>
      <c r="AK206" s="139"/>
      <c r="AL206" s="138"/>
      <c r="AM206" s="138"/>
      <c r="AN206" s="138"/>
      <c r="AO206" s="138"/>
      <c r="AP206" s="138"/>
      <c r="AQ206" s="138"/>
      <c r="AR206" s="138"/>
      <c r="AS206" s="138"/>
      <c r="AT206" s="138"/>
      <c r="AU206" s="138"/>
      <c r="AV206" s="138"/>
      <c r="AW206" s="138"/>
      <c r="AX206" s="138"/>
      <c r="AY206" s="138"/>
      <c r="AZ206" s="138"/>
      <c r="BA206" s="138"/>
      <c r="BB206" s="138"/>
      <c r="BC206" s="138"/>
      <c r="BD206" s="138"/>
      <c r="BE206" s="138"/>
      <c r="BF206" s="138"/>
      <c r="BG206" s="138"/>
      <c r="BH206" s="138"/>
      <c r="BI206" s="138"/>
      <c r="BJ206" s="138"/>
      <c r="BK206" s="218"/>
    </row>
    <row r="207" spans="1:79" s="149" customFormat="1">
      <c r="A207" s="21" t="s">
        <v>55</v>
      </c>
      <c r="B207" s="140">
        <v>21</v>
      </c>
      <c r="C207" s="140">
        <v>21</v>
      </c>
      <c r="D207" s="140">
        <v>21</v>
      </c>
      <c r="E207" s="140">
        <v>21</v>
      </c>
      <c r="F207" s="140">
        <v>21</v>
      </c>
      <c r="G207" s="140">
        <v>21</v>
      </c>
      <c r="H207" s="140">
        <v>21</v>
      </c>
      <c r="I207" s="140">
        <v>21</v>
      </c>
      <c r="J207" s="140">
        <v>21</v>
      </c>
      <c r="K207" s="140">
        <v>21</v>
      </c>
      <c r="L207" s="140">
        <v>21</v>
      </c>
      <c r="M207" s="140">
        <v>21</v>
      </c>
      <c r="N207" s="140">
        <v>21</v>
      </c>
      <c r="O207" s="140">
        <v>21</v>
      </c>
      <c r="P207" s="140">
        <v>21</v>
      </c>
      <c r="Q207" s="140">
        <v>21</v>
      </c>
      <c r="R207" s="140">
        <v>21</v>
      </c>
      <c r="S207" s="140">
        <v>21</v>
      </c>
      <c r="T207" s="140">
        <v>21</v>
      </c>
      <c r="U207" s="140">
        <v>21</v>
      </c>
      <c r="V207" s="140">
        <v>21</v>
      </c>
      <c r="W207" s="140">
        <v>21</v>
      </c>
      <c r="X207" s="140">
        <v>21</v>
      </c>
      <c r="Y207" s="140">
        <v>21</v>
      </c>
      <c r="Z207" s="140">
        <v>21</v>
      </c>
      <c r="AA207" s="140">
        <v>21</v>
      </c>
      <c r="AB207" s="140">
        <v>21</v>
      </c>
      <c r="AC207" s="140">
        <v>21</v>
      </c>
      <c r="AD207" s="140">
        <v>21</v>
      </c>
      <c r="AE207" s="140">
        <v>21</v>
      </c>
      <c r="AF207" s="140">
        <v>21</v>
      </c>
      <c r="AG207" s="140">
        <v>21</v>
      </c>
      <c r="AH207" s="140">
        <v>21</v>
      </c>
      <c r="AI207" s="140">
        <v>21</v>
      </c>
      <c r="AJ207" s="140">
        <v>21</v>
      </c>
      <c r="AK207" s="140">
        <v>21</v>
      </c>
      <c r="AL207" s="140">
        <v>21</v>
      </c>
      <c r="AM207" s="140">
        <v>21</v>
      </c>
      <c r="AN207" s="140">
        <v>21</v>
      </c>
      <c r="AO207" s="140">
        <v>21</v>
      </c>
      <c r="AP207" s="140">
        <v>21</v>
      </c>
      <c r="AQ207" s="140">
        <v>21</v>
      </c>
      <c r="AR207" s="140">
        <v>21</v>
      </c>
      <c r="AS207" s="140">
        <v>21</v>
      </c>
      <c r="AT207" s="140">
        <v>21</v>
      </c>
      <c r="AU207" s="140">
        <v>21</v>
      </c>
      <c r="AV207" s="140">
        <v>21</v>
      </c>
      <c r="AW207" s="140">
        <v>21</v>
      </c>
      <c r="AX207" s="140">
        <v>21</v>
      </c>
      <c r="AY207" s="140">
        <v>21</v>
      </c>
      <c r="AZ207" s="140">
        <v>21</v>
      </c>
      <c r="BA207" s="140">
        <v>21</v>
      </c>
      <c r="BB207" s="140">
        <v>21</v>
      </c>
      <c r="BC207" s="140">
        <v>21</v>
      </c>
      <c r="BD207" s="140">
        <v>21</v>
      </c>
      <c r="BE207" s="140">
        <v>21</v>
      </c>
      <c r="BF207" s="140">
        <v>21</v>
      </c>
      <c r="BG207" s="140">
        <v>21</v>
      </c>
      <c r="BH207" s="140">
        <v>21</v>
      </c>
      <c r="BI207" s="140">
        <v>21</v>
      </c>
      <c r="BJ207" s="140">
        <v>21</v>
      </c>
      <c r="BK207" s="140">
        <v>21</v>
      </c>
      <c r="BL207" s="140">
        <v>21</v>
      </c>
      <c r="BM207" s="140">
        <v>21</v>
      </c>
      <c r="BN207" s="140">
        <v>21</v>
      </c>
      <c r="BO207" s="140">
        <v>21</v>
      </c>
      <c r="BP207" s="140">
        <v>21</v>
      </c>
      <c r="BQ207" s="140">
        <v>21</v>
      </c>
      <c r="BR207" s="140">
        <v>21</v>
      </c>
      <c r="BS207" s="140">
        <v>21</v>
      </c>
      <c r="BT207" s="140">
        <v>21</v>
      </c>
      <c r="BU207" s="140">
        <v>21</v>
      </c>
      <c r="BV207" s="140">
        <v>21</v>
      </c>
      <c r="BW207" s="140">
        <v>21</v>
      </c>
      <c r="BX207" s="140">
        <v>21</v>
      </c>
      <c r="BY207" s="140">
        <v>21</v>
      </c>
      <c r="BZ207" s="140">
        <v>21</v>
      </c>
      <c r="CA207" s="140">
        <v>21</v>
      </c>
    </row>
    <row r="208" spans="1:79" s="66" customFormat="1">
      <c r="A208" s="21" t="s">
        <v>56</v>
      </c>
      <c r="B208" s="129"/>
      <c r="C208" s="129"/>
      <c r="D208" s="129"/>
      <c r="E208" s="129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29">
        <v>19.100000000000001</v>
      </c>
      <c r="AA208" s="129">
        <v>17.7</v>
      </c>
      <c r="AB208" s="129">
        <v>17.47</v>
      </c>
      <c r="AC208" s="129">
        <v>18.84</v>
      </c>
      <c r="AD208" s="129">
        <v>18.440000000000001</v>
      </c>
      <c r="AE208" s="129">
        <v>20.75</v>
      </c>
      <c r="AF208" s="129">
        <v>18.760000000000002</v>
      </c>
      <c r="AG208" s="129">
        <v>18.600000000000001</v>
      </c>
      <c r="AH208" s="129">
        <v>19.670000000000002</v>
      </c>
      <c r="AI208" s="129">
        <v>19.37</v>
      </c>
      <c r="AJ208" s="129">
        <v>19</v>
      </c>
      <c r="AK208" s="129">
        <v>18.600000000000001</v>
      </c>
      <c r="AL208" s="129">
        <v>18.2</v>
      </c>
      <c r="AM208" s="129">
        <v>16.899999999999999</v>
      </c>
      <c r="AN208" s="129">
        <v>18.14</v>
      </c>
      <c r="AO208" s="129">
        <v>18.09</v>
      </c>
      <c r="AP208" s="129">
        <v>18.14</v>
      </c>
      <c r="AQ208" s="129">
        <v>19.5</v>
      </c>
      <c r="AR208" s="126">
        <v>18.2</v>
      </c>
      <c r="AS208" s="129">
        <v>17.600000000000001</v>
      </c>
      <c r="AT208" s="129">
        <v>18.399999999999999</v>
      </c>
      <c r="AU208" s="129">
        <v>16.899999999999999</v>
      </c>
      <c r="AV208" s="129">
        <v>14.77</v>
      </c>
      <c r="AW208" s="129">
        <v>16.170000000000002</v>
      </c>
      <c r="AX208" s="129">
        <v>16.43</v>
      </c>
      <c r="AY208" s="129">
        <v>18.03</v>
      </c>
      <c r="AZ208" s="129">
        <v>18.11</v>
      </c>
      <c r="BA208" s="129">
        <v>19.399999999999999</v>
      </c>
      <c r="BB208" s="129">
        <v>18.420000000000002</v>
      </c>
      <c r="BC208" s="129">
        <v>19.899999999999999</v>
      </c>
      <c r="BD208" s="129">
        <v>19.3</v>
      </c>
      <c r="BE208" s="129">
        <v>20.5</v>
      </c>
      <c r="BF208" s="129">
        <v>20</v>
      </c>
      <c r="BG208" s="129">
        <v>20.3</v>
      </c>
      <c r="BH208" s="129">
        <v>19.2</v>
      </c>
      <c r="BI208" s="129"/>
      <c r="BJ208" s="129"/>
      <c r="BK208" s="212"/>
      <c r="BL208" s="212"/>
      <c r="BM208" s="212"/>
      <c r="BN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  <c r="BX208" s="212"/>
      <c r="BY208" s="212"/>
      <c r="BZ208" s="212"/>
      <c r="CA208" s="212"/>
    </row>
    <row r="209" spans="1:79" s="149" customFormat="1">
      <c r="A209" s="19" t="s">
        <v>57</v>
      </c>
      <c r="B209" s="140">
        <v>28</v>
      </c>
      <c r="C209" s="140">
        <v>28</v>
      </c>
      <c r="D209" s="140">
        <v>28</v>
      </c>
      <c r="E209" s="140">
        <v>28</v>
      </c>
      <c r="F209" s="140">
        <v>28</v>
      </c>
      <c r="G209" s="140">
        <v>28</v>
      </c>
      <c r="H209" s="140">
        <v>28</v>
      </c>
      <c r="I209" s="140">
        <v>28</v>
      </c>
      <c r="J209" s="140">
        <v>28</v>
      </c>
      <c r="K209" s="140">
        <v>28</v>
      </c>
      <c r="L209" s="140">
        <v>28</v>
      </c>
      <c r="M209" s="140">
        <v>28</v>
      </c>
      <c r="N209" s="140">
        <v>28</v>
      </c>
      <c r="O209" s="140">
        <v>28</v>
      </c>
      <c r="P209" s="140">
        <v>28</v>
      </c>
      <c r="Q209" s="140">
        <v>28</v>
      </c>
      <c r="R209" s="140">
        <v>28</v>
      </c>
      <c r="S209" s="140">
        <v>28</v>
      </c>
      <c r="T209" s="140">
        <v>28</v>
      </c>
      <c r="U209" s="140">
        <v>28</v>
      </c>
      <c r="V209" s="140">
        <v>28</v>
      </c>
      <c r="W209" s="140">
        <v>28</v>
      </c>
      <c r="X209" s="140">
        <v>28</v>
      </c>
      <c r="Y209" s="140">
        <v>28</v>
      </c>
      <c r="Z209" s="140">
        <v>28</v>
      </c>
      <c r="AA209" s="140">
        <v>28</v>
      </c>
      <c r="AB209" s="140">
        <v>28</v>
      </c>
      <c r="AC209" s="140">
        <v>28</v>
      </c>
      <c r="AD209" s="140">
        <v>28</v>
      </c>
      <c r="AE209" s="140">
        <v>28</v>
      </c>
      <c r="AF209" s="140">
        <v>28</v>
      </c>
      <c r="AG209" s="140">
        <v>28</v>
      </c>
      <c r="AH209" s="140">
        <v>28</v>
      </c>
      <c r="AI209" s="140">
        <v>28</v>
      </c>
      <c r="AJ209" s="140">
        <v>28</v>
      </c>
      <c r="AK209" s="140">
        <v>28</v>
      </c>
      <c r="AL209" s="140">
        <v>28</v>
      </c>
      <c r="AM209" s="140">
        <v>28</v>
      </c>
      <c r="AN209" s="140">
        <v>28</v>
      </c>
      <c r="AO209" s="140">
        <v>28</v>
      </c>
      <c r="AP209" s="140">
        <v>28</v>
      </c>
      <c r="AQ209" s="140">
        <v>28</v>
      </c>
      <c r="AR209" s="140">
        <v>28</v>
      </c>
      <c r="AS209" s="140">
        <v>28</v>
      </c>
      <c r="AT209" s="140">
        <v>28</v>
      </c>
      <c r="AU209" s="140">
        <v>28</v>
      </c>
      <c r="AV209" s="140">
        <v>28</v>
      </c>
      <c r="AW209" s="140">
        <v>28</v>
      </c>
      <c r="AX209" s="140">
        <v>28</v>
      </c>
      <c r="AY209" s="140">
        <v>28</v>
      </c>
      <c r="AZ209" s="140">
        <v>28</v>
      </c>
      <c r="BA209" s="140">
        <v>28</v>
      </c>
      <c r="BB209" s="140">
        <v>28</v>
      </c>
      <c r="BC209" s="140">
        <v>28</v>
      </c>
      <c r="BD209" s="140">
        <v>28</v>
      </c>
      <c r="BE209" s="140">
        <v>28</v>
      </c>
      <c r="BF209" s="140">
        <v>28</v>
      </c>
      <c r="BG209" s="140">
        <v>28</v>
      </c>
      <c r="BH209" s="140">
        <v>28</v>
      </c>
      <c r="BI209" s="140">
        <v>28</v>
      </c>
      <c r="BJ209" s="140">
        <v>28</v>
      </c>
      <c r="BK209" s="140">
        <v>28</v>
      </c>
      <c r="BL209" s="140">
        <v>28</v>
      </c>
      <c r="BM209" s="140">
        <v>28</v>
      </c>
      <c r="BN209" s="140">
        <v>28</v>
      </c>
      <c r="BO209" s="140">
        <v>28</v>
      </c>
      <c r="BP209" s="140">
        <v>28</v>
      </c>
      <c r="BQ209" s="140">
        <v>28</v>
      </c>
      <c r="BR209" s="140">
        <v>28</v>
      </c>
      <c r="BS209" s="140">
        <v>28</v>
      </c>
      <c r="BT209" s="140">
        <v>28</v>
      </c>
      <c r="BU209" s="140">
        <v>28</v>
      </c>
      <c r="BV209" s="140">
        <v>28</v>
      </c>
      <c r="BW209" s="140">
        <v>28</v>
      </c>
      <c r="BX209" s="140">
        <v>28</v>
      </c>
      <c r="BY209" s="140">
        <v>28</v>
      </c>
      <c r="BZ209" s="140">
        <v>28</v>
      </c>
      <c r="CA209" s="140">
        <v>28</v>
      </c>
    </row>
    <row r="210" spans="1:79" s="66" customFormat="1">
      <c r="A210" s="21" t="s">
        <v>58</v>
      </c>
      <c r="B210" s="129"/>
      <c r="C210" s="129"/>
      <c r="D210" s="129"/>
      <c r="E210" s="129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29">
        <v>26.5</v>
      </c>
      <c r="AA210" s="129">
        <v>25.2</v>
      </c>
      <c r="AB210" s="129">
        <v>24.37</v>
      </c>
      <c r="AC210" s="129">
        <v>26.58</v>
      </c>
      <c r="AD210" s="129">
        <v>25.82</v>
      </c>
      <c r="AE210" s="129">
        <v>29.05</v>
      </c>
      <c r="AF210" s="129">
        <v>26.16</v>
      </c>
      <c r="AG210" s="129">
        <v>25.14</v>
      </c>
      <c r="AH210" s="129">
        <v>27.21</v>
      </c>
      <c r="AI210" s="129">
        <v>26.33</v>
      </c>
      <c r="AJ210" s="129">
        <v>26.7</v>
      </c>
      <c r="AK210" s="129">
        <v>26.17</v>
      </c>
      <c r="AL210" s="129">
        <v>25.3</v>
      </c>
      <c r="AM210" s="129">
        <v>23.4</v>
      </c>
      <c r="AN210" s="129">
        <v>24.44</v>
      </c>
      <c r="AO210" s="129">
        <v>25.67</v>
      </c>
      <c r="AP210" s="129">
        <v>24.44</v>
      </c>
      <c r="AQ210" s="129">
        <v>26.48</v>
      </c>
      <c r="AR210" s="129">
        <v>25.01</v>
      </c>
      <c r="AS210" s="129">
        <v>23.9</v>
      </c>
      <c r="AT210" s="129">
        <v>24.85</v>
      </c>
      <c r="AU210" s="129">
        <v>23</v>
      </c>
      <c r="AV210" s="129">
        <v>21.8</v>
      </c>
      <c r="AW210" s="129">
        <v>22.24</v>
      </c>
      <c r="AX210" s="129">
        <v>23.01</v>
      </c>
      <c r="AY210" s="129">
        <v>24.61</v>
      </c>
      <c r="AZ210" s="129">
        <v>24.97</v>
      </c>
      <c r="BA210" s="129">
        <v>26.5</v>
      </c>
      <c r="BB210" s="129">
        <v>25.22</v>
      </c>
      <c r="BC210" s="129">
        <v>28</v>
      </c>
      <c r="BD210" s="129">
        <v>26.4</v>
      </c>
      <c r="BE210" s="129">
        <v>28.3</v>
      </c>
      <c r="BF210" s="129">
        <v>27</v>
      </c>
      <c r="BG210" s="129">
        <v>28.3</v>
      </c>
      <c r="BH210" s="129">
        <v>26.4</v>
      </c>
      <c r="BI210" s="129"/>
      <c r="BJ210" s="129"/>
      <c r="BK210" s="212"/>
      <c r="BL210" s="212"/>
      <c r="BM210" s="212"/>
      <c r="BN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  <c r="BX210" s="212"/>
      <c r="BY210" s="212"/>
      <c r="BZ210" s="212"/>
      <c r="CA210" s="212"/>
    </row>
    <row r="211" spans="1:79" s="149" customFormat="1">
      <c r="A211" s="21" t="s">
        <v>59</v>
      </c>
      <c r="B211" s="140">
        <v>1</v>
      </c>
      <c r="C211" s="140">
        <v>1</v>
      </c>
      <c r="D211" s="140">
        <v>1</v>
      </c>
      <c r="E211" s="140">
        <v>1</v>
      </c>
      <c r="F211" s="140">
        <v>1</v>
      </c>
      <c r="G211" s="140">
        <v>1</v>
      </c>
      <c r="H211" s="140">
        <v>1</v>
      </c>
      <c r="I211" s="140">
        <v>1</v>
      </c>
      <c r="J211" s="140">
        <v>1</v>
      </c>
      <c r="K211" s="140">
        <v>1</v>
      </c>
      <c r="L211" s="140">
        <v>1</v>
      </c>
      <c r="M211" s="140">
        <v>1</v>
      </c>
      <c r="N211" s="140">
        <v>1</v>
      </c>
      <c r="O211" s="140">
        <v>1</v>
      </c>
      <c r="P211" s="140">
        <v>1</v>
      </c>
      <c r="Q211" s="140">
        <v>1</v>
      </c>
      <c r="R211" s="140">
        <v>1</v>
      </c>
      <c r="S211" s="140">
        <v>1</v>
      </c>
      <c r="T211" s="140">
        <v>1</v>
      </c>
      <c r="U211" s="140">
        <v>1</v>
      </c>
      <c r="V211" s="140">
        <v>1</v>
      </c>
      <c r="W211" s="140">
        <v>1</v>
      </c>
      <c r="X211" s="140">
        <v>1</v>
      </c>
      <c r="Y211" s="140">
        <v>1</v>
      </c>
      <c r="Z211" s="140">
        <v>1</v>
      </c>
      <c r="AA211" s="140">
        <v>1</v>
      </c>
      <c r="AB211" s="140">
        <v>1</v>
      </c>
      <c r="AC211" s="140">
        <v>1</v>
      </c>
      <c r="AD211" s="140">
        <v>1</v>
      </c>
      <c r="AE211" s="140">
        <v>1</v>
      </c>
      <c r="AF211" s="140">
        <v>1</v>
      </c>
      <c r="AG211" s="140">
        <v>1</v>
      </c>
      <c r="AH211" s="140">
        <v>1</v>
      </c>
      <c r="AI211" s="140">
        <v>1</v>
      </c>
      <c r="AJ211" s="140">
        <v>1</v>
      </c>
      <c r="AK211" s="140">
        <v>1</v>
      </c>
      <c r="AL211" s="140">
        <v>1</v>
      </c>
      <c r="AM211" s="140">
        <v>1</v>
      </c>
      <c r="AN211" s="140">
        <v>1</v>
      </c>
      <c r="AO211" s="140">
        <v>1</v>
      </c>
      <c r="AP211" s="140">
        <v>1</v>
      </c>
      <c r="AQ211" s="140">
        <v>1</v>
      </c>
      <c r="AR211" s="140">
        <v>1</v>
      </c>
      <c r="AS211" s="140">
        <v>1</v>
      </c>
      <c r="AT211" s="140">
        <v>1</v>
      </c>
      <c r="AU211" s="140">
        <v>1</v>
      </c>
      <c r="AV211" s="140">
        <v>1</v>
      </c>
      <c r="AW211" s="140">
        <v>1</v>
      </c>
      <c r="AX211" s="140">
        <v>1</v>
      </c>
      <c r="AY211" s="140">
        <v>1</v>
      </c>
      <c r="AZ211" s="140">
        <v>1</v>
      </c>
      <c r="BA211" s="140">
        <v>1</v>
      </c>
      <c r="BB211" s="140">
        <v>1</v>
      </c>
      <c r="BC211" s="140">
        <v>1</v>
      </c>
      <c r="BD211" s="140">
        <v>1</v>
      </c>
      <c r="BE211" s="140">
        <v>1</v>
      </c>
      <c r="BF211" s="140">
        <v>1</v>
      </c>
      <c r="BG211" s="140">
        <v>1</v>
      </c>
      <c r="BH211" s="140">
        <v>1</v>
      </c>
      <c r="BI211" s="140">
        <v>1</v>
      </c>
      <c r="BJ211" s="140">
        <v>1</v>
      </c>
      <c r="BK211" s="140">
        <v>1</v>
      </c>
      <c r="BL211" s="140">
        <v>1</v>
      </c>
      <c r="BM211" s="140">
        <v>1</v>
      </c>
      <c r="BN211" s="140">
        <v>1</v>
      </c>
      <c r="BO211" s="140">
        <v>1</v>
      </c>
      <c r="BP211" s="140">
        <v>1</v>
      </c>
      <c r="BQ211" s="140">
        <v>1</v>
      </c>
      <c r="BR211" s="140">
        <v>1</v>
      </c>
      <c r="BS211" s="140">
        <v>1</v>
      </c>
      <c r="BT211" s="140">
        <v>1</v>
      </c>
      <c r="BU211" s="140">
        <v>1</v>
      </c>
      <c r="BV211" s="140">
        <v>1</v>
      </c>
      <c r="BW211" s="140">
        <v>1</v>
      </c>
      <c r="BX211" s="140">
        <v>1</v>
      </c>
      <c r="BY211" s="140">
        <v>1</v>
      </c>
      <c r="BZ211" s="140">
        <v>1</v>
      </c>
      <c r="CA211" s="140">
        <v>1</v>
      </c>
    </row>
    <row r="212" spans="1:79" s="66" customFormat="1">
      <c r="A212" s="21" t="s">
        <v>60</v>
      </c>
      <c r="B212" s="129"/>
      <c r="C212" s="129"/>
      <c r="D212" s="129"/>
      <c r="E212" s="129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29">
        <v>0</v>
      </c>
      <c r="AA212" s="129">
        <v>0.43</v>
      </c>
      <c r="AB212" s="129">
        <v>0.82</v>
      </c>
      <c r="AC212" s="129">
        <v>0</v>
      </c>
      <c r="AD212" s="129">
        <v>0</v>
      </c>
      <c r="AE212" s="129">
        <v>0.47</v>
      </c>
      <c r="AF212" s="129">
        <v>1.25</v>
      </c>
      <c r="AG212" s="129">
        <v>0.45</v>
      </c>
      <c r="AH212" s="129">
        <v>0</v>
      </c>
      <c r="AI212" s="129">
        <v>0</v>
      </c>
      <c r="AJ212" s="129">
        <v>0</v>
      </c>
      <c r="AK212" s="129">
        <v>0.8</v>
      </c>
      <c r="AL212" s="129">
        <v>0.4</v>
      </c>
      <c r="AM212" s="129">
        <v>0</v>
      </c>
      <c r="AN212" s="129">
        <v>1.79</v>
      </c>
      <c r="AO212" s="129">
        <v>1.5</v>
      </c>
      <c r="AP212" s="129">
        <v>0.84</v>
      </c>
      <c r="AQ212" s="129">
        <v>2.1</v>
      </c>
      <c r="AR212" s="129">
        <v>2.2000000000000002</v>
      </c>
      <c r="AS212" s="129">
        <v>0.92</v>
      </c>
      <c r="AT212" s="129">
        <v>0.88</v>
      </c>
      <c r="AU212" s="129">
        <v>0.48</v>
      </c>
      <c r="AV212" s="129">
        <v>2</v>
      </c>
      <c r="AW212" s="129">
        <v>1.24</v>
      </c>
      <c r="AX212" s="129">
        <v>0.85</v>
      </c>
      <c r="AY212" s="129">
        <v>1.8</v>
      </c>
      <c r="AZ212" s="129">
        <v>0</v>
      </c>
      <c r="BA212" s="129">
        <v>0.88</v>
      </c>
      <c r="BB212" s="129">
        <v>0.44</v>
      </c>
      <c r="BC212" s="129">
        <v>1.1000000000000001</v>
      </c>
      <c r="BD212" s="129">
        <v>1.48</v>
      </c>
      <c r="BE212" s="129">
        <v>1.46</v>
      </c>
      <c r="BF212" s="129">
        <v>1.7</v>
      </c>
      <c r="BG212" s="129">
        <v>0</v>
      </c>
      <c r="BH212" s="129">
        <v>0.48</v>
      </c>
      <c r="BI212" s="129"/>
      <c r="BJ212" s="129"/>
      <c r="BK212" s="212"/>
      <c r="BL212" s="212"/>
      <c r="BM212" s="212"/>
      <c r="BN212" s="212"/>
      <c r="BO212" s="212"/>
      <c r="BP212" s="212"/>
      <c r="BQ212" s="212"/>
      <c r="BR212" s="212"/>
      <c r="BS212" s="212"/>
      <c r="BT212" s="212"/>
      <c r="BU212" s="212"/>
      <c r="BV212" s="212"/>
      <c r="BW212" s="212"/>
      <c r="BX212" s="212"/>
      <c r="BY212" s="212"/>
      <c r="BZ212" s="212"/>
      <c r="CA212" s="212"/>
    </row>
    <row r="213" spans="1:79" s="149" customFormat="1">
      <c r="A213" s="19" t="s">
        <v>61</v>
      </c>
      <c r="B213" s="140">
        <v>1.5</v>
      </c>
      <c r="C213" s="140">
        <v>1.5</v>
      </c>
      <c r="D213" s="140">
        <v>1.5</v>
      </c>
      <c r="E213" s="140">
        <v>1.5</v>
      </c>
      <c r="F213" s="140">
        <v>1.5</v>
      </c>
      <c r="G213" s="140">
        <v>1.5</v>
      </c>
      <c r="H213" s="140">
        <v>1.5</v>
      </c>
      <c r="I213" s="140">
        <v>1.5</v>
      </c>
      <c r="J213" s="140">
        <v>1.5</v>
      </c>
      <c r="K213" s="140">
        <v>1.5</v>
      </c>
      <c r="L213" s="140">
        <v>1.5</v>
      </c>
      <c r="M213" s="140">
        <v>1.5</v>
      </c>
      <c r="N213" s="140">
        <v>1.5</v>
      </c>
      <c r="O213" s="140">
        <v>1.5</v>
      </c>
      <c r="P213" s="140">
        <v>1.5</v>
      </c>
      <c r="Q213" s="140">
        <v>1.5</v>
      </c>
      <c r="R213" s="140">
        <v>1.5</v>
      </c>
      <c r="S213" s="140">
        <v>1.5</v>
      </c>
      <c r="T213" s="140">
        <v>1.5</v>
      </c>
      <c r="U213" s="140">
        <v>1.5</v>
      </c>
      <c r="V213" s="140">
        <v>1.5</v>
      </c>
      <c r="W213" s="140">
        <v>1.5</v>
      </c>
      <c r="X213" s="140">
        <v>1.5</v>
      </c>
      <c r="Y213" s="140">
        <v>1.5</v>
      </c>
      <c r="Z213" s="140">
        <v>1.5</v>
      </c>
      <c r="AA213" s="140">
        <v>1.5</v>
      </c>
      <c r="AB213" s="140">
        <v>1.5</v>
      </c>
      <c r="AC213" s="140">
        <v>1.5</v>
      </c>
      <c r="AD213" s="140">
        <v>1.5</v>
      </c>
      <c r="AE213" s="140">
        <v>1.5</v>
      </c>
      <c r="AF213" s="140">
        <v>1.5</v>
      </c>
      <c r="AG213" s="140">
        <v>1.5</v>
      </c>
      <c r="AH213" s="140">
        <v>1.5</v>
      </c>
      <c r="AI213" s="140">
        <v>1.5</v>
      </c>
      <c r="AJ213" s="140">
        <v>1.5</v>
      </c>
      <c r="AK213" s="140">
        <v>1.5</v>
      </c>
      <c r="AL213" s="140">
        <v>1.5</v>
      </c>
      <c r="AM213" s="140">
        <v>1.5</v>
      </c>
      <c r="AN213" s="140">
        <v>1.5</v>
      </c>
      <c r="AO213" s="140">
        <v>1.5</v>
      </c>
      <c r="AP213" s="140">
        <v>1.5</v>
      </c>
      <c r="AQ213" s="140">
        <v>1.5</v>
      </c>
      <c r="AR213" s="140">
        <v>1.5</v>
      </c>
      <c r="AS213" s="140">
        <v>1.5</v>
      </c>
      <c r="AT213" s="140">
        <v>1.5</v>
      </c>
      <c r="AU213" s="140">
        <v>1.5</v>
      </c>
      <c r="AV213" s="140">
        <v>1.5</v>
      </c>
      <c r="AW213" s="140">
        <v>1.5</v>
      </c>
      <c r="AX213" s="140">
        <v>1.5</v>
      </c>
      <c r="AY213" s="140">
        <v>1.5</v>
      </c>
      <c r="AZ213" s="140">
        <v>1.5</v>
      </c>
      <c r="BA213" s="140">
        <v>1.5</v>
      </c>
      <c r="BB213" s="140">
        <v>1.5</v>
      </c>
      <c r="BC213" s="140">
        <v>1.5</v>
      </c>
      <c r="BD213" s="140">
        <v>1.5</v>
      </c>
      <c r="BE213" s="140">
        <v>1.5</v>
      </c>
      <c r="BF213" s="140">
        <v>1.5</v>
      </c>
      <c r="BG213" s="140">
        <v>1.5</v>
      </c>
      <c r="BH213" s="140">
        <v>1.5</v>
      </c>
      <c r="BI213" s="140">
        <v>1.5</v>
      </c>
      <c r="BJ213" s="140">
        <v>1.5</v>
      </c>
      <c r="BK213" s="140">
        <v>1.5</v>
      </c>
      <c r="BL213" s="140">
        <v>1.5</v>
      </c>
      <c r="BM213" s="140">
        <v>1.5</v>
      </c>
      <c r="BN213" s="140">
        <v>1.5</v>
      </c>
      <c r="BO213" s="140">
        <v>1.5</v>
      </c>
      <c r="BP213" s="140">
        <v>1.5</v>
      </c>
      <c r="BQ213" s="140">
        <v>1.5</v>
      </c>
      <c r="BR213" s="140">
        <v>1.5</v>
      </c>
      <c r="BS213" s="140">
        <v>1.5</v>
      </c>
      <c r="BT213" s="140">
        <v>1.5</v>
      </c>
      <c r="BU213" s="140">
        <v>1.5</v>
      </c>
      <c r="BV213" s="140">
        <v>1.5</v>
      </c>
      <c r="BW213" s="140">
        <v>1.5</v>
      </c>
      <c r="BX213" s="140">
        <v>1.5</v>
      </c>
      <c r="BY213" s="140">
        <v>1.5</v>
      </c>
      <c r="BZ213" s="140">
        <v>1.5</v>
      </c>
      <c r="CA213" s="140">
        <v>1.5</v>
      </c>
    </row>
    <row r="214" spans="1:79" s="66" customFormat="1" ht="19.5" thickBot="1">
      <c r="A214" s="22" t="s">
        <v>62</v>
      </c>
      <c r="B214" s="108"/>
      <c r="C214" s="108"/>
      <c r="D214" s="108"/>
      <c r="E214" s="108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29">
        <v>1.52</v>
      </c>
      <c r="AA214" s="129">
        <v>1.73</v>
      </c>
      <c r="AB214" s="108">
        <v>1.68</v>
      </c>
      <c r="AC214" s="108">
        <v>1.68</v>
      </c>
      <c r="AD214" s="108">
        <v>1.56</v>
      </c>
      <c r="AE214" s="108">
        <v>1.6</v>
      </c>
      <c r="AF214" s="108">
        <v>1.75</v>
      </c>
      <c r="AG214" s="108">
        <v>1.56</v>
      </c>
      <c r="AH214" s="108">
        <v>1.75</v>
      </c>
      <c r="AI214" s="108">
        <v>1.7</v>
      </c>
      <c r="AJ214" s="108">
        <v>1.62</v>
      </c>
      <c r="AK214" s="108">
        <v>1.63</v>
      </c>
      <c r="AL214" s="108">
        <v>1.71</v>
      </c>
      <c r="AM214" s="108">
        <v>1.57</v>
      </c>
      <c r="AN214" s="108">
        <v>1.79</v>
      </c>
      <c r="AO214" s="108">
        <v>1.91</v>
      </c>
      <c r="AP214" s="108">
        <v>1.51</v>
      </c>
      <c r="AQ214" s="108">
        <v>1.56</v>
      </c>
      <c r="AR214" s="108">
        <v>1.69</v>
      </c>
      <c r="AS214" s="108">
        <v>1.48</v>
      </c>
      <c r="AT214" s="108">
        <v>1.55</v>
      </c>
      <c r="AU214" s="108">
        <v>1.61</v>
      </c>
      <c r="AV214" s="108">
        <v>2.0699999999999998</v>
      </c>
      <c r="AW214" s="108">
        <v>1.71</v>
      </c>
      <c r="AX214" s="108">
        <v>1.73</v>
      </c>
      <c r="AY214" s="108">
        <v>1.39</v>
      </c>
      <c r="AZ214" s="108">
        <v>1.78</v>
      </c>
      <c r="BA214" s="108">
        <v>1.67</v>
      </c>
      <c r="BB214" s="108">
        <v>1.63</v>
      </c>
      <c r="BC214" s="108">
        <v>1.67</v>
      </c>
      <c r="BD214" s="108">
        <v>1.77</v>
      </c>
      <c r="BE214" s="108">
        <v>1.6</v>
      </c>
      <c r="BF214" s="108">
        <v>1.57</v>
      </c>
      <c r="BG214" s="108">
        <v>1.52</v>
      </c>
      <c r="BH214" s="108">
        <v>1.77</v>
      </c>
      <c r="BI214" s="108"/>
      <c r="BJ214" s="108"/>
      <c r="BK214" s="219"/>
    </row>
    <row r="215" spans="1:79" ht="19.5" thickBot="1">
      <c r="B215" s="3"/>
      <c r="C215" s="3"/>
      <c r="D215" s="3"/>
      <c r="E215" s="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</row>
    <row r="216" spans="1:79">
      <c r="A216" s="47" t="s">
        <v>63</v>
      </c>
      <c r="B216" s="138"/>
      <c r="C216" s="138"/>
      <c r="D216" s="138"/>
      <c r="E216" s="138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8"/>
      <c r="AM216" s="138"/>
      <c r="AN216" s="138"/>
      <c r="AO216" s="138"/>
      <c r="AP216" s="138"/>
      <c r="AQ216" s="138"/>
      <c r="AR216" s="138"/>
      <c r="AS216" s="138"/>
      <c r="AT216" s="138"/>
      <c r="AU216" s="138"/>
      <c r="AV216" s="138"/>
      <c r="AW216" s="138"/>
      <c r="AX216" s="138"/>
      <c r="AY216" s="138"/>
      <c r="AZ216" s="138"/>
      <c r="BA216" s="138"/>
      <c r="BB216" s="138"/>
      <c r="BC216" s="138"/>
      <c r="BD216" s="138"/>
      <c r="BE216" s="138"/>
      <c r="BF216" s="138"/>
      <c r="BG216" s="138"/>
      <c r="BH216" s="138"/>
      <c r="BI216" s="138"/>
      <c r="BJ216" s="138"/>
      <c r="BK216" s="218"/>
    </row>
    <row r="217" spans="1:79" s="149" customFormat="1">
      <c r="A217" s="19" t="s">
        <v>64</v>
      </c>
      <c r="B217" s="190">
        <v>92</v>
      </c>
      <c r="C217" s="190">
        <v>92</v>
      </c>
      <c r="D217" s="190">
        <v>92</v>
      </c>
      <c r="E217" s="190">
        <v>92</v>
      </c>
      <c r="F217" s="190">
        <v>92</v>
      </c>
      <c r="G217" s="190">
        <v>92</v>
      </c>
      <c r="H217" s="190">
        <v>92</v>
      </c>
      <c r="I217" s="190">
        <v>92</v>
      </c>
      <c r="J217" s="190">
        <v>92</v>
      </c>
      <c r="K217" s="190">
        <v>92</v>
      </c>
      <c r="L217" s="190">
        <v>92</v>
      </c>
      <c r="M217" s="190">
        <v>92</v>
      </c>
      <c r="N217" s="190">
        <v>92</v>
      </c>
      <c r="O217" s="190">
        <v>92</v>
      </c>
      <c r="P217" s="190">
        <v>92</v>
      </c>
      <c r="Q217" s="190">
        <v>92</v>
      </c>
      <c r="R217" s="190">
        <v>92</v>
      </c>
      <c r="S217" s="190">
        <v>92</v>
      </c>
      <c r="T217" s="190">
        <v>92</v>
      </c>
      <c r="U217" s="190">
        <v>92</v>
      </c>
      <c r="V217" s="190">
        <v>92</v>
      </c>
      <c r="W217" s="190">
        <v>92</v>
      </c>
      <c r="X217" s="190">
        <v>92</v>
      </c>
      <c r="Y217" s="190">
        <v>92</v>
      </c>
      <c r="Z217" s="190">
        <v>92</v>
      </c>
      <c r="AA217" s="190">
        <v>92</v>
      </c>
      <c r="AB217" s="190">
        <v>92</v>
      </c>
      <c r="AC217" s="190">
        <v>92</v>
      </c>
      <c r="AD217" s="190">
        <v>92</v>
      </c>
      <c r="AE217" s="190">
        <v>92</v>
      </c>
      <c r="AF217" s="190">
        <v>92</v>
      </c>
      <c r="AG217" s="190">
        <v>92</v>
      </c>
      <c r="AH217" s="190">
        <v>92</v>
      </c>
      <c r="AI217" s="190">
        <v>92</v>
      </c>
      <c r="AJ217" s="190">
        <v>92</v>
      </c>
      <c r="AK217" s="190">
        <v>92</v>
      </c>
      <c r="AL217" s="190">
        <v>92</v>
      </c>
      <c r="AM217" s="190">
        <v>92</v>
      </c>
      <c r="AN217" s="190">
        <v>92</v>
      </c>
      <c r="AO217" s="190">
        <v>92</v>
      </c>
      <c r="AP217" s="190">
        <v>92</v>
      </c>
      <c r="AQ217" s="190">
        <v>92</v>
      </c>
      <c r="AR217" s="190">
        <v>92</v>
      </c>
      <c r="AS217" s="190">
        <v>92</v>
      </c>
      <c r="AT217" s="190">
        <v>92</v>
      </c>
      <c r="AU217" s="190">
        <v>92</v>
      </c>
      <c r="AV217" s="190">
        <v>92</v>
      </c>
      <c r="AW217" s="190">
        <v>92</v>
      </c>
      <c r="AX217" s="190">
        <v>92</v>
      </c>
      <c r="AY217" s="190">
        <v>92</v>
      </c>
      <c r="AZ217" s="190">
        <v>92</v>
      </c>
      <c r="BA217" s="190">
        <v>92</v>
      </c>
      <c r="BB217" s="190">
        <v>92</v>
      </c>
      <c r="BC217" s="190">
        <v>92</v>
      </c>
      <c r="BD217" s="190">
        <v>92</v>
      </c>
      <c r="BE217" s="190">
        <v>92</v>
      </c>
      <c r="BF217" s="190">
        <v>92</v>
      </c>
      <c r="BG217" s="190">
        <v>92</v>
      </c>
      <c r="BH217" s="190">
        <v>92</v>
      </c>
      <c r="BI217" s="190">
        <v>92</v>
      </c>
      <c r="BJ217" s="190">
        <v>92</v>
      </c>
      <c r="BK217" s="190">
        <v>92</v>
      </c>
      <c r="BL217" s="190">
        <v>92</v>
      </c>
      <c r="BM217" s="190">
        <v>92</v>
      </c>
      <c r="BN217" s="190">
        <v>92</v>
      </c>
      <c r="BO217" s="190">
        <v>92</v>
      </c>
      <c r="BP217" s="190">
        <v>92</v>
      </c>
      <c r="BQ217" s="190">
        <v>92</v>
      </c>
      <c r="BR217" s="190">
        <v>92</v>
      </c>
      <c r="BS217" s="190">
        <v>92</v>
      </c>
      <c r="BT217" s="190">
        <v>92</v>
      </c>
      <c r="BU217" s="190">
        <v>92</v>
      </c>
      <c r="BV217" s="190">
        <v>92</v>
      </c>
      <c r="BW217" s="190">
        <v>92</v>
      </c>
      <c r="BX217" s="190">
        <v>92</v>
      </c>
      <c r="BY217" s="190">
        <v>92</v>
      </c>
      <c r="BZ217" s="190">
        <v>92</v>
      </c>
      <c r="CA217" s="190">
        <v>92</v>
      </c>
    </row>
    <row r="218" spans="1:79" s="66" customFormat="1">
      <c r="A218" s="21" t="s">
        <v>65</v>
      </c>
      <c r="B218" s="129"/>
      <c r="C218" s="129"/>
      <c r="D218" s="129"/>
      <c r="E218" s="129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29"/>
      <c r="AM218" s="129">
        <v>79.5</v>
      </c>
      <c r="AN218" s="129">
        <v>86.07</v>
      </c>
      <c r="AO218" s="129">
        <v>85.84</v>
      </c>
      <c r="AP218" s="129">
        <v>85.03</v>
      </c>
      <c r="AQ218" s="129">
        <v>85.2</v>
      </c>
      <c r="AR218" s="129">
        <v>85.72</v>
      </c>
      <c r="AS218" s="129">
        <v>83.72</v>
      </c>
      <c r="AT218" s="129">
        <v>86.04</v>
      </c>
      <c r="AU218" s="129">
        <v>92.84</v>
      </c>
      <c r="AV218" s="129">
        <v>90.27</v>
      </c>
      <c r="AW218" s="129">
        <v>87.54</v>
      </c>
      <c r="AX218" s="129">
        <v>89</v>
      </c>
      <c r="AY218" s="129">
        <v>81.489999999999995</v>
      </c>
      <c r="AZ218" s="129">
        <v>87.3</v>
      </c>
      <c r="BA218" s="129">
        <v>90.47</v>
      </c>
      <c r="BB218" s="129">
        <v>87.22</v>
      </c>
      <c r="BC218" s="129"/>
      <c r="BD218" s="129">
        <v>99.53</v>
      </c>
      <c r="BE218" s="129">
        <v>101.9</v>
      </c>
      <c r="BF218" s="129">
        <v>94.86</v>
      </c>
      <c r="BG218" s="129">
        <v>94.23</v>
      </c>
      <c r="BH218" s="129"/>
      <c r="BI218" s="129"/>
      <c r="BJ218" s="129"/>
      <c r="BK218" s="212"/>
      <c r="BL218" s="212"/>
      <c r="BM218" s="212"/>
      <c r="BN218" s="212"/>
      <c r="BO218" s="212"/>
      <c r="BP218" s="212"/>
      <c r="BQ218" s="212"/>
      <c r="BR218" s="212"/>
      <c r="BS218" s="212"/>
      <c r="BT218" s="212"/>
      <c r="BU218" s="212"/>
      <c r="BV218" s="212"/>
      <c r="BW218" s="212"/>
      <c r="BX218" s="212"/>
      <c r="BY218" s="212"/>
      <c r="BZ218" s="212"/>
      <c r="CA218" s="212"/>
    </row>
    <row r="219" spans="1:79" s="144" customFormat="1">
      <c r="A219" s="19" t="s">
        <v>59</v>
      </c>
      <c r="B219" s="80">
        <v>2</v>
      </c>
      <c r="C219" s="80">
        <v>2</v>
      </c>
      <c r="D219" s="80">
        <v>2</v>
      </c>
      <c r="E219" s="80">
        <v>2</v>
      </c>
      <c r="F219" s="80">
        <v>2</v>
      </c>
      <c r="G219" s="80">
        <v>2</v>
      </c>
      <c r="H219" s="80">
        <v>2</v>
      </c>
      <c r="I219" s="80">
        <v>2</v>
      </c>
      <c r="J219" s="80">
        <v>2</v>
      </c>
      <c r="K219" s="80">
        <v>2</v>
      </c>
      <c r="L219" s="80">
        <v>2</v>
      </c>
      <c r="M219" s="80">
        <v>2</v>
      </c>
      <c r="N219" s="80">
        <v>2</v>
      </c>
      <c r="O219" s="80">
        <v>2</v>
      </c>
      <c r="P219" s="80">
        <v>2</v>
      </c>
      <c r="Q219" s="80">
        <v>2</v>
      </c>
      <c r="R219" s="80">
        <v>2</v>
      </c>
      <c r="S219" s="80">
        <v>2</v>
      </c>
      <c r="T219" s="80">
        <v>2</v>
      </c>
      <c r="U219" s="80">
        <v>2</v>
      </c>
      <c r="V219" s="80">
        <v>2</v>
      </c>
      <c r="W219" s="80">
        <v>2</v>
      </c>
      <c r="X219" s="80">
        <v>2</v>
      </c>
      <c r="Y219" s="80">
        <v>2</v>
      </c>
      <c r="Z219" s="80">
        <v>2</v>
      </c>
      <c r="AA219" s="80">
        <v>2</v>
      </c>
      <c r="AB219" s="80">
        <v>2</v>
      </c>
      <c r="AC219" s="80">
        <v>2</v>
      </c>
      <c r="AD219" s="80">
        <v>2</v>
      </c>
      <c r="AE219" s="80">
        <v>2</v>
      </c>
      <c r="AF219" s="80">
        <v>2</v>
      </c>
      <c r="AG219" s="80">
        <v>2</v>
      </c>
      <c r="AH219" s="80">
        <v>2</v>
      </c>
      <c r="AI219" s="80">
        <v>2</v>
      </c>
      <c r="AJ219" s="80">
        <v>2</v>
      </c>
      <c r="AK219" s="80">
        <v>2</v>
      </c>
      <c r="AL219" s="80">
        <v>2</v>
      </c>
      <c r="AM219" s="80">
        <v>2</v>
      </c>
      <c r="AN219" s="80">
        <v>2</v>
      </c>
      <c r="AO219" s="80">
        <v>2</v>
      </c>
      <c r="AP219" s="80">
        <v>2</v>
      </c>
      <c r="AQ219" s="80">
        <v>2</v>
      </c>
      <c r="AR219" s="80">
        <v>2</v>
      </c>
      <c r="AS219" s="80">
        <v>2</v>
      </c>
      <c r="AT219" s="80">
        <v>2</v>
      </c>
      <c r="AU219" s="80">
        <v>2</v>
      </c>
      <c r="AV219" s="80">
        <v>2</v>
      </c>
      <c r="AW219" s="80">
        <v>2</v>
      </c>
      <c r="AX219" s="80">
        <v>2</v>
      </c>
      <c r="AY219" s="80">
        <v>2</v>
      </c>
      <c r="AZ219" s="80">
        <v>2</v>
      </c>
      <c r="BA219" s="80">
        <v>2</v>
      </c>
      <c r="BB219" s="80">
        <v>2</v>
      </c>
      <c r="BC219" s="80">
        <v>2</v>
      </c>
      <c r="BD219" s="80">
        <v>2</v>
      </c>
      <c r="BE219" s="80">
        <v>2</v>
      </c>
      <c r="BF219" s="80">
        <v>2</v>
      </c>
      <c r="BG219" s="80">
        <v>2</v>
      </c>
      <c r="BH219" s="80">
        <v>2</v>
      </c>
      <c r="BI219" s="80">
        <v>2</v>
      </c>
      <c r="BJ219" s="80">
        <v>2</v>
      </c>
      <c r="BK219" s="80">
        <v>2</v>
      </c>
      <c r="BL219" s="80">
        <v>2</v>
      </c>
      <c r="BM219" s="80">
        <v>2</v>
      </c>
      <c r="BN219" s="80">
        <v>2</v>
      </c>
      <c r="BO219" s="80">
        <v>2</v>
      </c>
      <c r="BP219" s="80">
        <v>2</v>
      </c>
      <c r="BQ219" s="80">
        <v>2</v>
      </c>
      <c r="BR219" s="80">
        <v>2</v>
      </c>
      <c r="BS219" s="80">
        <v>2</v>
      </c>
      <c r="BT219" s="80">
        <v>2</v>
      </c>
      <c r="BU219" s="80">
        <v>2</v>
      </c>
      <c r="BV219" s="80">
        <v>2</v>
      </c>
      <c r="BW219" s="80">
        <v>2</v>
      </c>
      <c r="BX219" s="80">
        <v>2</v>
      </c>
      <c r="BY219" s="80">
        <v>2</v>
      </c>
      <c r="BZ219" s="80">
        <v>2</v>
      </c>
      <c r="CA219" s="80">
        <v>2</v>
      </c>
    </row>
    <row r="220" spans="1:79" s="69" customFormat="1">
      <c r="A220" s="19" t="s">
        <v>60</v>
      </c>
      <c r="B220" s="112"/>
      <c r="C220" s="112"/>
      <c r="D220" s="112"/>
      <c r="E220" s="112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2"/>
      <c r="AM220" s="112">
        <v>4.07</v>
      </c>
      <c r="AN220" s="112">
        <v>1.29</v>
      </c>
      <c r="AO220" s="112">
        <v>1.2</v>
      </c>
      <c r="AP220" s="112">
        <v>2.2599999999999998</v>
      </c>
      <c r="AQ220" s="112">
        <v>4.3899999999999997</v>
      </c>
      <c r="AR220" s="112">
        <v>3.17</v>
      </c>
      <c r="AS220" s="112">
        <v>2.4500000000000002</v>
      </c>
      <c r="AT220" s="112">
        <v>1.33</v>
      </c>
      <c r="AU220" s="112">
        <v>2.38</v>
      </c>
      <c r="AV220" s="112">
        <v>0.79</v>
      </c>
      <c r="AW220" s="112">
        <v>1.96</v>
      </c>
      <c r="AX220" s="112">
        <v>0.78</v>
      </c>
      <c r="AY220" s="112">
        <v>4.43</v>
      </c>
      <c r="AZ220" s="112">
        <v>1.3</v>
      </c>
      <c r="BA220" s="112">
        <v>0.97</v>
      </c>
      <c r="BB220" s="112">
        <v>2.06</v>
      </c>
      <c r="BC220" s="112"/>
      <c r="BD220" s="112">
        <v>2.09</v>
      </c>
      <c r="BE220" s="112">
        <v>1.32</v>
      </c>
      <c r="BF220" s="112">
        <v>1.34</v>
      </c>
      <c r="BG220" s="112">
        <v>0.43</v>
      </c>
      <c r="BH220" s="112"/>
      <c r="BI220" s="112"/>
      <c r="BJ220" s="112"/>
      <c r="BK220" s="216"/>
      <c r="BL220" s="216"/>
      <c r="BM220" s="216"/>
      <c r="BN220" s="216"/>
      <c r="BO220" s="216"/>
      <c r="BP220" s="216"/>
      <c r="BQ220" s="216"/>
      <c r="BR220" s="216"/>
      <c r="BS220" s="216"/>
      <c r="BT220" s="216"/>
      <c r="BU220" s="216"/>
      <c r="BV220" s="216"/>
      <c r="BW220" s="216"/>
      <c r="BX220" s="216"/>
      <c r="BY220" s="216"/>
      <c r="BZ220" s="216"/>
      <c r="CA220" s="216"/>
    </row>
    <row r="221" spans="1:79" s="149" customFormat="1">
      <c r="A221" s="19" t="s">
        <v>61</v>
      </c>
      <c r="B221" s="140">
        <v>2.4500000000000002</v>
      </c>
      <c r="C221" s="140">
        <v>2.4500000000000002</v>
      </c>
      <c r="D221" s="140">
        <v>2.4500000000000002</v>
      </c>
      <c r="E221" s="140">
        <v>2.4500000000000002</v>
      </c>
      <c r="F221" s="140">
        <v>2.4500000000000002</v>
      </c>
      <c r="G221" s="140">
        <v>2.4500000000000002</v>
      </c>
      <c r="H221" s="140">
        <v>2.4500000000000002</v>
      </c>
      <c r="I221" s="140">
        <v>2.4500000000000002</v>
      </c>
      <c r="J221" s="140">
        <v>2.4500000000000002</v>
      </c>
      <c r="K221" s="140">
        <v>2.4500000000000002</v>
      </c>
      <c r="L221" s="140">
        <v>2.4500000000000002</v>
      </c>
      <c r="M221" s="140">
        <v>2.4500000000000002</v>
      </c>
      <c r="N221" s="140">
        <v>2.4500000000000002</v>
      </c>
      <c r="O221" s="140">
        <v>2.4500000000000002</v>
      </c>
      <c r="P221" s="140">
        <v>2.4500000000000002</v>
      </c>
      <c r="Q221" s="140">
        <v>2.4500000000000002</v>
      </c>
      <c r="R221" s="140">
        <v>2.4500000000000002</v>
      </c>
      <c r="S221" s="140">
        <v>2.4500000000000002</v>
      </c>
      <c r="T221" s="140">
        <v>2.4500000000000002</v>
      </c>
      <c r="U221" s="140">
        <v>2.4500000000000002</v>
      </c>
      <c r="V221" s="140">
        <v>2.4500000000000002</v>
      </c>
      <c r="W221" s="140">
        <v>2.4500000000000002</v>
      </c>
      <c r="X221" s="140">
        <v>2.4500000000000002</v>
      </c>
      <c r="Y221" s="140">
        <v>2.4500000000000002</v>
      </c>
      <c r="Z221" s="140">
        <v>2.4500000000000002</v>
      </c>
      <c r="AA221" s="140">
        <v>2.4500000000000002</v>
      </c>
      <c r="AB221" s="140">
        <v>2.4500000000000002</v>
      </c>
      <c r="AC221" s="140">
        <v>2.4500000000000002</v>
      </c>
      <c r="AD221" s="140">
        <v>2.4500000000000002</v>
      </c>
      <c r="AE221" s="140">
        <v>2.4500000000000002</v>
      </c>
      <c r="AF221" s="140">
        <v>2.4500000000000002</v>
      </c>
      <c r="AG221" s="140">
        <v>2.4500000000000002</v>
      </c>
      <c r="AH221" s="140">
        <v>2.4500000000000002</v>
      </c>
      <c r="AI221" s="140">
        <v>2.4500000000000002</v>
      </c>
      <c r="AJ221" s="140">
        <v>2.4500000000000002</v>
      </c>
      <c r="AK221" s="140">
        <v>2.4500000000000002</v>
      </c>
      <c r="AL221" s="140">
        <v>2.4500000000000002</v>
      </c>
      <c r="AM221" s="140">
        <v>2.4500000000000002</v>
      </c>
      <c r="AN221" s="140">
        <v>2.4500000000000002</v>
      </c>
      <c r="AO221" s="140">
        <v>2.4500000000000002</v>
      </c>
      <c r="AP221" s="140">
        <v>2.4500000000000002</v>
      </c>
      <c r="AQ221" s="140">
        <v>2.4500000000000002</v>
      </c>
      <c r="AR221" s="140">
        <v>2.4500000000000002</v>
      </c>
      <c r="AS221" s="140">
        <v>2.4500000000000002</v>
      </c>
      <c r="AT221" s="140">
        <v>2.4500000000000002</v>
      </c>
      <c r="AU221" s="140">
        <v>2.4500000000000002</v>
      </c>
      <c r="AV221" s="140">
        <v>2.4500000000000002</v>
      </c>
      <c r="AW221" s="140">
        <v>2.4500000000000002</v>
      </c>
      <c r="AX221" s="140">
        <v>2.4500000000000002</v>
      </c>
      <c r="AY221" s="140">
        <v>2.4500000000000002</v>
      </c>
      <c r="AZ221" s="140">
        <v>2.4500000000000002</v>
      </c>
      <c r="BA221" s="140">
        <v>2.4500000000000002</v>
      </c>
      <c r="BB221" s="140">
        <v>2.4500000000000002</v>
      </c>
      <c r="BC221" s="140">
        <v>2.4500000000000002</v>
      </c>
      <c r="BD221" s="140">
        <v>2.4500000000000002</v>
      </c>
      <c r="BE221" s="140">
        <v>2.4500000000000002</v>
      </c>
      <c r="BF221" s="140">
        <v>2.4500000000000002</v>
      </c>
      <c r="BG221" s="140">
        <v>2.4500000000000002</v>
      </c>
      <c r="BH221" s="140">
        <v>2.4500000000000002</v>
      </c>
      <c r="BI221" s="140">
        <v>2.4500000000000002</v>
      </c>
      <c r="BJ221" s="140">
        <v>2.4500000000000002</v>
      </c>
      <c r="BK221" s="140">
        <v>2.4500000000000002</v>
      </c>
      <c r="BL221" s="140">
        <v>2.4500000000000002</v>
      </c>
      <c r="BM221" s="140">
        <v>2.4500000000000002</v>
      </c>
      <c r="BN221" s="140">
        <v>2.4500000000000002</v>
      </c>
      <c r="BO221" s="140">
        <v>2.4500000000000002</v>
      </c>
      <c r="BP221" s="140">
        <v>2.4500000000000002</v>
      </c>
      <c r="BQ221" s="140">
        <v>2.4500000000000002</v>
      </c>
      <c r="BR221" s="140">
        <v>2.4500000000000002</v>
      </c>
      <c r="BS221" s="140">
        <v>2.4500000000000002</v>
      </c>
      <c r="BT221" s="140">
        <v>2.4500000000000002</v>
      </c>
      <c r="BU221" s="140">
        <v>2.4500000000000002</v>
      </c>
      <c r="BV221" s="140">
        <v>2.4500000000000002</v>
      </c>
      <c r="BW221" s="140">
        <v>2.4500000000000002</v>
      </c>
      <c r="BX221" s="140">
        <v>2.4500000000000002</v>
      </c>
      <c r="BY221" s="140">
        <v>2.4500000000000002</v>
      </c>
      <c r="BZ221" s="140">
        <v>2.4500000000000002</v>
      </c>
      <c r="CA221" s="140">
        <v>2.4500000000000002</v>
      </c>
    </row>
    <row r="222" spans="1:79" s="66" customFormat="1" ht="19.5" thickBot="1">
      <c r="A222" s="22" t="s">
        <v>62</v>
      </c>
      <c r="B222" s="108"/>
      <c r="C222" s="108"/>
      <c r="D222" s="108"/>
      <c r="E222" s="108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8"/>
      <c r="AM222" s="108">
        <v>2.7</v>
      </c>
      <c r="AN222" s="108">
        <v>2.31</v>
      </c>
      <c r="AO222" s="108">
        <v>2.11</v>
      </c>
      <c r="AP222" s="108">
        <v>2.82</v>
      </c>
      <c r="AQ222" s="108">
        <v>2.58</v>
      </c>
      <c r="AR222" s="107">
        <v>2.6</v>
      </c>
      <c r="AS222" s="108">
        <v>2.52</v>
      </c>
      <c r="AT222" s="108">
        <v>2.57</v>
      </c>
      <c r="AU222" s="108">
        <v>2.34</v>
      </c>
      <c r="AV222" s="108">
        <v>2.3199999999999998</v>
      </c>
      <c r="AW222" s="108">
        <v>2.4</v>
      </c>
      <c r="AX222" s="108">
        <v>2.4700000000000002</v>
      </c>
      <c r="AY222" s="108">
        <v>2.67</v>
      </c>
      <c r="AZ222" s="108">
        <v>2.42</v>
      </c>
      <c r="BA222" s="108">
        <v>2.4700000000000002</v>
      </c>
      <c r="BB222" s="108">
        <v>2.4700000000000002</v>
      </c>
      <c r="BC222" s="108"/>
      <c r="BD222" s="108">
        <v>2.42</v>
      </c>
      <c r="BE222" s="108">
        <v>2.35</v>
      </c>
      <c r="BF222" s="108">
        <v>2.62</v>
      </c>
      <c r="BG222" s="108">
        <v>2.23</v>
      </c>
      <c r="BH222" s="108"/>
      <c r="BI222" s="108"/>
      <c r="BJ222" s="108"/>
      <c r="BK222" s="219"/>
    </row>
    <row r="223" spans="1:79" ht="19.5" thickBot="1"/>
    <row r="224" spans="1:79">
      <c r="A224" s="161" t="s">
        <v>88</v>
      </c>
      <c r="AL224" s="247"/>
      <c r="AM224" s="247"/>
      <c r="AN224" s="247"/>
      <c r="AO224" s="247"/>
      <c r="AP224" s="247"/>
      <c r="AQ224" s="247"/>
      <c r="AR224" s="247"/>
    </row>
    <row r="225" spans="1:1">
      <c r="A225" s="162" t="s">
        <v>89</v>
      </c>
    </row>
    <row r="226" spans="1:1" ht="19.5" thickBot="1">
      <c r="A226" s="163" t="s">
        <v>90</v>
      </c>
    </row>
    <row r="291" spans="2:13">
      <c r="B291" s="4">
        <v>159.69999999999999</v>
      </c>
      <c r="C291" s="4">
        <v>154</v>
      </c>
      <c r="D291" s="4">
        <v>164</v>
      </c>
      <c r="G291">
        <v>158</v>
      </c>
      <c r="H291">
        <v>160</v>
      </c>
      <c r="I291">
        <v>161</v>
      </c>
      <c r="J291">
        <v>158</v>
      </c>
      <c r="K291">
        <v>161</v>
      </c>
      <c r="L291">
        <v>163</v>
      </c>
    </row>
    <row r="292" spans="2:13">
      <c r="C292" s="4">
        <v>140</v>
      </c>
      <c r="D292" s="4">
        <v>150</v>
      </c>
      <c r="G292">
        <v>148</v>
      </c>
      <c r="H292">
        <v>154</v>
      </c>
      <c r="I292">
        <v>153.5</v>
      </c>
      <c r="J292">
        <v>154</v>
      </c>
      <c r="K292">
        <v>152</v>
      </c>
      <c r="L292">
        <v>154</v>
      </c>
    </row>
    <row r="293" spans="2:13">
      <c r="B293" s="4">
        <v>4</v>
      </c>
      <c r="C293" s="4">
        <v>1</v>
      </c>
      <c r="D293" s="4">
        <v>1</v>
      </c>
      <c r="G293">
        <v>1</v>
      </c>
      <c r="H293">
        <v>1</v>
      </c>
      <c r="I293">
        <v>2</v>
      </c>
      <c r="J293">
        <v>3</v>
      </c>
      <c r="K293">
        <v>1</v>
      </c>
      <c r="L293">
        <v>1</v>
      </c>
    </row>
    <row r="294" spans="2:13">
      <c r="C294" s="4">
        <v>158</v>
      </c>
      <c r="D294" s="4">
        <v>164</v>
      </c>
      <c r="G294">
        <v>160</v>
      </c>
      <c r="H294">
        <v>165</v>
      </c>
      <c r="I294">
        <v>159</v>
      </c>
      <c r="J294">
        <v>165</v>
      </c>
      <c r="K294">
        <v>163</v>
      </c>
      <c r="L294">
        <v>159</v>
      </c>
    </row>
    <row r="295" spans="2:13">
      <c r="B295" s="4">
        <v>4</v>
      </c>
      <c r="C295" s="4">
        <v>4</v>
      </c>
      <c r="D295" s="4">
        <v>7</v>
      </c>
      <c r="G295">
        <v>6</v>
      </c>
      <c r="H295">
        <v>1</v>
      </c>
      <c r="I295">
        <v>1</v>
      </c>
      <c r="J295">
        <v>2</v>
      </c>
      <c r="K295">
        <v>4</v>
      </c>
      <c r="L295">
        <v>2</v>
      </c>
    </row>
    <row r="296" spans="2:13">
      <c r="B296" s="4">
        <v>159.69999999999999</v>
      </c>
      <c r="C296" s="4">
        <v>156.69999999999999</v>
      </c>
      <c r="D296" s="4">
        <v>177</v>
      </c>
      <c r="I296">
        <v>177</v>
      </c>
      <c r="L296">
        <v>182</v>
      </c>
    </row>
    <row r="297" spans="2:13">
      <c r="B297" s="4">
        <v>2</v>
      </c>
      <c r="D297" s="4">
        <v>1</v>
      </c>
      <c r="I297">
        <v>1</v>
      </c>
      <c r="L297">
        <v>1</v>
      </c>
    </row>
    <row r="299" spans="2:13">
      <c r="B299" s="19" t="s">
        <v>6</v>
      </c>
      <c r="C299" s="167"/>
      <c r="D299" s="167">
        <v>1</v>
      </c>
      <c r="E299" s="167"/>
      <c r="F299" s="167"/>
      <c r="G299" s="167"/>
      <c r="H299" s="167">
        <v>1</v>
      </c>
      <c r="I299" s="167"/>
      <c r="J299" s="167"/>
      <c r="K299" s="167"/>
      <c r="L299" s="167"/>
      <c r="M299" s="167"/>
    </row>
    <row r="300" spans="2:13">
      <c r="B300" s="21" t="s">
        <v>7</v>
      </c>
      <c r="C300" s="96">
        <f>C301/(SUM(C299,C303,C301))</f>
        <v>0.5</v>
      </c>
      <c r="D300" s="96">
        <f t="shared" ref="D300:M300" si="476">D301/(SUM(D299,D303,D301))</f>
        <v>0.5</v>
      </c>
      <c r="E300" s="171">
        <f t="shared" si="476"/>
        <v>0.22222222222222221</v>
      </c>
      <c r="F300" s="96" t="e">
        <f t="shared" si="476"/>
        <v>#DIV/0!</v>
      </c>
      <c r="G300" s="96" t="e">
        <f t="shared" si="476"/>
        <v>#DIV/0!</v>
      </c>
      <c r="H300" s="171">
        <f t="shared" si="476"/>
        <v>0.42857142857142855</v>
      </c>
      <c r="I300" s="96">
        <f t="shared" si="476"/>
        <v>0.5</v>
      </c>
      <c r="J300" s="96">
        <f t="shared" si="476"/>
        <v>0.75</v>
      </c>
      <c r="K300" s="96">
        <f t="shared" si="476"/>
        <v>0.5</v>
      </c>
      <c r="L300" s="96">
        <f t="shared" si="476"/>
        <v>0.4</v>
      </c>
      <c r="M300" s="96">
        <f t="shared" si="476"/>
        <v>0.75</v>
      </c>
    </row>
    <row r="301" spans="2:13">
      <c r="B301" s="19" t="s">
        <v>8</v>
      </c>
      <c r="C301" s="167">
        <v>5</v>
      </c>
      <c r="D301" s="167">
        <v>3</v>
      </c>
      <c r="E301" s="167">
        <v>2</v>
      </c>
      <c r="F301" s="167"/>
      <c r="G301" s="167"/>
      <c r="H301" s="167">
        <v>3</v>
      </c>
      <c r="I301" s="167">
        <v>1</v>
      </c>
      <c r="J301" s="167">
        <v>3</v>
      </c>
      <c r="K301" s="167">
        <v>3</v>
      </c>
      <c r="L301" s="167">
        <v>2</v>
      </c>
      <c r="M301" s="167">
        <v>3</v>
      </c>
    </row>
    <row r="302" spans="2:13">
      <c r="B302" s="21" t="s">
        <v>9</v>
      </c>
      <c r="C302" s="96">
        <f>C303/(SUM(C303,C301,C299))</f>
        <v>0.5</v>
      </c>
      <c r="D302" s="171">
        <f t="shared" ref="D302:M302" si="477">D303/(SUM(D303,D301,D299))</f>
        <v>0.33333333333333331</v>
      </c>
      <c r="E302" s="171">
        <f t="shared" si="477"/>
        <v>0.77777777777777779</v>
      </c>
      <c r="F302" s="96" t="e">
        <f t="shared" si="477"/>
        <v>#DIV/0!</v>
      </c>
      <c r="G302" s="96" t="e">
        <f t="shared" si="477"/>
        <v>#DIV/0!</v>
      </c>
      <c r="H302" s="171">
        <f t="shared" si="477"/>
        <v>0.42857142857142855</v>
      </c>
      <c r="I302" s="96">
        <f t="shared" si="477"/>
        <v>0.5</v>
      </c>
      <c r="J302" s="96">
        <f t="shared" si="477"/>
        <v>0.25</v>
      </c>
      <c r="K302" s="96">
        <f t="shared" si="477"/>
        <v>0.5</v>
      </c>
      <c r="L302" s="96">
        <f t="shared" si="477"/>
        <v>0.6</v>
      </c>
      <c r="M302" s="96">
        <f t="shared" si="477"/>
        <v>0.25</v>
      </c>
    </row>
    <row r="303" spans="2:13" ht="19.5" thickBot="1">
      <c r="B303" s="22" t="s">
        <v>10</v>
      </c>
      <c r="C303" s="129">
        <v>5</v>
      </c>
      <c r="D303" s="167">
        <v>2</v>
      </c>
      <c r="E303" s="167">
        <v>7</v>
      </c>
      <c r="F303" s="167"/>
      <c r="G303" s="167"/>
      <c r="H303" s="167">
        <v>3</v>
      </c>
      <c r="I303" s="167">
        <v>1</v>
      </c>
      <c r="J303" s="167">
        <v>1</v>
      </c>
      <c r="K303" s="167">
        <v>3</v>
      </c>
      <c r="L303" s="167">
        <v>3</v>
      </c>
      <c r="M303" s="167">
        <v>1</v>
      </c>
    </row>
  </sheetData>
  <pageMargins left="0.23622047244094499" right="0.23622047244094499" top="0.74803149606299202" bottom="0.74803149606299202" header="0.31496062992126" footer="0.31496062992126"/>
  <pageSetup paperSize="9" scale="12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CDA8D9B5-B2EA-49FC-87BD-0B89A6B8D63C}"/>
</file>

<file path=customXml/itemProps2.xml><?xml version="1.0" encoding="utf-8"?>
<ds:datastoreItem xmlns:ds="http://schemas.openxmlformats.org/officeDocument/2006/customXml" ds:itemID="{D0378A99-047F-497A-9CE4-11949B648A27}"/>
</file>

<file path=customXml/itemProps3.xml><?xml version="1.0" encoding="utf-8"?>
<ds:datastoreItem xmlns:ds="http://schemas.openxmlformats.org/officeDocument/2006/customXml" ds:itemID="{1E764B95-9A7C-44F5-AB50-4DBCE1E5A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Multiplier Weekly Report</vt:lpstr>
    </vt:vector>
  </TitlesOfParts>
  <Manager/>
  <Company>TrippleC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TrippleC</dc:creator>
  <cp:keywords/>
  <dc:description/>
  <cp:lastModifiedBy>Multiplier</cp:lastModifiedBy>
  <cp:revision/>
  <cp:lastPrinted>2026-04-09T04:43:28Z</cp:lastPrinted>
  <dcterms:created xsi:type="dcterms:W3CDTF">2018-06-14T12:01:00Z</dcterms:created>
  <dcterms:modified xsi:type="dcterms:W3CDTF">2026-08-22T05:46:43Z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  <property fmtid="{D5CDD505-2E9C-101B-9397-08002B2CF9AE}" pid="3" name="ContentTypeId">
    <vt:lpwstr>0x010100F4556EAEE72D7747B3D0355DABB429F3</vt:lpwstr>
  </property>
</Properties>
</file>