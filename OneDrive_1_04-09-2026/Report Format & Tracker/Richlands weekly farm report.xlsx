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9.xml" ContentType="application/vnd.openxmlformats-officedocument.themeOverride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30.xml" ContentType="application/vnd.openxmlformats-officedocument.themeOverride+xml"/>
  <Override PartName="/xl/charts/chart3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31.xml" ContentType="application/vnd.openxmlformats-officedocument.themeOverride+xml"/>
  <Override PartName="/xl/charts/chart3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32.xml" ContentType="application/vnd.openxmlformats-officedocument.themeOverride+xml"/>
  <Override PartName="/xl/charts/chart3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33.xml" ContentType="application/vnd.openxmlformats-officedocument.themeOverride+xml"/>
  <Override PartName="/xl/charts/chart3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34.xml" ContentType="application/vnd.openxmlformats-officedocument.themeOverride+xml"/>
  <Override PartName="/xl/charts/chart3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9.xml" ContentType="application/vnd.openxmlformats-officedocument.drawingml.chart+xml"/>
  <Override PartName="/xl/theme/themeOverride35.xml" ContentType="application/vnd.openxmlformats-officedocument.themeOverride+xml"/>
  <Override PartName="/xl/charts/chart40.xml" ContentType="application/vnd.openxmlformats-officedocument.drawingml.chart+xml"/>
  <Override PartName="/xl/theme/themeOverride36.xml" ContentType="application/vnd.openxmlformats-officedocument.themeOverride+xml"/>
  <Override PartName="/xl/charts/chart41.xml" ContentType="application/vnd.openxmlformats-officedocument.drawingml.chart+xml"/>
  <Override PartName="/xl/theme/themeOverride37.xml" ContentType="application/vnd.openxmlformats-officedocument.themeOverride+xml"/>
  <Override PartName="/xl/charts/chart42.xml" ContentType="application/vnd.openxmlformats-officedocument.drawingml.chart+xml"/>
  <Override PartName="/xl/theme/themeOverride38.xml" ContentType="application/vnd.openxmlformats-officedocument.themeOverride+xml"/>
  <Override PartName="/xl/charts/chart43.xml" ContentType="application/vnd.openxmlformats-officedocument.drawingml.chart+xml"/>
  <Override PartName="/xl/theme/themeOverride39.xml" ContentType="application/vnd.openxmlformats-officedocument.themeOverride+xml"/>
  <Override PartName="/xl/charts/chart44.xml" ContentType="application/vnd.openxmlformats-officedocument.drawingml.chart+xml"/>
  <Override PartName="/xl/theme/themeOverride40.xml" ContentType="application/vnd.openxmlformats-officedocument.themeOverride+xml"/>
  <Override PartName="/xl/charts/chart45.xml" ContentType="application/vnd.openxmlformats-officedocument.drawingml.chart+xml"/>
  <Override PartName="/xl/theme/themeOverride41.xml" ContentType="application/vnd.openxmlformats-officedocument.themeOverride+xml"/>
  <Override PartName="/xl/charts/chart46.xml" ContentType="application/vnd.openxmlformats-officedocument.drawingml.chart+xml"/>
  <Override PartName="/xl/theme/themeOverride42.xml" ContentType="application/vnd.openxmlformats-officedocument.themeOverride+xml"/>
  <Override PartName="/xl/charts/chart47.xml" ContentType="application/vnd.openxmlformats-officedocument.drawingml.chart+xml"/>
  <Override PartName="/xl/theme/themeOverride43.xml" ContentType="application/vnd.openxmlformats-officedocument.themeOverride+xml"/>
  <Override PartName="/xl/charts/chart48.xml" ContentType="application/vnd.openxmlformats-officedocument.drawingml.chart+xml"/>
  <Override PartName="/xl/theme/themeOverride44.xml" ContentType="application/vnd.openxmlformats-officedocument.themeOverride+xml"/>
  <Override PartName="/xl/charts/chart49.xml" ContentType="application/vnd.openxmlformats-officedocument.drawingml.chart+xml"/>
  <Override PartName="/xl/theme/themeOverride45.xml" ContentType="application/vnd.openxmlformats-officedocument.themeOverride+xml"/>
  <Override PartName="/xl/charts/chart50.xml" ContentType="application/vnd.openxmlformats-officedocument.drawingml.chart+xml"/>
  <Override PartName="/xl/theme/themeOverride46.xml" ContentType="application/vnd.openxmlformats-officedocument.themeOverride+xml"/>
  <Override PartName="/xl/charts/chart5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47.xml" ContentType="application/vnd.openxmlformats-officedocument.themeOverride+xml"/>
  <Override PartName="/xl/charts/chart5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48.xml" ContentType="application/vnd.openxmlformats-officedocument.themeOverride+xml"/>
  <Override PartName="/xl/charts/chart53.xml" ContentType="application/vnd.openxmlformats-officedocument.drawingml.chart+xml"/>
  <Override PartName="/xl/theme/themeOverride49.xml" ContentType="application/vnd.openxmlformats-officedocument.themeOverride+xml"/>
  <Override PartName="/xl/charts/chart5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50.xml" ContentType="application/vnd.openxmlformats-officedocument.themeOverride+xml"/>
  <Override PartName="/xl/charts/chart55.xml" ContentType="application/vnd.openxmlformats-officedocument.drawingml.chart+xml"/>
  <Override PartName="/xl/theme/themeOverride51.xml" ContentType="application/vnd.openxmlformats-officedocument.themeOverride+xml"/>
  <Override PartName="/xl/charts/chart5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52.xml" ContentType="application/vnd.openxmlformats-officedocument.themeOverride+xml"/>
  <Override PartName="/xl/charts/chart5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53.xml" ContentType="application/vnd.openxmlformats-officedocument.themeOverride+xml"/>
  <Override PartName="/xl/charts/chart5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54.xml" ContentType="application/vnd.openxmlformats-officedocument.themeOverride+xml"/>
  <Override PartName="/xl/charts/chart59.xml" ContentType="application/vnd.openxmlformats-officedocument.drawingml.chart+xml"/>
  <Override PartName="/xl/theme/themeOverride55.xml" ContentType="application/vnd.openxmlformats-officedocument.themeOverride+xml"/>
  <Override PartName="/xl/charts/chart6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56.xml" ContentType="application/vnd.openxmlformats-officedocument.themeOverride+xml"/>
  <Override PartName="/xl/charts/chart61.xml" ContentType="application/vnd.openxmlformats-officedocument.drawingml.chart+xml"/>
  <Override PartName="/xl/theme/themeOverride57.xml" ContentType="application/vnd.openxmlformats-officedocument.themeOverride+xml"/>
  <Override PartName="/xl/charts/chart6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6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6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58.xml" ContentType="application/vnd.openxmlformats-officedocument.themeOverride+xml"/>
  <Override PartName="/xl/charts/chart6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lcom\Dropbox\1) Triple C Pigs Production Folder\1. Weekly Farm Report - good\Richlands\"/>
    </mc:Choice>
  </mc:AlternateContent>
  <xr:revisionPtr revIDLastSave="65" documentId="13_ncr:1_{9B5EB239-E0B3-47BF-B0CE-0A727E52382F}" xr6:coauthVersionLast="47" xr6:coauthVersionMax="47" xr10:uidLastSave="{D0D451BB-4C3E-4D17-9FE4-EA6433BFCE46}"/>
  <bookViews>
    <workbookView xWindow="-120" yWindow="-120" windowWidth="20730" windowHeight="11040" firstSheet="1" activeTab="2" xr2:uid="{00000000-000D-0000-FFFF-FFFF00000000}"/>
  </bookViews>
  <sheets>
    <sheet name="Dashboard" sheetId="5" r:id="rId1"/>
    <sheet name="Weekly report" sheetId="4" r:id="rId2"/>
    <sheet name="AGE WISE KPI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02" i="4" l="1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BL90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BQ58" i="4"/>
  <c r="BR58" i="4"/>
  <c r="BS58" i="4"/>
  <c r="BT58" i="4"/>
  <c r="BU58" i="4"/>
  <c r="BV58" i="4"/>
  <c r="BW58" i="4"/>
  <c r="BX58" i="4"/>
  <c r="BY58" i="4"/>
  <c r="BZ58" i="4"/>
  <c r="CA58" i="4"/>
  <c r="BL58" i="4"/>
  <c r="BM58" i="4"/>
  <c r="BN58" i="4"/>
  <c r="BO58" i="4"/>
  <c r="BP58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B220" i="4" l="1"/>
  <c r="BK18" i="4" l="1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I87" i="4" l="1"/>
  <c r="C120" i="4" l="1"/>
  <c r="AG87" i="4" l="1"/>
  <c r="AH87" i="4"/>
  <c r="AH69" i="4"/>
  <c r="AG69" i="4"/>
  <c r="E87" i="4" l="1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F69" i="4" l="1"/>
  <c r="H50" i="4" l="1"/>
  <c r="I50" i="4"/>
  <c r="J50" i="4"/>
  <c r="K50" i="4"/>
  <c r="L50" i="4"/>
  <c r="O50" i="4"/>
  <c r="P50" i="4"/>
  <c r="Q50" i="4"/>
  <c r="S50" i="4"/>
  <c r="T50" i="4"/>
  <c r="V50" i="4"/>
  <c r="W50" i="4"/>
  <c r="X50" i="4"/>
  <c r="Y50" i="4"/>
  <c r="Z50" i="4"/>
  <c r="AC50" i="4" l="1"/>
  <c r="AD50" i="4"/>
  <c r="AC143" i="4" l="1"/>
  <c r="X7" i="4" l="1"/>
  <c r="Y7" i="4"/>
  <c r="Z7" i="4"/>
  <c r="AA7" i="4"/>
  <c r="C6" i="4"/>
  <c r="B6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BK152" i="4" l="1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A69" i="4" l="1"/>
  <c r="Z69" i="4"/>
  <c r="K69" i="4" l="1"/>
  <c r="BJ70" i="4"/>
  <c r="BK70" i="4"/>
  <c r="BJ71" i="4"/>
  <c r="BK71" i="4"/>
  <c r="C202" i="4" l="1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202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200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198" i="4"/>
  <c r="L69" i="4" l="1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AB69" i="4"/>
  <c r="AC69" i="4"/>
  <c r="AD69" i="4"/>
  <c r="AE69" i="4"/>
  <c r="BJ69" i="4"/>
  <c r="BK69" i="4"/>
  <c r="C58" i="4" l="1"/>
  <c r="D58" i="4"/>
  <c r="E58" i="4"/>
  <c r="F58" i="4"/>
  <c r="G58" i="4"/>
  <c r="H58" i="4"/>
  <c r="I58" i="4"/>
  <c r="J58" i="4"/>
  <c r="K58" i="4"/>
  <c r="L58" i="4"/>
  <c r="M58" i="4"/>
  <c r="N58" i="4"/>
  <c r="C56" i="4"/>
  <c r="D56" i="4"/>
  <c r="E56" i="4"/>
  <c r="F56" i="4"/>
  <c r="G56" i="4"/>
  <c r="H56" i="4"/>
  <c r="I56" i="4"/>
  <c r="J56" i="4"/>
  <c r="K56" i="4"/>
  <c r="L56" i="4"/>
  <c r="M56" i="4"/>
  <c r="N56" i="4"/>
  <c r="C54" i="4"/>
  <c r="D54" i="4"/>
  <c r="E54" i="4"/>
  <c r="F54" i="4"/>
  <c r="G54" i="4"/>
  <c r="H54" i="4"/>
  <c r="I54" i="4"/>
  <c r="J54" i="4"/>
  <c r="K54" i="4"/>
  <c r="L54" i="4"/>
  <c r="M54" i="4"/>
  <c r="B58" i="4"/>
  <c r="B56" i="4"/>
  <c r="B5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145" i="4"/>
  <c r="B143" i="4"/>
  <c r="B141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D120" i="4"/>
  <c r="E120" i="4"/>
  <c r="F120" i="4"/>
  <c r="G120" i="4"/>
  <c r="H120" i="4"/>
  <c r="I120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122" i="4"/>
  <c r="B120" i="4"/>
  <c r="B118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B94" i="4"/>
  <c r="B92" i="4"/>
  <c r="B90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C76" i="4"/>
  <c r="D76" i="4"/>
  <c r="E76" i="4"/>
  <c r="F76" i="4"/>
  <c r="G76" i="4"/>
  <c r="H76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C74" i="4"/>
  <c r="D74" i="4"/>
  <c r="E74" i="4"/>
  <c r="F74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76" i="4"/>
  <c r="B74" i="4"/>
  <c r="B72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J39" i="4"/>
  <c r="K39" i="4"/>
  <c r="L39" i="4"/>
  <c r="M39" i="4"/>
  <c r="N39" i="4"/>
  <c r="J37" i="4"/>
  <c r="K37" i="4"/>
  <c r="L37" i="4"/>
  <c r="M37" i="4"/>
  <c r="N37" i="4"/>
  <c r="K35" i="4"/>
  <c r="L35" i="4"/>
  <c r="M35" i="4"/>
  <c r="N35" i="4"/>
  <c r="J35" i="4"/>
  <c r="G39" i="4"/>
  <c r="H39" i="4"/>
  <c r="I39" i="4"/>
  <c r="F39" i="4"/>
  <c r="I37" i="4"/>
  <c r="H37" i="4"/>
  <c r="G37" i="4"/>
  <c r="F37" i="4"/>
  <c r="G35" i="4"/>
  <c r="H35" i="4"/>
  <c r="I35" i="4"/>
  <c r="F35" i="4"/>
  <c r="C39" i="4"/>
  <c r="D39" i="4"/>
  <c r="E39" i="4"/>
  <c r="B39" i="4"/>
  <c r="C37" i="4"/>
  <c r="D37" i="4"/>
  <c r="E37" i="4"/>
  <c r="B37" i="4"/>
  <c r="C35" i="4"/>
  <c r="D35" i="4"/>
  <c r="E35" i="4"/>
  <c r="B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Colcom</author>
    <author>user</author>
  </authors>
  <commentList>
    <comment ref="Z2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black scouring at 5weeks to 7 weeks 
treatments; Advocin</t>
        </r>
      </text>
    </comment>
    <comment ref="AA2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black scouring at 5weeks to 7 weeks 
treatments; Advocin</t>
        </r>
      </text>
    </comment>
    <comment ref="AH47" authorId="1" shapeId="0" xr:uid="{ADE45684-8B0D-41DB-8DE4-798F34CAE2DD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lawsonia</t>
        </r>
      </text>
    </comment>
    <comment ref="AN47" authorId="1" shapeId="0" xr:uid="{BBDA574A-6EA4-4788-A185-C9EFEC2C650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lawsonia</t>
        </r>
      </text>
    </comment>
    <comment ref="BH65" authorId="1" shapeId="0" xr:uid="{A618C41B-8AD0-4811-940C-9413BB2C9BBC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slow growers below target weight</t>
        </r>
      </text>
    </comment>
    <comment ref="X78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Started using gilt 4.1</t>
        </r>
      </text>
    </comment>
    <comment ref="BA113" authorId="1" shapeId="0" xr:uid="{0D64289F-667E-43D6-8153-B28F6DE84BB3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had a leg problem and the other one was a slow grower</t>
        </r>
      </text>
    </comment>
    <comment ref="BE132" authorId="1" shapeId="0" xr:uid="{AC4FB2B3-35D5-4199-8D16-2319DE405B38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Weaned 7, culled 2, served 2 and 3 were stand overs that were served week 31</t>
        </r>
      </text>
    </comment>
    <comment ref="AT134" authorId="1" shapeId="0" xr:uid="{7E0DB481-3889-48C1-9B49-E616BA8470B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fewer gilts</t>
        </r>
      </text>
    </comment>
    <comment ref="AZ134" authorId="1" shapeId="0" xr:uid="{D4CFB029-D774-40EF-A9E1-5B8968F4664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fewer gilts</t>
        </r>
      </text>
    </comment>
    <comment ref="AK140" authorId="1" shapeId="0" xr:uid="{AAC2A296-428D-4040-B092-BE4E8C50CC77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grouped 5 gilts per pen after serving 18. </t>
        </r>
      </text>
    </comment>
    <comment ref="AS140" authorId="1" shapeId="0" xr:uid="{076C15C2-BB7B-4D81-9C89-5C0DD3B7F516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gilts with leg problems. 4 slow growers  served underweight</t>
        </r>
      </text>
    </comment>
    <comment ref="AK147" authorId="1" shapeId="0" xr:uid="{63367933-8D85-470D-81DF-F05019F8F7C5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grouped 5 gilts per pen after serving 18</t>
        </r>
      </text>
    </comment>
    <comment ref="AS147" authorId="1" shapeId="0" xr:uid="{F42FBE67-C357-43A2-8E33-3956ADFB703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gilts with leg problems. 4 slow growers served underweight</t>
        </r>
      </text>
    </comment>
    <comment ref="BE147" authorId="1" shapeId="0" xr:uid="{2B5209A5-8A94-48C2-B7A1-227B11C0869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gilts had leg problmes in crates probably due to high service weights. 187kg and 193kg and gained 51kg and 58kg respectively</t>
        </r>
      </text>
    </comment>
    <comment ref="BE149" authorId="1" shapeId="0" xr:uid="{AE9D0A6E-DB27-4351-9593-403CB78D56CD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Avg into FH weight of 241kg for the 9 gilts in this category. The worst performers (below 70kg gain) averaged 242.8kg and 181kg at service (probably didn't have much room to gain due to higher service weight)</t>
        </r>
      </text>
    </comment>
    <comment ref="AT161" authorId="1" shapeId="0" xr:uid="{93B3B737-B733-4576-AF61-425DDD93827C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10 animals served, 2 were regular returns</t>
        </r>
      </text>
    </comment>
    <comment ref="BB161" authorId="1" shapeId="0" xr:uid="{EA013A5F-FFCC-4ABA-95CA-B41338E61C4B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8 seconds served, 1 was empty and the other one a regular return. 1 had 28.8% condition loss and the other one 29%.</t>
        </r>
      </text>
    </comment>
    <comment ref="BE161" authorId="1" shapeId="0" xr:uid="{FADE01D9-5316-496D-A706-6778834633B6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13 animals served, 1 empty, 1 regular return with 17.4% and 18.1% body condition loss</t>
        </r>
      </text>
    </comment>
    <comment ref="BF161" authorId="1" shapeId="0" xr:uid="{396FD83A-7F24-4CA3-BBA0-B6BD0077B344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16 animals served, 1 was empty and the other a regular return. 1 had 18.9% condition loss and the other one leg problems.</t>
        </r>
      </text>
    </comment>
    <comment ref="BG161" authorId="1" shapeId="0" xr:uid="{1F122F54-C4C1-491D-AA51-AFE7497F50A2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6 animals served, 1 fell out.</t>
        </r>
      </text>
    </comment>
    <comment ref="AT162" authorId="1" shapeId="0" xr:uid="{15BE32BD-D493-4ADD-B409-593F16A6B50A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1xdeath, 1xempty, 2x regular return</t>
        </r>
      </text>
    </comment>
    <comment ref="AV162" authorId="1" shapeId="0" xr:uid="{D123B579-D257-44C1-876B-303DFF2CD91D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2xempty, 2x regular return</t>
        </r>
      </text>
    </comment>
    <comment ref="BE162" authorId="1" shapeId="0" xr:uid="{C096C4ED-F8F4-4182-BBDA-114F534E686E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2x regular return, 1x abortion</t>
        </r>
      </text>
    </comment>
    <comment ref="BG162" authorId="1" shapeId="0" xr:uid="{4A79039F-7254-431B-9E5A-9933B0514579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30 animals, 1xRR, 1x empty, 1x death</t>
        </r>
      </text>
    </comment>
    <comment ref="AI165" authorId="1" shapeId="0" xr:uid="{F0C4210C-162E-412A-B68C-260B8E1FDEBF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gilt had a BA of 7 after poor gain of just 62kg</t>
        </r>
      </text>
    </comment>
    <comment ref="AP165" authorId="1" shapeId="0" xr:uid="{82109B90-8495-4537-866C-676CF821F701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gilts had a low BA of 8. One had a TB of 16 and a BA of 8. </t>
        </r>
      </text>
    </comment>
    <comment ref="AV165" authorId="1" shapeId="0" xr:uid="{7F502D7C-882A-47E8-BB0B-64A5166F6F14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Good gain of 88.7kg</t>
        </r>
      </text>
    </comment>
    <comment ref="AY165" authorId="1" shapeId="0" xr:uid="{93C0A724-9A5C-4AEC-9901-A4F675FEDDD6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gilt had a BA of 13 (was served small at 150kg). The batch also had 5 born deads.</t>
        </r>
      </text>
    </comment>
    <comment ref="BA165" authorId="1" shapeId="0" xr:uid="{798A12CF-EA8D-449D-B259-3ACCCB614C53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had 19 BD and 2 Mummies</t>
        </r>
      </text>
    </comment>
    <comment ref="AG166" authorId="1" shapeId="0" xr:uid="{26AD3EA2-1262-467E-BB28-1F0A2D7C68E8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low BA animals with high body condition loss above 15% gave Bas of 8 and 9.</t>
        </r>
      </text>
    </comment>
    <comment ref="AZ166" authorId="1" shapeId="0" xr:uid="{FC33FCC7-E087-47F3-B3C7-1422C976B35C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animals gave us very low born alive of 5 and 8. 1 was due to EBWL &amp; the other a single Tuesday service</t>
        </r>
      </text>
    </comment>
    <comment ref="BA166" authorId="1" shapeId="0" xr:uid="{9AB5E37A-2F37-487F-B9B2-4194A10C7F56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had a BA of 6 and a BD OF 10</t>
        </r>
      </text>
    </comment>
    <comment ref="BB166" authorId="1" shapeId="0" xr:uid="{72FA2F05-C073-450F-97B2-D76968432D58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Wednesday single service had a BA of 5. 1 animal also had a BD of 2 and 7 mummies.</t>
        </r>
      </text>
    </comment>
    <comment ref="BE166" authorId="1" shapeId="0" xr:uid="{B60630B0-5EE1-4A66-A54D-62D8B7F1BB84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animals had a BA of 7 &amp; 3 and a respective condition loss of 19.6% &amp; 19.7%</t>
        </r>
      </text>
    </comment>
    <comment ref="BG166" authorId="1" shapeId="0" xr:uid="{7D597034-253B-44D0-A9BD-BB5F81F262B4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high body condition loss animals had poor BA of 11 &amp; 9. The one that had 9 piglets lost 16.7% &amp; previously had a BA of 11.</t>
        </r>
      </text>
    </comment>
    <comment ref="AP167" authorId="1" shapeId="0" xr:uid="{9867F356-2FAF-468A-AAAF-78932BA3B3C5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2 3rd parity sows= low BA of 8 &amp; 9 piglets due to high body condition loss. 7th parity sow had a BA of 5.</t>
        </r>
      </text>
    </comment>
    <comment ref="AQ167" authorId="1" shapeId="0" xr:uid="{503E0EE2-7B4F-44B0-9D48-6B34329C4977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over conditioned 3rd parity sow had a BA of 7.A sow with BD of 8 and 2 10th parity sows that had a BA of 10 each.</t>
        </r>
      </text>
    </comment>
    <comment ref="X170" authorId="1" shapeId="0" xr:uid="{CBAC51BD-75AE-491C-AF97-A8BADB665429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gilt had 21 born deads</t>
        </r>
      </text>
    </comment>
    <comment ref="AH170" authorId="1" shapeId="0" xr:uid="{6B53A1DA-79F3-4856-AE74-DF17E22E48AA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gilt had 7 born deads</t>
        </r>
      </text>
    </comment>
    <comment ref="AL170" authorId="1" shapeId="0" xr:uid="{B51E3EAB-E795-48C1-BAED-42476D2D2E96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I gilt had 4 born deads</t>
        </r>
      </text>
    </comment>
    <comment ref="AR170" authorId="1" shapeId="0" xr:uid="{7A206143-2256-4567-988D-51D48804CA73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gilt out of 10 farrowed had 4 born deads</t>
        </r>
      </text>
    </comment>
    <comment ref="BA170" authorId="1" shapeId="0" xr:uid="{7CA6FA36-96A8-4305-A469-4EF76E838939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had 19 born dead piglets</t>
        </r>
      </text>
    </comment>
    <comment ref="I171" authorId="1" shapeId="0" xr:uid="{20C3B807-BAE4-47B3-8F42-446736292327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6 born deads</t>
        </r>
      </text>
    </comment>
    <comment ref="Y171" authorId="1" shapeId="0" xr:uid="{F47C7243-4D65-4438-B182-543E211A5F48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6 born deads</t>
        </r>
      </text>
    </comment>
    <comment ref="AG171" authorId="1" shapeId="0" xr:uid="{F509C057-085A-4552-9E40-B41571615A39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2 sows gave us 6</t>
        </r>
      </text>
    </comment>
    <comment ref="AL171" authorId="1" shapeId="0" xr:uid="{4227DA22-03F1-4741-B9AE-855E7241EEDF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6 born deads</t>
        </r>
      </text>
    </comment>
    <comment ref="BA171" authorId="1" shapeId="0" xr:uid="{70ADB070-DB64-4529-9CB6-22AEB5B09F5C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gave us 10 born dead piglets</t>
        </r>
      </text>
    </comment>
    <comment ref="X172" authorId="1" shapeId="0" xr:uid="{EF10E631-C216-4666-BC5E-8A1D5F484DDD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14 born deads</t>
        </r>
      </text>
    </comment>
    <comment ref="Y172" authorId="1" shapeId="0" xr:uid="{34628F5C-5967-400D-BBDF-F472CFD3B7E6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14 born deads</t>
        </r>
      </text>
    </comment>
    <comment ref="AC172" authorId="1" shapeId="0" xr:uid="{0229C920-B4DE-4C70-83D4-C719FECDDD01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13 born deads</t>
        </r>
      </text>
    </comment>
    <comment ref="AQ172" authorId="1" shapeId="0" xr:uid="{C67152EF-8CD3-4926-8489-4CD370C2BAEC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2 sows had 8 and 4 born deads</t>
        </r>
      </text>
    </comment>
    <comment ref="AR172" authorId="1" shapeId="0" xr:uid="{DD460BE5-5E1A-41CF-94E7-FA52D7D61115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5 and 3 animals had 3 born deads</t>
        </r>
      </text>
    </comment>
    <comment ref="AW172" authorId="1" shapeId="0" xr:uid="{39C820B0-3AD5-470F-9613-53DBBA863C3D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1 sow had 11 born deads</t>
        </r>
      </text>
    </comment>
    <comment ref="AZ172" authorId="1" shapeId="0" xr:uid="{ADD7E8D0-25D2-4A18-8B85-9F0073611B1E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1 animal had 17 born deads. Prolapsed during farrowing</t>
        </r>
      </text>
    </comment>
    <comment ref="BC177" authorId="2" shapeId="0" xr:uid="{9A74161A-9143-4421-B673-B0924A9E4D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Batch affected by use of Gentamycin</t>
        </r>
      </text>
    </comment>
    <comment ref="BE196" authorId="1" shapeId="0" xr:uid="{E00CFC19-8FC5-4751-B1BD-D8914C1C315F}">
      <text>
        <r>
          <rPr>
            <b/>
            <sz val="9"/>
            <color indexed="81"/>
            <rFont val="Tahoma"/>
            <charset val="1"/>
          </rPr>
          <t>Colcom:</t>
        </r>
        <r>
          <rPr>
            <sz val="9"/>
            <color indexed="81"/>
            <rFont val="Tahoma"/>
            <charset val="1"/>
          </rPr>
          <t xml:space="preserve">
falty scale</t>
        </r>
      </text>
    </comment>
    <comment ref="AV212" authorId="1" shapeId="0" xr:uid="{68229917-8D83-4C74-9FC4-73E02194C4C2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batch was affected by oedema</t>
        </r>
      </text>
    </comment>
    <comment ref="BH218" authorId="1" shapeId="0" xr:uid="{A38D7D5F-F48A-4A3F-8FDB-C8B966A4D7FB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No pigs sent to colcom</t>
        </r>
      </text>
    </comment>
    <comment ref="AA222" authorId="1" shapeId="0" xr:uid="{6D863B39-6027-4E81-8974-645BDBF4E25B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no pigs sent to colcom</t>
        </r>
      </text>
    </comment>
    <comment ref="AO222" authorId="1" shapeId="0" xr:uid="{7ECE556F-CEDA-42A5-A621-5FDC8FC55DBE}">
      <text>
        <r>
          <rPr>
            <b/>
            <sz val="9"/>
            <color indexed="81"/>
            <rFont val="Tahoma"/>
            <family val="2"/>
          </rPr>
          <t>Colcom:</t>
        </r>
        <r>
          <rPr>
            <sz val="9"/>
            <color indexed="81"/>
            <rFont val="Tahoma"/>
            <family val="2"/>
          </rPr>
          <t xml:space="preserve">
no pigs sent to colcom</t>
        </r>
      </text>
    </comment>
    <comment ref="H223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pigs sent to colcom</t>
        </r>
      </text>
    </comment>
  </commentList>
</comments>
</file>

<file path=xl/sharedStrings.xml><?xml version="1.0" encoding="utf-8"?>
<sst xmlns="http://schemas.openxmlformats.org/spreadsheetml/2006/main" count="427" uniqueCount="151">
  <si>
    <t>10 WEEKS</t>
  </si>
  <si>
    <t>16 WEEKS</t>
  </si>
  <si>
    <t>25 WEEKS</t>
  </si>
  <si>
    <t>28 WEEKS</t>
  </si>
  <si>
    <t>GILTS AT SERVICE</t>
  </si>
  <si>
    <t>SERVES</t>
  </si>
  <si>
    <t xml:space="preserve">INTO FARROWING GILTS </t>
  </si>
  <si>
    <t>FARROWING RATES</t>
  </si>
  <si>
    <t>BORN ALIVE</t>
  </si>
  <si>
    <t>MORTALITY</t>
  </si>
  <si>
    <t>WEANED PER SOW</t>
  </si>
  <si>
    <t>WEAN WEIGHTS</t>
  </si>
  <si>
    <t>GILT CONDITION LOSS</t>
  </si>
  <si>
    <t xml:space="preserve">WEANER </t>
  </si>
  <si>
    <t>GROWER</t>
  </si>
  <si>
    <t>4 WEEKS</t>
  </si>
  <si>
    <t>SERVICE</t>
  </si>
  <si>
    <t>INTO FARROWING</t>
  </si>
  <si>
    <t xml:space="preserve"> All Farms Friday Meeting Livestock Report</t>
  </si>
  <si>
    <t>4 Week Wean Weight</t>
  </si>
  <si>
    <t>Opt Target</t>
  </si>
  <si>
    <t>Fast Growers</t>
  </si>
  <si>
    <t>Slow Growers</t>
  </si>
  <si>
    <t>% Under Target</t>
  </si>
  <si>
    <t xml:space="preserve"># Of Animals Under </t>
  </si>
  <si>
    <t>% In the Box</t>
  </si>
  <si>
    <t># Of Animals In</t>
  </si>
  <si>
    <t>% Over Target</t>
  </si>
  <si>
    <t># Of Animals Over</t>
  </si>
  <si>
    <t>Gilts 4-10 Weeks ADG</t>
  </si>
  <si>
    <t>ADG of pigs under target (small)</t>
  </si>
  <si>
    <t>ADG of pigs over target (large)</t>
  </si>
  <si>
    <t>Gilts 4-10 Weeks ADG Target</t>
  </si>
  <si>
    <t>Gilts 4-10 Weeks Gain</t>
  </si>
  <si>
    <t>Gilts 4-10 Weeks Gain Target</t>
  </si>
  <si>
    <t>10 Weeks</t>
  </si>
  <si>
    <t>Group Avg Weight</t>
  </si>
  <si>
    <t>Avg weight of all pigs under target</t>
  </si>
  <si>
    <t>Avg weight of all pigs over target</t>
  </si>
  <si>
    <t># Of Animals Under</t>
  </si>
  <si>
    <t>16 Weeks</t>
  </si>
  <si>
    <t>Avg weight of pig under Target</t>
  </si>
  <si>
    <t>Avg weight of pig over Target</t>
  </si>
  <si>
    <t>ADG 10-16Weeks</t>
  </si>
  <si>
    <t>ADG of pigs under target</t>
  </si>
  <si>
    <t>ADG of pigs over target</t>
  </si>
  <si>
    <t>target ADG</t>
  </si>
  <si>
    <t>25 weeks</t>
  </si>
  <si>
    <t>Target ADG</t>
  </si>
  <si>
    <t>ADG 16-25 Weeks</t>
  </si>
  <si>
    <t>Avg ADG of gilts grew less than 0.896</t>
  </si>
  <si>
    <t>Avg ADG of gilts gre more than 0.896</t>
  </si>
  <si>
    <t>ADG 25 to 28 weeks</t>
  </si>
  <si>
    <t>Avg ADG of gilts grew less than 0.760</t>
  </si>
  <si>
    <t>Avg ADG of gilts gre more than 0.760</t>
  </si>
  <si>
    <t>% of gilts on heat by 28 weeks</t>
  </si>
  <si>
    <t xml:space="preserve"> </t>
  </si>
  <si>
    <t>AT SERVICE (GILTS)</t>
  </si>
  <si>
    <t>Under 31 weeks at Service</t>
  </si>
  <si>
    <t>31-33 weeks at Service</t>
  </si>
  <si>
    <t>Over 33 weeks at Service</t>
  </si>
  <si>
    <t xml:space="preserve"># of Pigs Under target weight </t>
  </si>
  <si>
    <t>Avg weight of pigs within target</t>
  </si>
  <si>
    <t># of Pigs within target weight</t>
  </si>
  <si>
    <t># of Pigs Over target weight</t>
  </si>
  <si>
    <t>ADG 28 to service target</t>
  </si>
  <si>
    <t>ADG 28 weeks to service</t>
  </si>
  <si>
    <t>Target Avg ADG less than target 0.642</t>
  </si>
  <si>
    <t>Avg ADG of gilts grew less than 0.642</t>
  </si>
  <si>
    <t>Target Avg ADG more than target 0.678</t>
  </si>
  <si>
    <t>Avg ADG of gilts gre more than 0.678</t>
  </si>
  <si>
    <t>Under 31 weeks at Service Avg ADG</t>
  </si>
  <si>
    <t>Over 33 weeks at Service Avg ADG</t>
  </si>
  <si>
    <t xml:space="preserve">traget gilts to be served </t>
  </si>
  <si>
    <t># Of Gilts Served</t>
  </si>
  <si>
    <t>Target 2nd parity services</t>
  </si>
  <si>
    <t>Actual 2nd parity services</t>
  </si>
  <si>
    <t>Target 3rd parity services</t>
  </si>
  <si>
    <t>Actual 3rd parity services</t>
  </si>
  <si>
    <t>Total service target</t>
  </si>
  <si>
    <t>total served</t>
  </si>
  <si>
    <t>Total stand overs for the week (Bar graph)</t>
  </si>
  <si>
    <t>Into Farrowing (Gilts)</t>
  </si>
  <si>
    <t>Min</t>
  </si>
  <si>
    <t>Max</t>
  </si>
  <si>
    <t>Avg Gain In Gestation</t>
  </si>
  <si>
    <t>Avg gain of gilts gaining more than 81kgs</t>
  </si>
  <si>
    <t>Avg gain of gilts gaining less than 74kgs</t>
  </si>
  <si>
    <t>lower gestation gain target</t>
  </si>
  <si>
    <t>upper gestation gain target</t>
  </si>
  <si>
    <t>Farrowing Rates</t>
  </si>
  <si>
    <t>gilt farrow rate</t>
  </si>
  <si>
    <t>2nd farrow rate</t>
  </si>
  <si>
    <t>3rd plus farrow rate</t>
  </si>
  <si>
    <t>Target Farrowing Rate</t>
  </si>
  <si>
    <t>Gilt BA</t>
  </si>
  <si>
    <t>2nd parity BA</t>
  </si>
  <si>
    <t>3rd plus BA</t>
  </si>
  <si>
    <t>BA Target</t>
  </si>
  <si>
    <t>Herd BA</t>
  </si>
  <si>
    <t>Gilt BD</t>
  </si>
  <si>
    <t>2nd BD</t>
  </si>
  <si>
    <t>3rd plus BD</t>
  </si>
  <si>
    <t>BD target</t>
  </si>
  <si>
    <t>Active Week Mortality</t>
  </si>
  <si>
    <t>Active Mortality Guideline</t>
  </si>
  <si>
    <t>Pre wean mortaltiy</t>
  </si>
  <si>
    <t>target pre wean mortaltiy</t>
  </si>
  <si>
    <t># Sows Weaned</t>
  </si>
  <si>
    <t># Of Piglets Weaned</t>
  </si>
  <si>
    <t>Piglets sent to Learig</t>
  </si>
  <si>
    <t>Piglets sent to LH extension</t>
  </si>
  <si>
    <t>Average Weaned per Sow</t>
  </si>
  <si>
    <t>Average Weaned per Sow Guideline</t>
  </si>
  <si>
    <t>Wean Weight</t>
  </si>
  <si>
    <t>Target Wean Weight</t>
  </si>
  <si>
    <t>total litter mass</t>
  </si>
  <si>
    <t>target litter mass</t>
  </si>
  <si>
    <t>Avg gilt Body Condition Loss (as %)</t>
  </si>
  <si>
    <t>upper target</t>
  </si>
  <si>
    <t>lower target</t>
  </si>
  <si>
    <t>Avg % body cond loss of all gilts lost more than 11%</t>
  </si>
  <si>
    <t>Avg % body cond loss of all gilts lost less than 8%</t>
  </si>
  <si>
    <t># Of Animals lost more than 11%</t>
  </si>
  <si>
    <t># Of Animals lost between 8 and 11%</t>
  </si>
  <si>
    <t># animals lost less than 8%</t>
  </si>
  <si>
    <t>comment</t>
  </si>
  <si>
    <t>Weaner</t>
  </si>
  <si>
    <t>70 day gain target</t>
  </si>
  <si>
    <t>70 day gain actual</t>
  </si>
  <si>
    <t>70 day weight target</t>
  </si>
  <si>
    <t>70 day weight actual</t>
  </si>
  <si>
    <t>Mortaltiy target</t>
  </si>
  <si>
    <t>Mortaltiy actual</t>
  </si>
  <si>
    <t>FCE target</t>
  </si>
  <si>
    <t>FCE actual</t>
  </si>
  <si>
    <t>Grower</t>
  </si>
  <si>
    <t>CDM budget</t>
  </si>
  <si>
    <t>CDM actual</t>
  </si>
  <si>
    <t>kgs sold per sow per year</t>
  </si>
  <si>
    <t>total pigs sold against budget</t>
  </si>
  <si>
    <t>total CDM against budget</t>
  </si>
  <si>
    <t>Frequency ?</t>
  </si>
  <si>
    <t>per week</t>
  </si>
  <si>
    <t>KPI 1</t>
  </si>
  <si>
    <t xml:space="preserve">Weight </t>
  </si>
  <si>
    <t>kpi 1</t>
  </si>
  <si>
    <t>need a master</t>
  </si>
  <si>
    <t>?</t>
  </si>
  <si>
    <t>KPI TGT</t>
  </si>
  <si>
    <t>kp1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</si>
</sst>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15" fillId="0" borderId="0" applyFont="0" applyFill="0" applyBorder="0" applyAlignment="0" applyProtection="0"/>
  </cellStyleXfs>
  <cellXfs count="256">
    <xf numFmtId="0" fontId="0" fillId="0" borderId="0" xfId="0"/>
    <xf numFmtId="0" fontId="0" fillId="2" borderId="1" xfId="0" applyFill="1" applyBorder="1"/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0" fillId="2" borderId="2" xfId="0" applyFill="1" applyBorder="1"/>
    <xf numFmtId="0" fontId="6" fillId="2" borderId="22" xfId="0" applyFont="1" applyFill="1" applyBorder="1" applyAlignment="1">
      <alignment horizontal="center"/>
    </xf>
    <xf numFmtId="2" fontId="0" fillId="0" borderId="0" xfId="0" applyNumberFormat="1"/>
    <xf numFmtId="0" fontId="6" fillId="2" borderId="13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0" fillId="3" borderId="1" xfId="0" applyFill="1" applyBorder="1"/>
    <xf numFmtId="0" fontId="6" fillId="3" borderId="17" xfId="0" applyFont="1" applyFill="1" applyBorder="1" applyAlignment="1">
      <alignment horizontal="center"/>
    </xf>
    <xf numFmtId="1" fontId="6" fillId="3" borderId="1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6" fillId="3" borderId="11" xfId="0" applyFont="1" applyFill="1" applyBorder="1" applyAlignment="1">
      <alignment horizontal="center"/>
    </xf>
    <xf numFmtId="165" fontId="6" fillId="3" borderId="11" xfId="0" applyNumberFormat="1" applyFont="1" applyFill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10" fontId="6" fillId="0" borderId="17" xfId="0" applyNumberFormat="1" applyFon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165" fontId="6" fillId="3" borderId="12" xfId="0" applyNumberFormat="1" applyFont="1" applyFill="1" applyBorder="1" applyAlignment="1">
      <alignment horizontal="center"/>
    </xf>
    <xf numFmtId="1" fontId="6" fillId="3" borderId="12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1" fontId="6" fillId="3" borderId="21" xfId="0" applyNumberFormat="1" applyFont="1" applyFill="1" applyBorder="1" applyAlignment="1">
      <alignment horizontal="center"/>
    </xf>
    <xf numFmtId="10" fontId="6" fillId="3" borderId="6" xfId="0" applyNumberFormat="1" applyFont="1" applyFill="1" applyBorder="1" applyAlignment="1">
      <alignment horizontal="center"/>
    </xf>
    <xf numFmtId="10" fontId="6" fillId="3" borderId="0" xfId="0" applyNumberFormat="1" applyFont="1" applyFill="1" applyAlignment="1">
      <alignment horizontal="center"/>
    </xf>
    <xf numFmtId="10" fontId="6" fillId="3" borderId="23" xfId="0" applyNumberFormat="1" applyFont="1" applyFill="1" applyBorder="1" applyAlignment="1">
      <alignment horizontal="center"/>
    </xf>
    <xf numFmtId="10" fontId="6" fillId="3" borderId="11" xfId="0" applyNumberFormat="1" applyFont="1" applyFill="1" applyBorder="1" applyAlignment="1">
      <alignment horizontal="center"/>
    </xf>
    <xf numFmtId="10" fontId="6" fillId="3" borderId="13" xfId="0" applyNumberFormat="1" applyFont="1" applyFill="1" applyBorder="1" applyAlignment="1">
      <alignment horizontal="center"/>
    </xf>
    <xf numFmtId="10" fontId="6" fillId="3" borderId="20" xfId="0" applyNumberFormat="1" applyFont="1" applyFill="1" applyBorder="1" applyAlignment="1">
      <alignment horizontal="center"/>
    </xf>
    <xf numFmtId="10" fontId="6" fillId="3" borderId="12" xfId="0" applyNumberFormat="1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66" fontId="6" fillId="3" borderId="11" xfId="0" applyNumberFormat="1" applyFont="1" applyFill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10" fontId="6" fillId="0" borderId="26" xfId="0" applyNumberFormat="1" applyFont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65" fontId="6" fillId="3" borderId="21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0" fontId="3" fillId="0" borderId="0" xfId="0" applyNumberFormat="1" applyFont="1"/>
    <xf numFmtId="1" fontId="0" fillId="0" borderId="0" xfId="0" applyNumberFormat="1"/>
    <xf numFmtId="2" fontId="6" fillId="0" borderId="14" xfId="0" applyNumberFormat="1" applyFont="1" applyBorder="1" applyAlignment="1">
      <alignment horizontal="center"/>
    </xf>
    <xf numFmtId="0" fontId="9" fillId="6" borderId="0" xfId="0" applyFont="1" applyFill="1"/>
    <xf numFmtId="0" fontId="10" fillId="6" borderId="0" xfId="0" applyFont="1" applyFill="1"/>
    <xf numFmtId="0" fontId="11" fillId="0" borderId="0" xfId="0" applyFont="1"/>
    <xf numFmtId="0" fontId="10" fillId="0" borderId="0" xfId="0" applyFont="1"/>
    <xf numFmtId="0" fontId="0" fillId="8" borderId="0" xfId="0" applyFill="1"/>
    <xf numFmtId="10" fontId="0" fillId="8" borderId="0" xfId="0" applyNumberFormat="1" applyFill="1"/>
    <xf numFmtId="2" fontId="0" fillId="8" borderId="3" xfId="0" applyNumberFormat="1" applyFill="1" applyBorder="1"/>
    <xf numFmtId="2" fontId="0" fillId="8" borderId="0" xfId="0" applyNumberFormat="1" applyFill="1"/>
    <xf numFmtId="10" fontId="1" fillId="8" borderId="0" xfId="0" applyNumberFormat="1" applyFont="1" applyFill="1"/>
    <xf numFmtId="0" fontId="6" fillId="8" borderId="11" xfId="0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/>
    </xf>
    <xf numFmtId="10" fontId="6" fillId="8" borderId="11" xfId="0" applyNumberFormat="1" applyFont="1" applyFill="1" applyBorder="1" applyAlignment="1">
      <alignment horizontal="center"/>
    </xf>
    <xf numFmtId="10" fontId="6" fillId="8" borderId="20" xfId="0" applyNumberFormat="1" applyFont="1" applyFill="1" applyBorder="1" applyAlignment="1">
      <alignment horizontal="center"/>
    </xf>
    <xf numFmtId="165" fontId="6" fillId="8" borderId="11" xfId="0" applyNumberFormat="1" applyFont="1" applyFill="1" applyBorder="1" applyAlignment="1">
      <alignment horizontal="center"/>
    </xf>
    <xf numFmtId="165" fontId="6" fillId="8" borderId="20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165" fontId="0" fillId="8" borderId="0" xfId="0" applyNumberFormat="1" applyFill="1"/>
    <xf numFmtId="2" fontId="6" fillId="0" borderId="11" xfId="0" applyNumberFormat="1" applyFont="1" applyBorder="1" applyAlignment="1">
      <alignment horizontal="center"/>
    </xf>
    <xf numFmtId="0" fontId="0" fillId="8" borderId="3" xfId="0" applyFill="1" applyBorder="1"/>
    <xf numFmtId="2" fontId="6" fillId="2" borderId="11" xfId="0" applyNumberFormat="1" applyFont="1" applyFill="1" applyBorder="1" applyAlignment="1">
      <alignment horizontal="center"/>
    </xf>
    <xf numFmtId="1" fontId="0" fillId="8" borderId="0" xfId="0" applyNumberFormat="1" applyFill="1"/>
    <xf numFmtId="1" fontId="0" fillId="8" borderId="3" xfId="0" applyNumberFormat="1" applyFill="1" applyBorder="1"/>
    <xf numFmtId="0" fontId="6" fillId="2" borderId="1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5" fontId="6" fillId="8" borderId="11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" fontId="4" fillId="8" borderId="7" xfId="0" applyNumberFormat="1" applyFont="1" applyFill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10" fontId="4" fillId="0" borderId="20" xfId="0" applyNumberFormat="1" applyFont="1" applyBorder="1" applyAlignment="1">
      <alignment horizontal="center"/>
    </xf>
    <xf numFmtId="1" fontId="4" fillId="8" borderId="11" xfId="0" applyNumberFormat="1" applyFon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2" fontId="4" fillId="3" borderId="12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0" xfId="0" applyAlignment="1">
      <alignment horizontal="center"/>
    </xf>
    <xf numFmtId="2" fontId="4" fillId="8" borderId="8" xfId="0" applyNumberFormat="1" applyFont="1" applyFill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10" fontId="4" fillId="0" borderId="19" xfId="0" applyNumberFormat="1" applyFont="1" applyBorder="1" applyAlignment="1">
      <alignment horizontal="center"/>
    </xf>
    <xf numFmtId="2" fontId="4" fillId="8" borderId="12" xfId="0" applyNumberFormat="1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4" fillId="8" borderId="11" xfId="0" applyNumberFormat="1" applyFont="1" applyFill="1" applyBorder="1" applyAlignment="1">
      <alignment horizontal="center"/>
    </xf>
    <xf numFmtId="1" fontId="4" fillId="8" borderId="12" xfId="0" applyNumberFormat="1" applyFont="1" applyFill="1" applyBorder="1" applyAlignment="1">
      <alignment horizontal="center"/>
    </xf>
    <xf numFmtId="10" fontId="4" fillId="8" borderId="12" xfId="0" applyNumberFormat="1" applyFont="1" applyFill="1" applyBorder="1" applyAlignment="1">
      <alignment horizontal="center"/>
    </xf>
    <xf numFmtId="2" fontId="4" fillId="3" borderId="9" xfId="0" applyNumberFormat="1" applyFont="1" applyFill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5" fontId="4" fillId="8" borderId="11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10" fontId="4" fillId="8" borderId="7" xfId="0" applyNumberFormat="1" applyFont="1" applyFill="1" applyBorder="1" applyAlignment="1">
      <alignment horizontal="center"/>
    </xf>
    <xf numFmtId="1" fontId="4" fillId="8" borderId="8" xfId="0" applyNumberFormat="1" applyFont="1" applyFill="1" applyBorder="1" applyAlignment="1">
      <alignment horizontal="center"/>
    </xf>
    <xf numFmtId="10" fontId="6" fillId="0" borderId="11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  <xf numFmtId="10" fontId="4" fillId="8" borderId="9" xfId="0" applyNumberFormat="1" applyFont="1" applyFill="1" applyBorder="1" applyAlignment="1">
      <alignment horizontal="center"/>
    </xf>
    <xf numFmtId="10" fontId="4" fillId="8" borderId="25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4" fillId="8" borderId="11" xfId="0" applyNumberFormat="1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2" fontId="0" fillId="3" borderId="0" xfId="0" applyNumberFormat="1" applyFill="1"/>
    <xf numFmtId="2" fontId="3" fillId="0" borderId="0" xfId="0" applyNumberFormat="1" applyFont="1"/>
    <xf numFmtId="2" fontId="6" fillId="3" borderId="17" xfId="0" applyNumberFormat="1" applyFont="1" applyFill="1" applyBorder="1" applyAlignment="1">
      <alignment horizontal="center"/>
    </xf>
    <xf numFmtId="166" fontId="6" fillId="0" borderId="11" xfId="0" applyNumberFormat="1" applyFont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0" fontId="3" fillId="0" borderId="0" xfId="0" applyFont="1"/>
    <xf numFmtId="1" fontId="6" fillId="7" borderId="7" xfId="0" applyNumberFormat="1" applyFont="1" applyFill="1" applyBorder="1" applyAlignment="1">
      <alignment horizontal="center"/>
    </xf>
    <xf numFmtId="1" fontId="6" fillId="7" borderId="18" xfId="0" applyNumberFormat="1" applyFont="1" applyFill="1" applyBorder="1" applyAlignment="1">
      <alignment horizontal="center"/>
    </xf>
    <xf numFmtId="1" fontId="3" fillId="7" borderId="0" xfId="0" applyNumberFormat="1" applyFont="1" applyFill="1"/>
    <xf numFmtId="1" fontId="6" fillId="7" borderId="11" xfId="0" applyNumberFormat="1" applyFont="1" applyFill="1" applyBorder="1" applyAlignment="1">
      <alignment horizontal="center"/>
    </xf>
    <xf numFmtId="2" fontId="3" fillId="7" borderId="0" xfId="0" applyNumberFormat="1" applyFont="1" applyFill="1"/>
    <xf numFmtId="166" fontId="6" fillId="2" borderId="11" xfId="0" applyNumberFormat="1" applyFont="1" applyFill="1" applyBorder="1" applyAlignment="1">
      <alignment horizontal="center"/>
    </xf>
    <xf numFmtId="2" fontId="6" fillId="2" borderId="20" xfId="0" applyNumberFormat="1" applyFont="1" applyFill="1" applyBorder="1" applyAlignment="1">
      <alignment horizontal="center"/>
    </xf>
    <xf numFmtId="166" fontId="6" fillId="2" borderId="20" xfId="0" applyNumberFormat="1" applyFont="1" applyFill="1" applyBorder="1" applyAlignment="1">
      <alignment horizontal="center"/>
    </xf>
    <xf numFmtId="166" fontId="6" fillId="3" borderId="20" xfId="0" applyNumberFormat="1" applyFont="1" applyFill="1" applyBorder="1" applyAlignment="1">
      <alignment horizontal="center"/>
    </xf>
    <xf numFmtId="165" fontId="6" fillId="3" borderId="20" xfId="0" applyNumberFormat="1" applyFont="1" applyFill="1" applyBorder="1" applyAlignment="1">
      <alignment horizontal="center"/>
    </xf>
    <xf numFmtId="166" fontId="6" fillId="0" borderId="20" xfId="0" applyNumberFormat="1" applyFont="1" applyBorder="1" applyAlignment="1">
      <alignment horizontal="center"/>
    </xf>
    <xf numFmtId="2" fontId="4" fillId="3" borderId="20" xfId="0" applyNumberFormat="1" applyFont="1" applyFill="1" applyBorder="1" applyAlignment="1">
      <alignment horizontal="center"/>
    </xf>
    <xf numFmtId="165" fontId="4" fillId="8" borderId="8" xfId="0" applyNumberFormat="1" applyFont="1" applyFill="1" applyBorder="1" applyAlignment="1">
      <alignment horizontal="center"/>
    </xf>
    <xf numFmtId="0" fontId="0" fillId="4" borderId="28" xfId="0" applyFill="1" applyBorder="1"/>
    <xf numFmtId="0" fontId="0" fillId="4" borderId="4" xfId="0" applyFill="1" applyBorder="1"/>
    <xf numFmtId="0" fontId="0" fillId="4" borderId="29" xfId="0" applyFill="1" applyBorder="1"/>
    <xf numFmtId="1" fontId="6" fillId="2" borderId="12" xfId="0" applyNumberFormat="1" applyFont="1" applyFill="1" applyBorder="1" applyAlignment="1">
      <alignment horizontal="center"/>
    </xf>
    <xf numFmtId="1" fontId="3" fillId="3" borderId="0" xfId="0" applyNumberFormat="1" applyFont="1" applyFill="1"/>
    <xf numFmtId="1" fontId="3" fillId="2" borderId="2" xfId="0" applyNumberFormat="1" applyFont="1" applyFill="1" applyBorder="1"/>
    <xf numFmtId="0" fontId="4" fillId="8" borderId="20" xfId="0" applyFont="1" applyFill="1" applyBorder="1" applyAlignment="1">
      <alignment horizontal="center"/>
    </xf>
    <xf numFmtId="0" fontId="4" fillId="8" borderId="0" xfId="0" applyFont="1" applyFill="1"/>
    <xf numFmtId="0" fontId="6" fillId="0" borderId="0" xfId="0" applyFont="1"/>
    <xf numFmtId="10" fontId="6" fillId="0" borderId="0" xfId="0" applyNumberFormat="1" applyFont="1"/>
    <xf numFmtId="10" fontId="4" fillId="8" borderId="20" xfId="0" applyNumberFormat="1" applyFont="1" applyFill="1" applyBorder="1" applyAlignment="1">
      <alignment horizontal="center"/>
    </xf>
    <xf numFmtId="10" fontId="4" fillId="8" borderId="0" xfId="0" applyNumberFormat="1" applyFont="1" applyFill="1"/>
    <xf numFmtId="0" fontId="4" fillId="8" borderId="21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2" fontId="4" fillId="8" borderId="20" xfId="0" applyNumberFormat="1" applyFont="1" applyFill="1" applyBorder="1" applyAlignment="1">
      <alignment horizontal="center"/>
    </xf>
    <xf numFmtId="2" fontId="4" fillId="8" borderId="21" xfId="0" applyNumberFormat="1" applyFont="1" applyFill="1" applyBorder="1" applyAlignment="1">
      <alignment horizontal="center"/>
    </xf>
    <xf numFmtId="1" fontId="4" fillId="8" borderId="20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166" fontId="6" fillId="8" borderId="11" xfId="0" applyNumberFormat="1" applyFont="1" applyFill="1" applyBorder="1" applyAlignment="1">
      <alignment horizontal="center"/>
    </xf>
    <xf numFmtId="166" fontId="0" fillId="8" borderId="0" xfId="0" applyNumberFormat="1" applyFill="1"/>
    <xf numFmtId="0" fontId="0" fillId="3" borderId="11" xfId="0" applyFill="1" applyBorder="1"/>
    <xf numFmtId="165" fontId="6" fillId="3" borderId="1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2" fontId="4" fillId="8" borderId="9" xfId="0" applyNumberFormat="1" applyFont="1" applyFill="1" applyBorder="1" applyAlignment="1">
      <alignment horizontal="center"/>
    </xf>
    <xf numFmtId="2" fontId="6" fillId="3" borderId="11" xfId="0" applyNumberFormat="1" applyFont="1" applyFill="1" applyBorder="1" applyAlignment="1">
      <alignment horizontal="center" vertical="center"/>
    </xf>
    <xf numFmtId="2" fontId="6" fillId="8" borderId="11" xfId="0" applyNumberFormat="1" applyFont="1" applyFill="1" applyBorder="1" applyAlignment="1">
      <alignment horizontal="center"/>
    </xf>
    <xf numFmtId="2" fontId="6" fillId="8" borderId="20" xfId="0" applyNumberFormat="1" applyFont="1" applyFill="1" applyBorder="1" applyAlignment="1">
      <alignment horizontal="center"/>
    </xf>
    <xf numFmtId="1" fontId="4" fillId="8" borderId="21" xfId="0" applyNumberFormat="1" applyFont="1" applyFill="1" applyBorder="1" applyAlignment="1">
      <alignment horizontal="center"/>
    </xf>
    <xf numFmtId="10" fontId="4" fillId="8" borderId="21" xfId="0" applyNumberFormat="1" applyFont="1" applyFill="1" applyBorder="1" applyAlignment="1">
      <alignment horizontal="center"/>
    </xf>
    <xf numFmtId="2" fontId="4" fillId="8" borderId="24" xfId="0" applyNumberFormat="1" applyFont="1" applyFill="1" applyBorder="1" applyAlignment="1">
      <alignment horizontal="center"/>
    </xf>
    <xf numFmtId="2" fontId="4" fillId="8" borderId="27" xfId="0" applyNumberFormat="1" applyFont="1" applyFill="1" applyBorder="1" applyAlignment="1">
      <alignment horizontal="center"/>
    </xf>
    <xf numFmtId="1" fontId="4" fillId="8" borderId="9" xfId="0" applyNumberFormat="1" applyFont="1" applyFill="1" applyBorder="1" applyAlignment="1">
      <alignment horizontal="center"/>
    </xf>
    <xf numFmtId="1" fontId="4" fillId="8" borderId="25" xfId="0" applyNumberFormat="1" applyFont="1" applyFill="1" applyBorder="1" applyAlignment="1">
      <alignment horizontal="center"/>
    </xf>
    <xf numFmtId="165" fontId="4" fillId="8" borderId="20" xfId="0" applyNumberFormat="1" applyFont="1" applyFill="1" applyBorder="1" applyAlignment="1">
      <alignment horizontal="center"/>
    </xf>
    <xf numFmtId="165" fontId="4" fillId="8" borderId="27" xfId="0" applyNumberFormat="1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1" fontId="4" fillId="8" borderId="18" xfId="0" applyNumberFormat="1" applyFont="1" applyFill="1" applyBorder="1" applyAlignment="1">
      <alignment horizontal="center"/>
    </xf>
    <xf numFmtId="1" fontId="4" fillId="8" borderId="24" xfId="0" applyNumberFormat="1" applyFont="1" applyFill="1" applyBorder="1" applyAlignment="1">
      <alignment horizontal="center"/>
    </xf>
    <xf numFmtId="10" fontId="4" fillId="8" borderId="18" xfId="0" applyNumberFormat="1" applyFont="1" applyFill="1" applyBorder="1" applyAlignment="1">
      <alignment horizontal="center"/>
    </xf>
    <xf numFmtId="165" fontId="4" fillId="8" borderId="9" xfId="0" applyNumberFormat="1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2" fontId="4" fillId="8" borderId="10" xfId="0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0" fillId="0" borderId="2" xfId="0" applyBorder="1"/>
    <xf numFmtId="0" fontId="4" fillId="3" borderId="10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0" fillId="0" borderId="1" xfId="0" applyBorder="1"/>
    <xf numFmtId="0" fontId="3" fillId="2" borderId="0" xfId="0" applyFont="1" applyFill="1"/>
    <xf numFmtId="0" fontId="3" fillId="8" borderId="11" xfId="0" applyFont="1" applyFill="1" applyBorder="1"/>
    <xf numFmtId="0" fontId="6" fillId="0" borderId="14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3" fillId="3" borderId="32" xfId="0" applyFont="1" applyFill="1" applyBorder="1"/>
    <xf numFmtId="0" fontId="3" fillId="3" borderId="0" xfId="0" applyFont="1" applyFill="1"/>
    <xf numFmtId="0" fontId="13" fillId="3" borderId="13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2" xfId="0" applyFont="1" applyFill="1" applyBorder="1"/>
    <xf numFmtId="0" fontId="6" fillId="3" borderId="2" xfId="0" applyFont="1" applyFill="1" applyBorder="1"/>
    <xf numFmtId="0" fontId="13" fillId="3" borderId="16" xfId="0" applyFont="1" applyFill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0" xfId="0" applyNumberFormat="1" applyFont="1"/>
    <xf numFmtId="2" fontId="4" fillId="8" borderId="0" xfId="0" applyNumberFormat="1" applyFont="1" applyFill="1"/>
    <xf numFmtId="2" fontId="4" fillId="8" borderId="11" xfId="2" applyNumberFormat="1" applyFont="1" applyFill="1" applyBorder="1" applyAlignment="1">
      <alignment horizontal="center"/>
    </xf>
    <xf numFmtId="166" fontId="4" fillId="8" borderId="10" xfId="0" applyNumberFormat="1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166" fontId="4" fillId="8" borderId="9" xfId="0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5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7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- 10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report'!$A$32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report'!$Y$32:$BO$32</c:f>
              <c:numCache>
                <c:formatCode>0.0</c:formatCode>
                <c:ptCount val="43"/>
                <c:pt idx="0">
                  <c:v>26.8</c:v>
                </c:pt>
                <c:pt idx="1">
                  <c:v>26.5</c:v>
                </c:pt>
                <c:pt idx="2">
                  <c:v>27.9</c:v>
                </c:pt>
                <c:pt idx="3">
                  <c:v>27.1</c:v>
                </c:pt>
                <c:pt idx="4">
                  <c:v>28.6</c:v>
                </c:pt>
                <c:pt idx="5">
                  <c:v>29</c:v>
                </c:pt>
                <c:pt idx="6">
                  <c:v>29</c:v>
                </c:pt>
                <c:pt idx="7">
                  <c:v>29.4</c:v>
                </c:pt>
                <c:pt idx="8">
                  <c:v>29.9</c:v>
                </c:pt>
                <c:pt idx="9">
                  <c:v>27.5</c:v>
                </c:pt>
                <c:pt idx="10">
                  <c:v>30.8</c:v>
                </c:pt>
                <c:pt idx="11">
                  <c:v>28.5</c:v>
                </c:pt>
                <c:pt idx="12">
                  <c:v>27.3</c:v>
                </c:pt>
                <c:pt idx="13">
                  <c:v>28.1</c:v>
                </c:pt>
                <c:pt idx="14">
                  <c:v>27.9</c:v>
                </c:pt>
                <c:pt idx="15">
                  <c:v>27.5</c:v>
                </c:pt>
                <c:pt idx="16">
                  <c:v>30.5</c:v>
                </c:pt>
                <c:pt idx="17">
                  <c:v>29.5</c:v>
                </c:pt>
                <c:pt idx="18">
                  <c:v>30.9</c:v>
                </c:pt>
                <c:pt idx="19">
                  <c:v>28.3</c:v>
                </c:pt>
                <c:pt idx="20">
                  <c:v>28.7</c:v>
                </c:pt>
                <c:pt idx="21">
                  <c:v>29.6</c:v>
                </c:pt>
                <c:pt idx="22">
                  <c:v>28.1</c:v>
                </c:pt>
                <c:pt idx="23">
                  <c:v>27</c:v>
                </c:pt>
                <c:pt idx="24">
                  <c:v>29.8</c:v>
                </c:pt>
                <c:pt idx="25">
                  <c:v>27.1</c:v>
                </c:pt>
                <c:pt idx="26">
                  <c:v>30.3</c:v>
                </c:pt>
                <c:pt idx="27">
                  <c:v>29.4</c:v>
                </c:pt>
                <c:pt idx="28">
                  <c:v>28</c:v>
                </c:pt>
                <c:pt idx="29">
                  <c:v>29.6</c:v>
                </c:pt>
                <c:pt idx="30">
                  <c:v>28.6</c:v>
                </c:pt>
                <c:pt idx="31">
                  <c:v>28.8</c:v>
                </c:pt>
                <c:pt idx="32">
                  <c:v>31.6</c:v>
                </c:pt>
                <c:pt idx="33">
                  <c:v>29.4</c:v>
                </c:pt>
                <c:pt idx="34">
                  <c:v>32.4</c:v>
                </c:pt>
                <c:pt idx="35" formatCode="0">
                  <c:v>32.200000000000003</c:v>
                </c:pt>
                <c:pt idx="36" formatCode="0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56-46F0-B85F-9F320E035024}"/>
            </c:ext>
          </c:extLst>
        </c:ser>
        <c:ser>
          <c:idx val="1"/>
          <c:order val="1"/>
          <c:tx>
            <c:strRef>
              <c:f>'Weekly report'!$A$30</c:f>
              <c:strCache>
                <c:ptCount val="1"/>
                <c:pt idx="0">
                  <c:v>Slow Growers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report'!$Y$30:$BO$30</c:f>
              <c:numCache>
                <c:formatCode>0</c:formatCode>
                <c:ptCount val="43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56-46F0-B85F-9F320E035024}"/>
            </c:ext>
          </c:extLst>
        </c:ser>
        <c:ser>
          <c:idx val="2"/>
          <c:order val="2"/>
          <c:tx>
            <c:strRef>
              <c:f>'Weekly report'!$A$31</c:f>
              <c:strCache>
                <c:ptCount val="1"/>
                <c:pt idx="0">
                  <c:v>Fast Growers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marker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report'!$Y$31:$BO$31</c:f>
              <c:numCache>
                <c:formatCode>0</c:formatCode>
                <c:ptCount val="4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56-46F0-B85F-9F320E035024}"/>
            </c:ext>
          </c:extLst>
        </c:ser>
        <c:ser>
          <c:idx val="3"/>
          <c:order val="3"/>
          <c:tx>
            <c:strRef>
              <c:f>'Weekly report'!$A$29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report'!$R$29:$BG$29</c:f>
              <c:numCache>
                <c:formatCode>General</c:formatCode>
                <c:ptCount val="4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E-494F-95C9-2D9711C32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74656"/>
        <c:axId val="88377216"/>
      </c:lineChart>
      <c:catAx>
        <c:axId val="8837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88377216"/>
        <c:crosses val="autoZero"/>
        <c:auto val="1"/>
        <c:lblAlgn val="ctr"/>
        <c:lblOffset val="100"/>
        <c:noMultiLvlLbl val="0"/>
      </c:catAx>
      <c:valAx>
        <c:axId val="88377216"/>
        <c:scaling>
          <c:orientation val="minMax"/>
          <c:max val="35"/>
          <c:min val="2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83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- 16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report'!$A$47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 cap="rnd">
              <a:solidFill>
                <a:srgbClr val="4F81BD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report'!$Y$47:$BO$47</c:f>
              <c:numCache>
                <c:formatCode>0.00</c:formatCode>
                <c:ptCount val="43"/>
                <c:pt idx="0">
                  <c:v>64.5</c:v>
                </c:pt>
                <c:pt idx="1">
                  <c:v>64.599999999999994</c:v>
                </c:pt>
                <c:pt idx="2">
                  <c:v>68.2</c:v>
                </c:pt>
                <c:pt idx="3" formatCode="General">
                  <c:v>61.4</c:v>
                </c:pt>
                <c:pt idx="4" formatCode="General">
                  <c:v>66.2</c:v>
                </c:pt>
                <c:pt idx="5" formatCode="General">
                  <c:v>59.1</c:v>
                </c:pt>
                <c:pt idx="6" formatCode="General">
                  <c:v>58.1</c:v>
                </c:pt>
                <c:pt idx="7" formatCode="General">
                  <c:v>64.099999999999994</c:v>
                </c:pt>
                <c:pt idx="8" formatCode="General">
                  <c:v>62.5</c:v>
                </c:pt>
                <c:pt idx="9" formatCode="General">
                  <c:v>61.2</c:v>
                </c:pt>
                <c:pt idx="10" formatCode="General">
                  <c:v>67</c:v>
                </c:pt>
                <c:pt idx="11" formatCode="General">
                  <c:v>66.099999999999994</c:v>
                </c:pt>
                <c:pt idx="12" formatCode="General">
                  <c:v>65.900000000000006</c:v>
                </c:pt>
                <c:pt idx="13" formatCode="General">
                  <c:v>64.400000000000006</c:v>
                </c:pt>
                <c:pt idx="14" formatCode="General">
                  <c:v>66.099999999999994</c:v>
                </c:pt>
                <c:pt idx="15" formatCode="General">
                  <c:v>62.8</c:v>
                </c:pt>
                <c:pt idx="16" formatCode="General">
                  <c:v>65.099999999999994</c:v>
                </c:pt>
                <c:pt idx="17" formatCode="General">
                  <c:v>66.900000000000006</c:v>
                </c:pt>
                <c:pt idx="18" formatCode="General">
                  <c:v>67.099999999999994</c:v>
                </c:pt>
                <c:pt idx="19" formatCode="General">
                  <c:v>65.8</c:v>
                </c:pt>
                <c:pt idx="20" formatCode="General">
                  <c:v>65.5</c:v>
                </c:pt>
                <c:pt idx="21" formatCode="General">
                  <c:v>64.3</c:v>
                </c:pt>
                <c:pt idx="22" formatCode="General">
                  <c:v>69</c:v>
                </c:pt>
                <c:pt idx="23" formatCode="General">
                  <c:v>65</c:v>
                </c:pt>
                <c:pt idx="24" formatCode="General">
                  <c:v>67.5</c:v>
                </c:pt>
                <c:pt idx="25" formatCode="General">
                  <c:v>64.2</c:v>
                </c:pt>
                <c:pt idx="26" formatCode="General">
                  <c:v>64.400000000000006</c:v>
                </c:pt>
                <c:pt idx="27" formatCode="General">
                  <c:v>71.5</c:v>
                </c:pt>
                <c:pt idx="28" formatCode="General">
                  <c:v>65.3</c:v>
                </c:pt>
                <c:pt idx="29" formatCode="General">
                  <c:v>64</c:v>
                </c:pt>
                <c:pt idx="30" formatCode="General">
                  <c:v>65</c:v>
                </c:pt>
                <c:pt idx="31" formatCode="General">
                  <c:v>60.6</c:v>
                </c:pt>
                <c:pt idx="32" formatCode="General">
                  <c:v>68.2</c:v>
                </c:pt>
                <c:pt idx="33" formatCode="General">
                  <c:v>63.7</c:v>
                </c:pt>
                <c:pt idx="34" formatCode="General">
                  <c:v>64.5</c:v>
                </c:pt>
                <c:pt idx="35" formatCode="General">
                  <c:v>66.8</c:v>
                </c:pt>
                <c:pt idx="36" formatCode="General">
                  <c:v>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8-4548-AB42-20F5358505C6}"/>
            </c:ext>
          </c:extLst>
        </c:ser>
        <c:ser>
          <c:idx val="1"/>
          <c:order val="1"/>
          <c:tx>
            <c:strRef>
              <c:f>'Weekly report'!$A$45</c:f>
              <c:strCache>
                <c:ptCount val="1"/>
                <c:pt idx="0">
                  <c:v>Slow Growers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report'!$Y$45:$BO$45</c:f>
              <c:numCache>
                <c:formatCode>0</c:formatCode>
                <c:ptCount val="43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8-4548-AB42-20F5358505C6}"/>
            </c:ext>
          </c:extLst>
        </c:ser>
        <c:ser>
          <c:idx val="2"/>
          <c:order val="2"/>
          <c:tx>
            <c:strRef>
              <c:f>'Weekly report'!$A$46</c:f>
              <c:strCache>
                <c:ptCount val="1"/>
                <c:pt idx="0">
                  <c:v>Fast Growers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report'!$Y$46:$BO$46</c:f>
              <c:numCache>
                <c:formatCode>0</c:formatCode>
                <c:ptCount val="43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67</c:v>
                </c:pt>
                <c:pt idx="13">
                  <c:v>67</c:v>
                </c:pt>
                <c:pt idx="14">
                  <c:v>67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71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71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58-4548-AB42-20F5358505C6}"/>
            </c:ext>
          </c:extLst>
        </c:ser>
        <c:ser>
          <c:idx val="3"/>
          <c:order val="3"/>
          <c:tx>
            <c:strRef>
              <c:f>'Weekly report'!$A$44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report'!$R$44:$BG$44</c:f>
              <c:numCache>
                <c:formatCode>General</c:formatCode>
                <c:ptCount val="42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3-4F79-A069-0FB47B3A2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98496"/>
        <c:axId val="89101056"/>
      </c:lineChart>
      <c:catAx>
        <c:axId val="8909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1056"/>
        <c:crosses val="autoZero"/>
        <c:auto val="1"/>
        <c:lblAlgn val="ctr"/>
        <c:lblOffset val="100"/>
        <c:noMultiLvlLbl val="0"/>
      </c:catAx>
      <c:valAx>
        <c:axId val="89101056"/>
        <c:scaling>
          <c:orientation val="minMax"/>
          <c:max val="71"/>
          <c:min val="5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to 16 week Avg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B-496F-AA8B-11D04E7A4E9F}"/>
            </c:ext>
          </c:extLst>
        </c:ser>
        <c:ser>
          <c:idx val="1"/>
          <c:order val="1"/>
          <c:tx>
            <c:strRef>
              <c:f>'Weekly report'!$A$50</c:f>
              <c:strCache>
                <c:ptCount val="1"/>
                <c:pt idx="0">
                  <c:v>ADG 10-16Weeks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report'!$Y$50:$BO$50</c:f>
              <c:numCache>
                <c:formatCode>0.00</c:formatCode>
                <c:ptCount val="43"/>
                <c:pt idx="0">
                  <c:v>0.8571428571428571</c:v>
                </c:pt>
                <c:pt idx="1">
                  <c:v>0.79523809523809508</c:v>
                </c:pt>
                <c:pt idx="2">
                  <c:v>0.93</c:v>
                </c:pt>
                <c:pt idx="3">
                  <c:v>0.81</c:v>
                </c:pt>
                <c:pt idx="4">
                  <c:v>0.88809523809523816</c:v>
                </c:pt>
                <c:pt idx="5">
                  <c:v>0.74523809523809526</c:v>
                </c:pt>
                <c:pt idx="6">
                  <c:v>0.74</c:v>
                </c:pt>
                <c:pt idx="7">
                  <c:v>0.88</c:v>
                </c:pt>
                <c:pt idx="8">
                  <c:v>0.82</c:v>
                </c:pt>
                <c:pt idx="9">
                  <c:v>0.81</c:v>
                </c:pt>
                <c:pt idx="10">
                  <c:v>0.92600000000000005</c:v>
                </c:pt>
                <c:pt idx="11">
                  <c:v>0.88300000000000001</c:v>
                </c:pt>
                <c:pt idx="12">
                  <c:v>0.873</c:v>
                </c:pt>
                <c:pt idx="13">
                  <c:v>0.83499999999999996</c:v>
                </c:pt>
                <c:pt idx="14">
                  <c:v>0.86199999999999999</c:v>
                </c:pt>
                <c:pt idx="15">
                  <c:v>0.83299999999999996</c:v>
                </c:pt>
                <c:pt idx="16">
                  <c:v>0.82</c:v>
                </c:pt>
                <c:pt idx="17">
                  <c:v>0.91300000000000003</c:v>
                </c:pt>
                <c:pt idx="18">
                  <c:v>0.94</c:v>
                </c:pt>
                <c:pt idx="19">
                  <c:v>0.90500000000000003</c:v>
                </c:pt>
                <c:pt idx="20">
                  <c:v>0.89600000000000002</c:v>
                </c:pt>
                <c:pt idx="21">
                  <c:v>0.88100000000000001</c:v>
                </c:pt>
                <c:pt idx="22">
                  <c:v>0.91600000000000004</c:v>
                </c:pt>
                <c:pt idx="23">
                  <c:v>0.84499999999999997</c:v>
                </c:pt>
                <c:pt idx="24">
                  <c:v>0.88100000000000001</c:v>
                </c:pt>
                <c:pt idx="25">
                  <c:v>0.85299999999999998</c:v>
                </c:pt>
                <c:pt idx="26">
                  <c:v>0.85</c:v>
                </c:pt>
                <c:pt idx="27">
                  <c:v>0.98099999999999998</c:v>
                </c:pt>
                <c:pt idx="28">
                  <c:v>0.88400000000000001</c:v>
                </c:pt>
                <c:pt idx="29">
                  <c:v>0.88400000000000001</c:v>
                </c:pt>
                <c:pt idx="30">
                  <c:v>0.83899999999999997</c:v>
                </c:pt>
                <c:pt idx="31">
                  <c:v>0.79600000000000004</c:v>
                </c:pt>
                <c:pt idx="32">
                  <c:v>0.90300000000000002</c:v>
                </c:pt>
                <c:pt idx="33">
                  <c:v>0.81799999999999995</c:v>
                </c:pt>
                <c:pt idx="34">
                  <c:v>0.86899999999999999</c:v>
                </c:pt>
                <c:pt idx="35">
                  <c:v>0.88700000000000001</c:v>
                </c:pt>
                <c:pt idx="36">
                  <c:v>0.89900000000000002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B-496F-AA8B-11D04E7A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00256"/>
        <c:axId val="92002176"/>
      </c:lineChart>
      <c:catAx>
        <c:axId val="9200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2176"/>
        <c:crosses val="autoZero"/>
        <c:auto val="1"/>
        <c:lblAlgn val="ctr"/>
        <c:lblOffset val="100"/>
        <c:noMultiLvlLbl val="0"/>
      </c:catAx>
      <c:valAx>
        <c:axId val="9200217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- 25 week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report'!$A$65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report'!$Y$65:$BO$65</c:f>
              <c:numCache>
                <c:formatCode>0.00</c:formatCode>
                <c:ptCount val="43"/>
                <c:pt idx="0">
                  <c:v>123.9</c:v>
                </c:pt>
                <c:pt idx="1">
                  <c:v>123.5</c:v>
                </c:pt>
                <c:pt idx="2">
                  <c:v>126.4</c:v>
                </c:pt>
                <c:pt idx="3" formatCode="General">
                  <c:v>124.3</c:v>
                </c:pt>
                <c:pt idx="4" formatCode="General">
                  <c:v>124.7</c:v>
                </c:pt>
                <c:pt idx="5" formatCode="General">
                  <c:v>120.3</c:v>
                </c:pt>
                <c:pt idx="6" formatCode="General">
                  <c:v>127.8</c:v>
                </c:pt>
                <c:pt idx="7" formatCode="General">
                  <c:v>121.9</c:v>
                </c:pt>
                <c:pt idx="8" formatCode="General">
                  <c:v>129.30000000000001</c:v>
                </c:pt>
                <c:pt idx="9" formatCode="General">
                  <c:v>123.8</c:v>
                </c:pt>
                <c:pt idx="10" formatCode="General">
                  <c:v>123.7</c:v>
                </c:pt>
                <c:pt idx="11" formatCode="General">
                  <c:v>131.19999999999999</c:v>
                </c:pt>
                <c:pt idx="12" formatCode="General">
                  <c:v>118.9</c:v>
                </c:pt>
                <c:pt idx="13" formatCode="General">
                  <c:v>129.69999999999999</c:v>
                </c:pt>
                <c:pt idx="14" formatCode="General">
                  <c:v>118.5</c:v>
                </c:pt>
                <c:pt idx="15" formatCode="General">
                  <c:v>120.5</c:v>
                </c:pt>
                <c:pt idx="16" formatCode="General">
                  <c:v>127</c:v>
                </c:pt>
                <c:pt idx="17" formatCode="General">
                  <c:v>131.1</c:v>
                </c:pt>
                <c:pt idx="18" formatCode="General">
                  <c:v>127.2</c:v>
                </c:pt>
                <c:pt idx="19" formatCode="General">
                  <c:v>135.9</c:v>
                </c:pt>
                <c:pt idx="20" formatCode="General">
                  <c:v>137.1</c:v>
                </c:pt>
                <c:pt idx="21" formatCode="General">
                  <c:v>133.30000000000001</c:v>
                </c:pt>
                <c:pt idx="22" formatCode="General">
                  <c:v>128.19999999999999</c:v>
                </c:pt>
                <c:pt idx="23" formatCode="General">
                  <c:v>130.6</c:v>
                </c:pt>
                <c:pt idx="24" formatCode="General">
                  <c:v>130.80000000000001</c:v>
                </c:pt>
                <c:pt idx="25" formatCode="General">
                  <c:v>129.4</c:v>
                </c:pt>
                <c:pt idx="26" formatCode="General">
                  <c:v>132.19999999999999</c:v>
                </c:pt>
                <c:pt idx="27" formatCode="General">
                  <c:v>136.1</c:v>
                </c:pt>
                <c:pt idx="28" formatCode="General">
                  <c:v>134.1</c:v>
                </c:pt>
                <c:pt idx="29" formatCode="General">
                  <c:v>131.19999999999999</c:v>
                </c:pt>
                <c:pt idx="30" formatCode="General">
                  <c:v>128.9</c:v>
                </c:pt>
                <c:pt idx="31" formatCode="General">
                  <c:v>132.4</c:v>
                </c:pt>
                <c:pt idx="32" formatCode="General">
                  <c:v>129.80000000000001</c:v>
                </c:pt>
                <c:pt idx="33" formatCode="General">
                  <c:v>134.30000000000001</c:v>
                </c:pt>
                <c:pt idx="34" formatCode="General">
                  <c:v>130.19999999999999</c:v>
                </c:pt>
                <c:pt idx="35" formatCode="General">
                  <c:v>126</c:v>
                </c:pt>
                <c:pt idx="36" formatCode="General">
                  <c:v>136.6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5-4F82-A528-B29285BEFE9B}"/>
            </c:ext>
          </c:extLst>
        </c:ser>
        <c:ser>
          <c:idx val="1"/>
          <c:order val="1"/>
          <c:tx>
            <c:strRef>
              <c:f>'Weekly report'!$A$63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report'!$Y$63:$BO$63</c:f>
              <c:numCache>
                <c:formatCode>General</c:formatCode>
                <c:ptCount val="43"/>
                <c:pt idx="0">
                  <c:v>118</c:v>
                </c:pt>
                <c:pt idx="1">
                  <c:v>118</c:v>
                </c:pt>
                <c:pt idx="2">
                  <c:v>118</c:v>
                </c:pt>
                <c:pt idx="3">
                  <c:v>118</c:v>
                </c:pt>
                <c:pt idx="4">
                  <c:v>118</c:v>
                </c:pt>
                <c:pt idx="5">
                  <c:v>118</c:v>
                </c:pt>
                <c:pt idx="6">
                  <c:v>118</c:v>
                </c:pt>
                <c:pt idx="7">
                  <c:v>118</c:v>
                </c:pt>
                <c:pt idx="8">
                  <c:v>118</c:v>
                </c:pt>
                <c:pt idx="9">
                  <c:v>118</c:v>
                </c:pt>
                <c:pt idx="10">
                  <c:v>118</c:v>
                </c:pt>
                <c:pt idx="11">
                  <c:v>118</c:v>
                </c:pt>
                <c:pt idx="12">
                  <c:v>118</c:v>
                </c:pt>
                <c:pt idx="13">
                  <c:v>118</c:v>
                </c:pt>
                <c:pt idx="14">
                  <c:v>118</c:v>
                </c:pt>
                <c:pt idx="15">
                  <c:v>118</c:v>
                </c:pt>
                <c:pt idx="16">
                  <c:v>118</c:v>
                </c:pt>
                <c:pt idx="17">
                  <c:v>118</c:v>
                </c:pt>
                <c:pt idx="18">
                  <c:v>118</c:v>
                </c:pt>
                <c:pt idx="19">
                  <c:v>118</c:v>
                </c:pt>
                <c:pt idx="20">
                  <c:v>118</c:v>
                </c:pt>
                <c:pt idx="21">
                  <c:v>118</c:v>
                </c:pt>
                <c:pt idx="22">
                  <c:v>118</c:v>
                </c:pt>
                <c:pt idx="23">
                  <c:v>118</c:v>
                </c:pt>
                <c:pt idx="24">
                  <c:v>118</c:v>
                </c:pt>
                <c:pt idx="25">
                  <c:v>118</c:v>
                </c:pt>
                <c:pt idx="26">
                  <c:v>118</c:v>
                </c:pt>
                <c:pt idx="27">
                  <c:v>118</c:v>
                </c:pt>
                <c:pt idx="28">
                  <c:v>118</c:v>
                </c:pt>
                <c:pt idx="29">
                  <c:v>118</c:v>
                </c:pt>
                <c:pt idx="30">
                  <c:v>118</c:v>
                </c:pt>
                <c:pt idx="31">
                  <c:v>118</c:v>
                </c:pt>
                <c:pt idx="32">
                  <c:v>118</c:v>
                </c:pt>
                <c:pt idx="33">
                  <c:v>118</c:v>
                </c:pt>
                <c:pt idx="34">
                  <c:v>118</c:v>
                </c:pt>
                <c:pt idx="35">
                  <c:v>118</c:v>
                </c:pt>
                <c:pt idx="36">
                  <c:v>118</c:v>
                </c:pt>
                <c:pt idx="37">
                  <c:v>118</c:v>
                </c:pt>
                <c:pt idx="38">
                  <c:v>118</c:v>
                </c:pt>
                <c:pt idx="39">
                  <c:v>118</c:v>
                </c:pt>
                <c:pt idx="40">
                  <c:v>118</c:v>
                </c:pt>
                <c:pt idx="41">
                  <c:v>118</c:v>
                </c:pt>
                <c:pt idx="42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5-4F82-A528-B29285BEFE9B}"/>
            </c:ext>
          </c:extLst>
        </c:ser>
        <c:ser>
          <c:idx val="2"/>
          <c:order val="2"/>
          <c:tx>
            <c:strRef>
              <c:f>'Weekly report'!$A$64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report'!$Y$64:$BO$64</c:f>
              <c:numCache>
                <c:formatCode>General</c:formatCode>
                <c:ptCount val="43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139</c:v>
                </c:pt>
                <c:pt idx="17">
                  <c:v>139</c:v>
                </c:pt>
                <c:pt idx="18">
                  <c:v>139</c:v>
                </c:pt>
                <c:pt idx="19">
                  <c:v>139</c:v>
                </c:pt>
                <c:pt idx="20">
                  <c:v>139</c:v>
                </c:pt>
                <c:pt idx="21">
                  <c:v>139</c:v>
                </c:pt>
                <c:pt idx="22">
                  <c:v>139</c:v>
                </c:pt>
                <c:pt idx="23">
                  <c:v>139</c:v>
                </c:pt>
                <c:pt idx="24">
                  <c:v>139</c:v>
                </c:pt>
                <c:pt idx="25">
                  <c:v>139</c:v>
                </c:pt>
                <c:pt idx="26">
                  <c:v>139</c:v>
                </c:pt>
                <c:pt idx="27">
                  <c:v>139</c:v>
                </c:pt>
                <c:pt idx="28">
                  <c:v>139</c:v>
                </c:pt>
                <c:pt idx="29">
                  <c:v>139</c:v>
                </c:pt>
                <c:pt idx="30">
                  <c:v>139</c:v>
                </c:pt>
                <c:pt idx="31">
                  <c:v>139</c:v>
                </c:pt>
                <c:pt idx="32">
                  <c:v>139</c:v>
                </c:pt>
                <c:pt idx="33">
                  <c:v>139</c:v>
                </c:pt>
                <c:pt idx="34">
                  <c:v>139</c:v>
                </c:pt>
                <c:pt idx="35">
                  <c:v>139</c:v>
                </c:pt>
                <c:pt idx="36">
                  <c:v>139</c:v>
                </c:pt>
                <c:pt idx="37">
                  <c:v>139</c:v>
                </c:pt>
                <c:pt idx="38">
                  <c:v>139</c:v>
                </c:pt>
                <c:pt idx="39">
                  <c:v>139</c:v>
                </c:pt>
                <c:pt idx="40">
                  <c:v>139</c:v>
                </c:pt>
                <c:pt idx="41">
                  <c:v>139</c:v>
                </c:pt>
                <c:pt idx="42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C5-4F82-A528-B29285BEFE9B}"/>
            </c:ext>
          </c:extLst>
        </c:ser>
        <c:ser>
          <c:idx val="3"/>
          <c:order val="3"/>
          <c:tx>
            <c:strRef>
              <c:f>'Weekly report'!$A$62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report'!$R$62:$BG$62</c:f>
              <c:numCache>
                <c:formatCode>General</c:formatCode>
                <c:ptCount val="42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  <c:pt idx="11">
                  <c:v>130</c:v>
                </c:pt>
                <c:pt idx="12">
                  <c:v>130</c:v>
                </c:pt>
                <c:pt idx="13">
                  <c:v>130</c:v>
                </c:pt>
                <c:pt idx="14">
                  <c:v>130</c:v>
                </c:pt>
                <c:pt idx="15">
                  <c:v>130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130</c:v>
                </c:pt>
                <c:pt idx="27">
                  <c:v>130</c:v>
                </c:pt>
                <c:pt idx="28">
                  <c:v>130</c:v>
                </c:pt>
                <c:pt idx="29">
                  <c:v>130</c:v>
                </c:pt>
                <c:pt idx="30">
                  <c:v>130</c:v>
                </c:pt>
                <c:pt idx="31">
                  <c:v>130</c:v>
                </c:pt>
                <c:pt idx="32">
                  <c:v>130</c:v>
                </c:pt>
                <c:pt idx="33">
                  <c:v>130</c:v>
                </c:pt>
                <c:pt idx="34">
                  <c:v>130</c:v>
                </c:pt>
                <c:pt idx="35">
                  <c:v>130</c:v>
                </c:pt>
                <c:pt idx="36">
                  <c:v>130</c:v>
                </c:pt>
                <c:pt idx="37">
                  <c:v>130</c:v>
                </c:pt>
                <c:pt idx="38">
                  <c:v>130</c:v>
                </c:pt>
                <c:pt idx="39">
                  <c:v>130</c:v>
                </c:pt>
                <c:pt idx="40">
                  <c:v>130</c:v>
                </c:pt>
                <c:pt idx="4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B-42F2-B109-8D9F7DA9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47616"/>
        <c:axId val="92062464"/>
      </c:lineChart>
      <c:catAx>
        <c:axId val="9204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62464"/>
        <c:crosses val="autoZero"/>
        <c:auto val="1"/>
        <c:lblAlgn val="ctr"/>
        <c:lblOffset val="100"/>
        <c:noMultiLvlLbl val="0"/>
      </c:catAx>
      <c:valAx>
        <c:axId val="92062464"/>
        <c:scaling>
          <c:orientation val="minMax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16W-25W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report'!$Y$68:$BO$68</c:f>
              <c:numCache>
                <c:formatCode>0.000</c:formatCode>
                <c:ptCount val="43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  <c:pt idx="36">
                  <c:v>0.89600000000000002</c:v>
                </c:pt>
                <c:pt idx="37">
                  <c:v>0.89600000000000002</c:v>
                </c:pt>
                <c:pt idx="38">
                  <c:v>0.89600000000000002</c:v>
                </c:pt>
                <c:pt idx="39">
                  <c:v>0.89600000000000002</c:v>
                </c:pt>
                <c:pt idx="40">
                  <c:v>0.89600000000000002</c:v>
                </c:pt>
                <c:pt idx="41">
                  <c:v>0.89600000000000002</c:v>
                </c:pt>
                <c:pt idx="42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5-4C95-99F3-4EE2C043994F}"/>
            </c:ext>
          </c:extLst>
        </c:ser>
        <c:ser>
          <c:idx val="1"/>
          <c:order val="1"/>
          <c:tx>
            <c:strRef>
              <c:f>'Weekly report'!$A$69</c:f>
              <c:strCache>
                <c:ptCount val="1"/>
                <c:pt idx="0">
                  <c:v>ADG 16-25 Weeks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report'!$Y$69:$BO$69</c:f>
              <c:numCache>
                <c:formatCode>0.000</c:formatCode>
                <c:ptCount val="43"/>
                <c:pt idx="0">
                  <c:v>0.97777777777777797</c:v>
                </c:pt>
                <c:pt idx="1">
                  <c:v>0.96349206349206351</c:v>
                </c:pt>
                <c:pt idx="2">
                  <c:v>0.95396825396825413</c:v>
                </c:pt>
                <c:pt idx="3">
                  <c:v>0.95396825396825391</c:v>
                </c:pt>
                <c:pt idx="4">
                  <c:v>0.95079365079365086</c:v>
                </c:pt>
                <c:pt idx="5">
                  <c:v>0.97619047619047616</c:v>
                </c:pt>
                <c:pt idx="6">
                  <c:v>1.0126984126984127</c:v>
                </c:pt>
                <c:pt idx="7">
                  <c:v>0.97142857142857142</c:v>
                </c:pt>
                <c:pt idx="8">
                  <c:v>0.9825396825396826</c:v>
                </c:pt>
                <c:pt idx="9">
                  <c:v>0.94126984126984126</c:v>
                </c:pt>
                <c:pt idx="10">
                  <c:v>0.93799999999999994</c:v>
                </c:pt>
                <c:pt idx="11" formatCode="0.0">
                  <c:v>1</c:v>
                </c:pt>
                <c:pt idx="12">
                  <c:v>0.91300000000000003</c:v>
                </c:pt>
                <c:pt idx="13">
                  <c:v>1.0069999999999999</c:v>
                </c:pt>
                <c:pt idx="14">
                  <c:v>0.92900000000000005</c:v>
                </c:pt>
                <c:pt idx="15">
                  <c:v>0.99199999999999999</c:v>
                </c:pt>
                <c:pt idx="16">
                  <c:v>1.0049999999999999</c:v>
                </c:pt>
                <c:pt idx="17">
                  <c:v>1.075</c:v>
                </c:pt>
                <c:pt idx="18">
                  <c:v>1.048</c:v>
                </c:pt>
                <c:pt idx="19">
                  <c:v>1.0940000000000001</c:v>
                </c:pt>
                <c:pt idx="20">
                  <c:v>1.127</c:v>
                </c:pt>
                <c:pt idx="21">
                  <c:v>1.071</c:v>
                </c:pt>
                <c:pt idx="22">
                  <c:v>1.0129999999999999</c:v>
                </c:pt>
                <c:pt idx="23">
                  <c:v>1.024</c:v>
                </c:pt>
                <c:pt idx="24">
                  <c:v>1.0780000000000001</c:v>
                </c:pt>
                <c:pt idx="25">
                  <c:v>1.02</c:v>
                </c:pt>
                <c:pt idx="26">
                  <c:v>1.042</c:v>
                </c:pt>
                <c:pt idx="27">
                  <c:v>1.095</c:v>
                </c:pt>
                <c:pt idx="28">
                  <c:v>1.083</c:v>
                </c:pt>
                <c:pt idx="29">
                  <c:v>1.0429999999999999</c:v>
                </c:pt>
                <c:pt idx="30">
                  <c:v>1.0249999999999999</c:v>
                </c:pt>
                <c:pt idx="31">
                  <c:v>1.006</c:v>
                </c:pt>
                <c:pt idx="32">
                  <c:v>1.0289999999999999</c:v>
                </c:pt>
                <c:pt idx="33">
                  <c:v>1.0569999999999999</c:v>
                </c:pt>
                <c:pt idx="34">
                  <c:v>1.0489999999999999</c:v>
                </c:pt>
                <c:pt idx="35">
                  <c:v>0.97799999999999998</c:v>
                </c:pt>
                <c:pt idx="36">
                  <c:v>1.0329999999999999</c:v>
                </c:pt>
                <c:pt idx="37" formatCode="0.0">
                  <c:v>-1.0365079365079364</c:v>
                </c:pt>
                <c:pt idx="38" formatCode="0.0">
                  <c:v>-1.0158730158730158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5-4C95-99F3-4EE2C043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5056"/>
        <c:axId val="93166976"/>
      </c:lineChart>
      <c:catAx>
        <c:axId val="9316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976"/>
        <c:crosses val="autoZero"/>
        <c:auto val="1"/>
        <c:lblAlgn val="ctr"/>
        <c:lblOffset val="100"/>
        <c:noMultiLvlLbl val="0"/>
      </c:catAx>
      <c:valAx>
        <c:axId val="9316697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Gilts - 28 weeks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report'!$A$83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report'!$Y$83:$BO$83</c:f>
              <c:numCache>
                <c:formatCode>0.00</c:formatCode>
                <c:ptCount val="43"/>
                <c:pt idx="0">
                  <c:v>131.5</c:v>
                </c:pt>
                <c:pt idx="1">
                  <c:v>142.5</c:v>
                </c:pt>
                <c:pt idx="2">
                  <c:v>134.5</c:v>
                </c:pt>
                <c:pt idx="3">
                  <c:v>140</c:v>
                </c:pt>
                <c:pt idx="4">
                  <c:v>144.6</c:v>
                </c:pt>
                <c:pt idx="5">
                  <c:v>142.1</c:v>
                </c:pt>
                <c:pt idx="6">
                  <c:v>144.9</c:v>
                </c:pt>
                <c:pt idx="7">
                  <c:v>142.19999999999999</c:v>
                </c:pt>
                <c:pt idx="8">
                  <c:v>138.6</c:v>
                </c:pt>
                <c:pt idx="9">
                  <c:v>141.30000000000001</c:v>
                </c:pt>
                <c:pt idx="10">
                  <c:v>139.1</c:v>
                </c:pt>
                <c:pt idx="11">
                  <c:v>144.19999999999999</c:v>
                </c:pt>
                <c:pt idx="12">
                  <c:v>137.1</c:v>
                </c:pt>
                <c:pt idx="13">
                  <c:v>146.5</c:v>
                </c:pt>
                <c:pt idx="14">
                  <c:v>153.9</c:v>
                </c:pt>
                <c:pt idx="15">
                  <c:v>148.4</c:v>
                </c:pt>
                <c:pt idx="16">
                  <c:v>157</c:v>
                </c:pt>
                <c:pt idx="17">
                  <c:v>142.30000000000001</c:v>
                </c:pt>
                <c:pt idx="18">
                  <c:v>144.4</c:v>
                </c:pt>
                <c:pt idx="19">
                  <c:v>151.30000000000001</c:v>
                </c:pt>
                <c:pt idx="20">
                  <c:v>155.6</c:v>
                </c:pt>
                <c:pt idx="21">
                  <c:v>150</c:v>
                </c:pt>
                <c:pt idx="22">
                  <c:v>163.69999999999999</c:v>
                </c:pt>
                <c:pt idx="23">
                  <c:v>158.69999999999999</c:v>
                </c:pt>
                <c:pt idx="24">
                  <c:v>154.69999999999999</c:v>
                </c:pt>
                <c:pt idx="25">
                  <c:v>144.4</c:v>
                </c:pt>
                <c:pt idx="26">
                  <c:v>150.9</c:v>
                </c:pt>
                <c:pt idx="27">
                  <c:v>152.6</c:v>
                </c:pt>
                <c:pt idx="28">
                  <c:v>151.69999999999999</c:v>
                </c:pt>
                <c:pt idx="29">
                  <c:v>154.1</c:v>
                </c:pt>
                <c:pt idx="30">
                  <c:v>157.6</c:v>
                </c:pt>
                <c:pt idx="31">
                  <c:v>151.19999999999999</c:v>
                </c:pt>
                <c:pt idx="32">
                  <c:v>152.1</c:v>
                </c:pt>
                <c:pt idx="33">
                  <c:v>146.30000000000001</c:v>
                </c:pt>
                <c:pt idx="34">
                  <c:v>153.5</c:v>
                </c:pt>
                <c:pt idx="35">
                  <c:v>152.1</c:v>
                </c:pt>
                <c:pt idx="36">
                  <c:v>152.9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8-4487-AEE1-B410E68D6D8B}"/>
            </c:ext>
          </c:extLst>
        </c:ser>
        <c:ser>
          <c:idx val="1"/>
          <c:order val="1"/>
          <c:tx>
            <c:strRef>
              <c:f>'Weekly report'!$A$81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report'!$Y$81:$BO$81</c:f>
              <c:numCache>
                <c:formatCode>General</c:formatCode>
                <c:ptCount val="43"/>
                <c:pt idx="0">
                  <c:v>134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134</c:v>
                </c:pt>
                <c:pt idx="7">
                  <c:v>134</c:v>
                </c:pt>
                <c:pt idx="8">
                  <c:v>134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  <c:pt idx="12">
                  <c:v>134</c:v>
                </c:pt>
                <c:pt idx="13">
                  <c:v>134</c:v>
                </c:pt>
                <c:pt idx="14">
                  <c:v>134</c:v>
                </c:pt>
                <c:pt idx="15">
                  <c:v>134</c:v>
                </c:pt>
                <c:pt idx="16">
                  <c:v>134</c:v>
                </c:pt>
                <c:pt idx="17">
                  <c:v>134</c:v>
                </c:pt>
                <c:pt idx="18">
                  <c:v>134</c:v>
                </c:pt>
                <c:pt idx="19">
                  <c:v>134</c:v>
                </c:pt>
                <c:pt idx="20">
                  <c:v>134</c:v>
                </c:pt>
                <c:pt idx="21">
                  <c:v>134</c:v>
                </c:pt>
                <c:pt idx="22">
                  <c:v>134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135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  <c:pt idx="33">
                  <c:v>135</c:v>
                </c:pt>
                <c:pt idx="34">
                  <c:v>135</c:v>
                </c:pt>
                <c:pt idx="35">
                  <c:v>135</c:v>
                </c:pt>
                <c:pt idx="36">
                  <c:v>135</c:v>
                </c:pt>
                <c:pt idx="37">
                  <c:v>135</c:v>
                </c:pt>
                <c:pt idx="38">
                  <c:v>135</c:v>
                </c:pt>
                <c:pt idx="39">
                  <c:v>135</c:v>
                </c:pt>
                <c:pt idx="40">
                  <c:v>135</c:v>
                </c:pt>
                <c:pt idx="41">
                  <c:v>135</c:v>
                </c:pt>
                <c:pt idx="4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8-4487-AEE1-B410E68D6D8B}"/>
            </c:ext>
          </c:extLst>
        </c:ser>
        <c:ser>
          <c:idx val="2"/>
          <c:order val="2"/>
          <c:tx>
            <c:strRef>
              <c:f>'Weekly report'!$A$82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report'!$Y$82:$BO$82</c:f>
              <c:numCache>
                <c:formatCode>General</c:formatCode>
                <c:ptCount val="43"/>
                <c:pt idx="0">
                  <c:v>142</c:v>
                </c:pt>
                <c:pt idx="1">
                  <c:v>142</c:v>
                </c:pt>
                <c:pt idx="2">
                  <c:v>142</c:v>
                </c:pt>
                <c:pt idx="3">
                  <c:v>142</c:v>
                </c:pt>
                <c:pt idx="4">
                  <c:v>142</c:v>
                </c:pt>
                <c:pt idx="5">
                  <c:v>142</c:v>
                </c:pt>
                <c:pt idx="6">
                  <c:v>142</c:v>
                </c:pt>
                <c:pt idx="7">
                  <c:v>142</c:v>
                </c:pt>
                <c:pt idx="8">
                  <c:v>142</c:v>
                </c:pt>
                <c:pt idx="9">
                  <c:v>142</c:v>
                </c:pt>
                <c:pt idx="10">
                  <c:v>142</c:v>
                </c:pt>
                <c:pt idx="11">
                  <c:v>142</c:v>
                </c:pt>
                <c:pt idx="12">
                  <c:v>142</c:v>
                </c:pt>
                <c:pt idx="13">
                  <c:v>142</c:v>
                </c:pt>
                <c:pt idx="14">
                  <c:v>142</c:v>
                </c:pt>
                <c:pt idx="15">
                  <c:v>142</c:v>
                </c:pt>
                <c:pt idx="16">
                  <c:v>142</c:v>
                </c:pt>
                <c:pt idx="17">
                  <c:v>142</c:v>
                </c:pt>
                <c:pt idx="18">
                  <c:v>142</c:v>
                </c:pt>
                <c:pt idx="19">
                  <c:v>142</c:v>
                </c:pt>
                <c:pt idx="20">
                  <c:v>142</c:v>
                </c:pt>
                <c:pt idx="21">
                  <c:v>142</c:v>
                </c:pt>
                <c:pt idx="22">
                  <c:v>142</c:v>
                </c:pt>
                <c:pt idx="23">
                  <c:v>159</c:v>
                </c:pt>
                <c:pt idx="24">
                  <c:v>159</c:v>
                </c:pt>
                <c:pt idx="25">
                  <c:v>159</c:v>
                </c:pt>
                <c:pt idx="26">
                  <c:v>159</c:v>
                </c:pt>
                <c:pt idx="27">
                  <c:v>159</c:v>
                </c:pt>
                <c:pt idx="28">
                  <c:v>159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159</c:v>
                </c:pt>
                <c:pt idx="36">
                  <c:v>159</c:v>
                </c:pt>
                <c:pt idx="37">
                  <c:v>159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8-4487-AEE1-B410E68D6D8B}"/>
            </c:ext>
          </c:extLst>
        </c:ser>
        <c:ser>
          <c:idx val="3"/>
          <c:order val="3"/>
          <c:tx>
            <c:strRef>
              <c:f>'Weekly report'!$A$80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report'!$R$80:$BG$80</c:f>
              <c:numCache>
                <c:formatCode>General</c:formatCode>
                <c:ptCount val="4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F-4B88-9FD6-F8835437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37632"/>
        <c:axId val="93239936"/>
      </c:lineChart>
      <c:catAx>
        <c:axId val="9323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9936"/>
        <c:crosses val="autoZero"/>
        <c:auto val="1"/>
        <c:lblAlgn val="ctr"/>
        <c:lblOffset val="100"/>
        <c:noMultiLvlLbl val="0"/>
      </c:catAx>
      <c:valAx>
        <c:axId val="93239936"/>
        <c:scaling>
          <c:orientation val="minMax"/>
          <c:max val="170"/>
          <c:min val="12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25W-28W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E-4C99-B2DE-5FCE29027ED5}"/>
            </c:ext>
          </c:extLst>
        </c:ser>
        <c:ser>
          <c:idx val="1"/>
          <c:order val="1"/>
          <c:tx>
            <c:strRef>
              <c:f>'Weekly report'!$A$87</c:f>
              <c:strCache>
                <c:ptCount val="1"/>
                <c:pt idx="0">
                  <c:v>ADG 25 to 28 weeks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report'!$Y$87:$BO$87</c:f>
              <c:numCache>
                <c:formatCode>0.00</c:formatCode>
                <c:ptCount val="43"/>
                <c:pt idx="0">
                  <c:v>0.70952380952380978</c:v>
                </c:pt>
                <c:pt idx="1">
                  <c:v>0.81428571428571406</c:v>
                </c:pt>
                <c:pt idx="2">
                  <c:v>0.7238095238095239</c:v>
                </c:pt>
                <c:pt idx="3">
                  <c:v>0.76666666666666639</c:v>
                </c:pt>
                <c:pt idx="4">
                  <c:v>1.0047619047619045</c:v>
                </c:pt>
                <c:pt idx="5">
                  <c:v>0.74761904761904707</c:v>
                </c:pt>
                <c:pt idx="6">
                  <c:v>0.98095238095238135</c:v>
                </c:pt>
                <c:pt idx="7">
                  <c:v>0.8333333333333327</c:v>
                </c:pt>
                <c:pt idx="8">
                  <c:v>0.87142857142857133</c:v>
                </c:pt>
                <c:pt idx="9">
                  <c:v>0.64285714285714357</c:v>
                </c:pt>
                <c:pt idx="10">
                  <c:v>0.81904761904761847</c:v>
                </c:pt>
                <c:pt idx="11">
                  <c:v>0.71</c:v>
                </c:pt>
                <c:pt idx="12">
                  <c:v>0.63200000000000001</c:v>
                </c:pt>
                <c:pt idx="13">
                  <c:v>1.087</c:v>
                </c:pt>
                <c:pt idx="14">
                  <c:v>1.0820000000000001</c:v>
                </c:pt>
                <c:pt idx="15">
                  <c:v>1.405</c:v>
                </c:pt>
                <c:pt idx="16">
                  <c:v>1.302</c:v>
                </c:pt>
                <c:pt idx="17">
                  <c:v>1.131</c:v>
                </c:pt>
                <c:pt idx="18">
                  <c:v>1.137</c:v>
                </c:pt>
                <c:pt idx="19">
                  <c:v>1.155</c:v>
                </c:pt>
                <c:pt idx="20">
                  <c:v>1.167</c:v>
                </c:pt>
                <c:pt idx="21">
                  <c:v>1.087</c:v>
                </c:pt>
                <c:pt idx="22">
                  <c:v>1.325</c:v>
                </c:pt>
                <c:pt idx="23">
                  <c:v>1.0289999999999999</c:v>
                </c:pt>
                <c:pt idx="24">
                  <c:v>1.0169999999999999</c:v>
                </c:pt>
                <c:pt idx="25">
                  <c:v>0.748</c:v>
                </c:pt>
                <c:pt idx="26">
                  <c:v>0.96899999999999997</c:v>
                </c:pt>
                <c:pt idx="27">
                  <c:v>1.04</c:v>
                </c:pt>
                <c:pt idx="28">
                  <c:v>1.171</c:v>
                </c:pt>
                <c:pt idx="29">
                  <c:v>1.044</c:v>
                </c:pt>
                <c:pt idx="30">
                  <c:v>1.024</c:v>
                </c:pt>
                <c:pt idx="31">
                  <c:v>0.81299999999999994</c:v>
                </c:pt>
                <c:pt idx="32">
                  <c:v>0.99299999999999999</c:v>
                </c:pt>
                <c:pt idx="33">
                  <c:v>0.82899999999999996</c:v>
                </c:pt>
                <c:pt idx="34">
                  <c:v>1.004</c:v>
                </c:pt>
                <c:pt idx="35">
                  <c:v>1</c:v>
                </c:pt>
                <c:pt idx="36">
                  <c:v>0.88500000000000001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2E-4C99-B2DE-5FCE2902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04704"/>
        <c:axId val="93319168"/>
      </c:lineChart>
      <c:catAx>
        <c:axId val="9330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9168"/>
        <c:crosses val="autoZero"/>
        <c:auto val="1"/>
        <c:lblAlgn val="ctr"/>
        <c:lblOffset val="100"/>
        <c:noMultiLvlLbl val="0"/>
      </c:catAx>
      <c:valAx>
        <c:axId val="933191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Gilts at service weight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report'!$A$119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report'!$Y$119:$BO$119</c:f>
              <c:numCache>
                <c:formatCode>0</c:formatCode>
                <c:ptCount val="43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4B04-9415-82BE06CDAFAE}"/>
            </c:ext>
          </c:extLst>
        </c:ser>
        <c:ser>
          <c:idx val="1"/>
          <c:order val="1"/>
          <c:tx>
            <c:strRef>
              <c:f>'Weekly report'!$A$121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report'!$Y$121:$BO$121</c:f>
              <c:numCache>
                <c:formatCode>0</c:formatCode>
                <c:ptCount val="43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8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11</c:v>
                </c:pt>
                <c:pt idx="19">
                  <c:v>9</c:v>
                </c:pt>
                <c:pt idx="20">
                  <c:v>13</c:v>
                </c:pt>
                <c:pt idx="21">
                  <c:v>4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6</c:v>
                </c:pt>
                <c:pt idx="27">
                  <c:v>10</c:v>
                </c:pt>
                <c:pt idx="28">
                  <c:v>7</c:v>
                </c:pt>
                <c:pt idx="29">
                  <c:v>11</c:v>
                </c:pt>
                <c:pt idx="30">
                  <c:v>13</c:v>
                </c:pt>
                <c:pt idx="31">
                  <c:v>10</c:v>
                </c:pt>
                <c:pt idx="32">
                  <c:v>18</c:v>
                </c:pt>
                <c:pt idx="33">
                  <c:v>7</c:v>
                </c:pt>
                <c:pt idx="34">
                  <c:v>11</c:v>
                </c:pt>
                <c:pt idx="3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6-4B04-9415-82BE06CDAFAE}"/>
            </c:ext>
          </c:extLst>
        </c:ser>
        <c:ser>
          <c:idx val="2"/>
          <c:order val="2"/>
          <c:tx>
            <c:strRef>
              <c:f>'Weekly report'!$A$123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report'!$Y$123:$BO$123</c:f>
              <c:numCache>
                <c:formatCode>0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5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6-4B04-9415-82BE06CDA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370240"/>
        <c:axId val="93372416"/>
      </c:barChart>
      <c:catAx>
        <c:axId val="9337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3372416"/>
        <c:crosses val="autoZero"/>
        <c:auto val="1"/>
        <c:lblAlgn val="ctr"/>
        <c:lblOffset val="100"/>
        <c:noMultiLvlLbl val="0"/>
      </c:catAx>
      <c:valAx>
        <c:axId val="9337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33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service weight vs target NB:2549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report'!$A$105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report'!$Y$105:$BO$105</c:f>
              <c:numCache>
                <c:formatCode>0.00</c:formatCode>
                <c:ptCount val="43"/>
                <c:pt idx="0">
                  <c:v>158.30000000000001</c:v>
                </c:pt>
                <c:pt idx="1">
                  <c:v>159.9</c:v>
                </c:pt>
                <c:pt idx="2">
                  <c:v>157.1</c:v>
                </c:pt>
                <c:pt idx="3">
                  <c:v>159</c:v>
                </c:pt>
                <c:pt idx="4">
                  <c:v>159.19999999999999</c:v>
                </c:pt>
                <c:pt idx="5">
                  <c:v>157.19999999999999</c:v>
                </c:pt>
                <c:pt idx="6">
                  <c:v>166.1</c:v>
                </c:pt>
                <c:pt idx="7">
                  <c:v>154.30000000000001</c:v>
                </c:pt>
                <c:pt idx="8">
                  <c:v>154.5</c:v>
                </c:pt>
                <c:pt idx="9">
                  <c:v>159</c:v>
                </c:pt>
                <c:pt idx="10">
                  <c:v>159.4</c:v>
                </c:pt>
                <c:pt idx="11">
                  <c:v>162.5</c:v>
                </c:pt>
                <c:pt idx="12">
                  <c:v>155.5</c:v>
                </c:pt>
                <c:pt idx="13">
                  <c:v>159.19999999999999</c:v>
                </c:pt>
                <c:pt idx="14">
                  <c:v>167.1</c:v>
                </c:pt>
                <c:pt idx="15">
                  <c:v>173.2</c:v>
                </c:pt>
                <c:pt idx="16">
                  <c:v>173.5</c:v>
                </c:pt>
                <c:pt idx="17">
                  <c:v>174</c:v>
                </c:pt>
                <c:pt idx="18">
                  <c:v>174.1</c:v>
                </c:pt>
                <c:pt idx="19">
                  <c:v>168.5</c:v>
                </c:pt>
                <c:pt idx="20">
                  <c:v>173.5</c:v>
                </c:pt>
                <c:pt idx="21">
                  <c:v>168</c:v>
                </c:pt>
                <c:pt idx="22">
                  <c:v>165.9</c:v>
                </c:pt>
                <c:pt idx="23">
                  <c:v>172.8</c:v>
                </c:pt>
                <c:pt idx="24">
                  <c:v>174.2</c:v>
                </c:pt>
                <c:pt idx="25">
                  <c:v>173.8</c:v>
                </c:pt>
                <c:pt idx="26">
                  <c:v>183.5</c:v>
                </c:pt>
                <c:pt idx="27">
                  <c:v>181.3</c:v>
                </c:pt>
                <c:pt idx="28">
                  <c:v>166.7</c:v>
                </c:pt>
                <c:pt idx="29">
                  <c:v>178.7</c:v>
                </c:pt>
                <c:pt idx="30">
                  <c:v>170.5</c:v>
                </c:pt>
                <c:pt idx="31">
                  <c:v>169.6</c:v>
                </c:pt>
                <c:pt idx="32">
                  <c:v>178.8</c:v>
                </c:pt>
                <c:pt idx="33">
                  <c:v>173.1</c:v>
                </c:pt>
                <c:pt idx="34">
                  <c:v>179.6</c:v>
                </c:pt>
                <c:pt idx="35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8-4FA4-98EF-63C033DA3D1A}"/>
            </c:ext>
          </c:extLst>
        </c:ser>
        <c:ser>
          <c:idx val="1"/>
          <c:order val="1"/>
          <c:tx>
            <c:strRef>
              <c:f>'Weekly report'!$A$100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report'!$Y$100:$BO$100</c:f>
              <c:numCache>
                <c:formatCode>General</c:formatCode>
                <c:ptCount val="43"/>
                <c:pt idx="0">
                  <c:v>155</c:v>
                </c:pt>
                <c:pt idx="1">
                  <c:v>155</c:v>
                </c:pt>
                <c:pt idx="2">
                  <c:v>155</c:v>
                </c:pt>
                <c:pt idx="3">
                  <c:v>155</c:v>
                </c:pt>
                <c:pt idx="4">
                  <c:v>155</c:v>
                </c:pt>
                <c:pt idx="5">
                  <c:v>155</c:v>
                </c:pt>
                <c:pt idx="6">
                  <c:v>155</c:v>
                </c:pt>
                <c:pt idx="7">
                  <c:v>155</c:v>
                </c:pt>
                <c:pt idx="8">
                  <c:v>155</c:v>
                </c:pt>
                <c:pt idx="9">
                  <c:v>155</c:v>
                </c:pt>
                <c:pt idx="10">
                  <c:v>155</c:v>
                </c:pt>
                <c:pt idx="11">
                  <c:v>157</c:v>
                </c:pt>
                <c:pt idx="12">
                  <c:v>157</c:v>
                </c:pt>
                <c:pt idx="13">
                  <c:v>157</c:v>
                </c:pt>
                <c:pt idx="14">
                  <c:v>157</c:v>
                </c:pt>
                <c:pt idx="15">
                  <c:v>157</c:v>
                </c:pt>
                <c:pt idx="16">
                  <c:v>157</c:v>
                </c:pt>
                <c:pt idx="17">
                  <c:v>157</c:v>
                </c:pt>
                <c:pt idx="18">
                  <c:v>157</c:v>
                </c:pt>
                <c:pt idx="19">
                  <c:v>157</c:v>
                </c:pt>
                <c:pt idx="20">
                  <c:v>157</c:v>
                </c:pt>
                <c:pt idx="21">
                  <c:v>157</c:v>
                </c:pt>
                <c:pt idx="22">
                  <c:v>157</c:v>
                </c:pt>
                <c:pt idx="23">
                  <c:v>157</c:v>
                </c:pt>
                <c:pt idx="24">
                  <c:v>157</c:v>
                </c:pt>
                <c:pt idx="25">
                  <c:v>157</c:v>
                </c:pt>
                <c:pt idx="26">
                  <c:v>157</c:v>
                </c:pt>
                <c:pt idx="27">
                  <c:v>157</c:v>
                </c:pt>
                <c:pt idx="28">
                  <c:v>157</c:v>
                </c:pt>
                <c:pt idx="29">
                  <c:v>157</c:v>
                </c:pt>
                <c:pt idx="30">
                  <c:v>157</c:v>
                </c:pt>
                <c:pt idx="31">
                  <c:v>157</c:v>
                </c:pt>
                <c:pt idx="32">
                  <c:v>157</c:v>
                </c:pt>
                <c:pt idx="33">
                  <c:v>157</c:v>
                </c:pt>
                <c:pt idx="34">
                  <c:v>157</c:v>
                </c:pt>
                <c:pt idx="35">
                  <c:v>157</c:v>
                </c:pt>
                <c:pt idx="36">
                  <c:v>157</c:v>
                </c:pt>
                <c:pt idx="37">
                  <c:v>157</c:v>
                </c:pt>
                <c:pt idx="38">
                  <c:v>157</c:v>
                </c:pt>
                <c:pt idx="39">
                  <c:v>157</c:v>
                </c:pt>
                <c:pt idx="40">
                  <c:v>157</c:v>
                </c:pt>
                <c:pt idx="41">
                  <c:v>157</c:v>
                </c:pt>
                <c:pt idx="4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8-4FA4-98EF-63C033DA3D1A}"/>
            </c:ext>
          </c:extLst>
        </c:ser>
        <c:ser>
          <c:idx val="2"/>
          <c:order val="2"/>
          <c:tx>
            <c:strRef>
              <c:f>'Weekly report'!$A$101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report'!$Y$101:$BO$101</c:f>
              <c:numCache>
                <c:formatCode>General</c:formatCode>
                <c:ptCount val="43"/>
                <c:pt idx="0">
                  <c:v>172</c:v>
                </c:pt>
                <c:pt idx="1">
                  <c:v>172</c:v>
                </c:pt>
                <c:pt idx="2">
                  <c:v>172</c:v>
                </c:pt>
                <c:pt idx="3">
                  <c:v>172</c:v>
                </c:pt>
                <c:pt idx="4">
                  <c:v>172</c:v>
                </c:pt>
                <c:pt idx="5">
                  <c:v>172</c:v>
                </c:pt>
                <c:pt idx="6">
                  <c:v>172</c:v>
                </c:pt>
                <c:pt idx="7">
                  <c:v>172</c:v>
                </c:pt>
                <c:pt idx="8">
                  <c:v>172</c:v>
                </c:pt>
                <c:pt idx="9">
                  <c:v>172</c:v>
                </c:pt>
                <c:pt idx="10">
                  <c:v>172</c:v>
                </c:pt>
                <c:pt idx="11">
                  <c:v>187</c:v>
                </c:pt>
                <c:pt idx="12">
                  <c:v>187</c:v>
                </c:pt>
                <c:pt idx="13">
                  <c:v>187</c:v>
                </c:pt>
                <c:pt idx="14">
                  <c:v>187</c:v>
                </c:pt>
                <c:pt idx="15">
                  <c:v>187</c:v>
                </c:pt>
                <c:pt idx="16">
                  <c:v>187</c:v>
                </c:pt>
                <c:pt idx="17">
                  <c:v>187</c:v>
                </c:pt>
                <c:pt idx="18">
                  <c:v>187</c:v>
                </c:pt>
                <c:pt idx="19">
                  <c:v>187</c:v>
                </c:pt>
                <c:pt idx="20">
                  <c:v>187</c:v>
                </c:pt>
                <c:pt idx="21">
                  <c:v>187</c:v>
                </c:pt>
                <c:pt idx="22">
                  <c:v>187</c:v>
                </c:pt>
                <c:pt idx="23">
                  <c:v>187</c:v>
                </c:pt>
                <c:pt idx="24">
                  <c:v>187</c:v>
                </c:pt>
                <c:pt idx="25">
                  <c:v>187</c:v>
                </c:pt>
                <c:pt idx="26">
                  <c:v>187</c:v>
                </c:pt>
                <c:pt idx="27">
                  <c:v>187</c:v>
                </c:pt>
                <c:pt idx="28">
                  <c:v>187</c:v>
                </c:pt>
                <c:pt idx="29">
                  <c:v>187</c:v>
                </c:pt>
                <c:pt idx="30">
                  <c:v>187</c:v>
                </c:pt>
                <c:pt idx="31">
                  <c:v>187</c:v>
                </c:pt>
                <c:pt idx="32">
                  <c:v>187</c:v>
                </c:pt>
                <c:pt idx="33">
                  <c:v>187</c:v>
                </c:pt>
                <c:pt idx="34">
                  <c:v>187</c:v>
                </c:pt>
                <c:pt idx="35">
                  <c:v>187</c:v>
                </c:pt>
                <c:pt idx="36">
                  <c:v>187</c:v>
                </c:pt>
                <c:pt idx="37">
                  <c:v>187</c:v>
                </c:pt>
                <c:pt idx="38">
                  <c:v>187</c:v>
                </c:pt>
                <c:pt idx="39">
                  <c:v>187</c:v>
                </c:pt>
                <c:pt idx="40">
                  <c:v>187</c:v>
                </c:pt>
                <c:pt idx="41">
                  <c:v>187</c:v>
                </c:pt>
                <c:pt idx="42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8-4FA4-98EF-63C033DA3D1A}"/>
            </c:ext>
          </c:extLst>
        </c:ser>
        <c:ser>
          <c:idx val="3"/>
          <c:order val="3"/>
          <c:tx>
            <c:strRef>
              <c:f>'Weekly report'!$A$99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report'!$R$99:$BG$99</c:f>
              <c:numCache>
                <c:formatCode>General</c:formatCode>
                <c:ptCount val="42"/>
                <c:pt idx="0">
                  <c:v>175</c:v>
                </c:pt>
                <c:pt idx="1">
                  <c:v>175</c:v>
                </c:pt>
                <c:pt idx="2">
                  <c:v>175</c:v>
                </c:pt>
                <c:pt idx="3">
                  <c:v>175</c:v>
                </c:pt>
                <c:pt idx="4">
                  <c:v>175</c:v>
                </c:pt>
                <c:pt idx="5">
                  <c:v>175</c:v>
                </c:pt>
                <c:pt idx="6">
                  <c:v>175</c:v>
                </c:pt>
                <c:pt idx="7">
                  <c:v>175</c:v>
                </c:pt>
                <c:pt idx="8">
                  <c:v>175</c:v>
                </c:pt>
                <c:pt idx="9">
                  <c:v>175</c:v>
                </c:pt>
                <c:pt idx="10">
                  <c:v>175</c:v>
                </c:pt>
                <c:pt idx="11">
                  <c:v>175</c:v>
                </c:pt>
                <c:pt idx="12">
                  <c:v>175</c:v>
                </c:pt>
                <c:pt idx="13">
                  <c:v>175</c:v>
                </c:pt>
                <c:pt idx="14">
                  <c:v>175</c:v>
                </c:pt>
                <c:pt idx="15">
                  <c:v>175</c:v>
                </c:pt>
                <c:pt idx="16">
                  <c:v>175</c:v>
                </c:pt>
                <c:pt idx="17">
                  <c:v>175</c:v>
                </c:pt>
                <c:pt idx="18">
                  <c:v>175</c:v>
                </c:pt>
                <c:pt idx="19">
                  <c:v>175</c:v>
                </c:pt>
                <c:pt idx="20">
                  <c:v>175</c:v>
                </c:pt>
                <c:pt idx="21">
                  <c:v>175</c:v>
                </c:pt>
                <c:pt idx="22">
                  <c:v>175</c:v>
                </c:pt>
                <c:pt idx="23">
                  <c:v>175</c:v>
                </c:pt>
                <c:pt idx="24">
                  <c:v>175</c:v>
                </c:pt>
                <c:pt idx="25">
                  <c:v>175</c:v>
                </c:pt>
                <c:pt idx="26">
                  <c:v>175</c:v>
                </c:pt>
                <c:pt idx="27">
                  <c:v>175</c:v>
                </c:pt>
                <c:pt idx="28">
                  <c:v>175</c:v>
                </c:pt>
                <c:pt idx="29">
                  <c:v>175</c:v>
                </c:pt>
                <c:pt idx="30">
                  <c:v>175</c:v>
                </c:pt>
                <c:pt idx="31">
                  <c:v>175</c:v>
                </c:pt>
                <c:pt idx="32">
                  <c:v>175</c:v>
                </c:pt>
                <c:pt idx="33">
                  <c:v>175</c:v>
                </c:pt>
                <c:pt idx="34">
                  <c:v>175</c:v>
                </c:pt>
                <c:pt idx="35">
                  <c:v>175</c:v>
                </c:pt>
                <c:pt idx="36">
                  <c:v>175</c:v>
                </c:pt>
                <c:pt idx="37">
                  <c:v>175</c:v>
                </c:pt>
                <c:pt idx="38">
                  <c:v>175</c:v>
                </c:pt>
                <c:pt idx="39">
                  <c:v>175</c:v>
                </c:pt>
                <c:pt idx="40">
                  <c:v>175</c:v>
                </c:pt>
                <c:pt idx="41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D-410F-882E-C3F131C46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06976"/>
        <c:axId val="93809280"/>
      </c:lineChart>
      <c:catAx>
        <c:axId val="9380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3809280"/>
        <c:crosses val="autoZero"/>
        <c:auto val="1"/>
        <c:lblAlgn val="ctr"/>
        <c:lblOffset val="100"/>
        <c:noMultiLvlLbl val="0"/>
      </c:catAx>
      <c:valAx>
        <c:axId val="93809280"/>
        <c:scaling>
          <c:orientation val="minMax"/>
          <c:max val="190"/>
          <c:min val="14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380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report'!$A$127</c:f>
              <c:strCache>
                <c:ptCount val="1"/>
                <c:pt idx="0">
                  <c:v>traget gilts to be served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report'!$Y$127:$BO$127</c:f>
              <c:numCache>
                <c:formatCode>0</c:formatCode>
                <c:ptCount val="4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D-4166-9FFF-90FA94EA3787}"/>
            </c:ext>
          </c:extLst>
        </c:ser>
        <c:ser>
          <c:idx val="1"/>
          <c:order val="1"/>
          <c:tx>
            <c:strRef>
              <c:f>'Weekly report'!$A$128</c:f>
              <c:strCache>
                <c:ptCount val="1"/>
                <c:pt idx="0">
                  <c:v># Of Gilts Served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report'!$Y$128:$BO$128</c:f>
              <c:numCache>
                <c:formatCode>0.00</c:formatCode>
                <c:ptCount val="43"/>
                <c:pt idx="0">
                  <c:v>6</c:v>
                </c:pt>
                <c:pt idx="1">
                  <c:v>10</c:v>
                </c:pt>
                <c:pt idx="2">
                  <c:v>14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13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13</c:v>
                </c:pt>
                <c:pt idx="19">
                  <c:v>10</c:v>
                </c:pt>
                <c:pt idx="20">
                  <c:v>13</c:v>
                </c:pt>
                <c:pt idx="21">
                  <c:v>4</c:v>
                </c:pt>
                <c:pt idx="22">
                  <c:v>8</c:v>
                </c:pt>
                <c:pt idx="23">
                  <c:v>13</c:v>
                </c:pt>
                <c:pt idx="24">
                  <c:v>9</c:v>
                </c:pt>
                <c:pt idx="25">
                  <c:v>12</c:v>
                </c:pt>
                <c:pt idx="26">
                  <c:v>11</c:v>
                </c:pt>
                <c:pt idx="27">
                  <c:v>12</c:v>
                </c:pt>
                <c:pt idx="28">
                  <c:v>7</c:v>
                </c:pt>
                <c:pt idx="29">
                  <c:v>13</c:v>
                </c:pt>
                <c:pt idx="30">
                  <c:v>14</c:v>
                </c:pt>
                <c:pt idx="31">
                  <c:v>11</c:v>
                </c:pt>
                <c:pt idx="32">
                  <c:v>21</c:v>
                </c:pt>
                <c:pt idx="33">
                  <c:v>7</c:v>
                </c:pt>
                <c:pt idx="34">
                  <c:v>14</c:v>
                </c:pt>
                <c:pt idx="3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D-4166-9FFF-90FA94EA3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70720"/>
        <c:axId val="93881088"/>
      </c:lineChart>
      <c:catAx>
        <c:axId val="9387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1088"/>
        <c:crosses val="autoZero"/>
        <c:auto val="1"/>
        <c:lblAlgn val="ctr"/>
        <c:lblOffset val="100"/>
        <c:noMultiLvlLbl val="0"/>
      </c:catAx>
      <c:valAx>
        <c:axId val="93881088"/>
        <c:scaling>
          <c:orientation val="minMax"/>
          <c:max val="22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Gilts into farrow weight vs targets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report'!$A$140</c:f>
              <c:strCache>
                <c:ptCount val="1"/>
                <c:pt idx="0">
                  <c:v>Group Avg Weight</c:v>
                </c:pt>
              </c:strCache>
            </c:strRef>
          </c:tx>
          <c:spPr>
            <a:ln w="22225"/>
          </c:spPr>
          <c:marker>
            <c:symbol val="none"/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report'!$Y$140:$BO$140</c:f>
              <c:numCache>
                <c:formatCode>0.0</c:formatCode>
                <c:ptCount val="43"/>
                <c:pt idx="0">
                  <c:v>240.3</c:v>
                </c:pt>
                <c:pt idx="1">
                  <c:v>244.8</c:v>
                </c:pt>
                <c:pt idx="2">
                  <c:v>233.9</c:v>
                </c:pt>
                <c:pt idx="3">
                  <c:v>243</c:v>
                </c:pt>
                <c:pt idx="4">
                  <c:v>242.2</c:v>
                </c:pt>
                <c:pt idx="5">
                  <c:v>241</c:v>
                </c:pt>
                <c:pt idx="6">
                  <c:v>240.2</c:v>
                </c:pt>
                <c:pt idx="7">
                  <c:v>235.5</c:v>
                </c:pt>
                <c:pt idx="8">
                  <c:v>224.4</c:v>
                </c:pt>
                <c:pt idx="9">
                  <c:v>236.6</c:v>
                </c:pt>
                <c:pt idx="10">
                  <c:v>235.4</c:v>
                </c:pt>
                <c:pt idx="11">
                  <c:v>240.8</c:v>
                </c:pt>
                <c:pt idx="12">
                  <c:v>223.5</c:v>
                </c:pt>
                <c:pt idx="13">
                  <c:v>238</c:v>
                </c:pt>
                <c:pt idx="14">
                  <c:v>235.6</c:v>
                </c:pt>
                <c:pt idx="15">
                  <c:v>233.8</c:v>
                </c:pt>
                <c:pt idx="16">
                  <c:v>233.9</c:v>
                </c:pt>
                <c:pt idx="17">
                  <c:v>244</c:v>
                </c:pt>
                <c:pt idx="18">
                  <c:v>234.4</c:v>
                </c:pt>
                <c:pt idx="19">
                  <c:v>240.6</c:v>
                </c:pt>
                <c:pt idx="20">
                  <c:v>226</c:v>
                </c:pt>
                <c:pt idx="21">
                  <c:v>240.6</c:v>
                </c:pt>
                <c:pt idx="22">
                  <c:v>249.8</c:v>
                </c:pt>
                <c:pt idx="23">
                  <c:v>243.5</c:v>
                </c:pt>
                <c:pt idx="24">
                  <c:v>235.7</c:v>
                </c:pt>
                <c:pt idx="25">
                  <c:v>247</c:v>
                </c:pt>
                <c:pt idx="26">
                  <c:v>245.8</c:v>
                </c:pt>
                <c:pt idx="27">
                  <c:v>250.2</c:v>
                </c:pt>
                <c:pt idx="28">
                  <c:v>238.3</c:v>
                </c:pt>
                <c:pt idx="29">
                  <c:v>245.7</c:v>
                </c:pt>
                <c:pt idx="30">
                  <c:v>242.3</c:v>
                </c:pt>
                <c:pt idx="31">
                  <c:v>247.8</c:v>
                </c:pt>
                <c:pt idx="32">
                  <c:v>242.7</c:v>
                </c:pt>
                <c:pt idx="33">
                  <c:v>249.6</c:v>
                </c:pt>
                <c:pt idx="34">
                  <c:v>259.39999999999998</c:v>
                </c:pt>
                <c:pt idx="35">
                  <c:v>242.2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F-49A8-8933-451FEE31CA69}"/>
            </c:ext>
          </c:extLst>
        </c:ser>
        <c:ser>
          <c:idx val="1"/>
          <c:order val="1"/>
          <c:tx>
            <c:strRef>
              <c:f>'Weekly report'!$A$138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report'!$Y$138:$BO$138</c:f>
              <c:numCache>
                <c:formatCode>General</c:formatCode>
                <c:ptCount val="43"/>
                <c:pt idx="0">
                  <c:v>236</c:v>
                </c:pt>
                <c:pt idx="1">
                  <c:v>236</c:v>
                </c:pt>
                <c:pt idx="2">
                  <c:v>236</c:v>
                </c:pt>
                <c:pt idx="3">
                  <c:v>236</c:v>
                </c:pt>
                <c:pt idx="4">
                  <c:v>236</c:v>
                </c:pt>
                <c:pt idx="5">
                  <c:v>236</c:v>
                </c:pt>
                <c:pt idx="6">
                  <c:v>236</c:v>
                </c:pt>
                <c:pt idx="7">
                  <c:v>236</c:v>
                </c:pt>
                <c:pt idx="8">
                  <c:v>236</c:v>
                </c:pt>
                <c:pt idx="9">
                  <c:v>236</c:v>
                </c:pt>
                <c:pt idx="10">
                  <c:v>236</c:v>
                </c:pt>
                <c:pt idx="11">
                  <c:v>236</c:v>
                </c:pt>
                <c:pt idx="12">
                  <c:v>236</c:v>
                </c:pt>
                <c:pt idx="13">
                  <c:v>236</c:v>
                </c:pt>
                <c:pt idx="14">
                  <c:v>236</c:v>
                </c:pt>
                <c:pt idx="15">
                  <c:v>236</c:v>
                </c:pt>
                <c:pt idx="16">
                  <c:v>236</c:v>
                </c:pt>
                <c:pt idx="17">
                  <c:v>236</c:v>
                </c:pt>
                <c:pt idx="18">
                  <c:v>236</c:v>
                </c:pt>
                <c:pt idx="19">
                  <c:v>236</c:v>
                </c:pt>
                <c:pt idx="20">
                  <c:v>236</c:v>
                </c:pt>
                <c:pt idx="21">
                  <c:v>236</c:v>
                </c:pt>
                <c:pt idx="22">
                  <c:v>236</c:v>
                </c:pt>
                <c:pt idx="23">
                  <c:v>236</c:v>
                </c:pt>
                <c:pt idx="24">
                  <c:v>236</c:v>
                </c:pt>
                <c:pt idx="25">
                  <c:v>236</c:v>
                </c:pt>
                <c:pt idx="26">
                  <c:v>236</c:v>
                </c:pt>
                <c:pt idx="27">
                  <c:v>236</c:v>
                </c:pt>
                <c:pt idx="28">
                  <c:v>236</c:v>
                </c:pt>
                <c:pt idx="29">
                  <c:v>236</c:v>
                </c:pt>
                <c:pt idx="30">
                  <c:v>236</c:v>
                </c:pt>
                <c:pt idx="31">
                  <c:v>236</c:v>
                </c:pt>
                <c:pt idx="32">
                  <c:v>236</c:v>
                </c:pt>
                <c:pt idx="33">
                  <c:v>236</c:v>
                </c:pt>
                <c:pt idx="34">
                  <c:v>236</c:v>
                </c:pt>
                <c:pt idx="35">
                  <c:v>236</c:v>
                </c:pt>
                <c:pt idx="36">
                  <c:v>236</c:v>
                </c:pt>
                <c:pt idx="37">
                  <c:v>236</c:v>
                </c:pt>
                <c:pt idx="38">
                  <c:v>236</c:v>
                </c:pt>
                <c:pt idx="39">
                  <c:v>236</c:v>
                </c:pt>
                <c:pt idx="40">
                  <c:v>236</c:v>
                </c:pt>
                <c:pt idx="41">
                  <c:v>236</c:v>
                </c:pt>
                <c:pt idx="42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F-49A8-8933-451FEE31CA69}"/>
            </c:ext>
          </c:extLst>
        </c:ser>
        <c:ser>
          <c:idx val="2"/>
          <c:order val="2"/>
          <c:tx>
            <c:strRef>
              <c:f>'Weekly report'!$A$139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report'!$Y$139:$BO$139</c:f>
              <c:numCache>
                <c:formatCode>General</c:formatCode>
                <c:ptCount val="43"/>
                <c:pt idx="0">
                  <c:v>246</c:v>
                </c:pt>
                <c:pt idx="1">
                  <c:v>246</c:v>
                </c:pt>
                <c:pt idx="2">
                  <c:v>246</c:v>
                </c:pt>
                <c:pt idx="3">
                  <c:v>246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246</c:v>
                </c:pt>
                <c:pt idx="8">
                  <c:v>246</c:v>
                </c:pt>
                <c:pt idx="9">
                  <c:v>246</c:v>
                </c:pt>
                <c:pt idx="10">
                  <c:v>246</c:v>
                </c:pt>
                <c:pt idx="11">
                  <c:v>246</c:v>
                </c:pt>
                <c:pt idx="12">
                  <c:v>246</c:v>
                </c:pt>
                <c:pt idx="13">
                  <c:v>246</c:v>
                </c:pt>
                <c:pt idx="14">
                  <c:v>246</c:v>
                </c:pt>
                <c:pt idx="15">
                  <c:v>246</c:v>
                </c:pt>
                <c:pt idx="16">
                  <c:v>246</c:v>
                </c:pt>
                <c:pt idx="17">
                  <c:v>246</c:v>
                </c:pt>
                <c:pt idx="18">
                  <c:v>246</c:v>
                </c:pt>
                <c:pt idx="19">
                  <c:v>246</c:v>
                </c:pt>
                <c:pt idx="20">
                  <c:v>246</c:v>
                </c:pt>
                <c:pt idx="21">
                  <c:v>246</c:v>
                </c:pt>
                <c:pt idx="22">
                  <c:v>246</c:v>
                </c:pt>
                <c:pt idx="23">
                  <c:v>246</c:v>
                </c:pt>
                <c:pt idx="24">
                  <c:v>246</c:v>
                </c:pt>
                <c:pt idx="25">
                  <c:v>246</c:v>
                </c:pt>
                <c:pt idx="26">
                  <c:v>246</c:v>
                </c:pt>
                <c:pt idx="27">
                  <c:v>246</c:v>
                </c:pt>
                <c:pt idx="28">
                  <c:v>246</c:v>
                </c:pt>
                <c:pt idx="29">
                  <c:v>246</c:v>
                </c:pt>
                <c:pt idx="30">
                  <c:v>246</c:v>
                </c:pt>
                <c:pt idx="31">
                  <c:v>246</c:v>
                </c:pt>
                <c:pt idx="32">
                  <c:v>246</c:v>
                </c:pt>
                <c:pt idx="33">
                  <c:v>246</c:v>
                </c:pt>
                <c:pt idx="34">
                  <c:v>246</c:v>
                </c:pt>
                <c:pt idx="35">
                  <c:v>246</c:v>
                </c:pt>
                <c:pt idx="36">
                  <c:v>246</c:v>
                </c:pt>
                <c:pt idx="37">
                  <c:v>246</c:v>
                </c:pt>
                <c:pt idx="38">
                  <c:v>246</c:v>
                </c:pt>
                <c:pt idx="39">
                  <c:v>246</c:v>
                </c:pt>
                <c:pt idx="40">
                  <c:v>246</c:v>
                </c:pt>
                <c:pt idx="41">
                  <c:v>246</c:v>
                </c:pt>
                <c:pt idx="42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3F-49A8-8933-451FEE31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91584"/>
        <c:axId val="93493888"/>
      </c:lineChart>
      <c:catAx>
        <c:axId val="9349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3493888"/>
        <c:crosses val="autoZero"/>
        <c:auto val="1"/>
        <c:lblAlgn val="ctr"/>
        <c:lblOffset val="100"/>
        <c:noMultiLvlLbl val="0"/>
      </c:catAx>
      <c:valAx>
        <c:axId val="93493888"/>
        <c:scaling>
          <c:orientation val="minMax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349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GILT 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report'!$Y$163:$BO$163</c:f>
              <c:numCache>
                <c:formatCode>General</c:formatCode>
                <c:ptCount val="43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435-8F88-01508074101D}"/>
            </c:ext>
          </c:extLst>
        </c:ser>
        <c:ser>
          <c:idx val="1"/>
          <c:order val="1"/>
          <c:tx>
            <c:strRef>
              <c:f>'Weekly report'!$A$160</c:f>
              <c:strCache>
                <c:ptCount val="1"/>
                <c:pt idx="0">
                  <c:v>gilt farrow rate</c:v>
                </c:pt>
              </c:strCache>
            </c:strRef>
          </c:tx>
          <c:spPr>
            <a:ln w="2222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report'!$Y$160:$BO$160</c:f>
              <c:numCache>
                <c:formatCode>General</c:formatCode>
                <c:ptCount val="4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92.3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83.3</c:v>
                </c:pt>
                <c:pt idx="10">
                  <c:v>100</c:v>
                </c:pt>
                <c:pt idx="11">
                  <c:v>94.4</c:v>
                </c:pt>
                <c:pt idx="12">
                  <c:v>81.3</c:v>
                </c:pt>
                <c:pt idx="13">
                  <c:v>100</c:v>
                </c:pt>
                <c:pt idx="14">
                  <c:v>83.3</c:v>
                </c:pt>
                <c:pt idx="15">
                  <c:v>90</c:v>
                </c:pt>
                <c:pt idx="16">
                  <c:v>100</c:v>
                </c:pt>
                <c:pt idx="17">
                  <c:v>90</c:v>
                </c:pt>
                <c:pt idx="18">
                  <c:v>85.7</c:v>
                </c:pt>
                <c:pt idx="19">
                  <c:v>100</c:v>
                </c:pt>
                <c:pt idx="20">
                  <c:v>90</c:v>
                </c:pt>
                <c:pt idx="21">
                  <c:v>91.7</c:v>
                </c:pt>
                <c:pt idx="22">
                  <c:v>87.5</c:v>
                </c:pt>
                <c:pt idx="23">
                  <c:v>100</c:v>
                </c:pt>
                <c:pt idx="24">
                  <c:v>100</c:v>
                </c:pt>
                <c:pt idx="25">
                  <c:v>92.3</c:v>
                </c:pt>
                <c:pt idx="26">
                  <c:v>100</c:v>
                </c:pt>
                <c:pt idx="27">
                  <c:v>92.3</c:v>
                </c:pt>
                <c:pt idx="28">
                  <c:v>100</c:v>
                </c:pt>
                <c:pt idx="29">
                  <c:v>90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92.3</c:v>
                </c:pt>
                <c:pt idx="3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94-4435-8F88-015080741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58272"/>
        <c:axId val="93560192"/>
      </c:lineChart>
      <c:catAx>
        <c:axId val="9355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3560192"/>
        <c:crosses val="autoZero"/>
        <c:auto val="1"/>
        <c:lblAlgn val="ctr"/>
        <c:lblOffset val="100"/>
        <c:noMultiLvlLbl val="0"/>
      </c:catAx>
      <c:valAx>
        <c:axId val="93560192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35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F-4F0F-A5AF-3A96532208A2}"/>
            </c:ext>
          </c:extLst>
        </c:ser>
        <c:ser>
          <c:idx val="1"/>
          <c:order val="1"/>
          <c:tx>
            <c:strRef>
              <c:f>'Weekly report'!$A$165</c:f>
              <c:strCache>
                <c:ptCount val="1"/>
                <c:pt idx="0">
                  <c:v>Gilt BA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report'!$Y$165:$BO$165</c:f>
              <c:numCache>
                <c:formatCode>0.00</c:formatCode>
                <c:ptCount val="43"/>
                <c:pt idx="0">
                  <c:v>14.7</c:v>
                </c:pt>
                <c:pt idx="1">
                  <c:v>15.5</c:v>
                </c:pt>
                <c:pt idx="2">
                  <c:v>14.7</c:v>
                </c:pt>
                <c:pt idx="3" formatCode="General">
                  <c:v>13</c:v>
                </c:pt>
                <c:pt idx="4" formatCode="General">
                  <c:v>14.9</c:v>
                </c:pt>
                <c:pt idx="5" formatCode="General">
                  <c:v>15.4</c:v>
                </c:pt>
                <c:pt idx="6" formatCode="General">
                  <c:v>13.7</c:v>
                </c:pt>
                <c:pt idx="7" formatCode="General">
                  <c:v>14.4</c:v>
                </c:pt>
                <c:pt idx="8" formatCode="General">
                  <c:v>14.9</c:v>
                </c:pt>
                <c:pt idx="9" formatCode="General">
                  <c:v>14.3</c:v>
                </c:pt>
                <c:pt idx="10" formatCode="General">
                  <c:v>13.5</c:v>
                </c:pt>
                <c:pt idx="11" formatCode="General">
                  <c:v>14.6</c:v>
                </c:pt>
                <c:pt idx="12" formatCode="General">
                  <c:v>14.4</c:v>
                </c:pt>
                <c:pt idx="13" formatCode="General">
                  <c:v>14.3</c:v>
                </c:pt>
                <c:pt idx="14" formatCode="General">
                  <c:v>16</c:v>
                </c:pt>
                <c:pt idx="15" formatCode="General">
                  <c:v>15.2</c:v>
                </c:pt>
                <c:pt idx="16" formatCode="General">
                  <c:v>15.3</c:v>
                </c:pt>
                <c:pt idx="17" formatCode="General">
                  <c:v>13.3</c:v>
                </c:pt>
                <c:pt idx="18" formatCode="General">
                  <c:v>14.9</c:v>
                </c:pt>
                <c:pt idx="19" formatCode="General">
                  <c:v>14.6</c:v>
                </c:pt>
                <c:pt idx="20" formatCode="General">
                  <c:v>15.4</c:v>
                </c:pt>
                <c:pt idx="21" formatCode="General">
                  <c:v>14.5</c:v>
                </c:pt>
                <c:pt idx="22" formatCode="General">
                  <c:v>16.2</c:v>
                </c:pt>
                <c:pt idx="23" formatCode="General">
                  <c:v>17</c:v>
                </c:pt>
                <c:pt idx="24" formatCode="General">
                  <c:v>15.4</c:v>
                </c:pt>
                <c:pt idx="25" formatCode="General">
                  <c:v>15.3</c:v>
                </c:pt>
                <c:pt idx="26" formatCode="General">
                  <c:v>14.2</c:v>
                </c:pt>
                <c:pt idx="27" formatCode="General">
                  <c:v>15.7</c:v>
                </c:pt>
                <c:pt idx="28" formatCode="General">
                  <c:v>12.1</c:v>
                </c:pt>
                <c:pt idx="29" formatCode="General">
                  <c:v>15.7</c:v>
                </c:pt>
                <c:pt idx="30" formatCode="General">
                  <c:v>16</c:v>
                </c:pt>
                <c:pt idx="31" formatCode="General">
                  <c:v>14.9</c:v>
                </c:pt>
                <c:pt idx="32" formatCode="General">
                  <c:v>16.100000000000001</c:v>
                </c:pt>
                <c:pt idx="33" formatCode="General">
                  <c:v>14.8</c:v>
                </c:pt>
                <c:pt idx="34" formatCode="General">
                  <c:v>17.399999999999999</c:v>
                </c:pt>
                <c:pt idx="35" formatCode="General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F-4F0F-A5AF-3A9653220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00000"/>
        <c:axId val="93622656"/>
      </c:lineChart>
      <c:catAx>
        <c:axId val="9360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3622656"/>
        <c:crosses val="autoZero"/>
        <c:auto val="1"/>
        <c:lblAlgn val="ctr"/>
        <c:lblOffset val="100"/>
        <c:noMultiLvlLbl val="0"/>
      </c:catAx>
      <c:valAx>
        <c:axId val="93622656"/>
        <c:scaling>
          <c:orientation val="minMax"/>
          <c:max val="18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36000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ACTIVE WEEK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report'!$A$175</c:f>
              <c:strCache>
                <c:ptCount val="1"/>
                <c:pt idx="0">
                  <c:v>Active Week Mortality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report'!$Y$175:$BO$175</c:f>
              <c:numCache>
                <c:formatCode>0.00%</c:formatCode>
                <c:ptCount val="43"/>
                <c:pt idx="0">
                  <c:v>3.5999999999999997E-2</c:v>
                </c:pt>
                <c:pt idx="1">
                  <c:v>2.7E-2</c:v>
                </c:pt>
                <c:pt idx="2">
                  <c:v>0.04</c:v>
                </c:pt>
                <c:pt idx="3">
                  <c:v>6.2E-2</c:v>
                </c:pt>
                <c:pt idx="4">
                  <c:v>2.9000000000000001E-2</c:v>
                </c:pt>
                <c:pt idx="5">
                  <c:v>3.2000000000000001E-2</c:v>
                </c:pt>
                <c:pt idx="6">
                  <c:v>2.7E-2</c:v>
                </c:pt>
                <c:pt idx="7">
                  <c:v>2.8000000000000001E-2</c:v>
                </c:pt>
                <c:pt idx="8">
                  <c:v>1.7999999999999999E-2</c:v>
                </c:pt>
                <c:pt idx="9">
                  <c:v>3.4000000000000002E-2</c:v>
                </c:pt>
                <c:pt idx="10">
                  <c:v>4.2999999999999997E-2</c:v>
                </c:pt>
                <c:pt idx="11">
                  <c:v>8.9999999999999993E-3</c:v>
                </c:pt>
                <c:pt idx="12">
                  <c:v>2.8000000000000001E-2</c:v>
                </c:pt>
                <c:pt idx="13">
                  <c:v>4.8000000000000001E-2</c:v>
                </c:pt>
                <c:pt idx="14">
                  <c:v>0.02</c:v>
                </c:pt>
                <c:pt idx="15">
                  <c:v>0.03</c:v>
                </c:pt>
                <c:pt idx="16">
                  <c:v>3.9E-2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4.3999999999999997E-2</c:v>
                </c:pt>
                <c:pt idx="20">
                  <c:v>3.3000000000000002E-2</c:v>
                </c:pt>
                <c:pt idx="21">
                  <c:v>0.03</c:v>
                </c:pt>
                <c:pt idx="22">
                  <c:v>4.8000000000000001E-2</c:v>
                </c:pt>
                <c:pt idx="23">
                  <c:v>2.8000000000000001E-2</c:v>
                </c:pt>
                <c:pt idx="24">
                  <c:v>0.04</c:v>
                </c:pt>
                <c:pt idx="25">
                  <c:v>2.1000000000000001E-2</c:v>
                </c:pt>
                <c:pt idx="26">
                  <c:v>8.0000000000000002E-3</c:v>
                </c:pt>
                <c:pt idx="27">
                  <c:v>2.76E-2</c:v>
                </c:pt>
                <c:pt idx="28">
                  <c:v>2.9000000000000001E-2</c:v>
                </c:pt>
                <c:pt idx="29">
                  <c:v>2.8000000000000001E-2</c:v>
                </c:pt>
                <c:pt idx="30">
                  <c:v>1.6E-2</c:v>
                </c:pt>
                <c:pt idx="31">
                  <c:v>2.1999999999999999E-2</c:v>
                </c:pt>
                <c:pt idx="32">
                  <c:v>2.4E-2</c:v>
                </c:pt>
                <c:pt idx="33">
                  <c:v>2.1999999999999999E-2</c:v>
                </c:pt>
                <c:pt idx="34">
                  <c:v>2.9000000000000001E-2</c:v>
                </c:pt>
                <c:pt idx="35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9-4983-9365-4E27A600295A}"/>
            </c:ext>
          </c:extLst>
        </c:ser>
        <c:ser>
          <c:idx val="1"/>
          <c:order val="1"/>
          <c:tx>
            <c:strRef>
              <c:f>'Weekly report'!$A$176</c:f>
              <c:strCache>
                <c:ptCount val="1"/>
                <c:pt idx="0">
                  <c:v>Active Mortality Guideline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report'!$Y$176:$BO$176</c:f>
              <c:numCache>
                <c:formatCode>0.00%</c:formatCode>
                <c:ptCount val="43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9-4983-9365-4E27A600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71424"/>
        <c:axId val="93673728"/>
      </c:lineChart>
      <c:catAx>
        <c:axId val="9367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3728"/>
        <c:crosses val="autoZero"/>
        <c:auto val="1"/>
        <c:lblAlgn val="ctr"/>
        <c:lblOffset val="100"/>
        <c:noMultiLvlLbl val="0"/>
      </c:catAx>
      <c:valAx>
        <c:axId val="93673728"/>
        <c:scaling>
          <c:orientation val="minMax"/>
          <c:max val="7.0000000000000007E-2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PRE-WEAN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report'!$A$177</c:f>
              <c:strCache>
                <c:ptCount val="1"/>
                <c:pt idx="0">
                  <c:v>Pre wean mortaltiy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report'!$Y$177:$BO$177</c:f>
              <c:numCache>
                <c:formatCode>0.00%</c:formatCode>
                <c:ptCount val="43"/>
                <c:pt idx="0">
                  <c:v>5.5E-2</c:v>
                </c:pt>
                <c:pt idx="1">
                  <c:v>8.2000000000000003E-2</c:v>
                </c:pt>
                <c:pt idx="2">
                  <c:v>6.4000000000000001E-2</c:v>
                </c:pt>
                <c:pt idx="3">
                  <c:v>0.11600000000000001</c:v>
                </c:pt>
                <c:pt idx="4">
                  <c:v>0.112</c:v>
                </c:pt>
                <c:pt idx="5">
                  <c:v>0.10100000000000001</c:v>
                </c:pt>
                <c:pt idx="6">
                  <c:v>8.8999999999999996E-2</c:v>
                </c:pt>
                <c:pt idx="7">
                  <c:v>8.4000000000000005E-2</c:v>
                </c:pt>
                <c:pt idx="8">
                  <c:v>5.7000000000000002E-2</c:v>
                </c:pt>
                <c:pt idx="9">
                  <c:v>6.8000000000000005E-2</c:v>
                </c:pt>
                <c:pt idx="10">
                  <c:v>9.4E-2</c:v>
                </c:pt>
                <c:pt idx="11">
                  <c:v>9.6000000000000002E-2</c:v>
                </c:pt>
                <c:pt idx="12">
                  <c:v>5.6000000000000001E-2</c:v>
                </c:pt>
                <c:pt idx="13">
                  <c:v>8.5999999999999993E-2</c:v>
                </c:pt>
                <c:pt idx="14">
                  <c:v>8.1000000000000003E-2</c:v>
                </c:pt>
                <c:pt idx="15">
                  <c:v>8.2000000000000003E-2</c:v>
                </c:pt>
                <c:pt idx="16">
                  <c:v>0.1</c:v>
                </c:pt>
                <c:pt idx="17">
                  <c:v>0.10100000000000001</c:v>
                </c:pt>
                <c:pt idx="18">
                  <c:v>6.3E-2</c:v>
                </c:pt>
                <c:pt idx="19">
                  <c:v>6.7000000000000004E-2</c:v>
                </c:pt>
                <c:pt idx="20">
                  <c:v>8.2000000000000003E-2</c:v>
                </c:pt>
                <c:pt idx="21">
                  <c:v>0.111</c:v>
                </c:pt>
                <c:pt idx="22">
                  <c:v>9.1999999999999998E-2</c:v>
                </c:pt>
                <c:pt idx="23">
                  <c:v>0.11899999999999999</c:v>
                </c:pt>
                <c:pt idx="24">
                  <c:v>9.0999999999999998E-2</c:v>
                </c:pt>
                <c:pt idx="25">
                  <c:v>8.5000000000000006E-2</c:v>
                </c:pt>
                <c:pt idx="26">
                  <c:v>0.10199999999999999</c:v>
                </c:pt>
                <c:pt idx="27">
                  <c:v>0.105</c:v>
                </c:pt>
                <c:pt idx="28">
                  <c:v>9.2999999999999999E-2</c:v>
                </c:pt>
                <c:pt idx="29">
                  <c:v>0.11700000000000001</c:v>
                </c:pt>
                <c:pt idx="30">
                  <c:v>0.157</c:v>
                </c:pt>
                <c:pt idx="31">
                  <c:v>0.13700000000000001</c:v>
                </c:pt>
                <c:pt idx="32">
                  <c:v>5.8999999999999997E-2</c:v>
                </c:pt>
                <c:pt idx="33">
                  <c:v>7.3999999999999996E-2</c:v>
                </c:pt>
                <c:pt idx="34">
                  <c:v>4.9000000000000002E-2</c:v>
                </c:pt>
                <c:pt idx="35">
                  <c:v>7.6999999999999999E-2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9-4293-8330-7BD4CF666E07}"/>
            </c:ext>
          </c:extLst>
        </c:ser>
        <c:ser>
          <c:idx val="1"/>
          <c:order val="1"/>
          <c:tx>
            <c:strRef>
              <c:f>'Weekly report'!$A$178</c:f>
              <c:strCache>
                <c:ptCount val="1"/>
                <c:pt idx="0">
                  <c:v>target pre wean mortaltiy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report'!$Y$178:$BO$178</c:f>
              <c:numCache>
                <c:formatCode>0.00%</c:formatCode>
                <c:ptCount val="43"/>
                <c:pt idx="0">
                  <c:v>7.4999999999999997E-2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  <c:pt idx="7">
                  <c:v>7.4999999999999997E-2</c:v>
                </c:pt>
                <c:pt idx="8">
                  <c:v>7.4999999999999997E-2</c:v>
                </c:pt>
                <c:pt idx="9">
                  <c:v>7.4999999999999997E-2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7.4999999999999997E-2</c:v>
                </c:pt>
                <c:pt idx="42">
                  <c:v>7.4999999999999997E-2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9-4293-8330-7BD4CF666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18720"/>
        <c:axId val="93933568"/>
      </c:lineChart>
      <c:catAx>
        <c:axId val="9391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3568"/>
        <c:crosses val="autoZero"/>
        <c:auto val="1"/>
        <c:lblAlgn val="ctr"/>
        <c:lblOffset val="100"/>
        <c:noMultiLvlLbl val="0"/>
      </c:catAx>
      <c:valAx>
        <c:axId val="93933568"/>
        <c:scaling>
          <c:orientation val="minMax"/>
          <c:max val="0.16000000000000003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8720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WEANED PER SOW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report'!$A$184</c:f>
              <c:strCache>
                <c:ptCount val="1"/>
                <c:pt idx="0">
                  <c:v>Average Weaned per Sow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report'!$Y$184:$BO$184</c:f>
              <c:numCache>
                <c:formatCode>0.00</c:formatCode>
                <c:ptCount val="43"/>
                <c:pt idx="0">
                  <c:v>14.4</c:v>
                </c:pt>
                <c:pt idx="1">
                  <c:v>13.4</c:v>
                </c:pt>
                <c:pt idx="2">
                  <c:v>13.9</c:v>
                </c:pt>
                <c:pt idx="3" formatCode="General">
                  <c:v>13.2</c:v>
                </c:pt>
                <c:pt idx="4" formatCode="General">
                  <c:v>13.6</c:v>
                </c:pt>
                <c:pt idx="5" formatCode="General">
                  <c:v>14.5</c:v>
                </c:pt>
                <c:pt idx="6" formatCode="General">
                  <c:v>14</c:v>
                </c:pt>
                <c:pt idx="7" formatCode="General">
                  <c:v>13.3</c:v>
                </c:pt>
                <c:pt idx="8" formatCode="General">
                  <c:v>13.2</c:v>
                </c:pt>
                <c:pt idx="9" formatCode="General">
                  <c:v>14.7</c:v>
                </c:pt>
                <c:pt idx="10" formatCode="General">
                  <c:v>14.4</c:v>
                </c:pt>
                <c:pt idx="11" formatCode="General">
                  <c:v>14.7</c:v>
                </c:pt>
                <c:pt idx="12" formatCode="General">
                  <c:v>13.6</c:v>
                </c:pt>
                <c:pt idx="13" formatCode="General">
                  <c:v>13.4</c:v>
                </c:pt>
                <c:pt idx="14" formatCode="General">
                  <c:v>13.8</c:v>
                </c:pt>
                <c:pt idx="15" formatCode="General">
                  <c:v>13.9</c:v>
                </c:pt>
                <c:pt idx="16" formatCode="General">
                  <c:v>13.8</c:v>
                </c:pt>
                <c:pt idx="17" formatCode="General">
                  <c:v>13.6</c:v>
                </c:pt>
                <c:pt idx="18" formatCode="General">
                  <c:v>14.3</c:v>
                </c:pt>
                <c:pt idx="19" formatCode="General">
                  <c:v>13.6</c:v>
                </c:pt>
                <c:pt idx="20" formatCode="General">
                  <c:v>13.6</c:v>
                </c:pt>
                <c:pt idx="21" formatCode="General">
                  <c:v>12.6</c:v>
                </c:pt>
                <c:pt idx="22" formatCode="General">
                  <c:v>13</c:v>
                </c:pt>
                <c:pt idx="23" formatCode="General">
                  <c:v>13.3</c:v>
                </c:pt>
                <c:pt idx="24" formatCode="General">
                  <c:v>14.1</c:v>
                </c:pt>
                <c:pt idx="25" formatCode="General">
                  <c:v>13.8</c:v>
                </c:pt>
                <c:pt idx="26" formatCode="General">
                  <c:v>13.9</c:v>
                </c:pt>
                <c:pt idx="27" formatCode="General">
                  <c:v>14.1</c:v>
                </c:pt>
                <c:pt idx="28" formatCode="General">
                  <c:v>13.8</c:v>
                </c:pt>
                <c:pt idx="29" formatCode="General">
                  <c:v>13.5</c:v>
                </c:pt>
                <c:pt idx="30" formatCode="General">
                  <c:v>12.8</c:v>
                </c:pt>
                <c:pt idx="31" formatCode="General">
                  <c:v>13.3</c:v>
                </c:pt>
                <c:pt idx="32" formatCode="General">
                  <c:v>13.9</c:v>
                </c:pt>
                <c:pt idx="33" formatCode="General">
                  <c:v>13.3</c:v>
                </c:pt>
                <c:pt idx="34" formatCode="General">
                  <c:v>13.3</c:v>
                </c:pt>
                <c:pt idx="35" formatCode="General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5-4E97-84E1-4AD805D5DDE3}"/>
            </c:ext>
          </c:extLst>
        </c:ser>
        <c:ser>
          <c:idx val="1"/>
          <c:order val="1"/>
          <c:tx>
            <c:strRef>
              <c:f>'Weekly report'!$A$185</c:f>
              <c:strCache>
                <c:ptCount val="1"/>
                <c:pt idx="0">
                  <c:v>Average Weaned per Sow Guideline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report'!$Y$185:$BO$185</c:f>
              <c:numCache>
                <c:formatCode>0.0</c:formatCode>
                <c:ptCount val="43"/>
                <c:pt idx="0">
                  <c:v>13.9</c:v>
                </c:pt>
                <c:pt idx="1">
                  <c:v>13.9</c:v>
                </c:pt>
                <c:pt idx="2">
                  <c:v>13.9</c:v>
                </c:pt>
                <c:pt idx="3">
                  <c:v>13.9</c:v>
                </c:pt>
                <c:pt idx="4">
                  <c:v>13.9</c:v>
                </c:pt>
                <c:pt idx="5">
                  <c:v>13.9</c:v>
                </c:pt>
                <c:pt idx="6">
                  <c:v>13.9</c:v>
                </c:pt>
                <c:pt idx="7">
                  <c:v>13.9</c:v>
                </c:pt>
                <c:pt idx="8">
                  <c:v>13.9</c:v>
                </c:pt>
                <c:pt idx="9">
                  <c:v>13.9</c:v>
                </c:pt>
                <c:pt idx="10">
                  <c:v>13.9</c:v>
                </c:pt>
                <c:pt idx="11">
                  <c:v>13.9</c:v>
                </c:pt>
                <c:pt idx="12">
                  <c:v>13.9</c:v>
                </c:pt>
                <c:pt idx="13">
                  <c:v>13.9</c:v>
                </c:pt>
                <c:pt idx="14">
                  <c:v>13.9</c:v>
                </c:pt>
                <c:pt idx="15">
                  <c:v>13.9</c:v>
                </c:pt>
                <c:pt idx="16">
                  <c:v>13.9</c:v>
                </c:pt>
                <c:pt idx="17">
                  <c:v>13.9</c:v>
                </c:pt>
                <c:pt idx="18">
                  <c:v>13.9</c:v>
                </c:pt>
                <c:pt idx="19">
                  <c:v>13.9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13.9</c:v>
                </c:pt>
                <c:pt idx="32">
                  <c:v>13.9</c:v>
                </c:pt>
                <c:pt idx="33">
                  <c:v>13.9</c:v>
                </c:pt>
                <c:pt idx="34">
                  <c:v>13.9</c:v>
                </c:pt>
                <c:pt idx="35">
                  <c:v>13.9</c:v>
                </c:pt>
                <c:pt idx="36">
                  <c:v>13.9</c:v>
                </c:pt>
                <c:pt idx="37">
                  <c:v>13.9</c:v>
                </c:pt>
                <c:pt idx="38">
                  <c:v>13.9</c:v>
                </c:pt>
                <c:pt idx="39">
                  <c:v>13.9</c:v>
                </c:pt>
                <c:pt idx="40">
                  <c:v>13.9</c:v>
                </c:pt>
                <c:pt idx="41">
                  <c:v>13.9</c:v>
                </c:pt>
                <c:pt idx="42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5-4E97-84E1-4AD805D5D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85792"/>
        <c:axId val="93988352"/>
      </c:lineChart>
      <c:catAx>
        <c:axId val="9398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8352"/>
        <c:crosses val="autoZero"/>
        <c:auto val="1"/>
        <c:lblAlgn val="ctr"/>
        <c:lblOffset val="100"/>
        <c:noMultiLvlLbl val="0"/>
      </c:catAx>
      <c:valAx>
        <c:axId val="93988352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W/S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AVG WEAN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report'!$A$188</c:f>
              <c:strCache>
                <c:ptCount val="1"/>
                <c:pt idx="0">
                  <c:v>Wean Weight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report'!$Y$188:$BO$188</c:f>
              <c:numCache>
                <c:formatCode>0.00</c:formatCode>
                <c:ptCount val="43"/>
                <c:pt idx="0">
                  <c:v>6.4</c:v>
                </c:pt>
                <c:pt idx="1">
                  <c:v>6.5</c:v>
                </c:pt>
                <c:pt idx="2">
                  <c:v>6.1</c:v>
                </c:pt>
                <c:pt idx="3" formatCode="General">
                  <c:v>6.2</c:v>
                </c:pt>
                <c:pt idx="4" formatCode="General">
                  <c:v>6.4</c:v>
                </c:pt>
                <c:pt idx="5" formatCode="General">
                  <c:v>6</c:v>
                </c:pt>
                <c:pt idx="6" formatCode="General">
                  <c:v>6</c:v>
                </c:pt>
                <c:pt idx="7" formatCode="General">
                  <c:v>6.3</c:v>
                </c:pt>
                <c:pt idx="8" formatCode="General">
                  <c:v>6.4</c:v>
                </c:pt>
                <c:pt idx="9" formatCode="General">
                  <c:v>6.1</c:v>
                </c:pt>
                <c:pt idx="10" formatCode="General">
                  <c:v>6</c:v>
                </c:pt>
                <c:pt idx="11" formatCode="General">
                  <c:v>6.3</c:v>
                </c:pt>
                <c:pt idx="12" formatCode="General">
                  <c:v>6.4</c:v>
                </c:pt>
                <c:pt idx="13" formatCode="General">
                  <c:v>6.4</c:v>
                </c:pt>
                <c:pt idx="14" formatCode="General">
                  <c:v>6.1</c:v>
                </c:pt>
                <c:pt idx="15" formatCode="General">
                  <c:v>6.1</c:v>
                </c:pt>
                <c:pt idx="16" formatCode="General">
                  <c:v>6.1</c:v>
                </c:pt>
                <c:pt idx="17" formatCode="General">
                  <c:v>6.2</c:v>
                </c:pt>
                <c:pt idx="18" formatCode="General">
                  <c:v>6.8</c:v>
                </c:pt>
                <c:pt idx="19" formatCode="General">
                  <c:v>6.6</c:v>
                </c:pt>
                <c:pt idx="20" formatCode="General">
                  <c:v>6.3</c:v>
                </c:pt>
                <c:pt idx="21" formatCode="General">
                  <c:v>6.9</c:v>
                </c:pt>
                <c:pt idx="22" formatCode="General">
                  <c:v>6.7</c:v>
                </c:pt>
                <c:pt idx="23" formatCode="General">
                  <c:v>6.7</c:v>
                </c:pt>
                <c:pt idx="24" formatCode="General">
                  <c:v>6.3</c:v>
                </c:pt>
                <c:pt idx="25" formatCode="General">
                  <c:v>7</c:v>
                </c:pt>
                <c:pt idx="26" formatCode="General">
                  <c:v>7.2</c:v>
                </c:pt>
                <c:pt idx="27" formatCode="General">
                  <c:v>6.5</c:v>
                </c:pt>
                <c:pt idx="28" formatCode="General">
                  <c:v>6.7</c:v>
                </c:pt>
                <c:pt idx="29" formatCode="General">
                  <c:v>6.4</c:v>
                </c:pt>
                <c:pt idx="30" formatCode="General">
                  <c:v>6.6</c:v>
                </c:pt>
                <c:pt idx="31" formatCode="General">
                  <c:v>6.4</c:v>
                </c:pt>
                <c:pt idx="32" formatCode="General">
                  <c:v>6.7</c:v>
                </c:pt>
                <c:pt idx="33" formatCode="General">
                  <c:v>7.3</c:v>
                </c:pt>
                <c:pt idx="34" formatCode="General">
                  <c:v>7.6</c:v>
                </c:pt>
                <c:pt idx="35" formatCode="General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0-4BAC-B09B-829918C8A794}"/>
            </c:ext>
          </c:extLst>
        </c:ser>
        <c:ser>
          <c:idx val="1"/>
          <c:order val="1"/>
          <c:tx>
            <c:strRef>
              <c:f>'Weekly report'!$A$189</c:f>
              <c:strCache>
                <c:ptCount val="1"/>
                <c:pt idx="0">
                  <c:v>Target Wean Weight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report'!$Y$189:$BO$189</c:f>
              <c:numCache>
                <c:formatCode>General</c:formatCode>
                <c:ptCount val="43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0-4BAC-B09B-829918C8A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49024"/>
        <c:axId val="94051328"/>
      </c:lineChart>
      <c:catAx>
        <c:axId val="9404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1328"/>
        <c:crosses val="autoZero"/>
        <c:auto val="1"/>
        <c:lblAlgn val="ctr"/>
        <c:lblOffset val="100"/>
        <c:noMultiLvlLbl val="0"/>
      </c:catAx>
      <c:valAx>
        <c:axId val="94051328"/>
        <c:scaling>
          <c:orientation val="minMax"/>
          <c:max val="8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WEAN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TOTAL LITTER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report'!$A$190</c:f>
              <c:strCache>
                <c:ptCount val="1"/>
                <c:pt idx="0">
                  <c:v>total litter mass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report'!$Y$190:$BO$190</c:f>
              <c:numCache>
                <c:formatCode>General</c:formatCode>
                <c:ptCount val="43"/>
                <c:pt idx="0">
                  <c:v>92.16</c:v>
                </c:pt>
                <c:pt idx="1">
                  <c:v>87.1</c:v>
                </c:pt>
                <c:pt idx="2">
                  <c:v>88.96</c:v>
                </c:pt>
                <c:pt idx="3">
                  <c:v>81.84</c:v>
                </c:pt>
                <c:pt idx="4">
                  <c:v>87.04</c:v>
                </c:pt>
                <c:pt idx="5">
                  <c:v>87</c:v>
                </c:pt>
                <c:pt idx="6">
                  <c:v>84</c:v>
                </c:pt>
                <c:pt idx="7">
                  <c:v>83.79</c:v>
                </c:pt>
                <c:pt idx="8">
                  <c:v>84.48</c:v>
                </c:pt>
                <c:pt idx="9">
                  <c:v>89.67</c:v>
                </c:pt>
                <c:pt idx="10">
                  <c:v>86.4</c:v>
                </c:pt>
                <c:pt idx="11">
                  <c:v>92.61</c:v>
                </c:pt>
                <c:pt idx="12">
                  <c:v>87.04</c:v>
                </c:pt>
                <c:pt idx="13">
                  <c:v>85.76</c:v>
                </c:pt>
                <c:pt idx="14">
                  <c:v>84.18</c:v>
                </c:pt>
                <c:pt idx="15">
                  <c:v>84.79</c:v>
                </c:pt>
                <c:pt idx="16">
                  <c:v>84.18</c:v>
                </c:pt>
                <c:pt idx="17">
                  <c:v>82.96</c:v>
                </c:pt>
                <c:pt idx="18">
                  <c:v>97.24</c:v>
                </c:pt>
                <c:pt idx="19">
                  <c:v>89.76</c:v>
                </c:pt>
                <c:pt idx="20">
                  <c:v>85.68</c:v>
                </c:pt>
                <c:pt idx="21">
                  <c:v>86.94</c:v>
                </c:pt>
                <c:pt idx="22">
                  <c:v>87.1</c:v>
                </c:pt>
                <c:pt idx="23">
                  <c:v>89.11</c:v>
                </c:pt>
                <c:pt idx="24">
                  <c:v>88.83</c:v>
                </c:pt>
                <c:pt idx="25">
                  <c:v>96.6</c:v>
                </c:pt>
                <c:pt idx="26">
                  <c:v>100.1</c:v>
                </c:pt>
                <c:pt idx="27">
                  <c:v>91.65</c:v>
                </c:pt>
                <c:pt idx="28">
                  <c:v>92.46</c:v>
                </c:pt>
                <c:pt idx="29">
                  <c:v>86.4</c:v>
                </c:pt>
                <c:pt idx="30">
                  <c:v>84.48</c:v>
                </c:pt>
                <c:pt idx="31">
                  <c:v>84.12</c:v>
                </c:pt>
                <c:pt idx="33">
                  <c:v>97.09</c:v>
                </c:pt>
                <c:pt idx="34">
                  <c:v>101.08</c:v>
                </c:pt>
                <c:pt idx="35">
                  <c:v>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D-4BFA-8A64-1958EE2317CD}"/>
            </c:ext>
          </c:extLst>
        </c:ser>
        <c:ser>
          <c:idx val="1"/>
          <c:order val="1"/>
          <c:tx>
            <c:strRef>
              <c:f>'Weekly report'!$A$191</c:f>
              <c:strCache>
                <c:ptCount val="1"/>
                <c:pt idx="0">
                  <c:v>target litter mass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report'!$Y$191:$BO$191</c:f>
              <c:numCache>
                <c:formatCode>General</c:formatCode>
                <c:ptCount val="4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D-4BFA-8A64-1958EE23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21344"/>
        <c:axId val="94128000"/>
      </c:lineChart>
      <c:catAx>
        <c:axId val="9412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8000"/>
        <c:crosses val="autoZero"/>
        <c:auto val="1"/>
        <c:lblAlgn val="ctr"/>
        <c:lblOffset val="100"/>
        <c:noMultiLvlLbl val="0"/>
      </c:catAx>
      <c:valAx>
        <c:axId val="94128000"/>
        <c:scaling>
          <c:orientation val="minMax"/>
          <c:max val="11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Litter 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Avg maternal conditon loss % in farrow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report'!$A$193</c:f>
              <c:strCache>
                <c:ptCount val="1"/>
                <c:pt idx="0">
                  <c:v>Avg gilt Body Condition Loss (as 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report'!$Y$193:$BO$193</c:f>
              <c:numCache>
                <c:formatCode>0.00%</c:formatCode>
                <c:ptCount val="43"/>
                <c:pt idx="0">
                  <c:v>0.105</c:v>
                </c:pt>
                <c:pt idx="1">
                  <c:v>0.17199999999999999</c:v>
                </c:pt>
                <c:pt idx="2">
                  <c:v>0.14000000000000001</c:v>
                </c:pt>
                <c:pt idx="3">
                  <c:v>0.13300000000000001</c:v>
                </c:pt>
                <c:pt idx="4">
                  <c:v>0.155</c:v>
                </c:pt>
                <c:pt idx="5">
                  <c:v>0.16</c:v>
                </c:pt>
                <c:pt idx="6">
                  <c:v>0.155</c:v>
                </c:pt>
                <c:pt idx="7">
                  <c:v>0.17100000000000001</c:v>
                </c:pt>
                <c:pt idx="8">
                  <c:v>0.11700000000000001</c:v>
                </c:pt>
                <c:pt idx="9">
                  <c:v>0.16200000000000001</c:v>
                </c:pt>
                <c:pt idx="10">
                  <c:v>0.17</c:v>
                </c:pt>
                <c:pt idx="11">
                  <c:v>0.185</c:v>
                </c:pt>
                <c:pt idx="12">
                  <c:v>0.155</c:v>
                </c:pt>
                <c:pt idx="13">
                  <c:v>0.17399999999999999</c:v>
                </c:pt>
                <c:pt idx="14">
                  <c:v>0.17699999999999999</c:v>
                </c:pt>
                <c:pt idx="15">
                  <c:v>0.16900000000000001</c:v>
                </c:pt>
                <c:pt idx="16">
                  <c:v>9.9000000000000005E-2</c:v>
                </c:pt>
                <c:pt idx="17">
                  <c:v>0.114</c:v>
                </c:pt>
                <c:pt idx="18">
                  <c:v>0.129</c:v>
                </c:pt>
                <c:pt idx="19">
                  <c:v>0.128</c:v>
                </c:pt>
                <c:pt idx="20">
                  <c:v>9.2999999999999999E-2</c:v>
                </c:pt>
                <c:pt idx="21">
                  <c:v>0.13200000000000001</c:v>
                </c:pt>
                <c:pt idx="22">
                  <c:v>0.11799999999999999</c:v>
                </c:pt>
                <c:pt idx="23">
                  <c:v>0.129</c:v>
                </c:pt>
                <c:pt idx="24">
                  <c:v>9.8000000000000004E-2</c:v>
                </c:pt>
                <c:pt idx="25">
                  <c:v>6.3E-2</c:v>
                </c:pt>
                <c:pt idx="26">
                  <c:v>7.4999999999999997E-2</c:v>
                </c:pt>
                <c:pt idx="27">
                  <c:v>6.9000000000000006E-2</c:v>
                </c:pt>
                <c:pt idx="28">
                  <c:v>7.3999999999999996E-2</c:v>
                </c:pt>
                <c:pt idx="29">
                  <c:v>8.8999999999999996E-2</c:v>
                </c:pt>
                <c:pt idx="30">
                  <c:v>0.108</c:v>
                </c:pt>
                <c:pt idx="31">
                  <c:v>0.17399999999999999</c:v>
                </c:pt>
                <c:pt idx="33">
                  <c:v>0.121</c:v>
                </c:pt>
                <c:pt idx="34">
                  <c:v>0.02</c:v>
                </c:pt>
                <c:pt idx="3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E-4A3A-8C99-69DDCAC93CA6}"/>
            </c:ext>
          </c:extLst>
        </c:ser>
        <c:ser>
          <c:idx val="1"/>
          <c:order val="1"/>
          <c:tx>
            <c:strRef>
              <c:f>'Weekly report'!$A$194</c:f>
              <c:strCache>
                <c:ptCount val="1"/>
                <c:pt idx="0">
                  <c:v>upper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report'!$Y$194:$BO$194</c:f>
              <c:numCache>
                <c:formatCode>0.00%</c:formatCode>
                <c:ptCount val="43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0.12</c:v>
                </c:pt>
                <c:pt idx="41">
                  <c:v>0.12</c:v>
                </c:pt>
                <c:pt idx="4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E-4A3A-8C99-69DDCAC93CA6}"/>
            </c:ext>
          </c:extLst>
        </c:ser>
        <c:ser>
          <c:idx val="2"/>
          <c:order val="2"/>
          <c:tx>
            <c:strRef>
              <c:f>'Weekly report'!$A$195</c:f>
              <c:strCache>
                <c:ptCount val="1"/>
                <c:pt idx="0">
                  <c:v>lower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report'!$Y$195:$BO$195</c:f>
              <c:numCache>
                <c:formatCode>0.00%</c:formatCode>
                <c:ptCount val="43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0.09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E-4A3A-8C99-69DDCAC9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82720"/>
        <c:axId val="94397184"/>
      </c:lineChart>
      <c:catAx>
        <c:axId val="943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7184"/>
        <c:crosses val="autoZero"/>
        <c:auto val="1"/>
        <c:lblAlgn val="ctr"/>
        <c:lblOffset val="100"/>
        <c:noMultiLvlLbl val="0"/>
      </c:catAx>
      <c:valAx>
        <c:axId val="94397184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condition loss %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'Weekly report'!$A$203</c:f>
              <c:strCache>
                <c:ptCount val="1"/>
                <c:pt idx="0">
                  <c:v># animals lost less than 8%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report'!$Y$203:$BO$203</c:f>
              <c:numCache>
                <c:formatCode>0.00</c:formatCode>
                <c:ptCount val="4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7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8</c:v>
                </c:pt>
                <c:pt idx="26">
                  <c:v>3</c:v>
                </c:pt>
                <c:pt idx="27">
                  <c:v>4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3">
                  <c:v>2</c:v>
                </c:pt>
                <c:pt idx="34">
                  <c:v>6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92-4793-9581-227013E6B1CA}"/>
            </c:ext>
          </c:extLst>
        </c:ser>
        <c:ser>
          <c:idx val="1"/>
          <c:order val="1"/>
          <c:tx>
            <c:strRef>
              <c:f>'Weekly report'!$A$201</c:f>
              <c:strCache>
                <c:ptCount val="1"/>
                <c:pt idx="0">
                  <c:v># Of Animals lost between 8 and 11%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report'!$Y$201:$BO$201</c:f>
              <c:numCache>
                <c:formatCode>0.00</c:formatCode>
                <c:ptCount val="43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7</c:v>
                </c:pt>
                <c:pt idx="30">
                  <c:v>0</c:v>
                </c:pt>
                <c:pt idx="31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2-4793-9581-227013E6B1CA}"/>
            </c:ext>
          </c:extLst>
        </c:ser>
        <c:ser>
          <c:idx val="0"/>
          <c:order val="2"/>
          <c:tx>
            <c:strRef>
              <c:f>'Weekly report'!$A$199</c:f>
              <c:strCache>
                <c:ptCount val="1"/>
                <c:pt idx="0">
                  <c:v># Of Animals lost more than 11%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report'!$Y$199:$BO$199</c:f>
              <c:numCache>
                <c:formatCode>0.00</c:formatCode>
                <c:ptCount val="4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10</c:v>
                </c:pt>
                <c:pt idx="5">
                  <c:v>6</c:v>
                </c:pt>
                <c:pt idx="6">
                  <c:v>11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10</c:v>
                </c:pt>
                <c:pt idx="14">
                  <c:v>11</c:v>
                </c:pt>
                <c:pt idx="15">
                  <c:v>13</c:v>
                </c:pt>
                <c:pt idx="16">
                  <c:v>6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1</c:v>
                </c:pt>
                <c:pt idx="21">
                  <c:v>4</c:v>
                </c:pt>
                <c:pt idx="22">
                  <c:v>5</c:v>
                </c:pt>
                <c:pt idx="23">
                  <c:v>6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12</c:v>
                </c:pt>
                <c:pt idx="33">
                  <c:v>7</c:v>
                </c:pt>
                <c:pt idx="34">
                  <c:v>1</c:v>
                </c:pt>
                <c:pt idx="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793-9581-227013E6B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29952"/>
        <c:axId val="94431872"/>
      </c:barChart>
      <c:catAx>
        <c:axId val="944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94431872"/>
        <c:crosses val="autoZero"/>
        <c:auto val="1"/>
        <c:lblAlgn val="ctr"/>
        <c:lblOffset val="100"/>
        <c:noMultiLvlLbl val="0"/>
      </c:catAx>
      <c:valAx>
        <c:axId val="94431872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442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70 Day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report'!$A$210</c:f>
              <c:strCache>
                <c:ptCount val="1"/>
                <c:pt idx="0">
                  <c:v>70 day weight 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report'!$Y$210:$BO$210</c:f>
              <c:numCache>
                <c:formatCode>General</c:formatCode>
                <c:ptCount val="43"/>
                <c:pt idx="0">
                  <c:v>27.19</c:v>
                </c:pt>
                <c:pt idx="1">
                  <c:v>26.64</c:v>
                </c:pt>
                <c:pt idx="2">
                  <c:v>25.99</c:v>
                </c:pt>
                <c:pt idx="3">
                  <c:v>24.89</c:v>
                </c:pt>
                <c:pt idx="4">
                  <c:v>27.65</c:v>
                </c:pt>
                <c:pt idx="5">
                  <c:v>27.43</c:v>
                </c:pt>
                <c:pt idx="6">
                  <c:v>26.9</c:v>
                </c:pt>
                <c:pt idx="7">
                  <c:v>27.25</c:v>
                </c:pt>
                <c:pt idx="8">
                  <c:v>26.7</c:v>
                </c:pt>
                <c:pt idx="9">
                  <c:v>27.17</c:v>
                </c:pt>
                <c:pt idx="10">
                  <c:v>26.63</c:v>
                </c:pt>
                <c:pt idx="11">
                  <c:v>25.55</c:v>
                </c:pt>
                <c:pt idx="12">
                  <c:v>25.79</c:v>
                </c:pt>
                <c:pt idx="13">
                  <c:v>26</c:v>
                </c:pt>
                <c:pt idx="14">
                  <c:v>27.3</c:v>
                </c:pt>
                <c:pt idx="15">
                  <c:v>26.78</c:v>
                </c:pt>
                <c:pt idx="16">
                  <c:v>26.5</c:v>
                </c:pt>
                <c:pt idx="17">
                  <c:v>27.1</c:v>
                </c:pt>
                <c:pt idx="18">
                  <c:v>26.9</c:v>
                </c:pt>
                <c:pt idx="19">
                  <c:v>27.21</c:v>
                </c:pt>
                <c:pt idx="20">
                  <c:v>26.52</c:v>
                </c:pt>
                <c:pt idx="21">
                  <c:v>25.9</c:v>
                </c:pt>
                <c:pt idx="22">
                  <c:v>26.2</c:v>
                </c:pt>
                <c:pt idx="23">
                  <c:v>25.7</c:v>
                </c:pt>
                <c:pt idx="24">
                  <c:v>27.71</c:v>
                </c:pt>
                <c:pt idx="25">
                  <c:v>27.4</c:v>
                </c:pt>
                <c:pt idx="26">
                  <c:v>27.3</c:v>
                </c:pt>
                <c:pt idx="27">
                  <c:v>28.1</c:v>
                </c:pt>
                <c:pt idx="28">
                  <c:v>27.63</c:v>
                </c:pt>
                <c:pt idx="29">
                  <c:v>27.5</c:v>
                </c:pt>
                <c:pt idx="30">
                  <c:v>26.91</c:v>
                </c:pt>
                <c:pt idx="31">
                  <c:v>28.1</c:v>
                </c:pt>
                <c:pt idx="32">
                  <c:v>27.83</c:v>
                </c:pt>
                <c:pt idx="33">
                  <c:v>27.34</c:v>
                </c:pt>
                <c:pt idx="34">
                  <c:v>27.24</c:v>
                </c:pt>
                <c:pt idx="35">
                  <c:v>26.6</c:v>
                </c:pt>
                <c:pt idx="36">
                  <c:v>27.48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6-4B2F-9FDD-CB1EC6DCE91F}"/>
            </c:ext>
          </c:extLst>
        </c:ser>
        <c:ser>
          <c:idx val="1"/>
          <c:order val="1"/>
          <c:tx>
            <c:strRef>
              <c:f>'Weekly report'!$A$209</c:f>
              <c:strCache>
                <c:ptCount val="1"/>
                <c:pt idx="0">
                  <c:v>70 day weight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report'!$Y$209:$BO$209</c:f>
              <c:numCache>
                <c:formatCode>General</c:formatCode>
                <c:ptCount val="43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6-4B2F-9FDD-CB1EC6DC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2528"/>
        <c:axId val="100041472"/>
      </c:lineChart>
      <c:catAx>
        <c:axId val="10002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1472"/>
        <c:crosses val="autoZero"/>
        <c:auto val="1"/>
        <c:lblAlgn val="ctr"/>
        <c:lblOffset val="100"/>
        <c:noMultiLvlLbl val="0"/>
      </c:catAx>
      <c:valAx>
        <c:axId val="100041472"/>
        <c:scaling>
          <c:orientation val="minMax"/>
          <c:max val="29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70 Day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report'!$A$208</c:f>
              <c:strCache>
                <c:ptCount val="1"/>
                <c:pt idx="0">
                  <c:v>70 day gain 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report'!$Y$208:$BO$208</c:f>
              <c:numCache>
                <c:formatCode>General</c:formatCode>
                <c:ptCount val="43"/>
                <c:pt idx="0">
                  <c:v>20.5</c:v>
                </c:pt>
                <c:pt idx="1">
                  <c:v>19.809999999999999</c:v>
                </c:pt>
                <c:pt idx="2">
                  <c:v>19.27</c:v>
                </c:pt>
                <c:pt idx="3">
                  <c:v>18.489999999999998</c:v>
                </c:pt>
                <c:pt idx="4">
                  <c:v>20.76</c:v>
                </c:pt>
                <c:pt idx="5">
                  <c:v>20.440000000000001</c:v>
                </c:pt>
                <c:pt idx="6">
                  <c:v>20.399999999999999</c:v>
                </c:pt>
                <c:pt idx="7">
                  <c:v>20.75</c:v>
                </c:pt>
                <c:pt idx="8">
                  <c:v>20.53</c:v>
                </c:pt>
                <c:pt idx="9">
                  <c:v>20.98</c:v>
                </c:pt>
                <c:pt idx="10">
                  <c:v>20.190000000000001</c:v>
                </c:pt>
                <c:pt idx="11">
                  <c:v>19.510000000000002</c:v>
                </c:pt>
                <c:pt idx="12">
                  <c:v>19.73</c:v>
                </c:pt>
                <c:pt idx="13">
                  <c:v>19.7</c:v>
                </c:pt>
                <c:pt idx="14">
                  <c:v>20.9</c:v>
                </c:pt>
                <c:pt idx="15">
                  <c:v>20.68</c:v>
                </c:pt>
                <c:pt idx="16">
                  <c:v>20.5</c:v>
                </c:pt>
                <c:pt idx="17">
                  <c:v>20.85</c:v>
                </c:pt>
                <c:pt idx="18">
                  <c:v>20.41</c:v>
                </c:pt>
                <c:pt idx="19">
                  <c:v>20.8</c:v>
                </c:pt>
                <c:pt idx="20">
                  <c:v>20.36</c:v>
                </c:pt>
                <c:pt idx="21">
                  <c:v>19.8</c:v>
                </c:pt>
                <c:pt idx="22">
                  <c:v>20.100000000000001</c:v>
                </c:pt>
                <c:pt idx="23">
                  <c:v>19.46</c:v>
                </c:pt>
                <c:pt idx="24">
                  <c:v>20.8</c:v>
                </c:pt>
                <c:pt idx="25">
                  <c:v>20.73</c:v>
                </c:pt>
                <c:pt idx="26">
                  <c:v>20.93</c:v>
                </c:pt>
                <c:pt idx="27">
                  <c:v>21.2</c:v>
                </c:pt>
                <c:pt idx="28">
                  <c:v>20.93</c:v>
                </c:pt>
                <c:pt idx="29">
                  <c:v>20.73</c:v>
                </c:pt>
                <c:pt idx="30">
                  <c:v>20.5</c:v>
                </c:pt>
                <c:pt idx="31">
                  <c:v>21.02</c:v>
                </c:pt>
                <c:pt idx="32">
                  <c:v>20.62</c:v>
                </c:pt>
                <c:pt idx="33">
                  <c:v>20.76</c:v>
                </c:pt>
                <c:pt idx="34">
                  <c:v>20.53</c:v>
                </c:pt>
                <c:pt idx="35">
                  <c:v>20.149999999999999</c:v>
                </c:pt>
                <c:pt idx="36">
                  <c:v>20.87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2-4749-A018-01D6CF50F7F1}"/>
            </c:ext>
          </c:extLst>
        </c:ser>
        <c:ser>
          <c:idx val="1"/>
          <c:order val="1"/>
          <c:tx>
            <c:strRef>
              <c:f>'Weekly report'!$A$207</c:f>
              <c:strCache>
                <c:ptCount val="1"/>
                <c:pt idx="0">
                  <c:v>70 day gain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report'!$Y$207:$BO$207</c:f>
              <c:numCache>
                <c:formatCode>General</c:formatCode>
                <c:ptCount val="4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2-4749-A018-01D6CF50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47584"/>
        <c:axId val="100149888"/>
      </c:lineChart>
      <c:catAx>
        <c:axId val="10014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9888"/>
        <c:crosses val="autoZero"/>
        <c:auto val="1"/>
        <c:lblAlgn val="ctr"/>
        <c:lblOffset val="100"/>
        <c:noMultiLvlLbl val="0"/>
      </c:catAx>
      <c:valAx>
        <c:axId val="100149888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FCE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report'!$A$214</c:f>
              <c:strCache>
                <c:ptCount val="1"/>
                <c:pt idx="0">
                  <c:v>FCE 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report'!$Y$214:$BO$214</c:f>
              <c:numCache>
                <c:formatCode>General</c:formatCode>
                <c:ptCount val="43"/>
                <c:pt idx="0">
                  <c:v>1.56</c:v>
                </c:pt>
                <c:pt idx="1">
                  <c:v>1.65</c:v>
                </c:pt>
                <c:pt idx="2">
                  <c:v>1.62</c:v>
                </c:pt>
                <c:pt idx="3">
                  <c:v>1.65</c:v>
                </c:pt>
                <c:pt idx="4">
                  <c:v>1.54</c:v>
                </c:pt>
                <c:pt idx="5">
                  <c:v>1.53</c:v>
                </c:pt>
                <c:pt idx="6">
                  <c:v>1.55</c:v>
                </c:pt>
                <c:pt idx="7">
                  <c:v>1.59</c:v>
                </c:pt>
                <c:pt idx="8">
                  <c:v>1.54</c:v>
                </c:pt>
                <c:pt idx="9">
                  <c:v>1.53</c:v>
                </c:pt>
                <c:pt idx="10">
                  <c:v>1.56</c:v>
                </c:pt>
                <c:pt idx="11">
                  <c:v>1.58</c:v>
                </c:pt>
                <c:pt idx="12">
                  <c:v>1.56</c:v>
                </c:pt>
                <c:pt idx="13">
                  <c:v>1.55</c:v>
                </c:pt>
                <c:pt idx="14">
                  <c:v>1.53</c:v>
                </c:pt>
                <c:pt idx="15">
                  <c:v>1.56</c:v>
                </c:pt>
                <c:pt idx="16">
                  <c:v>1.55</c:v>
                </c:pt>
                <c:pt idx="17">
                  <c:v>1.57</c:v>
                </c:pt>
                <c:pt idx="18">
                  <c:v>1.56</c:v>
                </c:pt>
                <c:pt idx="19">
                  <c:v>1.55</c:v>
                </c:pt>
                <c:pt idx="20">
                  <c:v>1.57</c:v>
                </c:pt>
                <c:pt idx="21">
                  <c:v>1.55</c:v>
                </c:pt>
                <c:pt idx="22">
                  <c:v>1.57</c:v>
                </c:pt>
                <c:pt idx="23">
                  <c:v>1.62</c:v>
                </c:pt>
                <c:pt idx="24">
                  <c:v>1.58</c:v>
                </c:pt>
                <c:pt idx="25">
                  <c:v>1.56</c:v>
                </c:pt>
                <c:pt idx="26">
                  <c:v>1.54</c:v>
                </c:pt>
                <c:pt idx="27">
                  <c:v>1.57</c:v>
                </c:pt>
                <c:pt idx="28">
                  <c:v>1.55</c:v>
                </c:pt>
                <c:pt idx="29">
                  <c:v>1.59</c:v>
                </c:pt>
                <c:pt idx="30">
                  <c:v>1.58</c:v>
                </c:pt>
                <c:pt idx="31">
                  <c:v>1.53</c:v>
                </c:pt>
                <c:pt idx="32">
                  <c:v>1.55</c:v>
                </c:pt>
                <c:pt idx="33">
                  <c:v>1.59</c:v>
                </c:pt>
                <c:pt idx="34">
                  <c:v>1.55</c:v>
                </c:pt>
                <c:pt idx="35">
                  <c:v>1.59</c:v>
                </c:pt>
                <c:pt idx="36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1-49C4-B106-C5CD81A6D7D6}"/>
            </c:ext>
          </c:extLst>
        </c:ser>
        <c:ser>
          <c:idx val="1"/>
          <c:order val="1"/>
          <c:tx>
            <c:strRef>
              <c:f>'Weekly report'!$A$213</c:f>
              <c:strCache>
                <c:ptCount val="1"/>
                <c:pt idx="0">
                  <c:v>FCE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report'!$Y$213:$BO$213</c:f>
              <c:numCache>
                <c:formatCode>General</c:formatCode>
                <c:ptCount val="43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1-49C4-B106-C5CD81A6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48096"/>
        <c:axId val="99754752"/>
      </c:lineChart>
      <c:catAx>
        <c:axId val="9974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4752"/>
        <c:crosses val="autoZero"/>
        <c:auto val="1"/>
        <c:lblAlgn val="ctr"/>
        <c:lblOffset val="100"/>
        <c:noMultiLvlLbl val="0"/>
      </c:catAx>
      <c:valAx>
        <c:axId val="99754752"/>
        <c:scaling>
          <c:orientation val="minMax"/>
          <c:max val="1.7000000000000002"/>
          <c:min val="1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FCE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report'!$A$222</c:f>
              <c:strCache>
                <c:ptCount val="1"/>
                <c:pt idx="0">
                  <c:v>FCE 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report'!$Y$222:$BO$222</c:f>
              <c:numCache>
                <c:formatCode>General</c:formatCode>
                <c:ptCount val="43"/>
                <c:pt idx="0">
                  <c:v>2.42</c:v>
                </c:pt>
                <c:pt idx="1">
                  <c:v>2.34</c:v>
                </c:pt>
                <c:pt idx="3">
                  <c:v>2.35</c:v>
                </c:pt>
                <c:pt idx="4">
                  <c:v>2.4300000000000002</c:v>
                </c:pt>
                <c:pt idx="5">
                  <c:v>2.37</c:v>
                </c:pt>
                <c:pt idx="6">
                  <c:v>2.36</c:v>
                </c:pt>
                <c:pt idx="7">
                  <c:v>2.38</c:v>
                </c:pt>
                <c:pt idx="8">
                  <c:v>2.44</c:v>
                </c:pt>
                <c:pt idx="9">
                  <c:v>2.38</c:v>
                </c:pt>
                <c:pt idx="10">
                  <c:v>2.41</c:v>
                </c:pt>
                <c:pt idx="11">
                  <c:v>2.44</c:v>
                </c:pt>
                <c:pt idx="12">
                  <c:v>2.37</c:v>
                </c:pt>
                <c:pt idx="13">
                  <c:v>2.4300000000000002</c:v>
                </c:pt>
                <c:pt idx="14">
                  <c:v>2.41</c:v>
                </c:pt>
                <c:pt idx="15">
                  <c:v>2.4300000000000002</c:v>
                </c:pt>
                <c:pt idx="17">
                  <c:v>2.39</c:v>
                </c:pt>
                <c:pt idx="18">
                  <c:v>2.4</c:v>
                </c:pt>
                <c:pt idx="19">
                  <c:v>2.37</c:v>
                </c:pt>
                <c:pt idx="20">
                  <c:v>2.4300000000000002</c:v>
                </c:pt>
                <c:pt idx="21">
                  <c:v>2.41</c:v>
                </c:pt>
                <c:pt idx="22">
                  <c:v>2.42</c:v>
                </c:pt>
                <c:pt idx="23">
                  <c:v>2.36</c:v>
                </c:pt>
                <c:pt idx="24">
                  <c:v>2.38</c:v>
                </c:pt>
                <c:pt idx="25">
                  <c:v>2.35</c:v>
                </c:pt>
                <c:pt idx="26">
                  <c:v>2.36</c:v>
                </c:pt>
                <c:pt idx="27">
                  <c:v>2.38</c:v>
                </c:pt>
                <c:pt idx="28">
                  <c:v>2.41</c:v>
                </c:pt>
                <c:pt idx="29">
                  <c:v>2.39</c:v>
                </c:pt>
                <c:pt idx="30">
                  <c:v>2.42</c:v>
                </c:pt>
                <c:pt idx="31">
                  <c:v>2.52</c:v>
                </c:pt>
                <c:pt idx="32">
                  <c:v>2.39</c:v>
                </c:pt>
                <c:pt idx="33">
                  <c:v>2.41</c:v>
                </c:pt>
                <c:pt idx="34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0-41EE-84EF-64855995ED3C}"/>
            </c:ext>
          </c:extLst>
        </c:ser>
        <c:ser>
          <c:idx val="1"/>
          <c:order val="1"/>
          <c:tx>
            <c:strRef>
              <c:f>'Weekly report'!$A$221</c:f>
              <c:strCache>
                <c:ptCount val="1"/>
                <c:pt idx="0">
                  <c:v>FCE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report'!$Y$221:$BO$221</c:f>
              <c:numCache>
                <c:formatCode>General</c:formatCode>
                <c:ptCount val="43"/>
                <c:pt idx="0">
                  <c:v>2.4500000000000002</c:v>
                </c:pt>
                <c:pt idx="1">
                  <c:v>2.4500000000000002</c:v>
                </c:pt>
                <c:pt idx="2">
                  <c:v>2.4500000000000002</c:v>
                </c:pt>
                <c:pt idx="3">
                  <c:v>2.4500000000000002</c:v>
                </c:pt>
                <c:pt idx="4">
                  <c:v>2.4500000000000002</c:v>
                </c:pt>
                <c:pt idx="5">
                  <c:v>2.4500000000000002</c:v>
                </c:pt>
                <c:pt idx="6">
                  <c:v>2.4500000000000002</c:v>
                </c:pt>
                <c:pt idx="7">
                  <c:v>2.4500000000000002</c:v>
                </c:pt>
                <c:pt idx="8">
                  <c:v>2.4500000000000002</c:v>
                </c:pt>
                <c:pt idx="9">
                  <c:v>2.4500000000000002</c:v>
                </c:pt>
                <c:pt idx="10">
                  <c:v>2.4500000000000002</c:v>
                </c:pt>
                <c:pt idx="11">
                  <c:v>2.4500000000000002</c:v>
                </c:pt>
                <c:pt idx="12">
                  <c:v>2.4500000000000002</c:v>
                </c:pt>
                <c:pt idx="13">
                  <c:v>2.4500000000000002</c:v>
                </c:pt>
                <c:pt idx="14">
                  <c:v>2.4500000000000002</c:v>
                </c:pt>
                <c:pt idx="15">
                  <c:v>2.4500000000000002</c:v>
                </c:pt>
                <c:pt idx="16">
                  <c:v>2.4500000000000002</c:v>
                </c:pt>
                <c:pt idx="17">
                  <c:v>2.4500000000000002</c:v>
                </c:pt>
                <c:pt idx="18">
                  <c:v>2.4500000000000002</c:v>
                </c:pt>
                <c:pt idx="19">
                  <c:v>2.4500000000000002</c:v>
                </c:pt>
                <c:pt idx="20">
                  <c:v>2.4500000000000002</c:v>
                </c:pt>
                <c:pt idx="21">
                  <c:v>2.4500000000000002</c:v>
                </c:pt>
                <c:pt idx="22">
                  <c:v>2.4500000000000002</c:v>
                </c:pt>
                <c:pt idx="23">
                  <c:v>2.4500000000000002</c:v>
                </c:pt>
                <c:pt idx="24">
                  <c:v>2.4500000000000002</c:v>
                </c:pt>
                <c:pt idx="25">
                  <c:v>2.4500000000000002</c:v>
                </c:pt>
                <c:pt idx="26">
                  <c:v>2.4500000000000002</c:v>
                </c:pt>
                <c:pt idx="27">
                  <c:v>2.4500000000000002</c:v>
                </c:pt>
                <c:pt idx="28">
                  <c:v>2.4500000000000002</c:v>
                </c:pt>
                <c:pt idx="29">
                  <c:v>2.4500000000000002</c:v>
                </c:pt>
                <c:pt idx="30">
                  <c:v>2.4500000000000002</c:v>
                </c:pt>
                <c:pt idx="31">
                  <c:v>2.4500000000000002</c:v>
                </c:pt>
                <c:pt idx="32">
                  <c:v>2.4500000000000002</c:v>
                </c:pt>
                <c:pt idx="33">
                  <c:v>2.4500000000000002</c:v>
                </c:pt>
                <c:pt idx="34">
                  <c:v>2.4500000000000002</c:v>
                </c:pt>
                <c:pt idx="35">
                  <c:v>2.4500000000000002</c:v>
                </c:pt>
                <c:pt idx="36">
                  <c:v>2.4500000000000002</c:v>
                </c:pt>
                <c:pt idx="37">
                  <c:v>2.4500000000000002</c:v>
                </c:pt>
                <c:pt idx="38">
                  <c:v>2.4500000000000002</c:v>
                </c:pt>
                <c:pt idx="39">
                  <c:v>2.4500000000000002</c:v>
                </c:pt>
                <c:pt idx="40">
                  <c:v>2.4500000000000002</c:v>
                </c:pt>
                <c:pt idx="41">
                  <c:v>2.4500000000000002</c:v>
                </c:pt>
                <c:pt idx="42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0-41EE-84EF-64855995E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19904"/>
        <c:axId val="99822208"/>
      </c:lineChart>
      <c:catAx>
        <c:axId val="9981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22208"/>
        <c:crosses val="autoZero"/>
        <c:auto val="1"/>
        <c:lblAlgn val="ctr"/>
        <c:lblOffset val="100"/>
        <c:noMultiLvlLbl val="0"/>
      </c:catAx>
      <c:valAx>
        <c:axId val="99822208"/>
        <c:scaling>
          <c:orientation val="minMax"/>
          <c:max val="2.5"/>
          <c:min val="2.29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CDM against budgeted CDM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report'!$A$218</c:f>
              <c:strCache>
                <c:ptCount val="1"/>
                <c:pt idx="0">
                  <c:v>CDM 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report'!$Y$218:$BO$218</c:f>
              <c:numCache>
                <c:formatCode>General</c:formatCode>
                <c:ptCount val="43"/>
                <c:pt idx="0">
                  <c:v>87.27</c:v>
                </c:pt>
                <c:pt idx="1">
                  <c:v>88.14</c:v>
                </c:pt>
                <c:pt idx="3">
                  <c:v>90.17</c:v>
                </c:pt>
                <c:pt idx="4">
                  <c:v>88.61</c:v>
                </c:pt>
                <c:pt idx="5">
                  <c:v>85.33</c:v>
                </c:pt>
                <c:pt idx="6">
                  <c:v>89.02</c:v>
                </c:pt>
                <c:pt idx="7">
                  <c:v>88.75</c:v>
                </c:pt>
                <c:pt idx="8">
                  <c:v>84.6</c:v>
                </c:pt>
                <c:pt idx="9">
                  <c:v>87.64</c:v>
                </c:pt>
                <c:pt idx="10">
                  <c:v>90.73</c:v>
                </c:pt>
                <c:pt idx="11">
                  <c:v>86.48</c:v>
                </c:pt>
                <c:pt idx="12">
                  <c:v>84.6</c:v>
                </c:pt>
                <c:pt idx="13">
                  <c:v>84.88</c:v>
                </c:pt>
                <c:pt idx="14">
                  <c:v>82.61</c:v>
                </c:pt>
                <c:pt idx="15">
                  <c:v>86.54</c:v>
                </c:pt>
                <c:pt idx="17">
                  <c:v>92.36</c:v>
                </c:pt>
                <c:pt idx="18">
                  <c:v>85.95</c:v>
                </c:pt>
                <c:pt idx="19">
                  <c:v>87.01</c:v>
                </c:pt>
                <c:pt idx="20">
                  <c:v>88.83</c:v>
                </c:pt>
                <c:pt idx="21">
                  <c:v>88.27</c:v>
                </c:pt>
                <c:pt idx="22">
                  <c:v>85.43</c:v>
                </c:pt>
                <c:pt idx="23">
                  <c:v>86.47</c:v>
                </c:pt>
                <c:pt idx="24">
                  <c:v>90.17</c:v>
                </c:pt>
                <c:pt idx="25">
                  <c:v>88.64</c:v>
                </c:pt>
                <c:pt idx="26">
                  <c:v>89.2</c:v>
                </c:pt>
                <c:pt idx="27">
                  <c:v>92.2</c:v>
                </c:pt>
                <c:pt idx="28">
                  <c:v>88.83</c:v>
                </c:pt>
                <c:pt idx="29">
                  <c:v>88.24</c:v>
                </c:pt>
                <c:pt idx="30">
                  <c:v>89.67</c:v>
                </c:pt>
                <c:pt idx="31">
                  <c:v>88.7</c:v>
                </c:pt>
                <c:pt idx="32">
                  <c:v>87.02</c:v>
                </c:pt>
                <c:pt idx="33">
                  <c:v>87.52</c:v>
                </c:pt>
                <c:pt idx="34">
                  <c:v>86.07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F-4061-8755-244B7A34FD5A}"/>
            </c:ext>
          </c:extLst>
        </c:ser>
        <c:ser>
          <c:idx val="1"/>
          <c:order val="1"/>
          <c:tx>
            <c:strRef>
              <c:f>'Weekly report'!$A$217</c:f>
              <c:strCache>
                <c:ptCount val="1"/>
                <c:pt idx="0">
                  <c:v>CDM budget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report'!$Y$217:$BO$217</c:f>
              <c:numCache>
                <c:formatCode>General</c:formatCode>
                <c:ptCount val="43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88</c:v>
                </c:pt>
                <c:pt idx="12">
                  <c:v>88</c:v>
                </c:pt>
                <c:pt idx="13">
                  <c:v>88</c:v>
                </c:pt>
                <c:pt idx="14">
                  <c:v>88</c:v>
                </c:pt>
                <c:pt idx="15">
                  <c:v>88</c:v>
                </c:pt>
                <c:pt idx="16">
                  <c:v>91</c:v>
                </c:pt>
                <c:pt idx="17">
                  <c:v>91</c:v>
                </c:pt>
                <c:pt idx="18">
                  <c:v>91</c:v>
                </c:pt>
                <c:pt idx="19">
                  <c:v>91</c:v>
                </c:pt>
                <c:pt idx="20">
                  <c:v>91</c:v>
                </c:pt>
                <c:pt idx="21">
                  <c:v>91</c:v>
                </c:pt>
                <c:pt idx="22">
                  <c:v>91</c:v>
                </c:pt>
                <c:pt idx="23">
                  <c:v>91</c:v>
                </c:pt>
                <c:pt idx="24">
                  <c:v>91</c:v>
                </c:pt>
                <c:pt idx="25">
                  <c:v>91</c:v>
                </c:pt>
                <c:pt idx="26">
                  <c:v>91</c:v>
                </c:pt>
                <c:pt idx="27">
                  <c:v>91</c:v>
                </c:pt>
                <c:pt idx="28">
                  <c:v>91</c:v>
                </c:pt>
                <c:pt idx="29">
                  <c:v>91</c:v>
                </c:pt>
                <c:pt idx="30">
                  <c:v>91</c:v>
                </c:pt>
                <c:pt idx="31">
                  <c:v>91</c:v>
                </c:pt>
                <c:pt idx="32">
                  <c:v>91</c:v>
                </c:pt>
                <c:pt idx="33">
                  <c:v>91</c:v>
                </c:pt>
                <c:pt idx="34">
                  <c:v>91</c:v>
                </c:pt>
                <c:pt idx="35">
                  <c:v>91</c:v>
                </c:pt>
                <c:pt idx="36">
                  <c:v>91</c:v>
                </c:pt>
                <c:pt idx="37">
                  <c:v>91</c:v>
                </c:pt>
                <c:pt idx="38">
                  <c:v>91</c:v>
                </c:pt>
                <c:pt idx="39">
                  <c:v>91</c:v>
                </c:pt>
                <c:pt idx="40">
                  <c:v>91</c:v>
                </c:pt>
                <c:pt idx="41">
                  <c:v>91</c:v>
                </c:pt>
                <c:pt idx="42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F-4061-8755-244B7A34F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82880"/>
        <c:axId val="99893632"/>
      </c:lineChart>
      <c:catAx>
        <c:axId val="9988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632"/>
        <c:crosses val="autoZero"/>
        <c:auto val="1"/>
        <c:lblAlgn val="ctr"/>
        <c:lblOffset val="100"/>
        <c:noMultiLvlLbl val="0"/>
      </c:catAx>
      <c:valAx>
        <c:axId val="99893632"/>
        <c:scaling>
          <c:orientation val="minMax"/>
          <c:max val="96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CDM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report'!$A$211</c:f>
              <c:strCache>
                <c:ptCount val="1"/>
                <c:pt idx="0">
                  <c:v>Mortaltiy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report'!$Y$211:$BO$211</c:f>
              <c:numCache>
                <c:formatCode>0.00%</c:formatCode>
                <c:ptCount val="43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9-4515-A486-0EE2C4BA0E5C}"/>
            </c:ext>
          </c:extLst>
        </c:ser>
        <c:ser>
          <c:idx val="1"/>
          <c:order val="1"/>
          <c:tx>
            <c:strRef>
              <c:f>'Weekly report'!$A$212</c:f>
              <c:strCache>
                <c:ptCount val="1"/>
                <c:pt idx="0">
                  <c:v>Mortaltiy actual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report'!$Y$212:$BO$212</c:f>
              <c:numCache>
                <c:formatCode>0.00%</c:formatCode>
                <c:ptCount val="43"/>
                <c:pt idx="0">
                  <c:v>5.4999999999999997E-3</c:v>
                </c:pt>
                <c:pt idx="1">
                  <c:v>1.14E-2</c:v>
                </c:pt>
                <c:pt idx="2">
                  <c:v>1.44E-2</c:v>
                </c:pt>
                <c:pt idx="3">
                  <c:v>1.9099999999999999E-2</c:v>
                </c:pt>
                <c:pt idx="4">
                  <c:v>1.55E-2</c:v>
                </c:pt>
                <c:pt idx="5">
                  <c:v>2.12E-2</c:v>
                </c:pt>
                <c:pt idx="6">
                  <c:v>1.54E-2</c:v>
                </c:pt>
                <c:pt idx="7">
                  <c:v>2.8400000000000002E-2</c:v>
                </c:pt>
                <c:pt idx="8">
                  <c:v>8.6E-3</c:v>
                </c:pt>
                <c:pt idx="9">
                  <c:v>1.2E-2</c:v>
                </c:pt>
                <c:pt idx="10">
                  <c:v>1.3299999999999999E-2</c:v>
                </c:pt>
                <c:pt idx="11">
                  <c:v>1.95E-2</c:v>
                </c:pt>
                <c:pt idx="12">
                  <c:v>1.41E-2</c:v>
                </c:pt>
                <c:pt idx="13">
                  <c:v>1.2E-2</c:v>
                </c:pt>
                <c:pt idx="14">
                  <c:v>1.0800000000000001E-2</c:v>
                </c:pt>
                <c:pt idx="15">
                  <c:v>8.3000000000000001E-3</c:v>
                </c:pt>
                <c:pt idx="16">
                  <c:v>7.1999999999999998E-3</c:v>
                </c:pt>
                <c:pt idx="17">
                  <c:v>4.3E-3</c:v>
                </c:pt>
                <c:pt idx="18">
                  <c:v>1.32E-2</c:v>
                </c:pt>
                <c:pt idx="19">
                  <c:v>9.4999999999999998E-3</c:v>
                </c:pt>
                <c:pt idx="20">
                  <c:v>1.2200000000000001E-2</c:v>
                </c:pt>
                <c:pt idx="21">
                  <c:v>9.4000000000000004E-3</c:v>
                </c:pt>
                <c:pt idx="22">
                  <c:v>1.5900000000000001E-2</c:v>
                </c:pt>
                <c:pt idx="23">
                  <c:v>8.2799999999999999E-2</c:v>
                </c:pt>
                <c:pt idx="24">
                  <c:v>2.12E-2</c:v>
                </c:pt>
                <c:pt idx="25">
                  <c:v>9.4000000000000004E-3</c:v>
                </c:pt>
                <c:pt idx="26">
                  <c:v>9.4000000000000004E-3</c:v>
                </c:pt>
                <c:pt idx="27">
                  <c:v>1.2999999999999999E-2</c:v>
                </c:pt>
                <c:pt idx="28">
                  <c:v>0.01</c:v>
                </c:pt>
                <c:pt idx="29">
                  <c:v>1.15E-2</c:v>
                </c:pt>
                <c:pt idx="30">
                  <c:v>1.6400000000000001E-2</c:v>
                </c:pt>
                <c:pt idx="31">
                  <c:v>6.0000000000000001E-3</c:v>
                </c:pt>
                <c:pt idx="32">
                  <c:v>4.4999999999999997E-3</c:v>
                </c:pt>
                <c:pt idx="33">
                  <c:v>1.0999999999999999E-2</c:v>
                </c:pt>
                <c:pt idx="34">
                  <c:v>8.8999999999999999E-3</c:v>
                </c:pt>
                <c:pt idx="35">
                  <c:v>2.6599999999999999E-2</c:v>
                </c:pt>
                <c:pt idx="36">
                  <c:v>9.9000000000000008E-3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7-484F-9A1A-0DA781056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64416"/>
        <c:axId val="99966336"/>
      </c:lineChart>
      <c:catAx>
        <c:axId val="9996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6336"/>
        <c:crosses val="autoZero"/>
        <c:auto val="1"/>
        <c:lblAlgn val="ctr"/>
        <c:lblOffset val="100"/>
        <c:noMultiLvlLbl val="0"/>
      </c:catAx>
      <c:valAx>
        <c:axId val="99966336"/>
        <c:scaling>
          <c:orientation val="minMax"/>
          <c:max val="9.000000000000002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Body conditon loss % in farrow,More than 8-11%, Less than</a:t>
            </a:r>
            <a:r>
              <a:rPr lang="en-US" b="1" baseline="0"/>
              <a:t> 8-11%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'Weekly report'!$A$196</c:f>
              <c:strCache>
                <c:ptCount val="1"/>
                <c:pt idx="0">
                  <c:v>Avg % body cond loss of all gilts lost more than 11%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report'!$Y$196:$BO$196</c:f>
              <c:numCache>
                <c:formatCode>0.00%</c:formatCode>
                <c:ptCount val="43"/>
                <c:pt idx="0">
                  <c:v>0.19</c:v>
                </c:pt>
                <c:pt idx="1">
                  <c:v>0.20300000000000001</c:v>
                </c:pt>
                <c:pt idx="2">
                  <c:v>0.16500000000000001</c:v>
                </c:pt>
                <c:pt idx="3">
                  <c:v>0.16</c:v>
                </c:pt>
                <c:pt idx="4">
                  <c:v>0.20899999999999999</c:v>
                </c:pt>
                <c:pt idx="5">
                  <c:v>0.17499999999999999</c:v>
                </c:pt>
                <c:pt idx="6">
                  <c:v>0.191</c:v>
                </c:pt>
                <c:pt idx="7">
                  <c:v>0.182</c:v>
                </c:pt>
                <c:pt idx="8">
                  <c:v>0.18</c:v>
                </c:pt>
                <c:pt idx="9">
                  <c:v>0.18099999999999999</c:v>
                </c:pt>
                <c:pt idx="10">
                  <c:v>0.17</c:v>
                </c:pt>
                <c:pt idx="11">
                  <c:v>0.23200000000000001</c:v>
                </c:pt>
                <c:pt idx="12">
                  <c:v>0.182</c:v>
                </c:pt>
                <c:pt idx="13">
                  <c:v>0.186</c:v>
                </c:pt>
                <c:pt idx="14">
                  <c:v>0.185</c:v>
                </c:pt>
                <c:pt idx="15">
                  <c:v>0.17399999999999999</c:v>
                </c:pt>
                <c:pt idx="16">
                  <c:v>0.16300000000000001</c:v>
                </c:pt>
                <c:pt idx="17">
                  <c:v>0.15</c:v>
                </c:pt>
                <c:pt idx="18">
                  <c:v>0.187</c:v>
                </c:pt>
                <c:pt idx="19">
                  <c:v>0.14399999999999999</c:v>
                </c:pt>
                <c:pt idx="20">
                  <c:v>0.218</c:v>
                </c:pt>
                <c:pt idx="21">
                  <c:v>0.159</c:v>
                </c:pt>
                <c:pt idx="22">
                  <c:v>0.156</c:v>
                </c:pt>
                <c:pt idx="23">
                  <c:v>0.17199999999999999</c:v>
                </c:pt>
                <c:pt idx="24">
                  <c:v>0.128</c:v>
                </c:pt>
                <c:pt idx="25">
                  <c:v>0.20300000000000001</c:v>
                </c:pt>
                <c:pt idx="26">
                  <c:v>0.13400000000000001</c:v>
                </c:pt>
                <c:pt idx="27">
                  <c:v>0.122</c:v>
                </c:pt>
                <c:pt idx="28">
                  <c:v>0.14299999999999999</c:v>
                </c:pt>
                <c:pt idx="29">
                  <c:v>0.14899999999999999</c:v>
                </c:pt>
                <c:pt idx="30">
                  <c:v>0.219</c:v>
                </c:pt>
                <c:pt idx="31">
                  <c:v>0.18099999999999999</c:v>
                </c:pt>
                <c:pt idx="33">
                  <c:v>0.14199999999999999</c:v>
                </c:pt>
                <c:pt idx="34">
                  <c:v>0.14199999999999999</c:v>
                </c:pt>
                <c:pt idx="35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A-4C23-96B4-C3FD21969BED}"/>
            </c:ext>
          </c:extLst>
        </c:ser>
        <c:ser>
          <c:idx val="2"/>
          <c:order val="1"/>
          <c:tx>
            <c:strRef>
              <c:f>'Weekly report'!$A$197</c:f>
              <c:strCache>
                <c:ptCount val="1"/>
                <c:pt idx="0">
                  <c:v>Avg % body cond loss of all gilts lost less than 8%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report'!$Y$197:$BO$197</c:f>
              <c:numCache>
                <c:formatCode>0.00%</c:formatCode>
                <c:ptCount val="43"/>
                <c:pt idx="0">
                  <c:v>1.4999999999999999E-2</c:v>
                </c:pt>
                <c:pt idx="3">
                  <c:v>6.8000000000000005E-2</c:v>
                </c:pt>
                <c:pt idx="7">
                  <c:v>7.6999999999999999E-2</c:v>
                </c:pt>
                <c:pt idx="8">
                  <c:v>4.5999999999999999E-2</c:v>
                </c:pt>
                <c:pt idx="12">
                  <c:v>6.6000000000000003E-2</c:v>
                </c:pt>
                <c:pt idx="13">
                  <c:v>5.3999999999999999E-2</c:v>
                </c:pt>
                <c:pt idx="16">
                  <c:v>5.5E-2</c:v>
                </c:pt>
                <c:pt idx="17">
                  <c:v>2.1999999999999999E-2</c:v>
                </c:pt>
                <c:pt idx="18">
                  <c:v>4.4999999999999998E-2</c:v>
                </c:pt>
                <c:pt idx="20">
                  <c:v>6.3E-2</c:v>
                </c:pt>
                <c:pt idx="21">
                  <c:v>2.7E-2</c:v>
                </c:pt>
                <c:pt idx="22">
                  <c:v>5.1999999999999998E-2</c:v>
                </c:pt>
                <c:pt idx="23">
                  <c:v>5.1999999999999998E-2</c:v>
                </c:pt>
                <c:pt idx="24">
                  <c:v>3.7999999999999999E-2</c:v>
                </c:pt>
                <c:pt idx="25">
                  <c:v>0.02</c:v>
                </c:pt>
                <c:pt idx="26">
                  <c:v>3.5000000000000003E-2</c:v>
                </c:pt>
                <c:pt idx="27">
                  <c:v>5.0999999999999997E-2</c:v>
                </c:pt>
                <c:pt idx="29">
                  <c:v>1.9E-2</c:v>
                </c:pt>
                <c:pt idx="30">
                  <c:v>5.1999999999999998E-2</c:v>
                </c:pt>
                <c:pt idx="33">
                  <c:v>7.0000000000000007E-2</c:v>
                </c:pt>
                <c:pt idx="34">
                  <c:v>0</c:v>
                </c:pt>
                <c:pt idx="3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A-4C23-96B4-C3FD2196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6144"/>
        <c:axId val="100213120"/>
      </c:lineChart>
      <c:catAx>
        <c:axId val="10000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13120"/>
        <c:crosses val="autoZero"/>
        <c:auto val="1"/>
        <c:lblAlgn val="ctr"/>
        <c:lblOffset val="100"/>
        <c:noMultiLvlLbl val="0"/>
      </c:catAx>
      <c:valAx>
        <c:axId val="100213120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ADG,target ADG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739-B19E-30B487D76FF3}"/>
            </c:ext>
          </c:extLst>
        </c:ser>
        <c:ser>
          <c:idx val="1"/>
          <c:order val="1"/>
          <c:tx>
            <c:strRef>
              <c:f>'Weekly report'!$A$113</c:f>
              <c:strCache>
                <c:ptCount val="1"/>
                <c:pt idx="0">
                  <c:v>ADG 28 weeks to service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report'!$Y$113:$BO$113</c:f>
              <c:numCache>
                <c:formatCode>0.00</c:formatCode>
                <c:ptCount val="43"/>
                <c:pt idx="0">
                  <c:v>0.621</c:v>
                </c:pt>
                <c:pt idx="1">
                  <c:v>0.80200000000000005</c:v>
                </c:pt>
                <c:pt idx="2">
                  <c:v>0.66100000000000003</c:v>
                </c:pt>
                <c:pt idx="3">
                  <c:v>0.59199999999999997</c:v>
                </c:pt>
                <c:pt idx="4">
                  <c:v>0.88</c:v>
                </c:pt>
                <c:pt idx="5">
                  <c:v>0.70799999999999996</c:v>
                </c:pt>
                <c:pt idx="6">
                  <c:v>0.754</c:v>
                </c:pt>
                <c:pt idx="7">
                  <c:v>0.72799999999999998</c:v>
                </c:pt>
                <c:pt idx="8">
                  <c:v>0.61099999999999999</c:v>
                </c:pt>
                <c:pt idx="9">
                  <c:v>0.65</c:v>
                </c:pt>
                <c:pt idx="10">
                  <c:v>0.625</c:v>
                </c:pt>
                <c:pt idx="11">
                  <c:v>0.79</c:v>
                </c:pt>
                <c:pt idx="12">
                  <c:v>0.501</c:v>
                </c:pt>
                <c:pt idx="13">
                  <c:v>0.67100000000000004</c:v>
                </c:pt>
                <c:pt idx="14">
                  <c:v>0.92100000000000004</c:v>
                </c:pt>
                <c:pt idx="15">
                  <c:v>1.0780000000000001</c:v>
                </c:pt>
                <c:pt idx="16">
                  <c:v>1.01</c:v>
                </c:pt>
                <c:pt idx="17">
                  <c:v>1.01</c:v>
                </c:pt>
                <c:pt idx="18">
                  <c:v>0.96099999999999997</c:v>
                </c:pt>
                <c:pt idx="19">
                  <c:v>0.751</c:v>
                </c:pt>
                <c:pt idx="20">
                  <c:v>0.80400000000000005</c:v>
                </c:pt>
                <c:pt idx="21">
                  <c:v>0.92700000000000005</c:v>
                </c:pt>
                <c:pt idx="22">
                  <c:v>0.83</c:v>
                </c:pt>
                <c:pt idx="23">
                  <c:v>0.79900000000000004</c:v>
                </c:pt>
                <c:pt idx="24">
                  <c:v>0.90300000000000002</c:v>
                </c:pt>
                <c:pt idx="25">
                  <c:v>0.95799999999999996</c:v>
                </c:pt>
                <c:pt idx="26">
                  <c:v>0.88400000000000001</c:v>
                </c:pt>
                <c:pt idx="27">
                  <c:v>0.85699999999999998</c:v>
                </c:pt>
                <c:pt idx="28">
                  <c:v>0.65800000000000003</c:v>
                </c:pt>
                <c:pt idx="29">
                  <c:v>1.2090000000000001</c:v>
                </c:pt>
                <c:pt idx="30">
                  <c:v>0.89600000000000002</c:v>
                </c:pt>
                <c:pt idx="31">
                  <c:v>0.82099999999999995</c:v>
                </c:pt>
                <c:pt idx="32">
                  <c:v>1.022</c:v>
                </c:pt>
                <c:pt idx="33">
                  <c:v>0.91700000000000004</c:v>
                </c:pt>
                <c:pt idx="34">
                  <c:v>1.0409999999999999</c:v>
                </c:pt>
                <c:pt idx="35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739-B19E-30B487D7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77248"/>
        <c:axId val="100283520"/>
      </c:lineChart>
      <c:catAx>
        <c:axId val="10027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83520"/>
        <c:crosses val="autoZero"/>
        <c:auto val="1"/>
        <c:lblAlgn val="ctr"/>
        <c:lblOffset val="100"/>
        <c:noMultiLvlLbl val="0"/>
      </c:catAx>
      <c:valAx>
        <c:axId val="10028352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to 16 week Avg ADG under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8-48BC-938E-3C55567BDEC3}"/>
            </c:ext>
          </c:extLst>
        </c:ser>
        <c:ser>
          <c:idx val="2"/>
          <c:order val="1"/>
          <c:tx>
            <c:strRef>
              <c:f>'Weekly report'!$A$51</c:f>
              <c:strCache>
                <c:ptCount val="1"/>
                <c:pt idx="0">
                  <c:v>ADG of pigs under 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report'!$Y$51:$BO$51</c:f>
              <c:numCache>
                <c:formatCode>0.00</c:formatCode>
                <c:ptCount val="43"/>
                <c:pt idx="0">
                  <c:v>0.79</c:v>
                </c:pt>
                <c:pt idx="1">
                  <c:v>0.62</c:v>
                </c:pt>
                <c:pt idx="2">
                  <c:v>0.88</c:v>
                </c:pt>
                <c:pt idx="3">
                  <c:v>0.77</c:v>
                </c:pt>
                <c:pt idx="4">
                  <c:v>0.81</c:v>
                </c:pt>
                <c:pt idx="5">
                  <c:v>0.72</c:v>
                </c:pt>
                <c:pt idx="6">
                  <c:v>0.72</c:v>
                </c:pt>
                <c:pt idx="7">
                  <c:v>0.84</c:v>
                </c:pt>
                <c:pt idx="8">
                  <c:v>0.75</c:v>
                </c:pt>
                <c:pt idx="9">
                  <c:v>0.79</c:v>
                </c:pt>
                <c:pt idx="10">
                  <c:v>0.78600000000000003</c:v>
                </c:pt>
                <c:pt idx="11">
                  <c:v>0.77800000000000002</c:v>
                </c:pt>
                <c:pt idx="12">
                  <c:v>0.81</c:v>
                </c:pt>
                <c:pt idx="13">
                  <c:v>0.80200000000000005</c:v>
                </c:pt>
                <c:pt idx="14">
                  <c:v>0.76800000000000002</c:v>
                </c:pt>
                <c:pt idx="15">
                  <c:v>0.78100000000000003</c:v>
                </c:pt>
                <c:pt idx="17">
                  <c:v>0.81</c:v>
                </c:pt>
                <c:pt idx="18">
                  <c:v>0.77400000000000002</c:v>
                </c:pt>
                <c:pt idx="19">
                  <c:v>0.80200000000000005</c:v>
                </c:pt>
                <c:pt idx="20">
                  <c:v>0.78600000000000003</c:v>
                </c:pt>
                <c:pt idx="21">
                  <c:v>0.83299999999999996</c:v>
                </c:pt>
                <c:pt idx="23">
                  <c:v>0.75</c:v>
                </c:pt>
                <c:pt idx="25">
                  <c:v>0.73</c:v>
                </c:pt>
                <c:pt idx="26">
                  <c:v>0.78600000000000003</c:v>
                </c:pt>
                <c:pt idx="27">
                  <c:v>0.73799999999999999</c:v>
                </c:pt>
                <c:pt idx="29">
                  <c:v>0.78600000000000003</c:v>
                </c:pt>
                <c:pt idx="30">
                  <c:v>0.69</c:v>
                </c:pt>
                <c:pt idx="31">
                  <c:v>0.625</c:v>
                </c:pt>
                <c:pt idx="33">
                  <c:v>0.70599999999999996</c:v>
                </c:pt>
                <c:pt idx="34">
                  <c:v>0.78600000000000003</c:v>
                </c:pt>
                <c:pt idx="35">
                  <c:v>0.76200000000000001</c:v>
                </c:pt>
                <c:pt idx="36">
                  <c:v>0.76200000000000001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28-48BC-938E-3C55567BD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30496"/>
        <c:axId val="100332672"/>
      </c:lineChart>
      <c:catAx>
        <c:axId val="1003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2672"/>
        <c:crosses val="autoZero"/>
        <c:auto val="1"/>
        <c:lblAlgn val="ctr"/>
        <c:lblOffset val="100"/>
        <c:noMultiLvlLbl val="0"/>
      </c:catAx>
      <c:valAx>
        <c:axId val="10033267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to 16 week Avg ADG over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report'!$A$53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report'!$Y$53:$BO$53</c:f>
              <c:numCache>
                <c:formatCode>0.000</c:formatCode>
                <c:ptCount val="43"/>
                <c:pt idx="0">
                  <c:v>0.80900000000000005</c:v>
                </c:pt>
                <c:pt idx="1">
                  <c:v>0.80900000000000005</c:v>
                </c:pt>
                <c:pt idx="2">
                  <c:v>0.80900000000000005</c:v>
                </c:pt>
                <c:pt idx="3">
                  <c:v>0.80900000000000005</c:v>
                </c:pt>
                <c:pt idx="4">
                  <c:v>0.80900000000000005</c:v>
                </c:pt>
                <c:pt idx="5">
                  <c:v>0.80900000000000005</c:v>
                </c:pt>
                <c:pt idx="6">
                  <c:v>0.80900000000000005</c:v>
                </c:pt>
                <c:pt idx="7">
                  <c:v>0.80900000000000005</c:v>
                </c:pt>
                <c:pt idx="8">
                  <c:v>0.80900000000000005</c:v>
                </c:pt>
                <c:pt idx="9">
                  <c:v>0.80900000000000005</c:v>
                </c:pt>
                <c:pt idx="10">
                  <c:v>0.80900000000000005</c:v>
                </c:pt>
                <c:pt idx="11">
                  <c:v>0.80900000000000005</c:v>
                </c:pt>
                <c:pt idx="12">
                  <c:v>0.80900000000000005</c:v>
                </c:pt>
                <c:pt idx="13">
                  <c:v>0.80900000000000005</c:v>
                </c:pt>
                <c:pt idx="14">
                  <c:v>0.80900000000000005</c:v>
                </c:pt>
                <c:pt idx="15">
                  <c:v>0.80900000000000005</c:v>
                </c:pt>
                <c:pt idx="16">
                  <c:v>0.80900000000000005</c:v>
                </c:pt>
                <c:pt idx="17">
                  <c:v>0.80900000000000005</c:v>
                </c:pt>
                <c:pt idx="18">
                  <c:v>0.80900000000000005</c:v>
                </c:pt>
                <c:pt idx="19">
                  <c:v>0.80900000000000005</c:v>
                </c:pt>
                <c:pt idx="20">
                  <c:v>0.80900000000000005</c:v>
                </c:pt>
                <c:pt idx="21">
                  <c:v>0.80900000000000005</c:v>
                </c:pt>
                <c:pt idx="22">
                  <c:v>0.80900000000000005</c:v>
                </c:pt>
                <c:pt idx="23">
                  <c:v>0.80900000000000005</c:v>
                </c:pt>
                <c:pt idx="24">
                  <c:v>0.80900000000000005</c:v>
                </c:pt>
                <c:pt idx="25">
                  <c:v>0.80900000000000005</c:v>
                </c:pt>
                <c:pt idx="26">
                  <c:v>0.80900000000000005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0.80900000000000005</c:v>
                </c:pt>
                <c:pt idx="30">
                  <c:v>0.80900000000000005</c:v>
                </c:pt>
                <c:pt idx="31">
                  <c:v>0.80900000000000005</c:v>
                </c:pt>
                <c:pt idx="32">
                  <c:v>0.80900000000000005</c:v>
                </c:pt>
                <c:pt idx="33">
                  <c:v>0.80900000000000005</c:v>
                </c:pt>
                <c:pt idx="34">
                  <c:v>0.80900000000000005</c:v>
                </c:pt>
                <c:pt idx="35">
                  <c:v>0.80900000000000005</c:v>
                </c:pt>
                <c:pt idx="36">
                  <c:v>0.80900000000000005</c:v>
                </c:pt>
                <c:pt idx="37">
                  <c:v>0.80900000000000005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0.80900000000000005</c:v>
                </c:pt>
                <c:pt idx="41">
                  <c:v>0.80900000000000005</c:v>
                </c:pt>
                <c:pt idx="42">
                  <c:v>0.80900000000000005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0-4826-B767-55331B169891}"/>
            </c:ext>
          </c:extLst>
        </c:ser>
        <c:ser>
          <c:idx val="3"/>
          <c:order val="1"/>
          <c:tx>
            <c:strRef>
              <c:f>'Weekly report'!$A$52</c:f>
              <c:strCache>
                <c:ptCount val="1"/>
                <c:pt idx="0">
                  <c:v>ADG of pigs over target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report'!$Y$52:$BO$52</c:f>
              <c:numCache>
                <c:formatCode>0.00</c:formatCode>
                <c:ptCount val="43"/>
                <c:pt idx="0">
                  <c:v>0.92800000000000005</c:v>
                </c:pt>
                <c:pt idx="1">
                  <c:v>0.85</c:v>
                </c:pt>
                <c:pt idx="2">
                  <c:v>0.98</c:v>
                </c:pt>
                <c:pt idx="3">
                  <c:v>0.95</c:v>
                </c:pt>
                <c:pt idx="4">
                  <c:v>1.1499999999999999</c:v>
                </c:pt>
                <c:pt idx="5">
                  <c:v>0.88</c:v>
                </c:pt>
                <c:pt idx="6">
                  <c:v>1.04</c:v>
                </c:pt>
                <c:pt idx="7">
                  <c:v>0.95</c:v>
                </c:pt>
                <c:pt idx="8">
                  <c:v>0.91</c:v>
                </c:pt>
                <c:pt idx="10">
                  <c:v>0.95599999999999996</c:v>
                </c:pt>
                <c:pt idx="11">
                  <c:v>0.94299999999999995</c:v>
                </c:pt>
                <c:pt idx="12">
                  <c:v>0.96399999999999997</c:v>
                </c:pt>
                <c:pt idx="13">
                  <c:v>0.84499999999999997</c:v>
                </c:pt>
                <c:pt idx="14">
                  <c:v>0.94299999999999995</c:v>
                </c:pt>
                <c:pt idx="16">
                  <c:v>1</c:v>
                </c:pt>
                <c:pt idx="17">
                  <c:v>1.012</c:v>
                </c:pt>
                <c:pt idx="18">
                  <c:v>1.042</c:v>
                </c:pt>
                <c:pt idx="19">
                  <c:v>1.008</c:v>
                </c:pt>
                <c:pt idx="20">
                  <c:v>1.024</c:v>
                </c:pt>
                <c:pt idx="22">
                  <c:v>1</c:v>
                </c:pt>
                <c:pt idx="23">
                  <c:v>0.89300000000000002</c:v>
                </c:pt>
                <c:pt idx="24">
                  <c:v>1.119</c:v>
                </c:pt>
                <c:pt idx="25">
                  <c:v>1.119</c:v>
                </c:pt>
                <c:pt idx="26">
                  <c:v>0.95199999999999996</c:v>
                </c:pt>
                <c:pt idx="27">
                  <c:v>1.036</c:v>
                </c:pt>
                <c:pt idx="28">
                  <c:v>0.90500000000000003</c:v>
                </c:pt>
                <c:pt idx="29">
                  <c:v>1</c:v>
                </c:pt>
                <c:pt idx="32">
                  <c:v>1.048</c:v>
                </c:pt>
                <c:pt idx="33">
                  <c:v>0.92900000000000005</c:v>
                </c:pt>
                <c:pt idx="35">
                  <c:v>0.92900000000000005</c:v>
                </c:pt>
                <c:pt idx="36">
                  <c:v>1.024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D0-4826-B767-55331B169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84768"/>
        <c:axId val="100386688"/>
      </c:lineChart>
      <c:catAx>
        <c:axId val="10038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6688"/>
        <c:crosses val="autoZero"/>
        <c:auto val="1"/>
        <c:lblAlgn val="ctr"/>
        <c:lblOffset val="100"/>
        <c:noMultiLvlLbl val="0"/>
      </c:catAx>
      <c:valAx>
        <c:axId val="10038668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16W-25W Avg ADG under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report'!$Y$68:$BO$68</c:f>
              <c:numCache>
                <c:formatCode>0.000</c:formatCode>
                <c:ptCount val="43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  <c:pt idx="36">
                  <c:v>0.89600000000000002</c:v>
                </c:pt>
                <c:pt idx="37">
                  <c:v>0.89600000000000002</c:v>
                </c:pt>
                <c:pt idx="38">
                  <c:v>0.89600000000000002</c:v>
                </c:pt>
                <c:pt idx="39">
                  <c:v>0.89600000000000002</c:v>
                </c:pt>
                <c:pt idx="40">
                  <c:v>0.89600000000000002</c:v>
                </c:pt>
                <c:pt idx="41">
                  <c:v>0.89600000000000002</c:v>
                </c:pt>
                <c:pt idx="42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2-435E-AA30-1F91E62CECAF}"/>
            </c:ext>
          </c:extLst>
        </c:ser>
        <c:ser>
          <c:idx val="2"/>
          <c:order val="1"/>
          <c:tx>
            <c:strRef>
              <c:f>'Weekly report'!$A$70</c:f>
              <c:strCache>
                <c:ptCount val="1"/>
                <c:pt idx="0">
                  <c:v>Avg ADG of gilts grew less than 0.896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report'!$Y$70:$BO$70</c:f>
              <c:numCache>
                <c:formatCode>0.000</c:formatCode>
                <c:ptCount val="43"/>
                <c:pt idx="0">
                  <c:v>0.86499999999999999</c:v>
                </c:pt>
                <c:pt idx="1">
                  <c:v>0.83599999999999997</c:v>
                </c:pt>
                <c:pt idx="2">
                  <c:v>0.873</c:v>
                </c:pt>
                <c:pt idx="3">
                  <c:v>0.88900000000000001</c:v>
                </c:pt>
                <c:pt idx="4">
                  <c:v>0.86799999999999999</c:v>
                </c:pt>
                <c:pt idx="5">
                  <c:v>0.873</c:v>
                </c:pt>
                <c:pt idx="7">
                  <c:v>0.86299999999999999</c:v>
                </c:pt>
                <c:pt idx="8">
                  <c:v>0.88900000000000001</c:v>
                </c:pt>
                <c:pt idx="9">
                  <c:v>0.84099999999999997</c:v>
                </c:pt>
                <c:pt idx="10">
                  <c:v>0.86899999999999999</c:v>
                </c:pt>
                <c:pt idx="11">
                  <c:v>0.873</c:v>
                </c:pt>
                <c:pt idx="12">
                  <c:v>0.84499999999999997</c:v>
                </c:pt>
                <c:pt idx="14">
                  <c:v>0.873</c:v>
                </c:pt>
                <c:pt idx="15">
                  <c:v>0.83299999999999996</c:v>
                </c:pt>
                <c:pt idx="23">
                  <c:v>0.88900000000000001</c:v>
                </c:pt>
                <c:pt idx="25">
                  <c:v>0.57099999999999995</c:v>
                </c:pt>
                <c:pt idx="30">
                  <c:v>0.88900000000000001</c:v>
                </c:pt>
                <c:pt idx="31">
                  <c:v>0.85699999999999998</c:v>
                </c:pt>
                <c:pt idx="34">
                  <c:v>0.88900000000000001</c:v>
                </c:pt>
                <c:pt idx="35">
                  <c:v>0.878</c:v>
                </c:pt>
                <c:pt idx="36">
                  <c:v>0.79400000000000004</c:v>
                </c:pt>
                <c:pt idx="37" formatCode="0.0">
                  <c:v>0</c:v>
                </c:pt>
                <c:pt idx="38" formatCode="0.0">
                  <c:v>-0.88888888888888884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E2-435E-AA30-1F91E62C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04608"/>
        <c:axId val="100431744"/>
      </c:lineChart>
      <c:catAx>
        <c:axId val="100404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1744"/>
        <c:crosses val="autoZero"/>
        <c:auto val="1"/>
        <c:lblAlgn val="ctr"/>
        <c:lblOffset val="100"/>
        <c:noMultiLvlLbl val="0"/>
      </c:catAx>
      <c:valAx>
        <c:axId val="100431744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16W-25W Avg ADG over Target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report'!$A$68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report'!$Y$68:$BO$68</c:f>
              <c:numCache>
                <c:formatCode>0.000</c:formatCode>
                <c:ptCount val="43"/>
                <c:pt idx="0">
                  <c:v>0.89600000000000002</c:v>
                </c:pt>
                <c:pt idx="1">
                  <c:v>0.89600000000000002</c:v>
                </c:pt>
                <c:pt idx="2">
                  <c:v>0.89600000000000002</c:v>
                </c:pt>
                <c:pt idx="3">
                  <c:v>0.89600000000000002</c:v>
                </c:pt>
                <c:pt idx="4">
                  <c:v>0.89600000000000002</c:v>
                </c:pt>
                <c:pt idx="5">
                  <c:v>0.89600000000000002</c:v>
                </c:pt>
                <c:pt idx="6">
                  <c:v>0.89600000000000002</c:v>
                </c:pt>
                <c:pt idx="7">
                  <c:v>0.89600000000000002</c:v>
                </c:pt>
                <c:pt idx="8">
                  <c:v>0.89600000000000002</c:v>
                </c:pt>
                <c:pt idx="9">
                  <c:v>0.89600000000000002</c:v>
                </c:pt>
                <c:pt idx="10">
                  <c:v>0.89600000000000002</c:v>
                </c:pt>
                <c:pt idx="11">
                  <c:v>0.89600000000000002</c:v>
                </c:pt>
                <c:pt idx="12">
                  <c:v>0.89600000000000002</c:v>
                </c:pt>
                <c:pt idx="13">
                  <c:v>0.89600000000000002</c:v>
                </c:pt>
                <c:pt idx="14">
                  <c:v>0.89600000000000002</c:v>
                </c:pt>
                <c:pt idx="15">
                  <c:v>0.89600000000000002</c:v>
                </c:pt>
                <c:pt idx="16">
                  <c:v>0.89600000000000002</c:v>
                </c:pt>
                <c:pt idx="17">
                  <c:v>0.89600000000000002</c:v>
                </c:pt>
                <c:pt idx="18">
                  <c:v>0.89600000000000002</c:v>
                </c:pt>
                <c:pt idx="19">
                  <c:v>0.89600000000000002</c:v>
                </c:pt>
                <c:pt idx="20">
                  <c:v>0.89600000000000002</c:v>
                </c:pt>
                <c:pt idx="21">
                  <c:v>0.89600000000000002</c:v>
                </c:pt>
                <c:pt idx="22">
                  <c:v>0.89600000000000002</c:v>
                </c:pt>
                <c:pt idx="23">
                  <c:v>0.89600000000000002</c:v>
                </c:pt>
                <c:pt idx="24">
                  <c:v>0.89600000000000002</c:v>
                </c:pt>
                <c:pt idx="25">
                  <c:v>0.89600000000000002</c:v>
                </c:pt>
                <c:pt idx="26">
                  <c:v>0.89600000000000002</c:v>
                </c:pt>
                <c:pt idx="27">
                  <c:v>0.89600000000000002</c:v>
                </c:pt>
                <c:pt idx="28">
                  <c:v>0.89600000000000002</c:v>
                </c:pt>
                <c:pt idx="29">
                  <c:v>0.89600000000000002</c:v>
                </c:pt>
                <c:pt idx="30">
                  <c:v>0.89600000000000002</c:v>
                </c:pt>
                <c:pt idx="31">
                  <c:v>0.89600000000000002</c:v>
                </c:pt>
                <c:pt idx="32">
                  <c:v>0.89600000000000002</c:v>
                </c:pt>
                <c:pt idx="33">
                  <c:v>0.89600000000000002</c:v>
                </c:pt>
                <c:pt idx="34">
                  <c:v>0.89600000000000002</c:v>
                </c:pt>
                <c:pt idx="35">
                  <c:v>0.89600000000000002</c:v>
                </c:pt>
                <c:pt idx="36">
                  <c:v>0.89600000000000002</c:v>
                </c:pt>
                <c:pt idx="37">
                  <c:v>0.89600000000000002</c:v>
                </c:pt>
                <c:pt idx="38">
                  <c:v>0.89600000000000002</c:v>
                </c:pt>
                <c:pt idx="39">
                  <c:v>0.89600000000000002</c:v>
                </c:pt>
                <c:pt idx="40">
                  <c:v>0.89600000000000002</c:v>
                </c:pt>
                <c:pt idx="41">
                  <c:v>0.89600000000000002</c:v>
                </c:pt>
                <c:pt idx="42">
                  <c:v>0.89600000000000002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3-448D-B43C-4A2B04BD1632}"/>
            </c:ext>
          </c:extLst>
        </c:ser>
        <c:ser>
          <c:idx val="3"/>
          <c:order val="1"/>
          <c:tx>
            <c:strRef>
              <c:f>'Weekly report'!$A$71</c:f>
              <c:strCache>
                <c:ptCount val="1"/>
                <c:pt idx="0">
                  <c:v>Avg ADG of gilts gre more than 0.896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report'!$Y$71:$BO$71</c:f>
              <c:numCache>
                <c:formatCode>0.000</c:formatCode>
                <c:ptCount val="43"/>
                <c:pt idx="0">
                  <c:v>1.006</c:v>
                </c:pt>
                <c:pt idx="1">
                  <c:v>1.01</c:v>
                </c:pt>
                <c:pt idx="2">
                  <c:v>0.96199999999999997</c:v>
                </c:pt>
                <c:pt idx="3">
                  <c:v>0.96199999999999997</c:v>
                </c:pt>
                <c:pt idx="4">
                  <c:v>0.98599999999999999</c:v>
                </c:pt>
                <c:pt idx="5">
                  <c:v>0.998</c:v>
                </c:pt>
                <c:pt idx="6">
                  <c:v>1.0129999999999999</c:v>
                </c:pt>
                <c:pt idx="7">
                  <c:v>1.05</c:v>
                </c:pt>
                <c:pt idx="8" formatCode="0.0">
                  <c:v>1</c:v>
                </c:pt>
                <c:pt idx="9">
                  <c:v>0.95099999999999996</c:v>
                </c:pt>
                <c:pt idx="10">
                  <c:v>0.97699999999999998</c:v>
                </c:pt>
                <c:pt idx="11">
                  <c:v>1.0129999999999999</c:v>
                </c:pt>
                <c:pt idx="12">
                  <c:v>0.98</c:v>
                </c:pt>
                <c:pt idx="13">
                  <c:v>1.0069999999999999</c:v>
                </c:pt>
                <c:pt idx="14">
                  <c:v>0.96199999999999997</c:v>
                </c:pt>
                <c:pt idx="15">
                  <c:v>1.0449999999999999</c:v>
                </c:pt>
                <c:pt idx="16">
                  <c:v>1.0049999999999999</c:v>
                </c:pt>
                <c:pt idx="17">
                  <c:v>1.075</c:v>
                </c:pt>
                <c:pt idx="18">
                  <c:v>1.048</c:v>
                </c:pt>
                <c:pt idx="19">
                  <c:v>1.0940000000000001</c:v>
                </c:pt>
                <c:pt idx="20">
                  <c:v>1.127</c:v>
                </c:pt>
                <c:pt idx="21">
                  <c:v>1.071</c:v>
                </c:pt>
                <c:pt idx="22">
                  <c:v>1.0129999999999999</c:v>
                </c:pt>
                <c:pt idx="23">
                  <c:v>1.034</c:v>
                </c:pt>
                <c:pt idx="24">
                  <c:v>1.0780000000000001</c:v>
                </c:pt>
                <c:pt idx="25">
                  <c:v>1.0649999999999999</c:v>
                </c:pt>
                <c:pt idx="26">
                  <c:v>1.042</c:v>
                </c:pt>
                <c:pt idx="27">
                  <c:v>1.095</c:v>
                </c:pt>
                <c:pt idx="28">
                  <c:v>1.083</c:v>
                </c:pt>
                <c:pt idx="29">
                  <c:v>1.0429999999999999</c:v>
                </c:pt>
                <c:pt idx="30">
                  <c:v>1.0409999999999999</c:v>
                </c:pt>
                <c:pt idx="31">
                  <c:v>1.0209999999999999</c:v>
                </c:pt>
                <c:pt idx="32">
                  <c:v>1.0289999999999999</c:v>
                </c:pt>
                <c:pt idx="33">
                  <c:v>1.0569999999999999</c:v>
                </c:pt>
                <c:pt idx="34">
                  <c:v>1.0620000000000001</c:v>
                </c:pt>
                <c:pt idx="35">
                  <c:v>1.008</c:v>
                </c:pt>
                <c:pt idx="36">
                  <c:v>1.06</c:v>
                </c:pt>
                <c:pt idx="37" formatCode="0.0">
                  <c:v>-1.1428571428571428</c:v>
                </c:pt>
                <c:pt idx="38" formatCode="0.0">
                  <c:v>-1.1428571428571428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3-448D-B43C-4A2B04BD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23808"/>
        <c:axId val="100825728"/>
      </c:lineChart>
      <c:catAx>
        <c:axId val="10082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5728"/>
        <c:crosses val="autoZero"/>
        <c:auto val="1"/>
        <c:lblAlgn val="ctr"/>
        <c:lblOffset val="100"/>
        <c:noMultiLvlLbl val="0"/>
      </c:catAx>
      <c:valAx>
        <c:axId val="100825728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/>
              <a:t>25W-28W Avg ADG under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1-4D62-BF77-39A3C2A531B0}"/>
            </c:ext>
          </c:extLst>
        </c:ser>
        <c:ser>
          <c:idx val="2"/>
          <c:order val="1"/>
          <c:tx>
            <c:strRef>
              <c:f>'Weekly report'!$A$88</c:f>
              <c:strCache>
                <c:ptCount val="1"/>
                <c:pt idx="0">
                  <c:v>Avg ADG of gilts grew less than 0.760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report'!$Y$88:$BO$88</c:f>
              <c:numCache>
                <c:formatCode>0.00</c:formatCode>
                <c:ptCount val="43"/>
                <c:pt idx="0">
                  <c:v>0.56200000000000006</c:v>
                </c:pt>
                <c:pt idx="1">
                  <c:v>0.59499999999999997</c:v>
                </c:pt>
                <c:pt idx="2">
                  <c:v>0.59499999999999997</c:v>
                </c:pt>
                <c:pt idx="3">
                  <c:v>0.64800000000000002</c:v>
                </c:pt>
                <c:pt idx="5">
                  <c:v>0.59</c:v>
                </c:pt>
                <c:pt idx="6">
                  <c:v>0.57099999999999995</c:v>
                </c:pt>
                <c:pt idx="7">
                  <c:v>0.64300000000000002</c:v>
                </c:pt>
                <c:pt idx="8">
                  <c:v>0.71399999999999997</c:v>
                </c:pt>
                <c:pt idx="9">
                  <c:v>0.61</c:v>
                </c:pt>
                <c:pt idx="10">
                  <c:v>0.63100000000000001</c:v>
                </c:pt>
                <c:pt idx="11">
                  <c:v>0.57799999999999996</c:v>
                </c:pt>
                <c:pt idx="12">
                  <c:v>0.61899999999999999</c:v>
                </c:pt>
                <c:pt idx="14">
                  <c:v>0.66700000000000004</c:v>
                </c:pt>
                <c:pt idx="23">
                  <c:v>0.66700000000000004</c:v>
                </c:pt>
                <c:pt idx="24">
                  <c:v>0.69</c:v>
                </c:pt>
                <c:pt idx="25">
                  <c:v>0.63100000000000001</c:v>
                </c:pt>
                <c:pt idx="31">
                  <c:v>0.67900000000000005</c:v>
                </c:pt>
                <c:pt idx="32">
                  <c:v>0.64300000000000002</c:v>
                </c:pt>
                <c:pt idx="33">
                  <c:v>0.71399999999999997</c:v>
                </c:pt>
                <c:pt idx="35">
                  <c:v>0.69799999999999995</c:v>
                </c:pt>
                <c:pt idx="36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1-4D62-BF77-39A3C2A53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37088"/>
        <c:axId val="100539008"/>
      </c:lineChart>
      <c:catAx>
        <c:axId val="10053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39008"/>
        <c:crosses val="autoZero"/>
        <c:auto val="1"/>
        <c:lblAlgn val="ctr"/>
        <c:lblOffset val="100"/>
        <c:noMultiLvlLbl val="0"/>
      </c:catAx>
      <c:valAx>
        <c:axId val="10053900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 baseline="0"/>
              <a:t>25W-28W Avg ADG over Target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report'!$A$86</c:f>
              <c:strCache>
                <c:ptCount val="1"/>
                <c:pt idx="0">
                  <c:v>Target ADG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report'!$Y$86:$BO$86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6-4367-9955-D925E49ECB75}"/>
            </c:ext>
          </c:extLst>
        </c:ser>
        <c:ser>
          <c:idx val="3"/>
          <c:order val="1"/>
          <c:tx>
            <c:strRef>
              <c:f>'Weekly report'!$A$89</c:f>
              <c:strCache>
                <c:ptCount val="1"/>
                <c:pt idx="0">
                  <c:v>Avg ADG of gilts gre more than 0.760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report'!$Y$89:$BO$89</c:f>
              <c:numCache>
                <c:formatCode>0.00</c:formatCode>
                <c:ptCount val="43"/>
                <c:pt idx="0">
                  <c:v>0.85699999999999998</c:v>
                </c:pt>
                <c:pt idx="1">
                  <c:v>0.86799999999999999</c:v>
                </c:pt>
                <c:pt idx="2">
                  <c:v>0.80300000000000005</c:v>
                </c:pt>
                <c:pt idx="3">
                  <c:v>0.88600000000000001</c:v>
                </c:pt>
                <c:pt idx="4">
                  <c:v>1.0089999999999999</c:v>
                </c:pt>
                <c:pt idx="5">
                  <c:v>0.88100000000000001</c:v>
                </c:pt>
                <c:pt idx="6">
                  <c:v>1.03</c:v>
                </c:pt>
                <c:pt idx="7">
                  <c:v>0.873</c:v>
                </c:pt>
                <c:pt idx="8">
                  <c:v>0.92900000000000005</c:v>
                </c:pt>
                <c:pt idx="9">
                  <c:v>0.78600000000000003</c:v>
                </c:pt>
                <c:pt idx="10">
                  <c:v>0.91100000000000003</c:v>
                </c:pt>
                <c:pt idx="11">
                  <c:v>0.89500000000000002</c:v>
                </c:pt>
                <c:pt idx="12">
                  <c:v>0.76200000000000001</c:v>
                </c:pt>
                <c:pt idx="13">
                  <c:v>1.0900000000000001</c:v>
                </c:pt>
                <c:pt idx="14">
                  <c:v>1.1240000000000001</c:v>
                </c:pt>
                <c:pt idx="15">
                  <c:v>1.405</c:v>
                </c:pt>
                <c:pt idx="16">
                  <c:v>1.302</c:v>
                </c:pt>
                <c:pt idx="17">
                  <c:v>1.131</c:v>
                </c:pt>
                <c:pt idx="18">
                  <c:v>1.137</c:v>
                </c:pt>
                <c:pt idx="19">
                  <c:v>1.155</c:v>
                </c:pt>
                <c:pt idx="20">
                  <c:v>1.167</c:v>
                </c:pt>
                <c:pt idx="21">
                  <c:v>1.087</c:v>
                </c:pt>
                <c:pt idx="22">
                  <c:v>1.325</c:v>
                </c:pt>
                <c:pt idx="23">
                  <c:v>1.095</c:v>
                </c:pt>
                <c:pt idx="24">
                  <c:v>1.109</c:v>
                </c:pt>
                <c:pt idx="25">
                  <c:v>0.83099999999999996</c:v>
                </c:pt>
                <c:pt idx="26">
                  <c:v>0.97299999999999998</c:v>
                </c:pt>
                <c:pt idx="27">
                  <c:v>1.04</c:v>
                </c:pt>
                <c:pt idx="28">
                  <c:v>1.171</c:v>
                </c:pt>
                <c:pt idx="29">
                  <c:v>1.044</c:v>
                </c:pt>
                <c:pt idx="30">
                  <c:v>1.024</c:v>
                </c:pt>
                <c:pt idx="31">
                  <c:v>0.88100000000000001</c:v>
                </c:pt>
                <c:pt idx="32">
                  <c:v>1.052</c:v>
                </c:pt>
                <c:pt idx="33">
                  <c:v>0.878</c:v>
                </c:pt>
                <c:pt idx="34">
                  <c:v>1.004</c:v>
                </c:pt>
                <c:pt idx="35">
                  <c:v>1.133</c:v>
                </c:pt>
                <c:pt idx="36">
                  <c:v>0.92400000000000004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56-4367-9955-D925E49EC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95200"/>
        <c:axId val="100597120"/>
      </c:lineChart>
      <c:catAx>
        <c:axId val="10059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7120"/>
        <c:crosses val="autoZero"/>
        <c:auto val="1"/>
        <c:lblAlgn val="ctr"/>
        <c:lblOffset val="100"/>
        <c:noMultiLvlLbl val="0"/>
      </c:catAx>
      <c:valAx>
        <c:axId val="10059712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report'!$A$96</c:f>
              <c:strCache>
                <c:ptCount val="1"/>
                <c:pt idx="0">
                  <c:v>% of gilts on heat by 28 weeks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report'!$Y$96:$BO$96</c:f>
              <c:numCache>
                <c:formatCode>0.00%</c:formatCode>
                <c:ptCount val="43"/>
                <c:pt idx="0">
                  <c:v>0.91700000000000004</c:v>
                </c:pt>
                <c:pt idx="1">
                  <c:v>1</c:v>
                </c:pt>
                <c:pt idx="2">
                  <c:v>0.91659999999999997</c:v>
                </c:pt>
                <c:pt idx="3">
                  <c:v>0.8</c:v>
                </c:pt>
                <c:pt idx="4">
                  <c:v>0.90900000000000003</c:v>
                </c:pt>
                <c:pt idx="5">
                  <c:v>0.81799999999999995</c:v>
                </c:pt>
                <c:pt idx="6">
                  <c:v>0.77700000000000002</c:v>
                </c:pt>
                <c:pt idx="7">
                  <c:v>0.90900000000000003</c:v>
                </c:pt>
                <c:pt idx="8">
                  <c:v>1</c:v>
                </c:pt>
                <c:pt idx="9">
                  <c:v>0.88900000000000001</c:v>
                </c:pt>
                <c:pt idx="10">
                  <c:v>1</c:v>
                </c:pt>
                <c:pt idx="11">
                  <c:v>0.9</c:v>
                </c:pt>
                <c:pt idx="12">
                  <c:v>0.82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0.88900000000000001</c:v>
                </c:pt>
                <c:pt idx="19">
                  <c:v>1</c:v>
                </c:pt>
                <c:pt idx="20">
                  <c:v>0.91700000000000004</c:v>
                </c:pt>
                <c:pt idx="21">
                  <c:v>1</c:v>
                </c:pt>
                <c:pt idx="22">
                  <c:v>1</c:v>
                </c:pt>
                <c:pt idx="23">
                  <c:v>0.84599999999999997</c:v>
                </c:pt>
                <c:pt idx="24">
                  <c:v>0.92300000000000004</c:v>
                </c:pt>
                <c:pt idx="25">
                  <c:v>1</c:v>
                </c:pt>
                <c:pt idx="26">
                  <c:v>1</c:v>
                </c:pt>
                <c:pt idx="27">
                  <c:v>0.91600000000000004</c:v>
                </c:pt>
                <c:pt idx="28">
                  <c:v>1</c:v>
                </c:pt>
                <c:pt idx="29">
                  <c:v>1</c:v>
                </c:pt>
                <c:pt idx="30">
                  <c:v>0.92</c:v>
                </c:pt>
                <c:pt idx="31">
                  <c:v>0.92</c:v>
                </c:pt>
                <c:pt idx="32">
                  <c:v>1</c:v>
                </c:pt>
                <c:pt idx="33">
                  <c:v>1</c:v>
                </c:pt>
                <c:pt idx="34">
                  <c:v>0.81799999999999995</c:v>
                </c:pt>
                <c:pt idx="35">
                  <c:v>0.81799999999999995</c:v>
                </c:pt>
                <c:pt idx="36">
                  <c:v>0.91700000000000004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F-421C-A734-F2F659BD4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26272"/>
        <c:axId val="100728192"/>
      </c:barChart>
      <c:catAx>
        <c:axId val="10072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192"/>
        <c:crosses val="autoZero"/>
        <c:auto val="1"/>
        <c:lblAlgn val="ctr"/>
        <c:lblOffset val="100"/>
        <c:noMultiLvlLbl val="0"/>
      </c:catAx>
      <c:valAx>
        <c:axId val="100728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Avg ADG under Target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0-4493-9064-1B5940DE3532}"/>
            </c:ext>
          </c:extLst>
        </c:ser>
        <c:ser>
          <c:idx val="2"/>
          <c:order val="1"/>
          <c:tx>
            <c:strRef>
              <c:f>'Weekly report'!$A$115</c:f>
              <c:strCache>
                <c:ptCount val="1"/>
                <c:pt idx="0">
                  <c:v>Avg ADG of gilts grew less than 0.642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report'!$Y$115:$BO$115</c:f>
              <c:numCache>
                <c:formatCode>0.00</c:formatCode>
                <c:ptCount val="43"/>
                <c:pt idx="0">
                  <c:v>0.47699999999999998</c:v>
                </c:pt>
                <c:pt idx="1">
                  <c:v>0.496</c:v>
                </c:pt>
                <c:pt idx="2">
                  <c:v>0.45600000000000002</c:v>
                </c:pt>
                <c:pt idx="3">
                  <c:v>0.56000000000000005</c:v>
                </c:pt>
                <c:pt idx="5">
                  <c:v>0.52700000000000002</c:v>
                </c:pt>
                <c:pt idx="6">
                  <c:v>0.60699999999999998</c:v>
                </c:pt>
                <c:pt idx="7">
                  <c:v>0.56799999999999995</c:v>
                </c:pt>
                <c:pt idx="8">
                  <c:v>0.505</c:v>
                </c:pt>
                <c:pt idx="9">
                  <c:v>0.44900000000000001</c:v>
                </c:pt>
                <c:pt idx="10">
                  <c:v>0.499</c:v>
                </c:pt>
                <c:pt idx="11">
                  <c:v>0.56200000000000006</c:v>
                </c:pt>
                <c:pt idx="12">
                  <c:v>0.41199999999999998</c:v>
                </c:pt>
                <c:pt idx="13">
                  <c:v>0.48399999999999999</c:v>
                </c:pt>
                <c:pt idx="14">
                  <c:v>0.49</c:v>
                </c:pt>
                <c:pt idx="16">
                  <c:v>0.54</c:v>
                </c:pt>
                <c:pt idx="17">
                  <c:v>0.56000000000000005</c:v>
                </c:pt>
                <c:pt idx="19">
                  <c:v>0.58699999999999997</c:v>
                </c:pt>
                <c:pt idx="20">
                  <c:v>0.502</c:v>
                </c:pt>
                <c:pt idx="22">
                  <c:v>0.64</c:v>
                </c:pt>
                <c:pt idx="23">
                  <c:v>0.49399999999999999</c:v>
                </c:pt>
                <c:pt idx="25">
                  <c:v>0.57399999999999995</c:v>
                </c:pt>
                <c:pt idx="26">
                  <c:v>0.64100000000000001</c:v>
                </c:pt>
                <c:pt idx="27">
                  <c:v>0.53200000000000003</c:v>
                </c:pt>
                <c:pt idx="28">
                  <c:v>0.44700000000000001</c:v>
                </c:pt>
                <c:pt idx="29">
                  <c:v>0.61399999999999999</c:v>
                </c:pt>
                <c:pt idx="31">
                  <c:v>0.53800000000000003</c:v>
                </c:pt>
                <c:pt idx="32">
                  <c:v>0.60599999999999998</c:v>
                </c:pt>
                <c:pt idx="34">
                  <c:v>0.60899999999999999</c:v>
                </c:pt>
                <c:pt idx="35">
                  <c:v>0.41799999999999998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0-4493-9064-1B5940DE3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71712"/>
        <c:axId val="100773888"/>
      </c:lineChart>
      <c:catAx>
        <c:axId val="10077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73888"/>
        <c:crosses val="autoZero"/>
        <c:auto val="1"/>
        <c:lblAlgn val="ctr"/>
        <c:lblOffset val="100"/>
        <c:noMultiLvlLbl val="0"/>
      </c:catAx>
      <c:valAx>
        <c:axId val="100773888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7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28w-Service</a:t>
            </a:r>
            <a:r>
              <a:rPr lang="en-ZW" b="1" baseline="0"/>
              <a:t> Avg ADG over Target</a:t>
            </a:r>
            <a:endParaRPr lang="en-ZW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report'!$A$112</c:f>
              <c:strCache>
                <c:ptCount val="1"/>
                <c:pt idx="0">
                  <c:v>ADG 28 to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report'!$Y$112:$BO$112</c:f>
              <c:numCache>
                <c:formatCode>0.000</c:formatCode>
                <c:ptCount val="43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3-43AF-B6A9-16A15080FC04}"/>
            </c:ext>
          </c:extLst>
        </c:ser>
        <c:ser>
          <c:idx val="3"/>
          <c:order val="1"/>
          <c:tx>
            <c:strRef>
              <c:f>'Weekly report'!$A$117</c:f>
              <c:strCache>
                <c:ptCount val="1"/>
                <c:pt idx="0">
                  <c:v>Avg ADG of gilts gre more than 0.678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report'!$Y$117:$BO$117</c:f>
              <c:numCache>
                <c:formatCode>0.00</c:formatCode>
                <c:ptCount val="43"/>
                <c:pt idx="0">
                  <c:v>0.82</c:v>
                </c:pt>
                <c:pt idx="1">
                  <c:v>1.109</c:v>
                </c:pt>
                <c:pt idx="2">
                  <c:v>0.80400000000000005</c:v>
                </c:pt>
                <c:pt idx="3">
                  <c:v>0.71399999999999997</c:v>
                </c:pt>
                <c:pt idx="4">
                  <c:v>0.93600000000000005</c:v>
                </c:pt>
                <c:pt idx="5">
                  <c:v>1.038</c:v>
                </c:pt>
                <c:pt idx="6">
                  <c:v>0.84299999999999997</c:v>
                </c:pt>
                <c:pt idx="7">
                  <c:v>0.79200000000000004</c:v>
                </c:pt>
                <c:pt idx="8">
                  <c:v>0.84799999999999998</c:v>
                </c:pt>
                <c:pt idx="9">
                  <c:v>0.79500000000000004</c:v>
                </c:pt>
                <c:pt idx="10">
                  <c:v>1.004</c:v>
                </c:pt>
                <c:pt idx="11">
                  <c:v>0.88600000000000001</c:v>
                </c:pt>
                <c:pt idx="12">
                  <c:v>0.73799999999999999</c:v>
                </c:pt>
                <c:pt idx="13">
                  <c:v>0.86699999999999999</c:v>
                </c:pt>
                <c:pt idx="14">
                  <c:v>0.998</c:v>
                </c:pt>
                <c:pt idx="15">
                  <c:v>1.0780000000000001</c:v>
                </c:pt>
                <c:pt idx="16">
                  <c:v>1.115</c:v>
                </c:pt>
                <c:pt idx="17">
                  <c:v>1.0549999999999999</c:v>
                </c:pt>
                <c:pt idx="18">
                  <c:v>0.96099999999999997</c:v>
                </c:pt>
                <c:pt idx="19">
                  <c:v>0.79200000000000004</c:v>
                </c:pt>
                <c:pt idx="20">
                  <c:v>0.91700000000000004</c:v>
                </c:pt>
                <c:pt idx="22">
                  <c:v>0.90300000000000002</c:v>
                </c:pt>
                <c:pt idx="23">
                  <c:v>0.97499999999999998</c:v>
                </c:pt>
                <c:pt idx="24">
                  <c:v>0.98399999999999999</c:v>
                </c:pt>
                <c:pt idx="25">
                  <c:v>1.0349999999999999</c:v>
                </c:pt>
                <c:pt idx="26">
                  <c:v>1.0589999999999999</c:v>
                </c:pt>
                <c:pt idx="27">
                  <c:v>0.95099999999999996</c:v>
                </c:pt>
                <c:pt idx="28">
                  <c:v>0.86899999999999999</c:v>
                </c:pt>
                <c:pt idx="29">
                  <c:v>1.258</c:v>
                </c:pt>
                <c:pt idx="30">
                  <c:v>0.99199999999999999</c:v>
                </c:pt>
                <c:pt idx="31">
                  <c:v>1.1599999999999999</c:v>
                </c:pt>
                <c:pt idx="32">
                  <c:v>1.087</c:v>
                </c:pt>
                <c:pt idx="33">
                  <c:v>0.91700000000000004</c:v>
                </c:pt>
                <c:pt idx="34">
                  <c:v>1.075</c:v>
                </c:pt>
                <c:pt idx="35">
                  <c:v>1.0209999999999999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13-43AF-B6A9-16A15080F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38816"/>
        <c:axId val="101545088"/>
      </c:lineChart>
      <c:catAx>
        <c:axId val="10153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5088"/>
        <c:crosses val="autoZero"/>
        <c:auto val="1"/>
        <c:lblAlgn val="ctr"/>
        <c:lblOffset val="100"/>
        <c:noMultiLvlLbl val="0"/>
      </c:catAx>
      <c:valAx>
        <c:axId val="101545088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Under 31 weeks, Over 33 weeks Avg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report'!$A$124</c:f>
              <c:strCache>
                <c:ptCount val="1"/>
                <c:pt idx="0">
                  <c:v>Under 31 weeks at Service Avg ADG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report'!$Y$124:$BO$124</c:f>
              <c:numCache>
                <c:formatCode>0.00</c:formatCode>
                <c:ptCount val="43"/>
                <c:pt idx="1">
                  <c:v>1.369</c:v>
                </c:pt>
                <c:pt idx="4">
                  <c:v>1.111</c:v>
                </c:pt>
                <c:pt idx="5">
                  <c:v>1.375</c:v>
                </c:pt>
                <c:pt idx="8">
                  <c:v>0.46700000000000003</c:v>
                </c:pt>
                <c:pt idx="10">
                  <c:v>0.93300000000000005</c:v>
                </c:pt>
                <c:pt idx="13">
                  <c:v>0.66700000000000004</c:v>
                </c:pt>
                <c:pt idx="16">
                  <c:v>0.69199999999999995</c:v>
                </c:pt>
                <c:pt idx="24">
                  <c:v>1</c:v>
                </c:pt>
                <c:pt idx="29">
                  <c:v>1.5</c:v>
                </c:pt>
                <c:pt idx="30">
                  <c:v>1.3859999999999999</c:v>
                </c:pt>
                <c:pt idx="31">
                  <c:v>1.4730000000000001</c:v>
                </c:pt>
                <c:pt idx="32">
                  <c:v>1.3320000000000001</c:v>
                </c:pt>
                <c:pt idx="33">
                  <c:v>0.8</c:v>
                </c:pt>
                <c:pt idx="34">
                  <c:v>0.81818181818181823</c:v>
                </c:pt>
                <c:pt idx="35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2-41E1-9331-6D6D545E1D6A}"/>
            </c:ext>
          </c:extLst>
        </c:ser>
        <c:ser>
          <c:idx val="1"/>
          <c:order val="1"/>
          <c:tx>
            <c:strRef>
              <c:f>'Weekly report'!$A$125</c:f>
              <c:strCache>
                <c:ptCount val="1"/>
                <c:pt idx="0">
                  <c:v>Over 33 weeks at Service Avg ADG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report'!$Y$125:$BO$125</c:f>
              <c:numCache>
                <c:formatCode>0.00</c:formatCode>
                <c:ptCount val="43"/>
                <c:pt idx="0">
                  <c:v>0.46500000000000002</c:v>
                </c:pt>
                <c:pt idx="1">
                  <c:v>0.54500000000000004</c:v>
                </c:pt>
                <c:pt idx="2">
                  <c:v>0.55700000000000005</c:v>
                </c:pt>
                <c:pt idx="3">
                  <c:v>0.63100000000000001</c:v>
                </c:pt>
                <c:pt idx="4">
                  <c:v>0.65400000000000003</c:v>
                </c:pt>
                <c:pt idx="5">
                  <c:v>0.58699999999999997</c:v>
                </c:pt>
                <c:pt idx="6">
                  <c:v>0.73399999999999999</c:v>
                </c:pt>
                <c:pt idx="7">
                  <c:v>0.64700000000000002</c:v>
                </c:pt>
                <c:pt idx="8" formatCode="0.0">
                  <c:v>0.53</c:v>
                </c:pt>
                <c:pt idx="10">
                  <c:v>0.58099999999999996</c:v>
                </c:pt>
                <c:pt idx="11">
                  <c:v>0.56999999999999995</c:v>
                </c:pt>
                <c:pt idx="14">
                  <c:v>0.66500000000000004</c:v>
                </c:pt>
                <c:pt idx="15">
                  <c:v>1.133</c:v>
                </c:pt>
                <c:pt idx="16">
                  <c:v>0.88300000000000001</c:v>
                </c:pt>
                <c:pt idx="17">
                  <c:v>0.91900000000000004</c:v>
                </c:pt>
                <c:pt idx="18">
                  <c:v>0.99299999999999999</c:v>
                </c:pt>
                <c:pt idx="23">
                  <c:v>0.73599999999999999</c:v>
                </c:pt>
                <c:pt idx="24" formatCode="0.0">
                  <c:v>0.92</c:v>
                </c:pt>
                <c:pt idx="26" formatCode="0.000">
                  <c:v>0.69799999999999995</c:v>
                </c:pt>
                <c:pt idx="27">
                  <c:v>0.53</c:v>
                </c:pt>
                <c:pt idx="29">
                  <c:v>0.70699999999999996</c:v>
                </c:pt>
                <c:pt idx="30">
                  <c:v>0.80100000000000005</c:v>
                </c:pt>
                <c:pt idx="31">
                  <c:v>0.65800000000000003</c:v>
                </c:pt>
                <c:pt idx="32">
                  <c:v>0.93</c:v>
                </c:pt>
                <c:pt idx="33">
                  <c:v>0.97</c:v>
                </c:pt>
                <c:pt idx="35">
                  <c:v>0.41799999999999998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2-41E1-9331-6D6D545E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19712"/>
        <c:axId val="101221888"/>
      </c:lineChart>
      <c:catAx>
        <c:axId val="101219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1888"/>
        <c:crosses val="autoZero"/>
        <c:auto val="1"/>
        <c:lblAlgn val="ctr"/>
        <c:lblOffset val="100"/>
        <c:noMultiLvlLbl val="0"/>
      </c:catAx>
      <c:valAx>
        <c:axId val="10122188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9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2ND PARITY 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report'!$Y$163:$BO$163</c:f>
              <c:numCache>
                <c:formatCode>General</c:formatCode>
                <c:ptCount val="43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1-44B4-987A-4DA38885EEA1}"/>
            </c:ext>
          </c:extLst>
        </c:ser>
        <c:ser>
          <c:idx val="2"/>
          <c:order val="1"/>
          <c:tx>
            <c:strRef>
              <c:f>'Weekly report'!$A$161</c:f>
              <c:strCache>
                <c:ptCount val="1"/>
                <c:pt idx="0">
                  <c:v>2nd farrow rate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report'!$Y$161:$BO$161</c:f>
              <c:numCache>
                <c:formatCode>General</c:formatCode>
                <c:ptCount val="43"/>
                <c:pt idx="0">
                  <c:v>100</c:v>
                </c:pt>
                <c:pt idx="1">
                  <c:v>80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78.599999999999994</c:v>
                </c:pt>
                <c:pt idx="6">
                  <c:v>100</c:v>
                </c:pt>
                <c:pt idx="7">
                  <c:v>83.3</c:v>
                </c:pt>
                <c:pt idx="8">
                  <c:v>80</c:v>
                </c:pt>
                <c:pt idx="9">
                  <c:v>90.9</c:v>
                </c:pt>
                <c:pt idx="10">
                  <c:v>83.3</c:v>
                </c:pt>
                <c:pt idx="11">
                  <c:v>100</c:v>
                </c:pt>
                <c:pt idx="12">
                  <c:v>100</c:v>
                </c:pt>
                <c:pt idx="13">
                  <c:v>90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80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75</c:v>
                </c:pt>
                <c:pt idx="30">
                  <c:v>91.7</c:v>
                </c:pt>
                <c:pt idx="31">
                  <c:v>90</c:v>
                </c:pt>
                <c:pt idx="32">
                  <c:v>84.6</c:v>
                </c:pt>
                <c:pt idx="33">
                  <c:v>87.5</c:v>
                </c:pt>
                <c:pt idx="34">
                  <c:v>83.3</c:v>
                </c:pt>
                <c:pt idx="3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1-44B4-987A-4DA38885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65792"/>
        <c:axId val="101267712"/>
      </c:lineChart>
      <c:catAx>
        <c:axId val="10126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267712"/>
        <c:crosses val="autoZero"/>
        <c:auto val="1"/>
        <c:lblAlgn val="ctr"/>
        <c:lblOffset val="100"/>
        <c:noMultiLvlLbl val="0"/>
      </c:catAx>
      <c:valAx>
        <c:axId val="101267712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26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ZA"/>
              <a:t>3RD PLUS PARITY FARROWING RATES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report'!$A$163</c:f>
              <c:strCache>
                <c:ptCount val="1"/>
                <c:pt idx="0">
                  <c:v>Target Farrowing Rate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report'!$Y$163:$BO$163</c:f>
              <c:numCache>
                <c:formatCode>General</c:formatCode>
                <c:ptCount val="43"/>
                <c:pt idx="0">
                  <c:v>92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4-4A74-BFBE-8BA6BCAD0FB7}"/>
            </c:ext>
          </c:extLst>
        </c:ser>
        <c:ser>
          <c:idx val="3"/>
          <c:order val="1"/>
          <c:tx>
            <c:strRef>
              <c:f>'Weekly report'!$A$162</c:f>
              <c:strCache>
                <c:ptCount val="1"/>
                <c:pt idx="0">
                  <c:v>3rd plus farrow rate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report'!$Y$162:$BO$162</c:f>
              <c:numCache>
                <c:formatCode>General</c:formatCode>
                <c:ptCount val="43"/>
                <c:pt idx="0">
                  <c:v>100</c:v>
                </c:pt>
                <c:pt idx="1">
                  <c:v>90</c:v>
                </c:pt>
                <c:pt idx="2">
                  <c:v>87.5</c:v>
                </c:pt>
                <c:pt idx="3">
                  <c:v>96</c:v>
                </c:pt>
                <c:pt idx="4">
                  <c:v>96.3</c:v>
                </c:pt>
                <c:pt idx="5">
                  <c:v>96.2</c:v>
                </c:pt>
                <c:pt idx="6">
                  <c:v>96.4</c:v>
                </c:pt>
                <c:pt idx="7">
                  <c:v>93.1</c:v>
                </c:pt>
                <c:pt idx="8">
                  <c:v>92.9</c:v>
                </c:pt>
                <c:pt idx="9">
                  <c:v>88.5</c:v>
                </c:pt>
                <c:pt idx="10">
                  <c:v>93.5</c:v>
                </c:pt>
                <c:pt idx="11">
                  <c:v>100</c:v>
                </c:pt>
                <c:pt idx="12">
                  <c:v>84.6</c:v>
                </c:pt>
                <c:pt idx="13">
                  <c:v>93.1</c:v>
                </c:pt>
                <c:pt idx="14">
                  <c:v>90.3</c:v>
                </c:pt>
                <c:pt idx="15">
                  <c:v>94.3</c:v>
                </c:pt>
                <c:pt idx="16">
                  <c:v>84.4</c:v>
                </c:pt>
                <c:pt idx="17">
                  <c:v>94.3</c:v>
                </c:pt>
                <c:pt idx="18">
                  <c:v>100</c:v>
                </c:pt>
                <c:pt idx="19">
                  <c:v>88.2</c:v>
                </c:pt>
                <c:pt idx="20">
                  <c:v>93.3</c:v>
                </c:pt>
                <c:pt idx="21">
                  <c:v>86.6</c:v>
                </c:pt>
                <c:pt idx="22">
                  <c:v>100</c:v>
                </c:pt>
                <c:pt idx="23">
                  <c:v>86.7</c:v>
                </c:pt>
                <c:pt idx="24">
                  <c:v>88.9</c:v>
                </c:pt>
                <c:pt idx="25">
                  <c:v>96.4</c:v>
                </c:pt>
                <c:pt idx="26">
                  <c:v>90.6</c:v>
                </c:pt>
                <c:pt idx="27">
                  <c:v>93.8</c:v>
                </c:pt>
                <c:pt idx="28">
                  <c:v>93.1</c:v>
                </c:pt>
                <c:pt idx="29">
                  <c:v>92</c:v>
                </c:pt>
                <c:pt idx="30">
                  <c:v>93.1</c:v>
                </c:pt>
                <c:pt idx="31">
                  <c:v>89.3</c:v>
                </c:pt>
                <c:pt idx="32">
                  <c:v>86.4</c:v>
                </c:pt>
                <c:pt idx="33">
                  <c:v>91.7</c:v>
                </c:pt>
                <c:pt idx="34">
                  <c:v>90</c:v>
                </c:pt>
                <c:pt idx="35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04-4A74-BFBE-8BA6BCAD0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11616"/>
        <c:axId val="101313536"/>
      </c:lineChart>
      <c:catAx>
        <c:axId val="10131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313536"/>
        <c:crosses val="autoZero"/>
        <c:auto val="1"/>
        <c:lblAlgn val="ctr"/>
        <c:lblOffset val="100"/>
        <c:noMultiLvlLbl val="0"/>
      </c:catAx>
      <c:valAx>
        <c:axId val="101313536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farrowing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3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2ND PARITY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4-4E2D-B33E-2371FA8DB32B}"/>
            </c:ext>
          </c:extLst>
        </c:ser>
        <c:ser>
          <c:idx val="2"/>
          <c:order val="1"/>
          <c:tx>
            <c:strRef>
              <c:f>'Weekly report'!$A$166</c:f>
              <c:strCache>
                <c:ptCount val="1"/>
                <c:pt idx="0">
                  <c:v>2nd parity BA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report'!$Y$166:$BO$166</c:f>
              <c:numCache>
                <c:formatCode>0.00</c:formatCode>
                <c:ptCount val="43"/>
                <c:pt idx="0">
                  <c:v>16.399999999999999</c:v>
                </c:pt>
                <c:pt idx="1">
                  <c:v>15.5</c:v>
                </c:pt>
                <c:pt idx="2">
                  <c:v>14.2</c:v>
                </c:pt>
                <c:pt idx="3" formatCode="General">
                  <c:v>13.3</c:v>
                </c:pt>
                <c:pt idx="4" formatCode="General">
                  <c:v>12.7</c:v>
                </c:pt>
                <c:pt idx="5" formatCode="General">
                  <c:v>14.8</c:v>
                </c:pt>
                <c:pt idx="6" formatCode="General">
                  <c:v>15.8</c:v>
                </c:pt>
                <c:pt idx="7" formatCode="General">
                  <c:v>15.7</c:v>
                </c:pt>
                <c:pt idx="8" formatCode="General">
                  <c:v>11.4</c:v>
                </c:pt>
                <c:pt idx="9" formatCode="General">
                  <c:v>12.5</c:v>
                </c:pt>
                <c:pt idx="10" formatCode="General">
                  <c:v>15.2</c:v>
                </c:pt>
                <c:pt idx="11" formatCode="General">
                  <c:v>13.9</c:v>
                </c:pt>
                <c:pt idx="12" formatCode="General">
                  <c:v>12.3</c:v>
                </c:pt>
                <c:pt idx="13" formatCode="General">
                  <c:v>13.9</c:v>
                </c:pt>
                <c:pt idx="14" formatCode="General">
                  <c:v>14.3</c:v>
                </c:pt>
                <c:pt idx="15" formatCode="General">
                  <c:v>12.7</c:v>
                </c:pt>
                <c:pt idx="16" formatCode="General">
                  <c:v>14.9</c:v>
                </c:pt>
                <c:pt idx="17" formatCode="General">
                  <c:v>16.2</c:v>
                </c:pt>
                <c:pt idx="18" formatCode="General">
                  <c:v>15.5</c:v>
                </c:pt>
                <c:pt idx="19" formatCode="General">
                  <c:v>16.600000000000001</c:v>
                </c:pt>
                <c:pt idx="20" formatCode="General">
                  <c:v>14.4</c:v>
                </c:pt>
                <c:pt idx="21" formatCode="General">
                  <c:v>15.6</c:v>
                </c:pt>
                <c:pt idx="22" formatCode="General">
                  <c:v>14.3</c:v>
                </c:pt>
                <c:pt idx="23" formatCode="General">
                  <c:v>15.8</c:v>
                </c:pt>
                <c:pt idx="24" formatCode="General">
                  <c:v>15.3</c:v>
                </c:pt>
                <c:pt idx="25" formatCode="General">
                  <c:v>14.7</c:v>
                </c:pt>
                <c:pt idx="26" formatCode="General">
                  <c:v>15.5</c:v>
                </c:pt>
                <c:pt idx="27" formatCode="General">
                  <c:v>11.3</c:v>
                </c:pt>
                <c:pt idx="28" formatCode="General">
                  <c:v>13.8</c:v>
                </c:pt>
                <c:pt idx="29" formatCode="General">
                  <c:v>12</c:v>
                </c:pt>
                <c:pt idx="30" formatCode="General">
                  <c:v>14.5</c:v>
                </c:pt>
                <c:pt idx="31" formatCode="General">
                  <c:v>15.3</c:v>
                </c:pt>
                <c:pt idx="32" formatCode="General">
                  <c:v>12.4</c:v>
                </c:pt>
                <c:pt idx="33" formatCode="General">
                  <c:v>14.4</c:v>
                </c:pt>
                <c:pt idx="34" formatCode="General">
                  <c:v>12.5</c:v>
                </c:pt>
                <c:pt idx="35" formatCode="General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54-4E2D-B33E-2371FA8DB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77920"/>
        <c:axId val="101584896"/>
      </c:lineChart>
      <c:catAx>
        <c:axId val="101377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584896"/>
        <c:crosses val="autoZero"/>
        <c:auto val="1"/>
        <c:lblAlgn val="ctr"/>
        <c:lblOffset val="100"/>
        <c:noMultiLvlLbl val="0"/>
      </c:catAx>
      <c:valAx>
        <c:axId val="101584896"/>
        <c:scaling>
          <c:orientation val="minMax"/>
          <c:max val="17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37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3RD PLUS PARITY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6-4E17-89FB-625D2DCA7BAB}"/>
            </c:ext>
          </c:extLst>
        </c:ser>
        <c:ser>
          <c:idx val="3"/>
          <c:order val="1"/>
          <c:tx>
            <c:strRef>
              <c:f>'Weekly report'!$A$167</c:f>
              <c:strCache>
                <c:ptCount val="1"/>
                <c:pt idx="0">
                  <c:v>3rd plus BA</c:v>
                </c:pt>
              </c:strCache>
            </c:strRef>
          </c:tx>
          <c:spPr>
            <a:ln w="2222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report'!$Y$167:$BO$167</c:f>
              <c:numCache>
                <c:formatCode>0.0</c:formatCode>
                <c:ptCount val="43"/>
                <c:pt idx="0">
                  <c:v>15.5</c:v>
                </c:pt>
                <c:pt idx="1">
                  <c:v>16.5</c:v>
                </c:pt>
                <c:pt idx="2">
                  <c:v>16.5</c:v>
                </c:pt>
                <c:pt idx="3">
                  <c:v>15.9</c:v>
                </c:pt>
                <c:pt idx="4">
                  <c:v>14.2</c:v>
                </c:pt>
                <c:pt idx="5">
                  <c:v>16.2</c:v>
                </c:pt>
                <c:pt idx="6">
                  <c:v>17.100000000000001</c:v>
                </c:pt>
                <c:pt idx="7">
                  <c:v>17.3</c:v>
                </c:pt>
                <c:pt idx="8">
                  <c:v>15</c:v>
                </c:pt>
                <c:pt idx="9">
                  <c:v>15.7</c:v>
                </c:pt>
                <c:pt idx="10">
                  <c:v>15.7</c:v>
                </c:pt>
                <c:pt idx="11">
                  <c:v>16.3</c:v>
                </c:pt>
                <c:pt idx="12">
                  <c:v>17.2</c:v>
                </c:pt>
                <c:pt idx="13">
                  <c:v>15.8</c:v>
                </c:pt>
                <c:pt idx="14">
                  <c:v>15.3</c:v>
                </c:pt>
                <c:pt idx="15">
                  <c:v>14.7</c:v>
                </c:pt>
                <c:pt idx="16">
                  <c:v>14.7</c:v>
                </c:pt>
                <c:pt idx="17">
                  <c:v>14</c:v>
                </c:pt>
                <c:pt idx="18">
                  <c:v>14.1</c:v>
                </c:pt>
                <c:pt idx="19">
                  <c:v>15</c:v>
                </c:pt>
                <c:pt idx="20">
                  <c:v>15.9</c:v>
                </c:pt>
                <c:pt idx="21">
                  <c:v>15.2</c:v>
                </c:pt>
                <c:pt idx="22">
                  <c:v>15.6</c:v>
                </c:pt>
                <c:pt idx="23">
                  <c:v>15.5</c:v>
                </c:pt>
                <c:pt idx="24">
                  <c:v>15</c:v>
                </c:pt>
                <c:pt idx="25">
                  <c:v>15.4</c:v>
                </c:pt>
                <c:pt idx="26">
                  <c:v>15.1</c:v>
                </c:pt>
                <c:pt idx="27">
                  <c:v>16.2</c:v>
                </c:pt>
                <c:pt idx="28">
                  <c:v>15.6</c:v>
                </c:pt>
                <c:pt idx="29">
                  <c:v>14.8</c:v>
                </c:pt>
                <c:pt idx="30">
                  <c:v>13.3</c:v>
                </c:pt>
                <c:pt idx="31">
                  <c:v>14.8</c:v>
                </c:pt>
                <c:pt idx="32">
                  <c:v>14.6</c:v>
                </c:pt>
                <c:pt idx="33">
                  <c:v>15</c:v>
                </c:pt>
                <c:pt idx="34">
                  <c:v>15.5</c:v>
                </c:pt>
                <c:pt idx="35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46-4E17-89FB-625D2DCA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24448"/>
        <c:axId val="101626624"/>
      </c:lineChart>
      <c:catAx>
        <c:axId val="10162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626624"/>
        <c:crosses val="autoZero"/>
        <c:auto val="1"/>
        <c:lblAlgn val="ctr"/>
        <c:lblOffset val="100"/>
        <c:noMultiLvlLbl val="0"/>
      </c:catAx>
      <c:valAx>
        <c:axId val="101626624"/>
        <c:scaling>
          <c:orientation val="minMax"/>
          <c:max val="18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24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 HERD BORN ALIVE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report'!$A$168</c:f>
              <c:strCache>
                <c:ptCount val="1"/>
                <c:pt idx="0">
                  <c:v>BA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report'!$Y$168:$BO$168</c:f>
              <c:numCache>
                <c:formatCode>0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5-4BEF-B238-8AB4B8539B35}"/>
            </c:ext>
          </c:extLst>
        </c:ser>
        <c:ser>
          <c:idx val="1"/>
          <c:order val="1"/>
          <c:tx>
            <c:strRef>
              <c:f>'Weekly report'!$A$169</c:f>
              <c:strCache>
                <c:ptCount val="1"/>
                <c:pt idx="0">
                  <c:v>Herd BA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report'!$Y$169:$BO$169</c:f>
              <c:numCache>
                <c:formatCode>0.0</c:formatCode>
                <c:ptCount val="43"/>
                <c:pt idx="0">
                  <c:v>15.3</c:v>
                </c:pt>
                <c:pt idx="1">
                  <c:v>16.100000000000001</c:v>
                </c:pt>
                <c:pt idx="2">
                  <c:v>15.4</c:v>
                </c:pt>
                <c:pt idx="3">
                  <c:v>14.6</c:v>
                </c:pt>
                <c:pt idx="4">
                  <c:v>14.1</c:v>
                </c:pt>
                <c:pt idx="5">
                  <c:v>15.7</c:v>
                </c:pt>
                <c:pt idx="6">
                  <c:v>15.9</c:v>
                </c:pt>
                <c:pt idx="7">
                  <c:v>16.3</c:v>
                </c:pt>
                <c:pt idx="8">
                  <c:v>14.4</c:v>
                </c:pt>
                <c:pt idx="9">
                  <c:v>14.6</c:v>
                </c:pt>
                <c:pt idx="10">
                  <c:v>15</c:v>
                </c:pt>
                <c:pt idx="11">
                  <c:v>15.2</c:v>
                </c:pt>
                <c:pt idx="12">
                  <c:v>15.3</c:v>
                </c:pt>
                <c:pt idx="13">
                  <c:v>15.1</c:v>
                </c:pt>
                <c:pt idx="14">
                  <c:v>15.2</c:v>
                </c:pt>
                <c:pt idx="15">
                  <c:v>14.6</c:v>
                </c:pt>
                <c:pt idx="16">
                  <c:v>14.8</c:v>
                </c:pt>
                <c:pt idx="17">
                  <c:v>14.2</c:v>
                </c:pt>
                <c:pt idx="18">
                  <c:v>14.3</c:v>
                </c:pt>
                <c:pt idx="19">
                  <c:v>15.1</c:v>
                </c:pt>
                <c:pt idx="20">
                  <c:v>15.5</c:v>
                </c:pt>
                <c:pt idx="21">
                  <c:v>15.1</c:v>
                </c:pt>
                <c:pt idx="22">
                  <c:v>15.4</c:v>
                </c:pt>
                <c:pt idx="23">
                  <c:v>15.8</c:v>
                </c:pt>
                <c:pt idx="24">
                  <c:v>15.2</c:v>
                </c:pt>
                <c:pt idx="25">
                  <c:v>15.3</c:v>
                </c:pt>
                <c:pt idx="26">
                  <c:v>15.1</c:v>
                </c:pt>
                <c:pt idx="27">
                  <c:v>15.4</c:v>
                </c:pt>
                <c:pt idx="28">
                  <c:v>14.5</c:v>
                </c:pt>
                <c:pt idx="29">
                  <c:v>14.4</c:v>
                </c:pt>
                <c:pt idx="30">
                  <c:v>14</c:v>
                </c:pt>
                <c:pt idx="31">
                  <c:v>15</c:v>
                </c:pt>
                <c:pt idx="32">
                  <c:v>14.6</c:v>
                </c:pt>
                <c:pt idx="33">
                  <c:v>14.8</c:v>
                </c:pt>
                <c:pt idx="34">
                  <c:v>15.2</c:v>
                </c:pt>
                <c:pt idx="35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5-4BEF-B238-8AB4B8539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98944"/>
        <c:axId val="101701120"/>
      </c:lineChart>
      <c:catAx>
        <c:axId val="10169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701120"/>
        <c:crosses val="autoZero"/>
        <c:auto val="1"/>
        <c:lblAlgn val="ctr"/>
        <c:lblOffset val="100"/>
        <c:noMultiLvlLbl val="0"/>
      </c:catAx>
      <c:valAx>
        <c:axId val="101701120"/>
        <c:scaling>
          <c:orientation val="minMax"/>
          <c:max val="17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989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BORN DEAD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A-47BA-B06C-0E36FA0669BC}"/>
            </c:ext>
          </c:extLst>
        </c:ser>
        <c:ser>
          <c:idx val="1"/>
          <c:order val="1"/>
          <c:tx>
            <c:strRef>
              <c:f>'Weekly report'!$A$170</c:f>
              <c:strCache>
                <c:ptCount val="1"/>
                <c:pt idx="0">
                  <c:v>Gilt BD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report'!$Y$170:$BO$170</c:f>
              <c:numCache>
                <c:formatCode>0.00</c:formatCode>
                <c:ptCount val="43"/>
                <c:pt idx="0">
                  <c:v>0.93700000000000006</c:v>
                </c:pt>
                <c:pt idx="1">
                  <c:v>1.0900000000000001</c:v>
                </c:pt>
                <c:pt idx="2">
                  <c:v>0.85699999999999998</c:v>
                </c:pt>
                <c:pt idx="3">
                  <c:v>1.5</c:v>
                </c:pt>
                <c:pt idx="4">
                  <c:v>1.0900000000000001</c:v>
                </c:pt>
                <c:pt idx="5">
                  <c:v>1.1000000000000001</c:v>
                </c:pt>
                <c:pt idx="6">
                  <c:v>1.58</c:v>
                </c:pt>
                <c:pt idx="7">
                  <c:v>0.67</c:v>
                </c:pt>
                <c:pt idx="8">
                  <c:v>0.64</c:v>
                </c:pt>
                <c:pt idx="9">
                  <c:v>1.1599999999999999</c:v>
                </c:pt>
                <c:pt idx="10">
                  <c:v>0.67</c:v>
                </c:pt>
                <c:pt idx="11">
                  <c:v>0.47</c:v>
                </c:pt>
                <c:pt idx="12">
                  <c:v>0.4</c:v>
                </c:pt>
                <c:pt idx="13">
                  <c:v>1.1100000000000001</c:v>
                </c:pt>
                <c:pt idx="14">
                  <c:v>0.5</c:v>
                </c:pt>
                <c:pt idx="15">
                  <c:v>0.67</c:v>
                </c:pt>
                <c:pt idx="16">
                  <c:v>0.78</c:v>
                </c:pt>
                <c:pt idx="17">
                  <c:v>0.85699999999999998</c:v>
                </c:pt>
                <c:pt idx="18">
                  <c:v>1</c:v>
                </c:pt>
                <c:pt idx="19">
                  <c:v>1.1000000000000001</c:v>
                </c:pt>
                <c:pt idx="20">
                  <c:v>0.625</c:v>
                </c:pt>
                <c:pt idx="21">
                  <c:v>0.69</c:v>
                </c:pt>
                <c:pt idx="22">
                  <c:v>0.67</c:v>
                </c:pt>
                <c:pt idx="23">
                  <c:v>0.71399999999999997</c:v>
                </c:pt>
                <c:pt idx="24">
                  <c:v>0.36</c:v>
                </c:pt>
                <c:pt idx="25">
                  <c:v>0.35699999999999998</c:v>
                </c:pt>
                <c:pt idx="26">
                  <c:v>1</c:v>
                </c:pt>
                <c:pt idx="27">
                  <c:v>0.86</c:v>
                </c:pt>
                <c:pt idx="28">
                  <c:v>2</c:v>
                </c:pt>
                <c:pt idx="29">
                  <c:v>0.72699999999999998</c:v>
                </c:pt>
                <c:pt idx="30">
                  <c:v>0.42799999999999999</c:v>
                </c:pt>
                <c:pt idx="31">
                  <c:v>0.36</c:v>
                </c:pt>
                <c:pt idx="32">
                  <c:v>0.64</c:v>
                </c:pt>
                <c:pt idx="33">
                  <c:v>0.36299999999999999</c:v>
                </c:pt>
                <c:pt idx="34">
                  <c:v>0.84599999999999997</c:v>
                </c:pt>
                <c:pt idx="35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A-47BA-B06C-0E36FA066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45024"/>
        <c:axId val="101746944"/>
      </c:lineChart>
      <c:catAx>
        <c:axId val="10174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746944"/>
        <c:crosses val="autoZero"/>
        <c:auto val="1"/>
        <c:lblAlgn val="ctr"/>
        <c:lblOffset val="100"/>
        <c:noMultiLvlLbl val="0"/>
      </c:catAx>
      <c:valAx>
        <c:axId val="10174694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7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2ND PARITY BORN DEAD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6-4530-B7E4-FB4CE962FDB7}"/>
            </c:ext>
          </c:extLst>
        </c:ser>
        <c:ser>
          <c:idx val="2"/>
          <c:order val="1"/>
          <c:tx>
            <c:strRef>
              <c:f>'Weekly report'!$A$171</c:f>
              <c:strCache>
                <c:ptCount val="1"/>
                <c:pt idx="0">
                  <c:v>2nd BD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report'!$Y$171:$BO$171</c:f>
              <c:numCache>
                <c:formatCode>0.00</c:formatCode>
                <c:ptCount val="43"/>
                <c:pt idx="0">
                  <c:v>1.4</c:v>
                </c:pt>
                <c:pt idx="1">
                  <c:v>0.625</c:v>
                </c:pt>
                <c:pt idx="2">
                  <c:v>1</c:v>
                </c:pt>
                <c:pt idx="3">
                  <c:v>0.5</c:v>
                </c:pt>
                <c:pt idx="4">
                  <c:v>0.66600000000000004</c:v>
                </c:pt>
                <c:pt idx="5">
                  <c:v>0.72699999999999998</c:v>
                </c:pt>
                <c:pt idx="6">
                  <c:v>0.23</c:v>
                </c:pt>
                <c:pt idx="7">
                  <c:v>0.5</c:v>
                </c:pt>
                <c:pt idx="8">
                  <c:v>1.71</c:v>
                </c:pt>
                <c:pt idx="9">
                  <c:v>0.6</c:v>
                </c:pt>
                <c:pt idx="10">
                  <c:v>0.2</c:v>
                </c:pt>
                <c:pt idx="11">
                  <c:v>0.3</c:v>
                </c:pt>
                <c:pt idx="12">
                  <c:v>0.33</c:v>
                </c:pt>
                <c:pt idx="13">
                  <c:v>1.1100000000000001</c:v>
                </c:pt>
                <c:pt idx="14">
                  <c:v>0.86</c:v>
                </c:pt>
                <c:pt idx="15">
                  <c:v>0.33</c:v>
                </c:pt>
                <c:pt idx="16">
                  <c:v>1</c:v>
                </c:pt>
                <c:pt idx="17">
                  <c:v>1</c:v>
                </c:pt>
                <c:pt idx="19">
                  <c:v>0.43</c:v>
                </c:pt>
                <c:pt idx="20">
                  <c:v>0.5</c:v>
                </c:pt>
                <c:pt idx="21">
                  <c:v>0.44</c:v>
                </c:pt>
                <c:pt idx="22">
                  <c:v>0.3</c:v>
                </c:pt>
                <c:pt idx="23">
                  <c:v>0.84599999999999997</c:v>
                </c:pt>
                <c:pt idx="24">
                  <c:v>0.7</c:v>
                </c:pt>
                <c:pt idx="25">
                  <c:v>0.33</c:v>
                </c:pt>
                <c:pt idx="26">
                  <c:v>0.64</c:v>
                </c:pt>
                <c:pt idx="27">
                  <c:v>0.67</c:v>
                </c:pt>
                <c:pt idx="28">
                  <c:v>1.44</c:v>
                </c:pt>
                <c:pt idx="29">
                  <c:v>0.45</c:v>
                </c:pt>
                <c:pt idx="30">
                  <c:v>0.45400000000000001</c:v>
                </c:pt>
                <c:pt idx="31">
                  <c:v>1</c:v>
                </c:pt>
                <c:pt idx="32">
                  <c:v>0.8</c:v>
                </c:pt>
                <c:pt idx="33">
                  <c:v>0.78600000000000003</c:v>
                </c:pt>
                <c:pt idx="34">
                  <c:v>0.33</c:v>
                </c:pt>
                <c:pt idx="35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6-4530-B7E4-FB4CE962F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61184"/>
        <c:axId val="102063104"/>
      </c:lineChart>
      <c:catAx>
        <c:axId val="1020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2063104"/>
        <c:crosses val="autoZero"/>
        <c:auto val="1"/>
        <c:lblAlgn val="ctr"/>
        <c:lblOffset val="100"/>
        <c:noMultiLvlLbl val="0"/>
      </c:catAx>
      <c:valAx>
        <c:axId val="10206310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0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3RD PLUS PARITY BORN DEAD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report'!$A$173</c:f>
              <c:strCache>
                <c:ptCount val="1"/>
                <c:pt idx="0">
                  <c:v>BD 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report'!$Y$173:$BO$173</c:f>
              <c:numCache>
                <c:formatCode>0.0</c:formatCode>
                <c:ptCount val="4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A-465F-B74A-3B796C62138D}"/>
            </c:ext>
          </c:extLst>
        </c:ser>
        <c:ser>
          <c:idx val="3"/>
          <c:order val="1"/>
          <c:tx>
            <c:strRef>
              <c:f>'Weekly report'!$A$172</c:f>
              <c:strCache>
                <c:ptCount val="1"/>
                <c:pt idx="0">
                  <c:v>3rd plus BD</c:v>
                </c:pt>
              </c:strCache>
            </c:strRef>
          </c:tx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report'!$Y$172:$BO$172</c:f>
              <c:numCache>
                <c:formatCode>0.00</c:formatCode>
                <c:ptCount val="43"/>
                <c:pt idx="0">
                  <c:v>1.67</c:v>
                </c:pt>
                <c:pt idx="1">
                  <c:v>0.96499999999999997</c:v>
                </c:pt>
                <c:pt idx="2">
                  <c:v>0.77200000000000002</c:v>
                </c:pt>
                <c:pt idx="3">
                  <c:v>0.72</c:v>
                </c:pt>
                <c:pt idx="4">
                  <c:v>1.72</c:v>
                </c:pt>
                <c:pt idx="5">
                  <c:v>1.2589999999999999</c:v>
                </c:pt>
                <c:pt idx="6">
                  <c:v>1.0900000000000001</c:v>
                </c:pt>
                <c:pt idx="7">
                  <c:v>0.71</c:v>
                </c:pt>
                <c:pt idx="8">
                  <c:v>1.1100000000000001</c:v>
                </c:pt>
                <c:pt idx="9">
                  <c:v>0.75</c:v>
                </c:pt>
                <c:pt idx="10">
                  <c:v>0.55000000000000004</c:v>
                </c:pt>
                <c:pt idx="11">
                  <c:v>0.7</c:v>
                </c:pt>
                <c:pt idx="12">
                  <c:v>0.52</c:v>
                </c:pt>
                <c:pt idx="13">
                  <c:v>0.59</c:v>
                </c:pt>
                <c:pt idx="14">
                  <c:v>1</c:v>
                </c:pt>
                <c:pt idx="15">
                  <c:v>0.68</c:v>
                </c:pt>
                <c:pt idx="16">
                  <c:v>0.48</c:v>
                </c:pt>
                <c:pt idx="17">
                  <c:v>0.57499999999999996</c:v>
                </c:pt>
                <c:pt idx="18">
                  <c:v>1.29</c:v>
                </c:pt>
                <c:pt idx="19">
                  <c:v>1.36</c:v>
                </c:pt>
                <c:pt idx="20">
                  <c:v>1.0680000000000001</c:v>
                </c:pt>
                <c:pt idx="21">
                  <c:v>1.05</c:v>
                </c:pt>
                <c:pt idx="22">
                  <c:v>0.65</c:v>
                </c:pt>
                <c:pt idx="23">
                  <c:v>0.77700000000000002</c:v>
                </c:pt>
                <c:pt idx="24">
                  <c:v>1.1599999999999999</c:v>
                </c:pt>
                <c:pt idx="25">
                  <c:v>0.85</c:v>
                </c:pt>
                <c:pt idx="26">
                  <c:v>0.54</c:v>
                </c:pt>
                <c:pt idx="27">
                  <c:v>1.48</c:v>
                </c:pt>
                <c:pt idx="28">
                  <c:v>1.04</c:v>
                </c:pt>
                <c:pt idx="29">
                  <c:v>1.0900000000000001</c:v>
                </c:pt>
                <c:pt idx="30">
                  <c:v>0.77700000000000002</c:v>
                </c:pt>
                <c:pt idx="31">
                  <c:v>1.08</c:v>
                </c:pt>
                <c:pt idx="32">
                  <c:v>1.1000000000000001</c:v>
                </c:pt>
                <c:pt idx="33">
                  <c:v>1.0469999999999999</c:v>
                </c:pt>
                <c:pt idx="34">
                  <c:v>1.23</c:v>
                </c:pt>
                <c:pt idx="35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A-465F-B74A-3B796C62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53056"/>
        <c:axId val="101875712"/>
      </c:lineChart>
      <c:catAx>
        <c:axId val="10185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1875712"/>
        <c:crosses val="autoZero"/>
        <c:auto val="1"/>
        <c:lblAlgn val="ctr"/>
        <c:lblOffset val="100"/>
        <c:noMultiLvlLbl val="0"/>
      </c:catAx>
      <c:valAx>
        <c:axId val="101875712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Born Alive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8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10 week gilts - variation chart</a:t>
            </a:r>
          </a:p>
        </c:rich>
      </c:tx>
      <c:layout>
        <c:manualLayout>
          <c:xMode val="edge"/>
          <c:yMode val="edge"/>
          <c:x val="0.19413465721944101"/>
          <c:y val="2.77777777777778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report'!$A$36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report'!$Y$36:$BO$36</c:f>
              <c:numCache>
                <c:formatCode>0</c:formatCode>
                <c:ptCount val="43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0</c:v>
                </c:pt>
                <c:pt idx="25">
                  <c:v>5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1-4C4D-BEDC-9128073D5B85}"/>
            </c:ext>
          </c:extLst>
        </c:ser>
        <c:ser>
          <c:idx val="1"/>
          <c:order val="1"/>
          <c:tx>
            <c:strRef>
              <c:f>'Weekly report'!$A$38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report'!$Y$38:$BO$38</c:f>
              <c:numCache>
                <c:formatCode>0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10</c:v>
                </c:pt>
                <c:pt idx="20">
                  <c:v>7</c:v>
                </c:pt>
                <c:pt idx="21">
                  <c:v>4</c:v>
                </c:pt>
                <c:pt idx="22">
                  <c:v>9</c:v>
                </c:pt>
                <c:pt idx="23">
                  <c:v>6</c:v>
                </c:pt>
                <c:pt idx="24">
                  <c:v>7</c:v>
                </c:pt>
                <c:pt idx="25">
                  <c:v>6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11</c:v>
                </c:pt>
                <c:pt idx="32">
                  <c:v>1</c:v>
                </c:pt>
                <c:pt idx="33">
                  <c:v>6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1-4C4D-BEDC-9128073D5B85}"/>
            </c:ext>
          </c:extLst>
        </c:ser>
        <c:ser>
          <c:idx val="2"/>
          <c:order val="2"/>
          <c:tx>
            <c:strRef>
              <c:f>'Weekly report'!$A$40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rgbClr val="4F81BD"/>
              </a:solidFill>
            </a:ln>
          </c:spPr>
          <c:invertIfNegative val="0"/>
          <c:cat>
            <c:numRef>
              <c:f>'Weekly report'!$Y$2:$BO$2</c:f>
              <c:numCache>
                <c:formatCode>General</c:formatCode>
                <c:ptCount val="43"/>
                <c:pt idx="0">
                  <c:v>2540</c:v>
                </c:pt>
                <c:pt idx="1">
                  <c:v>2541</c:v>
                </c:pt>
                <c:pt idx="2">
                  <c:v>2542</c:v>
                </c:pt>
                <c:pt idx="3">
                  <c:v>2543</c:v>
                </c:pt>
                <c:pt idx="4">
                  <c:v>2544</c:v>
                </c:pt>
                <c:pt idx="5">
                  <c:v>2545</c:v>
                </c:pt>
                <c:pt idx="6">
                  <c:v>2546</c:v>
                </c:pt>
                <c:pt idx="7">
                  <c:v>2547</c:v>
                </c:pt>
                <c:pt idx="8">
                  <c:v>2548</c:v>
                </c:pt>
                <c:pt idx="9">
                  <c:v>2549</c:v>
                </c:pt>
                <c:pt idx="10">
                  <c:v>2550</c:v>
                </c:pt>
                <c:pt idx="11">
                  <c:v>2551</c:v>
                </c:pt>
                <c:pt idx="12">
                  <c:v>2552</c:v>
                </c:pt>
                <c:pt idx="13">
                  <c:v>2601</c:v>
                </c:pt>
                <c:pt idx="14">
                  <c:v>2602</c:v>
                </c:pt>
                <c:pt idx="15">
                  <c:v>2603</c:v>
                </c:pt>
                <c:pt idx="16">
                  <c:v>2604</c:v>
                </c:pt>
                <c:pt idx="17">
                  <c:v>2605</c:v>
                </c:pt>
                <c:pt idx="18">
                  <c:v>2606</c:v>
                </c:pt>
                <c:pt idx="19">
                  <c:v>2607</c:v>
                </c:pt>
                <c:pt idx="20">
                  <c:v>2608</c:v>
                </c:pt>
                <c:pt idx="21">
                  <c:v>2609</c:v>
                </c:pt>
                <c:pt idx="22">
                  <c:v>2610</c:v>
                </c:pt>
                <c:pt idx="23">
                  <c:v>2611</c:v>
                </c:pt>
                <c:pt idx="24">
                  <c:v>2612</c:v>
                </c:pt>
                <c:pt idx="25">
                  <c:v>2613</c:v>
                </c:pt>
                <c:pt idx="26">
                  <c:v>2614</c:v>
                </c:pt>
                <c:pt idx="27">
                  <c:v>2615</c:v>
                </c:pt>
                <c:pt idx="28">
                  <c:v>2616</c:v>
                </c:pt>
                <c:pt idx="29">
                  <c:v>2617</c:v>
                </c:pt>
                <c:pt idx="30">
                  <c:v>2618</c:v>
                </c:pt>
                <c:pt idx="31">
                  <c:v>2619</c:v>
                </c:pt>
                <c:pt idx="32">
                  <c:v>2620</c:v>
                </c:pt>
                <c:pt idx="33">
                  <c:v>2621</c:v>
                </c:pt>
                <c:pt idx="34">
                  <c:v>2622</c:v>
                </c:pt>
                <c:pt idx="35">
                  <c:v>2623</c:v>
                </c:pt>
                <c:pt idx="36">
                  <c:v>2624</c:v>
                </c:pt>
                <c:pt idx="37">
                  <c:v>2625</c:v>
                </c:pt>
                <c:pt idx="38">
                  <c:v>2626</c:v>
                </c:pt>
                <c:pt idx="39">
                  <c:v>2627</c:v>
                </c:pt>
                <c:pt idx="40">
                  <c:v>2628</c:v>
                </c:pt>
                <c:pt idx="41">
                  <c:v>2629</c:v>
                </c:pt>
                <c:pt idx="42">
                  <c:v>2630</c:v>
                </c:pt>
              </c:numCache>
            </c:numRef>
          </c:cat>
          <c:val>
            <c:numRef>
              <c:f>'Weekly report'!$Y$40:$BO$40</c:f>
              <c:numCache>
                <c:formatCode>0</c:formatCode>
                <c:ptCount val="43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9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8</c:v>
                </c:pt>
                <c:pt idx="17">
                  <c:v>7</c:v>
                </c:pt>
                <c:pt idx="18">
                  <c:v>10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10</c:v>
                </c:pt>
                <c:pt idx="27">
                  <c:v>8</c:v>
                </c:pt>
                <c:pt idx="28">
                  <c:v>5</c:v>
                </c:pt>
                <c:pt idx="29">
                  <c:v>9</c:v>
                </c:pt>
                <c:pt idx="30">
                  <c:v>4</c:v>
                </c:pt>
                <c:pt idx="31">
                  <c:v>3</c:v>
                </c:pt>
                <c:pt idx="32">
                  <c:v>13</c:v>
                </c:pt>
                <c:pt idx="33">
                  <c:v>7</c:v>
                </c:pt>
                <c:pt idx="34">
                  <c:v>12</c:v>
                </c:pt>
                <c:pt idx="35">
                  <c:v>12</c:v>
                </c:pt>
                <c:pt idx="3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1-4C4D-BEDC-9128073D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239232"/>
        <c:axId val="102245504"/>
      </c:barChart>
      <c:catAx>
        <c:axId val="1022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45504"/>
        <c:crosses val="autoZero"/>
        <c:auto val="1"/>
        <c:lblAlgn val="ctr"/>
        <c:lblOffset val="100"/>
        <c:noMultiLvlLbl val="0"/>
      </c:catAx>
      <c:valAx>
        <c:axId val="1022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16 weeks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report'!$A$55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report'!$Y$55:$BO$55</c:f>
              <c:numCache>
                <c:formatCode>0</c:formatCode>
                <c:ptCount val="43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0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3-4F38-B461-0590F2852D9E}"/>
            </c:ext>
          </c:extLst>
        </c:ser>
        <c:ser>
          <c:idx val="1"/>
          <c:order val="1"/>
          <c:tx>
            <c:strRef>
              <c:f>'Weekly report'!$A$57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report'!$Y$57:$BO$57</c:f>
              <c:numCache>
                <c:formatCode>0</c:formatCode>
                <c:ptCount val="43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10</c:v>
                </c:pt>
                <c:pt idx="17">
                  <c:v>9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9</c:v>
                </c:pt>
                <c:pt idx="22">
                  <c:v>8</c:v>
                </c:pt>
                <c:pt idx="23">
                  <c:v>8</c:v>
                </c:pt>
                <c:pt idx="24">
                  <c:v>11</c:v>
                </c:pt>
                <c:pt idx="25">
                  <c:v>9</c:v>
                </c:pt>
                <c:pt idx="26">
                  <c:v>11</c:v>
                </c:pt>
                <c:pt idx="27">
                  <c:v>3</c:v>
                </c:pt>
                <c:pt idx="28">
                  <c:v>13</c:v>
                </c:pt>
                <c:pt idx="29">
                  <c:v>7</c:v>
                </c:pt>
                <c:pt idx="30">
                  <c:v>11</c:v>
                </c:pt>
                <c:pt idx="31">
                  <c:v>10</c:v>
                </c:pt>
                <c:pt idx="32">
                  <c:v>12</c:v>
                </c:pt>
                <c:pt idx="33">
                  <c:v>10</c:v>
                </c:pt>
                <c:pt idx="34">
                  <c:v>9</c:v>
                </c:pt>
                <c:pt idx="35">
                  <c:v>10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3-4F38-B461-0590F2852D9E}"/>
            </c:ext>
          </c:extLst>
        </c:ser>
        <c:ser>
          <c:idx val="2"/>
          <c:order val="2"/>
          <c:tx>
            <c:strRef>
              <c:f>'Weekly report'!$A$59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rgbClr val="4F81BD"/>
              </a:solidFill>
            </a:ln>
          </c:spPr>
          <c:invertIfNegative val="0"/>
          <c:cat>
            <c:numRef>
              <c:f>'Weekly report'!$Y$3:$BO$3</c:f>
              <c:numCache>
                <c:formatCode>General</c:formatCode>
                <c:ptCount val="43"/>
                <c:pt idx="0">
                  <c:v>2534</c:v>
                </c:pt>
                <c:pt idx="1">
                  <c:v>2535</c:v>
                </c:pt>
                <c:pt idx="2">
                  <c:v>2536</c:v>
                </c:pt>
                <c:pt idx="3">
                  <c:v>2537</c:v>
                </c:pt>
                <c:pt idx="4">
                  <c:v>2538</c:v>
                </c:pt>
                <c:pt idx="5">
                  <c:v>2539</c:v>
                </c:pt>
                <c:pt idx="6">
                  <c:v>2540</c:v>
                </c:pt>
                <c:pt idx="7">
                  <c:v>2541</c:v>
                </c:pt>
                <c:pt idx="8">
                  <c:v>2542</c:v>
                </c:pt>
                <c:pt idx="9">
                  <c:v>2543</c:v>
                </c:pt>
                <c:pt idx="10">
                  <c:v>2544</c:v>
                </c:pt>
                <c:pt idx="11">
                  <c:v>2545</c:v>
                </c:pt>
                <c:pt idx="12">
                  <c:v>2546</c:v>
                </c:pt>
                <c:pt idx="13">
                  <c:v>2547</c:v>
                </c:pt>
                <c:pt idx="14">
                  <c:v>2548</c:v>
                </c:pt>
                <c:pt idx="15">
                  <c:v>2549</c:v>
                </c:pt>
                <c:pt idx="16">
                  <c:v>2550</c:v>
                </c:pt>
                <c:pt idx="17">
                  <c:v>2551</c:v>
                </c:pt>
                <c:pt idx="18">
                  <c:v>2552</c:v>
                </c:pt>
                <c:pt idx="19">
                  <c:v>2601</c:v>
                </c:pt>
                <c:pt idx="20">
                  <c:v>2602</c:v>
                </c:pt>
                <c:pt idx="21">
                  <c:v>2603</c:v>
                </c:pt>
                <c:pt idx="22">
                  <c:v>2604</c:v>
                </c:pt>
                <c:pt idx="23">
                  <c:v>2605</c:v>
                </c:pt>
                <c:pt idx="24">
                  <c:v>2606</c:v>
                </c:pt>
                <c:pt idx="25">
                  <c:v>2607</c:v>
                </c:pt>
                <c:pt idx="26">
                  <c:v>2608</c:v>
                </c:pt>
                <c:pt idx="27">
                  <c:v>2609</c:v>
                </c:pt>
                <c:pt idx="28">
                  <c:v>2610</c:v>
                </c:pt>
                <c:pt idx="29">
                  <c:v>2611</c:v>
                </c:pt>
                <c:pt idx="30">
                  <c:v>2612</c:v>
                </c:pt>
                <c:pt idx="31">
                  <c:v>2613</c:v>
                </c:pt>
                <c:pt idx="32">
                  <c:v>2614</c:v>
                </c:pt>
                <c:pt idx="33">
                  <c:v>2615</c:v>
                </c:pt>
                <c:pt idx="34">
                  <c:v>2616</c:v>
                </c:pt>
                <c:pt idx="35">
                  <c:v>2617</c:v>
                </c:pt>
                <c:pt idx="36">
                  <c:v>2618</c:v>
                </c:pt>
                <c:pt idx="37">
                  <c:v>2619</c:v>
                </c:pt>
                <c:pt idx="38">
                  <c:v>2620</c:v>
                </c:pt>
                <c:pt idx="39">
                  <c:v>2621</c:v>
                </c:pt>
                <c:pt idx="40">
                  <c:v>2622</c:v>
                </c:pt>
                <c:pt idx="41">
                  <c:v>2623</c:v>
                </c:pt>
                <c:pt idx="42">
                  <c:v>2624</c:v>
                </c:pt>
              </c:numCache>
            </c:numRef>
          </c:cat>
          <c:val>
            <c:numRef>
              <c:f>'Weekly report'!$Y$59:$BO$59</c:f>
              <c:numCache>
                <c:formatCode>0.00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 formatCode="General">
                  <c:v>1</c:v>
                </c:pt>
                <c:pt idx="4" formatCode="General">
                  <c:v>2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4</c:v>
                </c:pt>
                <c:pt idx="8" formatCode="General">
                  <c:v>3</c:v>
                </c:pt>
                <c:pt idx="9" formatCode="General">
                  <c:v>0</c:v>
                </c:pt>
                <c:pt idx="10" formatCode="General">
                  <c:v>6</c:v>
                </c:pt>
                <c:pt idx="11" formatCode="General">
                  <c:v>5</c:v>
                </c:pt>
                <c:pt idx="12" formatCode="General">
                  <c:v>2</c:v>
                </c:pt>
                <c:pt idx="13" formatCode="General">
                  <c:v>2</c:v>
                </c:pt>
                <c:pt idx="14" formatCode="General">
                  <c:v>5</c:v>
                </c:pt>
                <c:pt idx="15" formatCode="General">
                  <c:v>0</c:v>
                </c:pt>
                <c:pt idx="16" formatCode="General">
                  <c:v>1</c:v>
                </c:pt>
                <c:pt idx="17" formatCode="General">
                  <c:v>2</c:v>
                </c:pt>
                <c:pt idx="18" formatCode="General">
                  <c:v>4</c:v>
                </c:pt>
                <c:pt idx="19" formatCode="General">
                  <c:v>3</c:v>
                </c:pt>
                <c:pt idx="20" formatCode="General">
                  <c:v>3</c:v>
                </c:pt>
                <c:pt idx="21" formatCode="General">
                  <c:v>0</c:v>
                </c:pt>
                <c:pt idx="22" formatCode="General">
                  <c:v>3</c:v>
                </c:pt>
                <c:pt idx="23" formatCode="General">
                  <c:v>2</c:v>
                </c:pt>
                <c:pt idx="24" formatCode="General">
                  <c:v>1</c:v>
                </c:pt>
                <c:pt idx="25" formatCode="General">
                  <c:v>1</c:v>
                </c:pt>
                <c:pt idx="26" formatCode="General">
                  <c:v>1</c:v>
                </c:pt>
                <c:pt idx="27" formatCode="General">
                  <c:v>6</c:v>
                </c:pt>
                <c:pt idx="28" formatCode="General">
                  <c:v>1</c:v>
                </c:pt>
                <c:pt idx="29" formatCode="General">
                  <c:v>1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2</c:v>
                </c:pt>
                <c:pt idx="33" formatCode="General">
                  <c:v>1</c:v>
                </c:pt>
                <c:pt idx="34" formatCode="General">
                  <c:v>0</c:v>
                </c:pt>
                <c:pt idx="35" formatCode="General">
                  <c:v>1</c:v>
                </c:pt>
                <c:pt idx="36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33-4F38-B461-0590F2852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02848"/>
        <c:axId val="102304768"/>
      </c:barChart>
      <c:catAx>
        <c:axId val="10230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04768"/>
        <c:crosses val="autoZero"/>
        <c:auto val="1"/>
        <c:lblAlgn val="ctr"/>
        <c:lblOffset val="100"/>
        <c:noMultiLvlLbl val="0"/>
      </c:catAx>
      <c:valAx>
        <c:axId val="102304768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25 week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report'!$A$73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report'!$Y$73:$BO$73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7-4B2F-AB75-D3E759175AD9}"/>
            </c:ext>
          </c:extLst>
        </c:ser>
        <c:ser>
          <c:idx val="1"/>
          <c:order val="1"/>
          <c:tx>
            <c:strRef>
              <c:f>'Weekly report'!$A$75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report'!$Y$75:$BO$75</c:f>
              <c:numCache>
                <c:formatCode>0</c:formatCode>
                <c:ptCount val="43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8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11</c:v>
                </c:pt>
                <c:pt idx="24">
                  <c:v>11</c:v>
                </c:pt>
                <c:pt idx="25">
                  <c:v>9</c:v>
                </c:pt>
                <c:pt idx="26">
                  <c:v>11</c:v>
                </c:pt>
                <c:pt idx="27">
                  <c:v>8</c:v>
                </c:pt>
                <c:pt idx="28">
                  <c:v>10</c:v>
                </c:pt>
                <c:pt idx="29">
                  <c:v>13</c:v>
                </c:pt>
                <c:pt idx="30">
                  <c:v>9</c:v>
                </c:pt>
                <c:pt idx="31">
                  <c:v>9</c:v>
                </c:pt>
                <c:pt idx="32">
                  <c:v>10</c:v>
                </c:pt>
                <c:pt idx="33">
                  <c:v>8</c:v>
                </c:pt>
                <c:pt idx="34">
                  <c:v>10</c:v>
                </c:pt>
                <c:pt idx="35">
                  <c:v>11</c:v>
                </c:pt>
                <c:pt idx="3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7-4B2F-AB75-D3E759175AD9}"/>
            </c:ext>
          </c:extLst>
        </c:ser>
        <c:ser>
          <c:idx val="2"/>
          <c:order val="2"/>
          <c:tx>
            <c:strRef>
              <c:f>'Weekly report'!$A$77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'Weekly report'!$Y$4:$BO$4</c:f>
              <c:numCache>
                <c:formatCode>General</c:formatCode>
                <c:ptCount val="43"/>
                <c:pt idx="0">
                  <c:v>2525</c:v>
                </c:pt>
                <c:pt idx="1">
                  <c:v>2526</c:v>
                </c:pt>
                <c:pt idx="2">
                  <c:v>2527</c:v>
                </c:pt>
                <c:pt idx="3">
                  <c:v>2528</c:v>
                </c:pt>
                <c:pt idx="4">
                  <c:v>2529</c:v>
                </c:pt>
                <c:pt idx="5">
                  <c:v>2530</c:v>
                </c:pt>
                <c:pt idx="6">
                  <c:v>2531</c:v>
                </c:pt>
                <c:pt idx="7">
                  <c:v>2532</c:v>
                </c:pt>
                <c:pt idx="8">
                  <c:v>2533</c:v>
                </c:pt>
                <c:pt idx="9">
                  <c:v>2534</c:v>
                </c:pt>
                <c:pt idx="10">
                  <c:v>2535</c:v>
                </c:pt>
                <c:pt idx="11">
                  <c:v>2536</c:v>
                </c:pt>
                <c:pt idx="12">
                  <c:v>2537</c:v>
                </c:pt>
                <c:pt idx="13">
                  <c:v>2538</c:v>
                </c:pt>
                <c:pt idx="14">
                  <c:v>2539</c:v>
                </c:pt>
                <c:pt idx="15">
                  <c:v>2540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2545</c:v>
                </c:pt>
                <c:pt idx="21">
                  <c:v>2546</c:v>
                </c:pt>
                <c:pt idx="22">
                  <c:v>2547</c:v>
                </c:pt>
                <c:pt idx="23">
                  <c:v>2548</c:v>
                </c:pt>
                <c:pt idx="24">
                  <c:v>2549</c:v>
                </c:pt>
                <c:pt idx="25">
                  <c:v>2550</c:v>
                </c:pt>
                <c:pt idx="26">
                  <c:v>2551</c:v>
                </c:pt>
                <c:pt idx="27">
                  <c:v>2552</c:v>
                </c:pt>
                <c:pt idx="28">
                  <c:v>2601</c:v>
                </c:pt>
                <c:pt idx="29">
                  <c:v>2602</c:v>
                </c:pt>
                <c:pt idx="30">
                  <c:v>2603</c:v>
                </c:pt>
                <c:pt idx="31">
                  <c:v>2604</c:v>
                </c:pt>
                <c:pt idx="32">
                  <c:v>2605</c:v>
                </c:pt>
                <c:pt idx="33">
                  <c:v>2606</c:v>
                </c:pt>
                <c:pt idx="34">
                  <c:v>2607</c:v>
                </c:pt>
                <c:pt idx="35">
                  <c:v>2608</c:v>
                </c:pt>
                <c:pt idx="36">
                  <c:v>2609</c:v>
                </c:pt>
                <c:pt idx="37">
                  <c:v>2610</c:v>
                </c:pt>
                <c:pt idx="38">
                  <c:v>2611</c:v>
                </c:pt>
                <c:pt idx="39">
                  <c:v>2612</c:v>
                </c:pt>
                <c:pt idx="40">
                  <c:v>2613</c:v>
                </c:pt>
                <c:pt idx="41">
                  <c:v>2614</c:v>
                </c:pt>
                <c:pt idx="42">
                  <c:v>2615</c:v>
                </c:pt>
              </c:numCache>
            </c:numRef>
          </c:cat>
          <c:val>
            <c:numRef>
              <c:f>'Weekly report'!$Y$77:$BO$77</c:f>
              <c:numCache>
                <c:formatCode>0</c:formatCode>
                <c:ptCount val="43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9</c:v>
                </c:pt>
                <c:pt idx="12">
                  <c:v>1</c:v>
                </c:pt>
                <c:pt idx="13">
                  <c:v>6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7-4B2F-AB75-D3E759175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58016"/>
        <c:axId val="102364288"/>
      </c:barChart>
      <c:catAx>
        <c:axId val="10235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4288"/>
        <c:crosses val="autoZero"/>
        <c:auto val="1"/>
        <c:lblAlgn val="ctr"/>
        <c:lblOffset val="100"/>
        <c:noMultiLvlLbl val="0"/>
      </c:catAx>
      <c:valAx>
        <c:axId val="102364288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5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28 week gilt variation chart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report'!$A$91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report'!$Y$91:$BO$91</c:f>
              <c:numCache>
                <c:formatCode>0</c:formatCode>
                <c:ptCount val="43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FE7-9B4D-0C4C3E9BF3F1}"/>
            </c:ext>
          </c:extLst>
        </c:ser>
        <c:ser>
          <c:idx val="1"/>
          <c:order val="1"/>
          <c:tx>
            <c:strRef>
              <c:f>'Weekly report'!$A$93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report'!$Y$93:$BO$93</c:f>
              <c:numCache>
                <c:formatCode>0</c:formatCode>
                <c:ptCount val="43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3</c:v>
                </c:pt>
                <c:pt idx="14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  <c:pt idx="22">
                  <c:v>1</c:v>
                </c:pt>
                <c:pt idx="23">
                  <c:v>4</c:v>
                </c:pt>
                <c:pt idx="24">
                  <c:v>5</c:v>
                </c:pt>
                <c:pt idx="25">
                  <c:v>10</c:v>
                </c:pt>
                <c:pt idx="26">
                  <c:v>8</c:v>
                </c:pt>
                <c:pt idx="27">
                  <c:v>9</c:v>
                </c:pt>
                <c:pt idx="28">
                  <c:v>7</c:v>
                </c:pt>
                <c:pt idx="29">
                  <c:v>11</c:v>
                </c:pt>
                <c:pt idx="30">
                  <c:v>6</c:v>
                </c:pt>
                <c:pt idx="31">
                  <c:v>11</c:v>
                </c:pt>
                <c:pt idx="32">
                  <c:v>13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5-4FE7-9B4D-0C4C3E9BF3F1}"/>
            </c:ext>
          </c:extLst>
        </c:ser>
        <c:ser>
          <c:idx val="2"/>
          <c:order val="2"/>
          <c:tx>
            <c:strRef>
              <c:f>'Weekly report'!$A$95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'Weekly report'!$Y$5:$BO$5</c:f>
              <c:numCache>
                <c:formatCode>General</c:formatCode>
                <c:ptCount val="43"/>
                <c:pt idx="0">
                  <c:v>2522</c:v>
                </c:pt>
                <c:pt idx="1">
                  <c:v>2523</c:v>
                </c:pt>
                <c:pt idx="2">
                  <c:v>2524</c:v>
                </c:pt>
                <c:pt idx="3">
                  <c:v>2525</c:v>
                </c:pt>
                <c:pt idx="4">
                  <c:v>2526</c:v>
                </c:pt>
                <c:pt idx="5">
                  <c:v>2527</c:v>
                </c:pt>
                <c:pt idx="6">
                  <c:v>2528</c:v>
                </c:pt>
                <c:pt idx="7">
                  <c:v>2529</c:v>
                </c:pt>
                <c:pt idx="8">
                  <c:v>2530</c:v>
                </c:pt>
                <c:pt idx="9">
                  <c:v>2531</c:v>
                </c:pt>
                <c:pt idx="10">
                  <c:v>2532</c:v>
                </c:pt>
                <c:pt idx="11">
                  <c:v>2533</c:v>
                </c:pt>
                <c:pt idx="12">
                  <c:v>2534</c:v>
                </c:pt>
                <c:pt idx="13">
                  <c:v>2535</c:v>
                </c:pt>
                <c:pt idx="14">
                  <c:v>2536</c:v>
                </c:pt>
                <c:pt idx="15">
                  <c:v>2537</c:v>
                </c:pt>
                <c:pt idx="16">
                  <c:v>2538</c:v>
                </c:pt>
                <c:pt idx="17">
                  <c:v>2539</c:v>
                </c:pt>
                <c:pt idx="18">
                  <c:v>2540</c:v>
                </c:pt>
                <c:pt idx="19">
                  <c:v>2541</c:v>
                </c:pt>
                <c:pt idx="20">
                  <c:v>2542</c:v>
                </c:pt>
                <c:pt idx="21">
                  <c:v>2543</c:v>
                </c:pt>
                <c:pt idx="22">
                  <c:v>2544</c:v>
                </c:pt>
                <c:pt idx="23">
                  <c:v>2545</c:v>
                </c:pt>
                <c:pt idx="24">
                  <c:v>2546</c:v>
                </c:pt>
                <c:pt idx="25">
                  <c:v>2547</c:v>
                </c:pt>
                <c:pt idx="26">
                  <c:v>2548</c:v>
                </c:pt>
                <c:pt idx="27">
                  <c:v>2549</c:v>
                </c:pt>
                <c:pt idx="28">
                  <c:v>2550</c:v>
                </c:pt>
                <c:pt idx="29">
                  <c:v>2551</c:v>
                </c:pt>
                <c:pt idx="30">
                  <c:v>2552</c:v>
                </c:pt>
                <c:pt idx="31">
                  <c:v>2601</c:v>
                </c:pt>
                <c:pt idx="32">
                  <c:v>2602</c:v>
                </c:pt>
                <c:pt idx="33">
                  <c:v>2603</c:v>
                </c:pt>
                <c:pt idx="34">
                  <c:v>2604</c:v>
                </c:pt>
                <c:pt idx="35">
                  <c:v>2605</c:v>
                </c:pt>
                <c:pt idx="36">
                  <c:v>2606</c:v>
                </c:pt>
                <c:pt idx="37">
                  <c:v>2607</c:v>
                </c:pt>
                <c:pt idx="38">
                  <c:v>2608</c:v>
                </c:pt>
                <c:pt idx="39">
                  <c:v>2609</c:v>
                </c:pt>
                <c:pt idx="40">
                  <c:v>2610</c:v>
                </c:pt>
                <c:pt idx="41">
                  <c:v>2611</c:v>
                </c:pt>
                <c:pt idx="42">
                  <c:v>2612</c:v>
                </c:pt>
              </c:numCache>
            </c:numRef>
          </c:cat>
          <c:val>
            <c:numRef>
              <c:f>'Weekly report'!$Y$95:$BO$95</c:f>
              <c:numCache>
                <c:formatCode>0</c:formatCode>
                <c:ptCount val="43"/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2</c:v>
                </c:pt>
                <c:pt idx="13">
                  <c:v>7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5</c:v>
                </c:pt>
                <c:pt idx="19">
                  <c:v>10</c:v>
                </c:pt>
                <c:pt idx="20">
                  <c:v>11</c:v>
                </c:pt>
                <c:pt idx="21">
                  <c:v>7</c:v>
                </c:pt>
                <c:pt idx="22">
                  <c:v>10</c:v>
                </c:pt>
                <c:pt idx="23">
                  <c:v>9</c:v>
                </c:pt>
                <c:pt idx="24">
                  <c:v>3</c:v>
                </c:pt>
                <c:pt idx="25">
                  <c:v>0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6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5-4FE7-9B4D-0C4C3E9BF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21632"/>
        <c:axId val="102423552"/>
      </c:barChart>
      <c:catAx>
        <c:axId val="10242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3552"/>
        <c:crosses val="autoZero"/>
        <c:auto val="1"/>
        <c:lblAlgn val="ctr"/>
        <c:lblOffset val="100"/>
        <c:noMultiLvlLbl val="0"/>
      </c:catAx>
      <c:valAx>
        <c:axId val="102423552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Gilt Age at Service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report'!$A$102</c:f>
              <c:strCache>
                <c:ptCount val="1"/>
                <c:pt idx="0">
                  <c:v>Under 31 weeks at Service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report'!$Y$102:$BO$102</c:f>
              <c:numCache>
                <c:formatCode>General</c:formatCode>
                <c:ptCount val="43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4-4FE9-A5EF-6D20CA7C36EF}"/>
            </c:ext>
          </c:extLst>
        </c:ser>
        <c:ser>
          <c:idx val="1"/>
          <c:order val="1"/>
          <c:tx>
            <c:strRef>
              <c:f>'Weekly report'!$A$103</c:f>
              <c:strCache>
                <c:ptCount val="1"/>
                <c:pt idx="0">
                  <c:v>31-33 weeks at Service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report'!$Y$103:$BO$103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  <c:pt idx="9">
                  <c:v>11</c:v>
                </c:pt>
                <c:pt idx="10">
                  <c:v>6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6</c:v>
                </c:pt>
                <c:pt idx="15">
                  <c:v>9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9</c:v>
                </c:pt>
                <c:pt idx="20">
                  <c:v>11</c:v>
                </c:pt>
                <c:pt idx="21">
                  <c:v>4</c:v>
                </c:pt>
                <c:pt idx="22">
                  <c:v>4</c:v>
                </c:pt>
                <c:pt idx="23">
                  <c:v>12</c:v>
                </c:pt>
                <c:pt idx="24">
                  <c:v>2</c:v>
                </c:pt>
                <c:pt idx="25">
                  <c:v>12</c:v>
                </c:pt>
                <c:pt idx="26">
                  <c:v>9</c:v>
                </c:pt>
                <c:pt idx="27">
                  <c:v>11</c:v>
                </c:pt>
                <c:pt idx="28">
                  <c:v>7</c:v>
                </c:pt>
                <c:pt idx="29">
                  <c:v>6</c:v>
                </c:pt>
                <c:pt idx="30">
                  <c:v>10</c:v>
                </c:pt>
                <c:pt idx="31">
                  <c:v>6</c:v>
                </c:pt>
                <c:pt idx="32">
                  <c:v>14</c:v>
                </c:pt>
                <c:pt idx="33">
                  <c:v>5</c:v>
                </c:pt>
                <c:pt idx="34">
                  <c:v>13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4-4FE9-A5EF-6D20CA7C36EF}"/>
            </c:ext>
          </c:extLst>
        </c:ser>
        <c:ser>
          <c:idx val="2"/>
          <c:order val="2"/>
          <c:tx>
            <c:strRef>
              <c:f>'Weekly report'!$A$104</c:f>
              <c:strCache>
                <c:ptCount val="1"/>
                <c:pt idx="0">
                  <c:v>Over 33 weeks at Service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'Weekly report'!$Y$6:$BO$6</c:f>
              <c:numCache>
                <c:formatCode>General</c:formatCode>
                <c:ptCount val="43"/>
                <c:pt idx="0">
                  <c:v>2518</c:v>
                </c:pt>
                <c:pt idx="1">
                  <c:v>2519</c:v>
                </c:pt>
                <c:pt idx="2">
                  <c:v>2520</c:v>
                </c:pt>
                <c:pt idx="3">
                  <c:v>2521</c:v>
                </c:pt>
                <c:pt idx="4">
                  <c:v>2522</c:v>
                </c:pt>
                <c:pt idx="5">
                  <c:v>2523</c:v>
                </c:pt>
                <c:pt idx="6">
                  <c:v>2524</c:v>
                </c:pt>
                <c:pt idx="7">
                  <c:v>2525</c:v>
                </c:pt>
                <c:pt idx="8">
                  <c:v>2526</c:v>
                </c:pt>
                <c:pt idx="9">
                  <c:v>2527</c:v>
                </c:pt>
                <c:pt idx="10">
                  <c:v>2528</c:v>
                </c:pt>
                <c:pt idx="11">
                  <c:v>2529</c:v>
                </c:pt>
                <c:pt idx="12">
                  <c:v>2530</c:v>
                </c:pt>
                <c:pt idx="13">
                  <c:v>2531</c:v>
                </c:pt>
                <c:pt idx="14">
                  <c:v>2532</c:v>
                </c:pt>
                <c:pt idx="15">
                  <c:v>2533</c:v>
                </c:pt>
                <c:pt idx="16">
                  <c:v>2534</c:v>
                </c:pt>
                <c:pt idx="17">
                  <c:v>2535</c:v>
                </c:pt>
                <c:pt idx="18">
                  <c:v>2536</c:v>
                </c:pt>
                <c:pt idx="19">
                  <c:v>2537</c:v>
                </c:pt>
                <c:pt idx="20">
                  <c:v>2538</c:v>
                </c:pt>
                <c:pt idx="21">
                  <c:v>2539</c:v>
                </c:pt>
                <c:pt idx="22">
                  <c:v>2540</c:v>
                </c:pt>
                <c:pt idx="23">
                  <c:v>2541</c:v>
                </c:pt>
                <c:pt idx="24">
                  <c:v>2542</c:v>
                </c:pt>
                <c:pt idx="25">
                  <c:v>2543</c:v>
                </c:pt>
                <c:pt idx="26">
                  <c:v>2544</c:v>
                </c:pt>
                <c:pt idx="27">
                  <c:v>2545</c:v>
                </c:pt>
                <c:pt idx="28">
                  <c:v>2546</c:v>
                </c:pt>
                <c:pt idx="29">
                  <c:v>2547</c:v>
                </c:pt>
                <c:pt idx="30">
                  <c:v>2548</c:v>
                </c:pt>
                <c:pt idx="31">
                  <c:v>2549</c:v>
                </c:pt>
                <c:pt idx="32">
                  <c:v>2550</c:v>
                </c:pt>
                <c:pt idx="33">
                  <c:v>2551</c:v>
                </c:pt>
                <c:pt idx="34">
                  <c:v>2552</c:v>
                </c:pt>
                <c:pt idx="35">
                  <c:v>2601</c:v>
                </c:pt>
                <c:pt idx="36">
                  <c:v>2601</c:v>
                </c:pt>
                <c:pt idx="37">
                  <c:v>2602</c:v>
                </c:pt>
                <c:pt idx="38">
                  <c:v>2603</c:v>
                </c:pt>
                <c:pt idx="39">
                  <c:v>2604</c:v>
                </c:pt>
                <c:pt idx="40">
                  <c:v>2605</c:v>
                </c:pt>
                <c:pt idx="41">
                  <c:v>2606</c:v>
                </c:pt>
                <c:pt idx="42">
                  <c:v>2607</c:v>
                </c:pt>
              </c:numCache>
            </c:numRef>
          </c:cat>
          <c:val>
            <c:numRef>
              <c:f>'Weekly report'!$Y$104:$BO$104</c:f>
              <c:numCache>
                <c:formatCode>General</c:formatCode>
                <c:ptCount val="4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44-4FE9-A5EF-6D20CA7C3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90112"/>
        <c:axId val="102492032"/>
      </c:barChart>
      <c:catAx>
        <c:axId val="10249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2032"/>
        <c:crosses val="autoZero"/>
        <c:auto val="1"/>
        <c:lblAlgn val="ctr"/>
        <c:lblOffset val="100"/>
        <c:noMultiLvlLbl val="0"/>
      </c:catAx>
      <c:valAx>
        <c:axId val="10249203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2nd Parity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report'!$A$129</c:f>
              <c:strCache>
                <c:ptCount val="1"/>
                <c:pt idx="0">
                  <c:v>Target 2nd parity services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report'!$Y$129:$BO$129</c:f>
              <c:numCache>
                <c:formatCode>0</c:formatCode>
                <c:ptCount val="43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D-47EF-8C30-F8E07FF3B460}"/>
            </c:ext>
          </c:extLst>
        </c:ser>
        <c:ser>
          <c:idx val="1"/>
          <c:order val="1"/>
          <c:tx>
            <c:strRef>
              <c:f>'Weekly report'!$A$130</c:f>
              <c:strCache>
                <c:ptCount val="1"/>
                <c:pt idx="0">
                  <c:v>Actual 2nd parity services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report'!$Y$130:$BO$130</c:f>
              <c:numCache>
                <c:formatCode>0.00</c:formatCode>
                <c:ptCount val="43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6</c:v>
                </c:pt>
                <c:pt idx="12">
                  <c:v>9</c:v>
                </c:pt>
                <c:pt idx="13">
                  <c:v>8</c:v>
                </c:pt>
                <c:pt idx="14">
                  <c:v>12</c:v>
                </c:pt>
                <c:pt idx="15">
                  <c:v>10</c:v>
                </c:pt>
                <c:pt idx="16">
                  <c:v>13</c:v>
                </c:pt>
                <c:pt idx="17">
                  <c:v>16</c:v>
                </c:pt>
                <c:pt idx="18">
                  <c:v>6</c:v>
                </c:pt>
                <c:pt idx="19">
                  <c:v>6</c:v>
                </c:pt>
                <c:pt idx="20">
                  <c:v>11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5</c:v>
                </c:pt>
                <c:pt idx="26">
                  <c:v>12</c:v>
                </c:pt>
                <c:pt idx="27">
                  <c:v>7</c:v>
                </c:pt>
                <c:pt idx="28">
                  <c:v>6</c:v>
                </c:pt>
                <c:pt idx="29">
                  <c:v>13</c:v>
                </c:pt>
                <c:pt idx="30">
                  <c:v>13</c:v>
                </c:pt>
                <c:pt idx="31">
                  <c:v>7</c:v>
                </c:pt>
                <c:pt idx="32">
                  <c:v>11</c:v>
                </c:pt>
                <c:pt idx="33">
                  <c:v>8</c:v>
                </c:pt>
                <c:pt idx="34">
                  <c:v>10</c:v>
                </c:pt>
                <c:pt idx="3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8D-47EF-8C30-F8E07FF3B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53088"/>
        <c:axId val="102555008"/>
      </c:lineChart>
      <c:catAx>
        <c:axId val="10255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5008"/>
        <c:crosses val="autoZero"/>
        <c:auto val="1"/>
        <c:lblAlgn val="ctr"/>
        <c:lblOffset val="100"/>
        <c:noMultiLvlLbl val="0"/>
      </c:catAx>
      <c:valAx>
        <c:axId val="10255500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gain in gestation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report'!$A$157</c:f>
              <c:strCache>
                <c:ptCount val="1"/>
                <c:pt idx="0">
                  <c:v>upper gestation gain target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report'!$Y$157:$BO$157</c:f>
              <c:numCache>
                <c:formatCode>0</c:formatCode>
                <c:ptCount val="43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81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81</c:v>
                </c:pt>
                <c:pt idx="31">
                  <c:v>81</c:v>
                </c:pt>
                <c:pt idx="32">
                  <c:v>81</c:v>
                </c:pt>
                <c:pt idx="33">
                  <c:v>81</c:v>
                </c:pt>
                <c:pt idx="34">
                  <c:v>81</c:v>
                </c:pt>
                <c:pt idx="35">
                  <c:v>81</c:v>
                </c:pt>
                <c:pt idx="36">
                  <c:v>81</c:v>
                </c:pt>
                <c:pt idx="37">
                  <c:v>81</c:v>
                </c:pt>
                <c:pt idx="38">
                  <c:v>81</c:v>
                </c:pt>
                <c:pt idx="39">
                  <c:v>81</c:v>
                </c:pt>
                <c:pt idx="40">
                  <c:v>81</c:v>
                </c:pt>
                <c:pt idx="41">
                  <c:v>81</c:v>
                </c:pt>
                <c:pt idx="42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B-4D9A-AD8B-CDAA97C5BFC6}"/>
            </c:ext>
          </c:extLst>
        </c:ser>
        <c:ser>
          <c:idx val="2"/>
          <c:order val="1"/>
          <c:tx>
            <c:strRef>
              <c:f>'Weekly report'!$A$147</c:f>
              <c:strCache>
                <c:ptCount val="1"/>
                <c:pt idx="0">
                  <c:v>Avg Gain In Gestation</c:v>
                </c:pt>
              </c:strCache>
            </c:strRef>
          </c:tx>
          <c:spPr>
            <a:ln w="1905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report'!$Y$147:$BO$147</c:f>
              <c:numCache>
                <c:formatCode>0.0</c:formatCode>
                <c:ptCount val="43"/>
                <c:pt idx="0">
                  <c:v>83.7</c:v>
                </c:pt>
                <c:pt idx="1">
                  <c:v>81.099999999999994</c:v>
                </c:pt>
                <c:pt idx="2">
                  <c:v>79.3</c:v>
                </c:pt>
                <c:pt idx="3">
                  <c:v>80.7</c:v>
                </c:pt>
                <c:pt idx="4">
                  <c:v>67.400000000000006</c:v>
                </c:pt>
                <c:pt idx="5">
                  <c:v>73.2</c:v>
                </c:pt>
                <c:pt idx="6">
                  <c:v>78.599999999999994</c:v>
                </c:pt>
                <c:pt idx="7">
                  <c:v>73</c:v>
                </c:pt>
                <c:pt idx="8">
                  <c:v>67.3</c:v>
                </c:pt>
                <c:pt idx="9">
                  <c:v>72.8</c:v>
                </c:pt>
                <c:pt idx="10">
                  <c:v>71.400000000000006</c:v>
                </c:pt>
                <c:pt idx="11">
                  <c:v>76.2</c:v>
                </c:pt>
                <c:pt idx="12">
                  <c:v>60.9</c:v>
                </c:pt>
                <c:pt idx="13">
                  <c:v>75.2</c:v>
                </c:pt>
                <c:pt idx="14">
                  <c:v>69.5</c:v>
                </c:pt>
                <c:pt idx="15">
                  <c:v>76</c:v>
                </c:pt>
                <c:pt idx="16">
                  <c:v>77.5</c:v>
                </c:pt>
                <c:pt idx="17">
                  <c:v>83.6</c:v>
                </c:pt>
                <c:pt idx="18">
                  <c:v>75.2</c:v>
                </c:pt>
                <c:pt idx="19">
                  <c:v>82.1</c:v>
                </c:pt>
                <c:pt idx="20">
                  <c:v>69.5</c:v>
                </c:pt>
                <c:pt idx="21">
                  <c:v>83.2</c:v>
                </c:pt>
                <c:pt idx="22">
                  <c:v>83</c:v>
                </c:pt>
                <c:pt idx="23">
                  <c:v>88.7</c:v>
                </c:pt>
                <c:pt idx="24">
                  <c:v>81</c:v>
                </c:pt>
                <c:pt idx="25">
                  <c:v>88.5</c:v>
                </c:pt>
                <c:pt idx="26">
                  <c:v>85.8</c:v>
                </c:pt>
                <c:pt idx="27">
                  <c:v>88.9</c:v>
                </c:pt>
                <c:pt idx="28">
                  <c:v>82.8</c:v>
                </c:pt>
                <c:pt idx="29">
                  <c:v>85.3</c:v>
                </c:pt>
                <c:pt idx="30">
                  <c:v>77.599999999999994</c:v>
                </c:pt>
                <c:pt idx="31">
                  <c:v>74.599999999999994</c:v>
                </c:pt>
                <c:pt idx="32">
                  <c:v>69.599999999999994</c:v>
                </c:pt>
                <c:pt idx="33">
                  <c:v>75.400000000000006</c:v>
                </c:pt>
                <c:pt idx="34">
                  <c:v>76.400000000000006</c:v>
                </c:pt>
                <c:pt idx="35">
                  <c:v>73.8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B-4D9A-AD8B-CDAA97C5BFC6}"/>
            </c:ext>
          </c:extLst>
        </c:ser>
        <c:ser>
          <c:idx val="1"/>
          <c:order val="2"/>
          <c:tx>
            <c:strRef>
              <c:f>'Weekly report'!$A$156</c:f>
              <c:strCache>
                <c:ptCount val="1"/>
                <c:pt idx="0">
                  <c:v>lower gestation gain target</c:v>
                </c:pt>
              </c:strCache>
            </c:strRef>
          </c:tx>
          <c:spPr>
            <a:ln w="2540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cap="rnd">
                <a:solidFill>
                  <a:srgbClr val="FF0000"/>
                </a:solidFill>
              </a:ln>
            </c:spPr>
          </c:marker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report'!$Y$156:$BO$156</c:f>
              <c:numCache>
                <c:formatCode>0</c:formatCode>
                <c:ptCount val="43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  <c:pt idx="12">
                  <c:v>74</c:v>
                </c:pt>
                <c:pt idx="13">
                  <c:v>74</c:v>
                </c:pt>
                <c:pt idx="14">
                  <c:v>74</c:v>
                </c:pt>
                <c:pt idx="15">
                  <c:v>74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  <c:pt idx="19">
                  <c:v>74</c:v>
                </c:pt>
                <c:pt idx="20">
                  <c:v>74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74</c:v>
                </c:pt>
                <c:pt idx="29">
                  <c:v>74</c:v>
                </c:pt>
                <c:pt idx="30">
                  <c:v>74</c:v>
                </c:pt>
                <c:pt idx="31">
                  <c:v>74</c:v>
                </c:pt>
                <c:pt idx="32">
                  <c:v>74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B-4D9A-AD8B-CDAA97C5B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91488"/>
        <c:axId val="102635008"/>
      </c:lineChart>
      <c:catAx>
        <c:axId val="102591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2635008"/>
        <c:crosses val="autoZero"/>
        <c:auto val="1"/>
        <c:lblAlgn val="ctr"/>
        <c:lblOffset val="100"/>
        <c:noMultiLvlLbl val="0"/>
      </c:catAx>
      <c:valAx>
        <c:axId val="10263500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GAIN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5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3rd parity service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report'!$A$131</c:f>
              <c:strCache>
                <c:ptCount val="1"/>
                <c:pt idx="0">
                  <c:v>Target 3rd parity services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report'!$Y$131:$BO$131</c:f>
              <c:numCache>
                <c:formatCode>0</c:formatCode>
                <c:ptCount val="4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4-43F7-88B3-D787CB77E023}"/>
            </c:ext>
          </c:extLst>
        </c:ser>
        <c:ser>
          <c:idx val="1"/>
          <c:order val="1"/>
          <c:tx>
            <c:strRef>
              <c:f>'Weekly report'!$A$132</c:f>
              <c:strCache>
                <c:ptCount val="1"/>
                <c:pt idx="0">
                  <c:v>Actual 3rd parity services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report'!$Y$132:$BO$132</c:f>
              <c:numCache>
                <c:formatCode>0.00</c:formatCode>
                <c:ptCount val="43"/>
                <c:pt idx="0">
                  <c:v>8</c:v>
                </c:pt>
                <c:pt idx="1">
                  <c:v>13</c:v>
                </c:pt>
                <c:pt idx="2">
                  <c:v>5</c:v>
                </c:pt>
                <c:pt idx="3">
                  <c:v>14</c:v>
                </c:pt>
                <c:pt idx="4">
                  <c:v>13</c:v>
                </c:pt>
                <c:pt idx="5">
                  <c:v>6</c:v>
                </c:pt>
                <c:pt idx="6">
                  <c:v>7</c:v>
                </c:pt>
                <c:pt idx="7">
                  <c:v>12</c:v>
                </c:pt>
                <c:pt idx="8">
                  <c:v>11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7</c:v>
                </c:pt>
                <c:pt idx="28">
                  <c:v>14</c:v>
                </c:pt>
                <c:pt idx="29">
                  <c:v>9</c:v>
                </c:pt>
                <c:pt idx="30">
                  <c:v>5</c:v>
                </c:pt>
                <c:pt idx="31">
                  <c:v>13</c:v>
                </c:pt>
                <c:pt idx="32">
                  <c:v>2</c:v>
                </c:pt>
                <c:pt idx="33">
                  <c:v>11</c:v>
                </c:pt>
                <c:pt idx="34">
                  <c:v>9</c:v>
                </c:pt>
                <c:pt idx="3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94-43F7-88B3-D787CB77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67392"/>
        <c:axId val="102669312"/>
      </c:lineChart>
      <c:catAx>
        <c:axId val="10266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9312"/>
        <c:crosses val="autoZero"/>
        <c:auto val="1"/>
        <c:lblAlgn val="ctr"/>
        <c:lblOffset val="100"/>
        <c:noMultiLvlLbl val="0"/>
      </c:catAx>
      <c:valAx>
        <c:axId val="102669312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Gilt into farrowing variation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report'!$A$142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report'!$Y$142:$BO$142</c:f>
              <c:numCache>
                <c:formatCode>0</c:formatCode>
                <c:ptCount val="43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9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  <c:pt idx="12">
                  <c:v>11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3</c:v>
                </c:pt>
                <c:pt idx="20">
                  <c:v>7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A-433F-8B17-0CABE200B6CF}"/>
            </c:ext>
          </c:extLst>
        </c:ser>
        <c:ser>
          <c:idx val="1"/>
          <c:order val="1"/>
          <c:tx>
            <c:strRef>
              <c:f>'Weekly report'!$A$144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report'!$Y$144:$BO$144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6</c:v>
                </c:pt>
                <c:pt idx="25">
                  <c:v>7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7</c:v>
                </c:pt>
                <c:pt idx="33">
                  <c:v>5</c:v>
                </c:pt>
                <c:pt idx="34">
                  <c:v>3</c:v>
                </c:pt>
                <c:pt idx="3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A-433F-8B17-0CABE200B6CF}"/>
            </c:ext>
          </c:extLst>
        </c:ser>
        <c:ser>
          <c:idx val="2"/>
          <c:order val="2"/>
          <c:tx>
            <c:strRef>
              <c:f>'Weekly report'!$A$146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4F81BD"/>
              </a:solidFill>
            </a:ln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report'!$Y$146:$BO$146</c:f>
              <c:numCache>
                <c:formatCode>0</c:formatCode>
                <c:ptCount val="43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6</c:v>
                </c:pt>
                <c:pt idx="26">
                  <c:v>2</c:v>
                </c:pt>
                <c:pt idx="27">
                  <c:v>10</c:v>
                </c:pt>
                <c:pt idx="28">
                  <c:v>1</c:v>
                </c:pt>
                <c:pt idx="29">
                  <c:v>5</c:v>
                </c:pt>
                <c:pt idx="30">
                  <c:v>4</c:v>
                </c:pt>
                <c:pt idx="31">
                  <c:v>7</c:v>
                </c:pt>
                <c:pt idx="32">
                  <c:v>3</c:v>
                </c:pt>
                <c:pt idx="33">
                  <c:v>5</c:v>
                </c:pt>
                <c:pt idx="34">
                  <c:v>10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A-433F-8B17-0CABE200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30752"/>
        <c:axId val="102732928"/>
      </c:barChart>
      <c:catAx>
        <c:axId val="10273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2732928"/>
        <c:crosses val="autoZero"/>
        <c:auto val="1"/>
        <c:lblAlgn val="ctr"/>
        <c:lblOffset val="100"/>
        <c:noMultiLvlLbl val="0"/>
      </c:catAx>
      <c:valAx>
        <c:axId val="102732928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273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Total service target, total served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report'!$A$133</c:f>
              <c:strCache>
                <c:ptCount val="1"/>
                <c:pt idx="0">
                  <c:v>Total service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report'!$Y$133:$BO$133</c:f>
              <c:numCache>
                <c:formatCode>0</c:formatCode>
                <c:ptCount val="43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4-404D-9057-9F05B804B92B}"/>
            </c:ext>
          </c:extLst>
        </c:ser>
        <c:ser>
          <c:idx val="1"/>
          <c:order val="1"/>
          <c:tx>
            <c:strRef>
              <c:f>'Weekly report'!$A$134</c:f>
              <c:strCache>
                <c:ptCount val="1"/>
                <c:pt idx="0">
                  <c:v>total served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ysClr val="windowText" lastClr="0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report'!$Y$134:$BO$134</c:f>
              <c:numCache>
                <c:formatCode>0.00</c:formatCode>
                <c:ptCount val="43"/>
                <c:pt idx="0">
                  <c:v>46</c:v>
                </c:pt>
                <c:pt idx="1">
                  <c:v>51</c:v>
                </c:pt>
                <c:pt idx="2">
                  <c:v>50</c:v>
                </c:pt>
                <c:pt idx="3">
                  <c:v>48</c:v>
                </c:pt>
                <c:pt idx="4">
                  <c:v>51</c:v>
                </c:pt>
                <c:pt idx="5">
                  <c:v>52</c:v>
                </c:pt>
                <c:pt idx="6">
                  <c:v>50</c:v>
                </c:pt>
                <c:pt idx="7">
                  <c:v>49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51</c:v>
                </c:pt>
                <c:pt idx="12">
                  <c:v>49</c:v>
                </c:pt>
                <c:pt idx="13">
                  <c:v>47</c:v>
                </c:pt>
                <c:pt idx="14">
                  <c:v>50</c:v>
                </c:pt>
                <c:pt idx="15">
                  <c:v>50</c:v>
                </c:pt>
                <c:pt idx="16">
                  <c:v>47</c:v>
                </c:pt>
                <c:pt idx="17">
                  <c:v>51</c:v>
                </c:pt>
                <c:pt idx="18">
                  <c:v>49</c:v>
                </c:pt>
                <c:pt idx="19">
                  <c:v>49</c:v>
                </c:pt>
                <c:pt idx="20">
                  <c:v>53</c:v>
                </c:pt>
                <c:pt idx="21">
                  <c:v>46</c:v>
                </c:pt>
                <c:pt idx="22">
                  <c:v>49</c:v>
                </c:pt>
                <c:pt idx="23">
                  <c:v>49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47</c:v>
                </c:pt>
                <c:pt idx="28">
                  <c:v>51</c:v>
                </c:pt>
                <c:pt idx="29">
                  <c:v>50</c:v>
                </c:pt>
                <c:pt idx="30">
                  <c:v>51</c:v>
                </c:pt>
                <c:pt idx="31">
                  <c:v>50</c:v>
                </c:pt>
                <c:pt idx="32">
                  <c:v>51</c:v>
                </c:pt>
                <c:pt idx="33">
                  <c:v>50</c:v>
                </c:pt>
                <c:pt idx="34">
                  <c:v>51</c:v>
                </c:pt>
                <c:pt idx="3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4-404D-9057-9F05B804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68832"/>
        <c:axId val="103770752"/>
      </c:lineChart>
      <c:catAx>
        <c:axId val="10376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70752"/>
        <c:crosses val="autoZero"/>
        <c:auto val="1"/>
        <c:lblAlgn val="ctr"/>
        <c:lblOffset val="100"/>
        <c:noMultiLvlLbl val="0"/>
      </c:catAx>
      <c:valAx>
        <c:axId val="103770752"/>
        <c:scaling>
          <c:orientation val="minMax"/>
          <c:max val="5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883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Into</a:t>
            </a:r>
            <a:r>
              <a:rPr lang="en-US" b="1" baseline="0"/>
              <a:t> Farrowing Gestational Gain</a:t>
            </a:r>
            <a:r>
              <a:rPr lang="en-US" b="1"/>
              <a:t> Weight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report'!$A$149</c:f>
              <c:strCache>
                <c:ptCount val="1"/>
                <c:pt idx="0">
                  <c:v># Of Animals Under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report'!$Y$149:$BO$149</c:f>
              <c:numCache>
                <c:formatCode>0</c:formatCode>
                <c:ptCount val="43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7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9</c:v>
                </c:pt>
                <c:pt idx="9">
                  <c:v>4</c:v>
                </c:pt>
                <c:pt idx="10">
                  <c:v>8</c:v>
                </c:pt>
                <c:pt idx="11">
                  <c:v>5</c:v>
                </c:pt>
                <c:pt idx="12">
                  <c:v>12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9</c:v>
                </c:pt>
                <c:pt idx="33">
                  <c:v>0</c:v>
                </c:pt>
                <c:pt idx="34">
                  <c:v>6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F-4E49-8760-683CAA755900}"/>
            </c:ext>
          </c:extLst>
        </c:ser>
        <c:ser>
          <c:idx val="1"/>
          <c:order val="1"/>
          <c:tx>
            <c:strRef>
              <c:f>'Weekly report'!$A$151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report'!$Y$151:$BO$151</c:f>
              <c:numCache>
                <c:formatCode>0</c:formatCode>
                <c:ptCount val="43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5</c:v>
                </c:pt>
                <c:pt idx="32">
                  <c:v>3</c:v>
                </c:pt>
                <c:pt idx="33">
                  <c:v>6</c:v>
                </c:pt>
                <c:pt idx="34">
                  <c:v>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F-4E49-8760-683CAA755900}"/>
            </c:ext>
          </c:extLst>
        </c:ser>
        <c:ser>
          <c:idx val="2"/>
          <c:order val="2"/>
          <c:tx>
            <c:strRef>
              <c:f>'Weekly report'!$A$153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'Weekly report'!$Y$7:$BO$7</c:f>
              <c:numCache>
                <c:formatCode>General</c:formatCode>
                <c:ptCount val="43"/>
                <c:pt idx="0">
                  <c:v>2502</c:v>
                </c:pt>
                <c:pt idx="1">
                  <c:v>2503</c:v>
                </c:pt>
                <c:pt idx="2">
                  <c:v>2504</c:v>
                </c:pt>
                <c:pt idx="3">
                  <c:v>2505</c:v>
                </c:pt>
                <c:pt idx="4">
                  <c:v>2506</c:v>
                </c:pt>
                <c:pt idx="5">
                  <c:v>2507</c:v>
                </c:pt>
                <c:pt idx="6">
                  <c:v>2508</c:v>
                </c:pt>
                <c:pt idx="7">
                  <c:v>2509</c:v>
                </c:pt>
                <c:pt idx="8">
                  <c:v>2510</c:v>
                </c:pt>
                <c:pt idx="9">
                  <c:v>2511</c:v>
                </c:pt>
                <c:pt idx="10">
                  <c:v>2512</c:v>
                </c:pt>
                <c:pt idx="11">
                  <c:v>2513</c:v>
                </c:pt>
                <c:pt idx="12">
                  <c:v>2514</c:v>
                </c:pt>
                <c:pt idx="13">
                  <c:v>2515</c:v>
                </c:pt>
                <c:pt idx="14">
                  <c:v>2516</c:v>
                </c:pt>
                <c:pt idx="15">
                  <c:v>2517</c:v>
                </c:pt>
                <c:pt idx="16">
                  <c:v>2518</c:v>
                </c:pt>
                <c:pt idx="17">
                  <c:v>2519</c:v>
                </c:pt>
                <c:pt idx="18">
                  <c:v>2520</c:v>
                </c:pt>
                <c:pt idx="19">
                  <c:v>2521</c:v>
                </c:pt>
                <c:pt idx="20">
                  <c:v>2522</c:v>
                </c:pt>
                <c:pt idx="21">
                  <c:v>2523</c:v>
                </c:pt>
                <c:pt idx="22">
                  <c:v>2524</c:v>
                </c:pt>
                <c:pt idx="23">
                  <c:v>2525</c:v>
                </c:pt>
                <c:pt idx="24">
                  <c:v>2526</c:v>
                </c:pt>
                <c:pt idx="25">
                  <c:v>2527</c:v>
                </c:pt>
                <c:pt idx="26">
                  <c:v>2528</c:v>
                </c:pt>
                <c:pt idx="27">
                  <c:v>2529</c:v>
                </c:pt>
                <c:pt idx="28">
                  <c:v>2530</c:v>
                </c:pt>
                <c:pt idx="29">
                  <c:v>2531</c:v>
                </c:pt>
                <c:pt idx="30">
                  <c:v>2532</c:v>
                </c:pt>
                <c:pt idx="31">
                  <c:v>2533</c:v>
                </c:pt>
                <c:pt idx="32">
                  <c:v>2534</c:v>
                </c:pt>
                <c:pt idx="33">
                  <c:v>2535</c:v>
                </c:pt>
                <c:pt idx="34">
                  <c:v>2536</c:v>
                </c:pt>
                <c:pt idx="35">
                  <c:v>2537</c:v>
                </c:pt>
                <c:pt idx="36">
                  <c:v>2538</c:v>
                </c:pt>
                <c:pt idx="37">
                  <c:v>2539</c:v>
                </c:pt>
                <c:pt idx="38">
                  <c:v>2540</c:v>
                </c:pt>
                <c:pt idx="39">
                  <c:v>2541</c:v>
                </c:pt>
                <c:pt idx="40">
                  <c:v>2542</c:v>
                </c:pt>
                <c:pt idx="41">
                  <c:v>2543</c:v>
                </c:pt>
                <c:pt idx="42">
                  <c:v>2544</c:v>
                </c:pt>
              </c:numCache>
            </c:numRef>
          </c:cat>
          <c:val>
            <c:numRef>
              <c:f>'Weekly report'!$Y$153:$BO$153</c:f>
              <c:numCache>
                <c:formatCode>0</c:formatCode>
                <c:ptCount val="43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2</c:v>
                </c:pt>
                <c:pt idx="23">
                  <c:v>5</c:v>
                </c:pt>
                <c:pt idx="24">
                  <c:v>7</c:v>
                </c:pt>
                <c:pt idx="25">
                  <c:v>13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7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F-4E49-8760-683CAA755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525376"/>
        <c:axId val="103527552"/>
      </c:barChart>
      <c:catAx>
        <c:axId val="10352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7552"/>
        <c:crosses val="autoZero"/>
        <c:auto val="1"/>
        <c:lblAlgn val="ctr"/>
        <c:lblOffset val="100"/>
        <c:noMultiLvlLbl val="0"/>
      </c:catAx>
      <c:valAx>
        <c:axId val="103527552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report'!$A$135</c:f>
              <c:strCache>
                <c:ptCount val="1"/>
                <c:pt idx="0">
                  <c:v>Total stand overs for the week (Bar graph)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report'!$Y$135:$BO$135</c:f>
              <c:numCache>
                <c:formatCode>0.00</c:formatCode>
                <c:ptCount val="43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8-424D-B765-779401B15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74528"/>
        <c:axId val="103580800"/>
      </c:barChart>
      <c:catAx>
        <c:axId val="10357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80800"/>
        <c:crosses val="autoZero"/>
        <c:auto val="1"/>
        <c:lblAlgn val="ctr"/>
        <c:lblOffset val="100"/>
        <c:noMultiLvlLbl val="0"/>
      </c:catAx>
      <c:valAx>
        <c:axId val="1035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4  week wean weight vs target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757276420280191E-2"/>
          <c:y val="0.14356860978809971"/>
          <c:w val="0.89768469686785146"/>
          <c:h val="0.61624170916576049"/>
        </c:manualLayout>
      </c:layout>
      <c:lineChart>
        <c:grouping val="standard"/>
        <c:varyColors val="0"/>
        <c:ser>
          <c:idx val="0"/>
          <c:order val="0"/>
          <c:tx>
            <c:strRef>
              <c:f>'Weekly report'!$A$10</c:f>
              <c:strCache>
                <c:ptCount val="1"/>
                <c:pt idx="0">
                  <c:v>4 Week Wean Weight</c:v>
                </c:pt>
              </c:strCache>
            </c:strRef>
          </c:tx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report'!$Y$10:$BO$10</c:f>
              <c:numCache>
                <c:formatCode>General</c:formatCode>
                <c:ptCount val="43"/>
                <c:pt idx="7">
                  <c:v>8.6199999999999992</c:v>
                </c:pt>
                <c:pt idx="8">
                  <c:v>8.07</c:v>
                </c:pt>
                <c:pt idx="9">
                  <c:v>7.78</c:v>
                </c:pt>
                <c:pt idx="10">
                  <c:v>9.41</c:v>
                </c:pt>
                <c:pt idx="11">
                  <c:v>8.73</c:v>
                </c:pt>
                <c:pt idx="12">
                  <c:v>9.7799999999999994</c:v>
                </c:pt>
                <c:pt idx="13">
                  <c:v>7.66</c:v>
                </c:pt>
                <c:pt idx="14">
                  <c:v>8</c:v>
                </c:pt>
                <c:pt idx="15">
                  <c:v>8</c:v>
                </c:pt>
                <c:pt idx="16">
                  <c:v>7.62</c:v>
                </c:pt>
                <c:pt idx="17">
                  <c:v>9.07</c:v>
                </c:pt>
                <c:pt idx="18">
                  <c:v>8</c:v>
                </c:pt>
                <c:pt idx="19">
                  <c:v>7.71</c:v>
                </c:pt>
                <c:pt idx="20">
                  <c:v>8.64</c:v>
                </c:pt>
                <c:pt idx="21">
                  <c:v>7.9</c:v>
                </c:pt>
                <c:pt idx="22">
                  <c:v>8.5</c:v>
                </c:pt>
                <c:pt idx="23">
                  <c:v>8.3000000000000007</c:v>
                </c:pt>
                <c:pt idx="24">
                  <c:v>9.5</c:v>
                </c:pt>
                <c:pt idx="25">
                  <c:v>9.16</c:v>
                </c:pt>
                <c:pt idx="26">
                  <c:v>9.14</c:v>
                </c:pt>
                <c:pt idx="27">
                  <c:v>8</c:v>
                </c:pt>
                <c:pt idx="28">
                  <c:v>9.1</c:v>
                </c:pt>
                <c:pt idx="29">
                  <c:v>9.5</c:v>
                </c:pt>
                <c:pt idx="30">
                  <c:v>10.3</c:v>
                </c:pt>
                <c:pt idx="31">
                  <c:v>8.4</c:v>
                </c:pt>
                <c:pt idx="32">
                  <c:v>9.3000000000000007</c:v>
                </c:pt>
                <c:pt idx="33">
                  <c:v>9.3800000000000008</c:v>
                </c:pt>
                <c:pt idx="34">
                  <c:v>7.7</c:v>
                </c:pt>
                <c:pt idx="35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E-4828-83C6-AFD2C270682F}"/>
            </c:ext>
          </c:extLst>
        </c:ser>
        <c:ser>
          <c:idx val="1"/>
          <c:order val="1"/>
          <c:tx>
            <c:strRef>
              <c:f>'Weekly report'!$A$12</c:f>
              <c:strCache>
                <c:ptCount val="1"/>
                <c:pt idx="0">
                  <c:v>Fast Growers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report'!$Y$12:$BO$12</c:f>
              <c:numCache>
                <c:formatCode>General</c:formatCode>
                <c:ptCount val="43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  <c:pt idx="24">
                  <c:v>7.3</c:v>
                </c:pt>
                <c:pt idx="25">
                  <c:v>7.3</c:v>
                </c:pt>
                <c:pt idx="26">
                  <c:v>7.3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7.3</c:v>
                </c:pt>
                <c:pt idx="31">
                  <c:v>7.3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E-4828-83C6-AFD2C270682F}"/>
            </c:ext>
          </c:extLst>
        </c:ser>
        <c:ser>
          <c:idx val="2"/>
          <c:order val="2"/>
          <c:tx>
            <c:strRef>
              <c:f>'Weekly report'!$A$13</c:f>
              <c:strCache>
                <c:ptCount val="1"/>
                <c:pt idx="0">
                  <c:v>Slow Growers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report'!$Y$13:$BO$13</c:f>
              <c:numCache>
                <c:formatCode>General</c:formatCode>
                <c:ptCount val="43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  <c:pt idx="24">
                  <c:v>6.8</c:v>
                </c:pt>
                <c:pt idx="25">
                  <c:v>6.8</c:v>
                </c:pt>
                <c:pt idx="26">
                  <c:v>6.8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6.8</c:v>
                </c:pt>
                <c:pt idx="31">
                  <c:v>6.8</c:v>
                </c:pt>
                <c:pt idx="32">
                  <c:v>6.8</c:v>
                </c:pt>
                <c:pt idx="33">
                  <c:v>6.8</c:v>
                </c:pt>
                <c:pt idx="34">
                  <c:v>6.8</c:v>
                </c:pt>
                <c:pt idx="35">
                  <c:v>6.8</c:v>
                </c:pt>
                <c:pt idx="36">
                  <c:v>6.8</c:v>
                </c:pt>
                <c:pt idx="37">
                  <c:v>6.8</c:v>
                </c:pt>
                <c:pt idx="38">
                  <c:v>6.8</c:v>
                </c:pt>
                <c:pt idx="39">
                  <c:v>6.8</c:v>
                </c:pt>
                <c:pt idx="40">
                  <c:v>6.8</c:v>
                </c:pt>
                <c:pt idx="41">
                  <c:v>6.8</c:v>
                </c:pt>
                <c:pt idx="42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CE-4828-83C6-AFD2C270682F}"/>
            </c:ext>
          </c:extLst>
        </c:ser>
        <c:ser>
          <c:idx val="3"/>
          <c:order val="3"/>
          <c:tx>
            <c:strRef>
              <c:f>'Weekly report'!$A$11</c:f>
              <c:strCache>
                <c:ptCount val="1"/>
                <c:pt idx="0">
                  <c:v>Opt Target</c:v>
                </c:pt>
              </c:strCache>
            </c:strRef>
          </c:tx>
          <c:spPr>
            <a:ln w="22225">
              <a:solidFill>
                <a:sysClr val="window" lastClr="FFFFFF">
                  <a:lumMod val="50000"/>
                </a:sysClr>
              </a:solidFill>
              <a:prstDash val="sysDot"/>
            </a:ln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report'!$R$11:$BG$11</c:f>
              <c:numCache>
                <c:formatCode>General</c:formatCode>
                <c:ptCount val="42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CE-4828-83C6-AFD2C270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74656"/>
        <c:axId val="88377216"/>
      </c:lineChart>
      <c:catAx>
        <c:axId val="88374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88377216"/>
        <c:crosses val="autoZero"/>
        <c:auto val="1"/>
        <c:lblAlgn val="ctr"/>
        <c:lblOffset val="100"/>
        <c:noMultiLvlLbl val="0"/>
      </c:catAx>
      <c:valAx>
        <c:axId val="88377216"/>
        <c:scaling>
          <c:orientation val="minMax"/>
          <c:max val="11"/>
          <c:min val="6.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83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Gilts</a:t>
            </a:r>
            <a:r>
              <a:rPr lang="en-US" b="1" baseline="0">
                <a:solidFill>
                  <a:sysClr val="windowText" lastClr="000000"/>
                </a:solidFill>
              </a:rPr>
              <a:t> 4</a:t>
            </a:r>
            <a:r>
              <a:rPr lang="en-US" b="1">
                <a:solidFill>
                  <a:sysClr val="windowText" lastClr="000000"/>
                </a:solidFill>
              </a:rPr>
              <a:t> to 10 week ADG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 cap="rnd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6-4BB7-BBB1-5E03EC885069}"/>
            </c:ext>
          </c:extLst>
        </c:ser>
        <c:ser>
          <c:idx val="1"/>
          <c:order val="1"/>
          <c:tx>
            <c:strRef>
              <c:f>'Weekly report'!$A$21</c:f>
              <c:strCache>
                <c:ptCount val="1"/>
                <c:pt idx="0">
                  <c:v>Gilts 4-10 Weeks ADG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report'!$Y$21:$BO$21</c:f>
              <c:numCache>
                <c:formatCode>0.00</c:formatCode>
                <c:ptCount val="43"/>
                <c:pt idx="13" formatCode="General">
                  <c:v>0.46400000000000002</c:v>
                </c:pt>
                <c:pt idx="14" formatCode="General">
                  <c:v>0.47099999999999997</c:v>
                </c:pt>
                <c:pt idx="15" formatCode="General">
                  <c:v>0.47099999999999997</c:v>
                </c:pt>
                <c:pt idx="16" formatCode="General">
                  <c:v>0.502</c:v>
                </c:pt>
                <c:pt idx="17" formatCode="General">
                  <c:v>0.48499999999999999</c:v>
                </c:pt>
                <c:pt idx="18" formatCode="General">
                  <c:v>0.502</c:v>
                </c:pt>
                <c:pt idx="19" formatCode="General">
                  <c:v>0.495</c:v>
                </c:pt>
                <c:pt idx="20" formatCode="General">
                  <c:v>0.49199999999999999</c:v>
                </c:pt>
                <c:pt idx="21" formatCode="General">
                  <c:v>0.51300000000000001</c:v>
                </c:pt>
                <c:pt idx="22" formatCode="General">
                  <c:v>0.48799999999999999</c:v>
                </c:pt>
                <c:pt idx="23" formatCode="General">
                  <c:v>0.433</c:v>
                </c:pt>
                <c:pt idx="24" formatCode="General">
                  <c:v>0.51600000000000001</c:v>
                </c:pt>
                <c:pt idx="25" formatCode="General">
                  <c:v>0.46100000000000002</c:v>
                </c:pt>
                <c:pt idx="26" formatCode="General">
                  <c:v>0.51700000000000002</c:v>
                </c:pt>
                <c:pt idx="27" formatCode="0.000">
                  <c:v>0.5</c:v>
                </c:pt>
                <c:pt idx="28" formatCode="General">
                  <c:v>0.47299999999999998</c:v>
                </c:pt>
                <c:pt idx="29" formatCode="General">
                  <c:v>0.51</c:v>
                </c:pt>
                <c:pt idx="30" formatCode="General">
                  <c:v>0.45</c:v>
                </c:pt>
                <c:pt idx="31" formatCode="General">
                  <c:v>0.46600000000000003</c:v>
                </c:pt>
                <c:pt idx="32" formatCode="General">
                  <c:v>0.53500000000000003</c:v>
                </c:pt>
                <c:pt idx="33" formatCode="General">
                  <c:v>0.50900000000000001</c:v>
                </c:pt>
                <c:pt idx="34" formatCode="General">
                  <c:v>0.55200000000000005</c:v>
                </c:pt>
                <c:pt idx="35" formatCode="General">
                  <c:v>0.54200000000000004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36-4BB7-BBB1-5E03EC885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86688"/>
        <c:axId val="101988608"/>
      </c:lineChart>
      <c:catAx>
        <c:axId val="10198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8608"/>
        <c:crosses val="autoZero"/>
        <c:auto val="1"/>
        <c:lblAlgn val="ctr"/>
        <c:lblOffset val="100"/>
        <c:noMultiLvlLbl val="0"/>
      </c:catAx>
      <c:valAx>
        <c:axId val="1019886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ysClr val="windowText" lastClr="000000"/>
                </a:solidFill>
              </a:rPr>
              <a:t>4 week wean weight - variation chart</a:t>
            </a:r>
          </a:p>
        </c:rich>
      </c:tx>
      <c:layout>
        <c:manualLayout>
          <c:xMode val="edge"/>
          <c:yMode val="edge"/>
          <c:x val="0.19413465721944101"/>
          <c:y val="2.77777777777778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report'!$A$15</c:f>
              <c:strCache>
                <c:ptCount val="1"/>
                <c:pt idx="0">
                  <c:v># Of Animals Under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report'!$Y$15:$BO$15</c:f>
              <c:numCache>
                <c:formatCode>0</c:formatCode>
                <c:ptCount val="43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D-4229-B6D8-CE556A7AD3FB}"/>
            </c:ext>
          </c:extLst>
        </c:ser>
        <c:ser>
          <c:idx val="1"/>
          <c:order val="1"/>
          <c:tx>
            <c:strRef>
              <c:f>'Weekly report'!$A$17</c:f>
              <c:strCache>
                <c:ptCount val="1"/>
                <c:pt idx="0">
                  <c:v># Of Animals In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report'!$Y$17:$BO$17</c:f>
              <c:numCache>
                <c:formatCode>0</c:formatCode>
                <c:ptCount val="43"/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6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5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D-4229-B6D8-CE556A7AD3FB}"/>
            </c:ext>
          </c:extLst>
        </c:ser>
        <c:ser>
          <c:idx val="2"/>
          <c:order val="2"/>
          <c:tx>
            <c:strRef>
              <c:f>'Weekly report'!$A$19</c:f>
              <c:strCache>
                <c:ptCount val="1"/>
                <c:pt idx="0">
                  <c:v># Of Animals Over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</c:spPr>
          <c:invertIfNegative val="0"/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report'!$Y$19:$BO$19</c:f>
              <c:numCache>
                <c:formatCode>0</c:formatCode>
                <c:ptCount val="43"/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8</c:v>
                </c:pt>
                <c:pt idx="14">
                  <c:v>10</c:v>
                </c:pt>
                <c:pt idx="15">
                  <c:v>10</c:v>
                </c:pt>
                <c:pt idx="16">
                  <c:v>6</c:v>
                </c:pt>
                <c:pt idx="17">
                  <c:v>14</c:v>
                </c:pt>
                <c:pt idx="18">
                  <c:v>9</c:v>
                </c:pt>
                <c:pt idx="19">
                  <c:v>10</c:v>
                </c:pt>
                <c:pt idx="20">
                  <c:v>14</c:v>
                </c:pt>
                <c:pt idx="21">
                  <c:v>8</c:v>
                </c:pt>
                <c:pt idx="22">
                  <c:v>17</c:v>
                </c:pt>
                <c:pt idx="23">
                  <c:v>12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10</c:v>
                </c:pt>
                <c:pt idx="28">
                  <c:v>14</c:v>
                </c:pt>
                <c:pt idx="29">
                  <c:v>14</c:v>
                </c:pt>
                <c:pt idx="30">
                  <c:v>10</c:v>
                </c:pt>
                <c:pt idx="31">
                  <c:v>7</c:v>
                </c:pt>
                <c:pt idx="32">
                  <c:v>12</c:v>
                </c:pt>
                <c:pt idx="33">
                  <c:v>15</c:v>
                </c:pt>
                <c:pt idx="34">
                  <c:v>8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D-4229-B6D8-CE556A7AD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239232"/>
        <c:axId val="102245504"/>
      </c:barChart>
      <c:catAx>
        <c:axId val="10223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45504"/>
        <c:crosses val="autoZero"/>
        <c:auto val="1"/>
        <c:lblAlgn val="ctr"/>
        <c:lblOffset val="100"/>
        <c:noMultiLvlLbl val="0"/>
      </c:catAx>
      <c:valAx>
        <c:axId val="1022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>
                <a:solidFill>
                  <a:sysClr val="windowText" lastClr="000000"/>
                </a:solidFill>
              </a:rPr>
              <a:t>4 -</a:t>
            </a:r>
            <a:r>
              <a:rPr lang="en-ZW" b="1" baseline="0">
                <a:solidFill>
                  <a:sysClr val="windowText" lastClr="000000"/>
                </a:solidFill>
              </a:rPr>
              <a:t> 10 week ADG under Target(small)</a:t>
            </a:r>
            <a:endParaRPr lang="en-ZW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0-4CDE-B8FC-7013000AC6ED}"/>
            </c:ext>
          </c:extLst>
        </c:ser>
        <c:ser>
          <c:idx val="2"/>
          <c:order val="1"/>
          <c:tx>
            <c:strRef>
              <c:f>'Weekly report'!$A$22</c:f>
              <c:strCache>
                <c:ptCount val="1"/>
                <c:pt idx="0">
                  <c:v>ADG of pigs under target (small)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report'!$Y$22:$BO$22</c:f>
              <c:numCache>
                <c:formatCode>General</c:formatCode>
                <c:ptCount val="43"/>
                <c:pt idx="13">
                  <c:v>0.39900000000000002</c:v>
                </c:pt>
                <c:pt idx="14">
                  <c:v>0.371</c:v>
                </c:pt>
                <c:pt idx="15">
                  <c:v>0.42199999999999999</c:v>
                </c:pt>
                <c:pt idx="16">
                  <c:v>0.42099999999999999</c:v>
                </c:pt>
                <c:pt idx="17">
                  <c:v>0.34599999999999997</c:v>
                </c:pt>
                <c:pt idx="19">
                  <c:v>0.42899999999999999</c:v>
                </c:pt>
                <c:pt idx="20">
                  <c:v>0.42899999999999999</c:v>
                </c:pt>
                <c:pt idx="21">
                  <c:v>0.39300000000000002</c:v>
                </c:pt>
                <c:pt idx="22">
                  <c:v>0.45200000000000001</c:v>
                </c:pt>
                <c:pt idx="23">
                  <c:v>0.38800000000000001</c:v>
                </c:pt>
                <c:pt idx="25" formatCode="0.000">
                  <c:v>0.4</c:v>
                </c:pt>
                <c:pt idx="26">
                  <c:v>0.371</c:v>
                </c:pt>
                <c:pt idx="27">
                  <c:v>0.39500000000000002</c:v>
                </c:pt>
                <c:pt idx="28">
                  <c:v>0.38300000000000001</c:v>
                </c:pt>
                <c:pt idx="29">
                  <c:v>0.435</c:v>
                </c:pt>
                <c:pt idx="30">
                  <c:v>0.38300000000000001</c:v>
                </c:pt>
                <c:pt idx="33">
                  <c:v>0.40500000000000003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0-4CDE-B8FC-7013000A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30496"/>
        <c:axId val="100332672"/>
      </c:lineChart>
      <c:catAx>
        <c:axId val="1003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2672"/>
        <c:crosses val="autoZero"/>
        <c:auto val="1"/>
        <c:lblAlgn val="ctr"/>
        <c:lblOffset val="100"/>
        <c:noMultiLvlLbl val="0"/>
      </c:catAx>
      <c:valAx>
        <c:axId val="100332672"/>
        <c:scaling>
          <c:orientation val="minMax"/>
          <c:max val="0.60000000000000009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>
                <a:solidFill>
                  <a:sysClr val="windowText" lastClr="000000"/>
                </a:solidFill>
              </a:rPr>
              <a:t>4 -</a:t>
            </a:r>
            <a:r>
              <a:rPr lang="en-ZW" b="1" baseline="0">
                <a:solidFill>
                  <a:sysClr val="windowText" lastClr="000000"/>
                </a:solidFill>
              </a:rPr>
              <a:t> 10 week ADG over Target(large)</a:t>
            </a:r>
            <a:endParaRPr lang="en-ZW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Z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report'!$A$24</c:f>
              <c:strCache>
                <c:ptCount val="1"/>
                <c:pt idx="0">
                  <c:v>Gilts 4-10 Weeks ADG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report'!$Y$24:$BO$24</c:f>
              <c:numCache>
                <c:formatCode>General</c:formatCode>
                <c:ptCount val="43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C-4983-9910-2581E1B23C4E}"/>
            </c:ext>
          </c:extLst>
        </c:ser>
        <c:ser>
          <c:idx val="2"/>
          <c:order val="1"/>
          <c:tx>
            <c:strRef>
              <c:f>'Weekly report'!$A$23</c:f>
              <c:strCache>
                <c:ptCount val="1"/>
                <c:pt idx="0">
                  <c:v>ADG of pigs over target (large)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report'!$Y$23:$BO$23</c:f>
              <c:numCache>
                <c:formatCode>General</c:formatCode>
                <c:ptCount val="43"/>
                <c:pt idx="13" formatCode="0.000">
                  <c:v>0.52</c:v>
                </c:pt>
                <c:pt idx="14">
                  <c:v>0.53200000000000003</c:v>
                </c:pt>
                <c:pt idx="15">
                  <c:v>0.55300000000000005</c:v>
                </c:pt>
                <c:pt idx="16">
                  <c:v>0.52800000000000002</c:v>
                </c:pt>
                <c:pt idx="17">
                  <c:v>0.58899999999999997</c:v>
                </c:pt>
                <c:pt idx="18">
                  <c:v>0.51900000000000002</c:v>
                </c:pt>
                <c:pt idx="19">
                  <c:v>0.58299999999999996</c:v>
                </c:pt>
                <c:pt idx="20">
                  <c:v>0.54200000000000004</c:v>
                </c:pt>
                <c:pt idx="21">
                  <c:v>0.57599999999999996</c:v>
                </c:pt>
                <c:pt idx="22">
                  <c:v>0.57099999999999995</c:v>
                </c:pt>
                <c:pt idx="23">
                  <c:v>0.52400000000000002</c:v>
                </c:pt>
                <c:pt idx="24">
                  <c:v>0.55200000000000005</c:v>
                </c:pt>
                <c:pt idx="25" formatCode="0.000">
                  <c:v>0.53</c:v>
                </c:pt>
                <c:pt idx="26">
                  <c:v>0.56699999999999995</c:v>
                </c:pt>
                <c:pt idx="27">
                  <c:v>0.56899999999999995</c:v>
                </c:pt>
                <c:pt idx="28">
                  <c:v>0.54900000000000004</c:v>
                </c:pt>
                <c:pt idx="29">
                  <c:v>0.53800000000000003</c:v>
                </c:pt>
                <c:pt idx="30">
                  <c:v>0.54500000000000004</c:v>
                </c:pt>
                <c:pt idx="31">
                  <c:v>0.52100000000000002</c:v>
                </c:pt>
                <c:pt idx="32" formatCode="0.000">
                  <c:v>0.54</c:v>
                </c:pt>
                <c:pt idx="33" formatCode="0.000">
                  <c:v>0.54</c:v>
                </c:pt>
                <c:pt idx="34">
                  <c:v>0.56200000000000006</c:v>
                </c:pt>
                <c:pt idx="35">
                  <c:v>0.55400000000000005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983-9910-2581E1B2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30496"/>
        <c:axId val="100332672"/>
      </c:lineChart>
      <c:catAx>
        <c:axId val="1003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2672"/>
        <c:crosses val="autoZero"/>
        <c:auto val="1"/>
        <c:lblAlgn val="ctr"/>
        <c:lblOffset val="100"/>
        <c:noMultiLvlLbl val="0"/>
      </c:catAx>
      <c:valAx>
        <c:axId val="100332672"/>
        <c:scaling>
          <c:orientation val="minMax"/>
          <c:max val="0.60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W" b="1"/>
              <a:t>Gilts</a:t>
            </a:r>
            <a:r>
              <a:rPr lang="en-ZW" b="1" baseline="0"/>
              <a:t> 4 to 10 weeks</a:t>
            </a:r>
            <a:r>
              <a:rPr lang="en-ZW" b="1"/>
              <a:t>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report'!$A$25</c:f>
              <c:strCache>
                <c:ptCount val="1"/>
                <c:pt idx="0">
                  <c:v>Gilts 4-10 Weeks 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report'!$Y$25:$BO$25</c:f>
              <c:numCache>
                <c:formatCode>General</c:formatCode>
                <c:ptCount val="43"/>
                <c:pt idx="13">
                  <c:v>19.5</c:v>
                </c:pt>
                <c:pt idx="14">
                  <c:v>19.8</c:v>
                </c:pt>
                <c:pt idx="15">
                  <c:v>19.8</c:v>
                </c:pt>
                <c:pt idx="16">
                  <c:v>21.1</c:v>
                </c:pt>
                <c:pt idx="17">
                  <c:v>20.37</c:v>
                </c:pt>
                <c:pt idx="18">
                  <c:v>21.1</c:v>
                </c:pt>
                <c:pt idx="19">
                  <c:v>20.8</c:v>
                </c:pt>
                <c:pt idx="20">
                  <c:v>20.7</c:v>
                </c:pt>
                <c:pt idx="21">
                  <c:v>21.5</c:v>
                </c:pt>
                <c:pt idx="22">
                  <c:v>20.5</c:v>
                </c:pt>
                <c:pt idx="23">
                  <c:v>18.2</c:v>
                </c:pt>
                <c:pt idx="24">
                  <c:v>21.7</c:v>
                </c:pt>
                <c:pt idx="25">
                  <c:v>19.399999999999999</c:v>
                </c:pt>
                <c:pt idx="26">
                  <c:v>21.7</c:v>
                </c:pt>
                <c:pt idx="27">
                  <c:v>21</c:v>
                </c:pt>
                <c:pt idx="28">
                  <c:v>19.899999999999999</c:v>
                </c:pt>
                <c:pt idx="29">
                  <c:v>21.5</c:v>
                </c:pt>
                <c:pt idx="30">
                  <c:v>19</c:v>
                </c:pt>
                <c:pt idx="31">
                  <c:v>19.600000000000001</c:v>
                </c:pt>
                <c:pt idx="32">
                  <c:v>22.8</c:v>
                </c:pt>
                <c:pt idx="33">
                  <c:v>21.4</c:v>
                </c:pt>
                <c:pt idx="34">
                  <c:v>23.2</c:v>
                </c:pt>
                <c:pt idx="35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D-4ED1-BA89-989B475041C2}"/>
            </c:ext>
          </c:extLst>
        </c:ser>
        <c:ser>
          <c:idx val="1"/>
          <c:order val="1"/>
          <c:tx>
            <c:strRef>
              <c:f>'Weekly report'!$A$26</c:f>
              <c:strCache>
                <c:ptCount val="1"/>
                <c:pt idx="0">
                  <c:v>Gilts 4-10 Weeks Gain Target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report'!$Y$26:$BO$26</c:f>
              <c:numCache>
                <c:formatCode>General</c:formatCode>
                <c:ptCount val="4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D-4ED1-BA89-989B4750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01280"/>
        <c:axId val="102175872"/>
      </c:lineChart>
      <c:catAx>
        <c:axId val="10200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5872"/>
        <c:crosses val="autoZero"/>
        <c:auto val="1"/>
        <c:lblAlgn val="ctr"/>
        <c:lblOffset val="100"/>
        <c:noMultiLvlLbl val="0"/>
      </c:catAx>
      <c:valAx>
        <c:axId val="102175872"/>
        <c:scaling>
          <c:orientation val="minMax"/>
          <c:max val="30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Grower Mortality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report'!$A$219</c:f>
              <c:strCache>
                <c:ptCount val="1"/>
                <c:pt idx="0">
                  <c:v>Mortaltiy 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report'!$Y$219:$BO$219</c:f>
              <c:numCache>
                <c:formatCode>0.00</c:formatCode>
                <c:ptCount val="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8-4E56-A3B8-F4B3585BD2AE}"/>
            </c:ext>
          </c:extLst>
        </c:ser>
        <c:ser>
          <c:idx val="1"/>
          <c:order val="1"/>
          <c:tx>
            <c:strRef>
              <c:f>'Weekly report'!$A$220</c:f>
              <c:strCache>
                <c:ptCount val="1"/>
                <c:pt idx="0">
                  <c:v>Mortaltiy actual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'Weekly report'!$Y$9:$BO$9</c:f>
              <c:numCache>
                <c:formatCode>General</c:formatCode>
                <c:ptCount val="43"/>
                <c:pt idx="0">
                  <c:v>2550</c:v>
                </c:pt>
                <c:pt idx="1">
                  <c:v>2551</c:v>
                </c:pt>
                <c:pt idx="2">
                  <c:v>2552</c:v>
                </c:pt>
                <c:pt idx="3">
                  <c:v>2601</c:v>
                </c:pt>
                <c:pt idx="4">
                  <c:v>2602</c:v>
                </c:pt>
                <c:pt idx="5">
                  <c:v>2603</c:v>
                </c:pt>
                <c:pt idx="6">
                  <c:v>2604</c:v>
                </c:pt>
                <c:pt idx="7">
                  <c:v>2605</c:v>
                </c:pt>
                <c:pt idx="8">
                  <c:v>2606</c:v>
                </c:pt>
                <c:pt idx="9">
                  <c:v>2607</c:v>
                </c:pt>
                <c:pt idx="10">
                  <c:v>2608</c:v>
                </c:pt>
                <c:pt idx="11">
                  <c:v>2609</c:v>
                </c:pt>
                <c:pt idx="12">
                  <c:v>2610</c:v>
                </c:pt>
                <c:pt idx="13">
                  <c:v>2611</c:v>
                </c:pt>
                <c:pt idx="14">
                  <c:v>2612</c:v>
                </c:pt>
                <c:pt idx="15">
                  <c:v>2613</c:v>
                </c:pt>
                <c:pt idx="16">
                  <c:v>2614</c:v>
                </c:pt>
                <c:pt idx="17">
                  <c:v>2615</c:v>
                </c:pt>
                <c:pt idx="18">
                  <c:v>2616</c:v>
                </c:pt>
                <c:pt idx="19">
                  <c:v>2617</c:v>
                </c:pt>
                <c:pt idx="20">
                  <c:v>2618</c:v>
                </c:pt>
                <c:pt idx="21">
                  <c:v>2619</c:v>
                </c:pt>
                <c:pt idx="22">
                  <c:v>2620</c:v>
                </c:pt>
                <c:pt idx="23">
                  <c:v>2621</c:v>
                </c:pt>
                <c:pt idx="24">
                  <c:v>2622</c:v>
                </c:pt>
                <c:pt idx="25">
                  <c:v>2623</c:v>
                </c:pt>
                <c:pt idx="26">
                  <c:v>2624</c:v>
                </c:pt>
                <c:pt idx="27">
                  <c:v>2625</c:v>
                </c:pt>
                <c:pt idx="28">
                  <c:v>2626</c:v>
                </c:pt>
                <c:pt idx="29">
                  <c:v>2627</c:v>
                </c:pt>
                <c:pt idx="30">
                  <c:v>2628</c:v>
                </c:pt>
                <c:pt idx="31">
                  <c:v>2629</c:v>
                </c:pt>
                <c:pt idx="32">
                  <c:v>2630</c:v>
                </c:pt>
                <c:pt idx="33">
                  <c:v>2631</c:v>
                </c:pt>
                <c:pt idx="34">
                  <c:v>2632</c:v>
                </c:pt>
                <c:pt idx="35">
                  <c:v>2633</c:v>
                </c:pt>
                <c:pt idx="36">
                  <c:v>2634</c:v>
                </c:pt>
                <c:pt idx="37">
                  <c:v>2635</c:v>
                </c:pt>
                <c:pt idx="38">
                  <c:v>2636</c:v>
                </c:pt>
                <c:pt idx="39">
                  <c:v>2637</c:v>
                </c:pt>
                <c:pt idx="40">
                  <c:v>2638</c:v>
                </c:pt>
                <c:pt idx="41">
                  <c:v>2639</c:v>
                </c:pt>
                <c:pt idx="42">
                  <c:v>2640</c:v>
                </c:pt>
              </c:numCache>
            </c:numRef>
          </c:cat>
          <c:val>
            <c:numRef>
              <c:f>'Weekly report'!$Y$220:$BO$220</c:f>
              <c:numCache>
                <c:formatCode>0.00</c:formatCode>
                <c:ptCount val="43"/>
                <c:pt idx="0">
                  <c:v>1.94</c:v>
                </c:pt>
                <c:pt idx="1">
                  <c:v>1.42</c:v>
                </c:pt>
                <c:pt idx="3">
                  <c:v>1.74</c:v>
                </c:pt>
                <c:pt idx="4">
                  <c:v>1.36</c:v>
                </c:pt>
                <c:pt idx="5">
                  <c:v>0.36</c:v>
                </c:pt>
                <c:pt idx="6">
                  <c:v>1.76</c:v>
                </c:pt>
                <c:pt idx="7">
                  <c:v>0.97</c:v>
                </c:pt>
                <c:pt idx="8">
                  <c:v>2.9</c:v>
                </c:pt>
                <c:pt idx="9">
                  <c:v>1.3</c:v>
                </c:pt>
                <c:pt idx="10">
                  <c:v>2.14</c:v>
                </c:pt>
                <c:pt idx="11">
                  <c:v>1.52</c:v>
                </c:pt>
                <c:pt idx="12">
                  <c:v>0.86</c:v>
                </c:pt>
                <c:pt idx="13">
                  <c:v>1.95</c:v>
                </c:pt>
                <c:pt idx="14">
                  <c:v>1.67</c:v>
                </c:pt>
                <c:pt idx="15">
                  <c:v>2</c:v>
                </c:pt>
                <c:pt idx="17">
                  <c:v>1.37</c:v>
                </c:pt>
                <c:pt idx="18">
                  <c:v>1.21</c:v>
                </c:pt>
                <c:pt idx="19">
                  <c:v>1.32</c:v>
                </c:pt>
                <c:pt idx="20">
                  <c:v>1.35</c:v>
                </c:pt>
                <c:pt idx="21">
                  <c:v>1.31</c:v>
                </c:pt>
                <c:pt idx="22">
                  <c:v>2.2000000000000002</c:v>
                </c:pt>
                <c:pt idx="23">
                  <c:v>1.21</c:v>
                </c:pt>
                <c:pt idx="24">
                  <c:v>0.72</c:v>
                </c:pt>
                <c:pt idx="25">
                  <c:v>1.24</c:v>
                </c:pt>
                <c:pt idx="26">
                  <c:v>1.54</c:v>
                </c:pt>
                <c:pt idx="27">
                  <c:v>1.42</c:v>
                </c:pt>
                <c:pt idx="28">
                  <c:v>1.91</c:v>
                </c:pt>
                <c:pt idx="29">
                  <c:v>1.24</c:v>
                </c:pt>
                <c:pt idx="30">
                  <c:v>1.45</c:v>
                </c:pt>
                <c:pt idx="31">
                  <c:v>2.64</c:v>
                </c:pt>
                <c:pt idx="32">
                  <c:v>0.8</c:v>
                </c:pt>
                <c:pt idx="33">
                  <c:v>1.32</c:v>
                </c:pt>
                <c:pt idx="34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B8-4E56-A3B8-F4B3585BD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571808"/>
        <c:axId val="732504800"/>
      </c:lineChart>
      <c:catAx>
        <c:axId val="85257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04800"/>
        <c:crosses val="autoZero"/>
        <c:auto val="1"/>
        <c:lblAlgn val="ctr"/>
        <c:lblOffset val="100"/>
        <c:noMultiLvlLbl val="0"/>
      </c:catAx>
      <c:valAx>
        <c:axId val="7325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7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12</xdr:col>
      <xdr:colOff>429108</xdr:colOff>
      <xdr:row>42</xdr:row>
      <xdr:rowOff>177536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944C026-4D8E-42FB-BF5F-93C97364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12</xdr:col>
      <xdr:colOff>405476</xdr:colOff>
      <xdr:row>63</xdr:row>
      <xdr:rowOff>119380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E34FC4E7-C285-4FF9-A1B3-3CF29ED1B0F1}"/>
            </a:ext>
            <a:ext uri="{147F2762-F138-4A5C-976F-8EAC2B608ADB}">
              <a16:predDERef xmlns:a16="http://schemas.microsoft.com/office/drawing/2014/main" pred="{0944C026-4D8E-42FB-BF5F-93C97364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44</xdr:row>
      <xdr:rowOff>0</xdr:rowOff>
    </xdr:from>
    <xdr:to>
      <xdr:col>40</xdr:col>
      <xdr:colOff>309600</xdr:colOff>
      <xdr:row>63</xdr:row>
      <xdr:rowOff>114480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B01D16-A9F0-4815-BB7D-1D0CD8FA2CE3}"/>
            </a:ext>
            <a:ext uri="{147F2762-F138-4A5C-976F-8EAC2B608ADB}">
              <a16:predDERef xmlns:a16="http://schemas.microsoft.com/office/drawing/2014/main" pred="{E34FC4E7-C285-4FF9-A1B3-3CF29ED1B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12</xdr:col>
      <xdr:colOff>405476</xdr:colOff>
      <xdr:row>85</xdr:row>
      <xdr:rowOff>119380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34F42A4B-3DC8-4D7C-B12C-5F67EFCE6172}"/>
            </a:ext>
            <a:ext uri="{147F2762-F138-4A5C-976F-8EAC2B608ADB}">
              <a16:predDERef xmlns:a16="http://schemas.microsoft.com/office/drawing/2014/main" pred="{EFB01D16-A9F0-4815-BB7D-1D0CD8FA2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66</xdr:row>
      <xdr:rowOff>0</xdr:rowOff>
    </xdr:from>
    <xdr:to>
      <xdr:col>40</xdr:col>
      <xdr:colOff>309600</xdr:colOff>
      <xdr:row>85</xdr:row>
      <xdr:rowOff>114480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B78894-B2AA-4FA5-9121-39E09A1491E8}"/>
            </a:ext>
            <a:ext uri="{147F2762-F138-4A5C-976F-8EAC2B608ADB}">
              <a16:predDERef xmlns:a16="http://schemas.microsoft.com/office/drawing/2014/main" pred="{34F42A4B-3DC8-4D7C-B12C-5F67EFCE6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12</xdr:col>
      <xdr:colOff>405476</xdr:colOff>
      <xdr:row>107</xdr:row>
      <xdr:rowOff>119380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663DB0C3-BB41-4C5D-ABAF-E42DB1A835F5}"/>
            </a:ext>
            <a:ext uri="{147F2762-F138-4A5C-976F-8EAC2B608ADB}">
              <a16:predDERef xmlns:a16="http://schemas.microsoft.com/office/drawing/2014/main" pred="{EBB78894-B2AA-4FA5-9121-39E09A149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0</xdr:colOff>
      <xdr:row>88</xdr:row>
      <xdr:rowOff>0</xdr:rowOff>
    </xdr:from>
    <xdr:to>
      <xdr:col>40</xdr:col>
      <xdr:colOff>309600</xdr:colOff>
      <xdr:row>107</xdr:row>
      <xdr:rowOff>114480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A1F7621-0D75-4989-8ADD-2E6443943D9D}"/>
            </a:ext>
            <a:ext uri="{147F2762-F138-4A5C-976F-8EAC2B608ADB}">
              <a16:predDERef xmlns:a16="http://schemas.microsoft.com/office/drawing/2014/main" pred="{663DB0C3-BB41-4C5D-ABAF-E42DB1A83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606533</xdr:colOff>
      <xdr:row>110</xdr:row>
      <xdr:rowOff>15240</xdr:rowOff>
    </xdr:from>
    <xdr:to>
      <xdr:col>40</xdr:col>
      <xdr:colOff>306416</xdr:colOff>
      <xdr:row>129</xdr:row>
      <xdr:rowOff>128270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3159F3DF-AD23-42C2-BD84-12FCE8B35094}"/>
            </a:ext>
            <a:ext uri="{147F2762-F138-4A5C-976F-8EAC2B608ADB}">
              <a16:predDERef xmlns:a16="http://schemas.microsoft.com/office/drawing/2014/main" pred="{FA1F7621-0D75-4989-8ADD-2E6443943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12</xdr:col>
      <xdr:colOff>405476</xdr:colOff>
      <xdr:row>129</xdr:row>
      <xdr:rowOff>119380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52DBC4AA-1D20-45EE-898D-0ACB6C2F4AC7}"/>
            </a:ext>
            <a:ext uri="{147F2762-F138-4A5C-976F-8EAC2B608ADB}">
              <a16:predDERef xmlns:a16="http://schemas.microsoft.com/office/drawing/2014/main" pred="{3159F3DF-AD23-42C2-BD84-12FCE8B35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12</xdr:col>
      <xdr:colOff>417094</xdr:colOff>
      <xdr:row>151</xdr:row>
      <xdr:rowOff>114480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5A0ADB5-E7A6-4ACA-9A4A-86F6F566AA5B}"/>
            </a:ext>
            <a:ext uri="{147F2762-F138-4A5C-976F-8EAC2B608ADB}">
              <a16:predDERef xmlns:a16="http://schemas.microsoft.com/office/drawing/2014/main" pred="{52DBC4AA-1D20-45EE-898D-0ACB6C2F4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12</xdr:col>
      <xdr:colOff>405476</xdr:colOff>
      <xdr:row>173</xdr:row>
      <xdr:rowOff>119380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B398EC40-7BF8-4255-BD37-1C86ADAA8C17}"/>
            </a:ext>
            <a:ext uri="{147F2762-F138-4A5C-976F-8EAC2B608ADB}">
              <a16:predDERef xmlns:a16="http://schemas.microsoft.com/office/drawing/2014/main" pred="{B5A0ADB5-E7A6-4ACA-9A4A-86F6F566A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12</xdr:col>
      <xdr:colOff>405476</xdr:colOff>
      <xdr:row>195</xdr:row>
      <xdr:rowOff>119380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A2CC26D4-0372-4E77-B3F6-AF128179796F}"/>
            </a:ext>
            <a:ext uri="{147F2762-F138-4A5C-976F-8EAC2B608ADB}">
              <a16:predDERef xmlns:a16="http://schemas.microsoft.com/office/drawing/2014/main" pred="{B398EC40-7BF8-4255-BD37-1C86ADAA8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198</xdr:row>
      <xdr:rowOff>0</xdr:rowOff>
    </xdr:from>
    <xdr:to>
      <xdr:col>12</xdr:col>
      <xdr:colOff>405476</xdr:colOff>
      <xdr:row>217</xdr:row>
      <xdr:rowOff>119380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B9BAA6E3-48B8-4968-84DE-9158DFA81A66}"/>
            </a:ext>
            <a:ext uri="{147F2762-F138-4A5C-976F-8EAC2B608ADB}">
              <a16:predDERef xmlns:a16="http://schemas.microsoft.com/office/drawing/2014/main" pred="{A2CC26D4-0372-4E77-B3F6-AF1281797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220</xdr:row>
      <xdr:rowOff>0</xdr:rowOff>
    </xdr:from>
    <xdr:to>
      <xdr:col>12</xdr:col>
      <xdr:colOff>309600</xdr:colOff>
      <xdr:row>239</xdr:row>
      <xdr:rowOff>114479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B6B0D56A-EF93-4071-AD72-779FA58E62B0}"/>
            </a:ext>
            <a:ext uri="{147F2762-F138-4A5C-976F-8EAC2B608ADB}">
              <a16:predDERef xmlns:a16="http://schemas.microsoft.com/office/drawing/2014/main" pred="{B9BAA6E3-48B8-4968-84DE-9158DFA81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609599</xdr:colOff>
      <xdr:row>220</xdr:row>
      <xdr:rowOff>0</xdr:rowOff>
    </xdr:from>
    <xdr:to>
      <xdr:col>26</xdr:col>
      <xdr:colOff>409074</xdr:colOff>
      <xdr:row>239</xdr:row>
      <xdr:rowOff>114479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FC27449-69F8-4D7A-9748-D3AD99781F45}"/>
            </a:ext>
            <a:ext uri="{147F2762-F138-4A5C-976F-8EAC2B608ADB}">
              <a16:predDERef xmlns:a16="http://schemas.microsoft.com/office/drawing/2014/main" pred="{B6B0D56A-EF93-4071-AD72-779FA58E6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12</xdr:col>
      <xdr:colOff>309600</xdr:colOff>
      <xdr:row>261</xdr:row>
      <xdr:rowOff>114480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86488D7-1C11-4A9C-BEDE-C52CBDA850D1}"/>
            </a:ext>
            <a:ext uri="{147F2762-F138-4A5C-976F-8EAC2B608ADB}">
              <a16:predDERef xmlns:a16="http://schemas.microsoft.com/office/drawing/2014/main" pred="{BFC27449-69F8-4D7A-9748-D3AD99781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264</xdr:row>
      <xdr:rowOff>0</xdr:rowOff>
    </xdr:from>
    <xdr:to>
      <xdr:col>12</xdr:col>
      <xdr:colOff>309600</xdr:colOff>
      <xdr:row>283</xdr:row>
      <xdr:rowOff>114480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D425C2E-3001-4463-92D3-8B5013AB32B4}"/>
            </a:ext>
            <a:ext uri="{147F2762-F138-4A5C-976F-8EAC2B608ADB}">
              <a16:predDERef xmlns:a16="http://schemas.microsoft.com/office/drawing/2014/main" pred="{186488D7-1C11-4A9C-BEDE-C52CBDA85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0</xdr:colOff>
      <xdr:row>264</xdr:row>
      <xdr:rowOff>0</xdr:rowOff>
    </xdr:from>
    <xdr:to>
      <xdr:col>26</xdr:col>
      <xdr:colOff>309600</xdr:colOff>
      <xdr:row>283</xdr:row>
      <xdr:rowOff>114480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13B0829-00C4-416E-B2B4-BBF77C5C909E}"/>
            </a:ext>
            <a:ext uri="{147F2762-F138-4A5C-976F-8EAC2B608ADB}">
              <a16:predDERef xmlns:a16="http://schemas.microsoft.com/office/drawing/2014/main" pred="{4D425C2E-3001-4463-92D3-8B5013AB3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286</xdr:row>
      <xdr:rowOff>0</xdr:rowOff>
    </xdr:from>
    <xdr:to>
      <xdr:col>12</xdr:col>
      <xdr:colOff>346922</xdr:colOff>
      <xdr:row>305</xdr:row>
      <xdr:rowOff>43567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56EDF19-9C29-403F-AD30-FA06AEFEBA8A}"/>
            </a:ext>
            <a:ext uri="{147F2762-F138-4A5C-976F-8EAC2B608ADB}">
              <a16:predDERef xmlns:a16="http://schemas.microsoft.com/office/drawing/2014/main" pred="{913B0829-00C4-416E-B2B4-BBF77C5C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0</xdr:colOff>
      <xdr:row>286</xdr:row>
      <xdr:rowOff>0</xdr:rowOff>
    </xdr:from>
    <xdr:to>
      <xdr:col>26</xdr:col>
      <xdr:colOff>306373</xdr:colOff>
      <xdr:row>305</xdr:row>
      <xdr:rowOff>113030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18541713-1D80-4211-9232-D626F3BA0F76}"/>
            </a:ext>
            <a:ext uri="{147F2762-F138-4A5C-976F-8EAC2B608ADB}">
              <a16:predDERef xmlns:a16="http://schemas.microsoft.com/office/drawing/2014/main" pred="{956EDF19-9C29-403F-AD30-FA06AEFEB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308</xdr:row>
      <xdr:rowOff>0</xdr:rowOff>
    </xdr:from>
    <xdr:to>
      <xdr:col>12</xdr:col>
      <xdr:colOff>309600</xdr:colOff>
      <xdr:row>327</xdr:row>
      <xdr:rowOff>114480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39A7EE5-21A1-4CD3-BB20-5CB156F43360}"/>
            </a:ext>
            <a:ext uri="{147F2762-F138-4A5C-976F-8EAC2B608ADB}">
              <a16:predDERef xmlns:a16="http://schemas.microsoft.com/office/drawing/2014/main" pred="{18541713-1D80-4211-9232-D626F3BA0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0</xdr:colOff>
      <xdr:row>308</xdr:row>
      <xdr:rowOff>0</xdr:rowOff>
    </xdr:from>
    <xdr:to>
      <xdr:col>26</xdr:col>
      <xdr:colOff>309600</xdr:colOff>
      <xdr:row>327</xdr:row>
      <xdr:rowOff>114480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34E095F4-6B79-4F94-94CD-708B21EAF6F2}"/>
            </a:ext>
            <a:ext uri="{147F2762-F138-4A5C-976F-8EAC2B608ADB}">
              <a16:predDERef xmlns:a16="http://schemas.microsoft.com/office/drawing/2014/main" pred="{F39A7EE5-21A1-4CD3-BB20-5CB156F43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42</xdr:col>
      <xdr:colOff>0</xdr:colOff>
      <xdr:row>308</xdr:row>
      <xdr:rowOff>0</xdr:rowOff>
    </xdr:from>
    <xdr:to>
      <xdr:col>54</xdr:col>
      <xdr:colOff>309600</xdr:colOff>
      <xdr:row>327</xdr:row>
      <xdr:rowOff>114480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BC135355-831D-4ADA-8651-566774E286CF}"/>
            </a:ext>
            <a:ext uri="{147F2762-F138-4A5C-976F-8EAC2B608ADB}">
              <a16:predDERef xmlns:a16="http://schemas.microsoft.com/office/drawing/2014/main" pred="{34E095F4-6B79-4F94-94CD-708B21EAF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28</xdr:col>
      <xdr:colOff>0</xdr:colOff>
      <xdr:row>330</xdr:row>
      <xdr:rowOff>0</xdr:rowOff>
    </xdr:from>
    <xdr:to>
      <xdr:col>40</xdr:col>
      <xdr:colOff>309600</xdr:colOff>
      <xdr:row>349</xdr:row>
      <xdr:rowOff>114480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06D9101-D894-458B-844D-A9856AF66049}"/>
            </a:ext>
            <a:ext uri="{147F2762-F138-4A5C-976F-8EAC2B608ADB}">
              <a16:predDERef xmlns:a16="http://schemas.microsoft.com/office/drawing/2014/main" pred="{BC135355-831D-4ADA-8651-566774E28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330</xdr:row>
      <xdr:rowOff>0</xdr:rowOff>
    </xdr:from>
    <xdr:to>
      <xdr:col>12</xdr:col>
      <xdr:colOff>309600</xdr:colOff>
      <xdr:row>349</xdr:row>
      <xdr:rowOff>114480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E1D49C6F-FB56-4A95-B92A-42D6898EEEFA}"/>
            </a:ext>
            <a:ext uri="{147F2762-F138-4A5C-976F-8EAC2B608ADB}">
              <a16:predDERef xmlns:a16="http://schemas.microsoft.com/office/drawing/2014/main" pred="{306D9101-D894-458B-844D-A9856AF66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28</xdr:col>
      <xdr:colOff>0</xdr:colOff>
      <xdr:row>307</xdr:row>
      <xdr:rowOff>224589</xdr:rowOff>
    </xdr:from>
    <xdr:to>
      <xdr:col>40</xdr:col>
      <xdr:colOff>346922</xdr:colOff>
      <xdr:row>327</xdr:row>
      <xdr:rowOff>112294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C0F905AF-A669-43FC-9ED6-03E3B0E0EA46}"/>
            </a:ext>
            <a:ext uri="{147F2762-F138-4A5C-976F-8EAC2B608ADB}">
              <a16:predDERef xmlns:a16="http://schemas.microsoft.com/office/drawing/2014/main" pred="{E1D49C6F-FB56-4A95-B92A-42D6898EE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28</xdr:col>
      <xdr:colOff>0</xdr:colOff>
      <xdr:row>286</xdr:row>
      <xdr:rowOff>0</xdr:rowOff>
    </xdr:from>
    <xdr:to>
      <xdr:col>40</xdr:col>
      <xdr:colOff>346922</xdr:colOff>
      <xdr:row>305</xdr:row>
      <xdr:rowOff>35947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7EC53DF-0626-4ACF-A527-E4437C999B50}"/>
            </a:ext>
            <a:ext uri="{147F2762-F138-4A5C-976F-8EAC2B608ADB}">
              <a16:predDERef xmlns:a16="http://schemas.microsoft.com/office/drawing/2014/main" pred="{C0F905AF-A669-43FC-9ED6-03E3B0E0E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42</xdr:col>
      <xdr:colOff>30480</xdr:colOff>
      <xdr:row>110</xdr:row>
      <xdr:rowOff>15240</xdr:rowOff>
    </xdr:from>
    <xdr:to>
      <xdr:col>54</xdr:col>
      <xdr:colOff>340080</xdr:colOff>
      <xdr:row>129</xdr:row>
      <xdr:rowOff>129720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4C503BE2-6C0C-47A7-8BB4-C58B4F895A7F}"/>
            </a:ext>
            <a:ext uri="{147F2762-F138-4A5C-976F-8EAC2B608ADB}">
              <a16:predDERef xmlns:a16="http://schemas.microsoft.com/office/drawing/2014/main" pred="{27EC53DF-0626-4ACF-A527-E4437C999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42</xdr:col>
      <xdr:colOff>0</xdr:colOff>
      <xdr:row>44</xdr:row>
      <xdr:rowOff>0</xdr:rowOff>
    </xdr:from>
    <xdr:to>
      <xdr:col>54</xdr:col>
      <xdr:colOff>309599</xdr:colOff>
      <xdr:row>63</xdr:row>
      <xdr:rowOff>114480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220F543-9B48-46EB-B317-BDFEA05F54E4}"/>
            </a:ext>
            <a:ext uri="{147F2762-F138-4A5C-976F-8EAC2B608ADB}">
              <a16:predDERef xmlns:a16="http://schemas.microsoft.com/office/drawing/2014/main" pred="{4C503BE2-6C0C-47A7-8BB4-C58B4F895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0</xdr:colOff>
      <xdr:row>44</xdr:row>
      <xdr:rowOff>0</xdr:rowOff>
    </xdr:from>
    <xdr:to>
      <xdr:col>68</xdr:col>
      <xdr:colOff>309600</xdr:colOff>
      <xdr:row>63</xdr:row>
      <xdr:rowOff>114480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65AFB7E4-9BFB-4A9D-B0C1-419156ACC429}"/>
            </a:ext>
            <a:ext uri="{147F2762-F138-4A5C-976F-8EAC2B608ADB}">
              <a16:predDERef xmlns:a16="http://schemas.microsoft.com/office/drawing/2014/main" pred="{B220F543-9B48-46EB-B317-BDFEA05F5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42</xdr:col>
      <xdr:colOff>0</xdr:colOff>
      <xdr:row>66</xdr:row>
      <xdr:rowOff>0</xdr:rowOff>
    </xdr:from>
    <xdr:to>
      <xdr:col>54</xdr:col>
      <xdr:colOff>309599</xdr:colOff>
      <xdr:row>85</xdr:row>
      <xdr:rowOff>114480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2BA4A0CE-9000-4771-84EE-0A61250E9898}"/>
            </a:ext>
            <a:ext uri="{147F2762-F138-4A5C-976F-8EAC2B608ADB}">
              <a16:predDERef xmlns:a16="http://schemas.microsoft.com/office/drawing/2014/main" pred="{65AFB7E4-9BFB-4A9D-B0C1-419156AC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0</xdr:colOff>
      <xdr:row>66</xdr:row>
      <xdr:rowOff>0</xdr:rowOff>
    </xdr:from>
    <xdr:to>
      <xdr:col>68</xdr:col>
      <xdr:colOff>309600</xdr:colOff>
      <xdr:row>85</xdr:row>
      <xdr:rowOff>114480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ED4C806-4D5A-47E8-AADB-FCE98CD21590}"/>
            </a:ext>
            <a:ext uri="{147F2762-F138-4A5C-976F-8EAC2B608ADB}">
              <a16:predDERef xmlns:a16="http://schemas.microsoft.com/office/drawing/2014/main" pred="{2BA4A0CE-9000-4771-84EE-0A61250E9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39</xdr:col>
      <xdr:colOff>196215</xdr:colOff>
      <xdr:row>100</xdr:row>
      <xdr:rowOff>161925</xdr:rowOff>
    </xdr:from>
    <xdr:to>
      <xdr:col>51</xdr:col>
      <xdr:colOff>505815</xdr:colOff>
      <xdr:row>120</xdr:row>
      <xdr:rowOff>124005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441F504-4602-4771-80B1-2FA20397B69B}"/>
            </a:ext>
            <a:ext uri="{147F2762-F138-4A5C-976F-8EAC2B608ADB}">
              <a16:predDERef xmlns:a16="http://schemas.microsoft.com/office/drawing/2014/main" pred="{2ED4C806-4D5A-47E8-AADB-FCE98CD21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49</xdr:col>
      <xdr:colOff>592455</xdr:colOff>
      <xdr:row>83</xdr:row>
      <xdr:rowOff>81915</xdr:rowOff>
    </xdr:from>
    <xdr:to>
      <xdr:col>62</xdr:col>
      <xdr:colOff>225780</xdr:colOff>
      <xdr:row>103</xdr:row>
      <xdr:rowOff>36375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1FA1FDEE-B7BA-473C-BF6F-AB404DB322E4}"/>
            </a:ext>
            <a:ext uri="{147F2762-F138-4A5C-976F-8EAC2B608ADB}">
              <a16:predDERef xmlns:a16="http://schemas.microsoft.com/office/drawing/2014/main" pred="{1441F504-4602-4771-80B1-2FA20397B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70</xdr:col>
      <xdr:colOff>0</xdr:colOff>
      <xdr:row>88</xdr:row>
      <xdr:rowOff>0</xdr:rowOff>
    </xdr:from>
    <xdr:to>
      <xdr:col>82</xdr:col>
      <xdr:colOff>309600</xdr:colOff>
      <xdr:row>107</xdr:row>
      <xdr:rowOff>114480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522F698A-F0B6-45CC-A38B-E30C17A9F69C}"/>
            </a:ext>
            <a:ext uri="{147F2762-F138-4A5C-976F-8EAC2B608ADB}">
              <a16:predDERef xmlns:a16="http://schemas.microsoft.com/office/drawing/2014/main" pred="{1FA1FDEE-B7BA-473C-BF6F-AB404DB32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0</xdr:colOff>
      <xdr:row>110</xdr:row>
      <xdr:rowOff>0</xdr:rowOff>
    </xdr:from>
    <xdr:to>
      <xdr:col>68</xdr:col>
      <xdr:colOff>309600</xdr:colOff>
      <xdr:row>129</xdr:row>
      <xdr:rowOff>114480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DD1BA566-D754-4955-A870-A05C757D71C1}"/>
            </a:ext>
            <a:ext uri="{147F2762-F138-4A5C-976F-8EAC2B608ADB}">
              <a16:predDERef xmlns:a16="http://schemas.microsoft.com/office/drawing/2014/main" pred="{522F698A-F0B6-45CC-A38B-E30C17A9F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70</xdr:col>
      <xdr:colOff>0</xdr:colOff>
      <xdr:row>110</xdr:row>
      <xdr:rowOff>0</xdr:rowOff>
    </xdr:from>
    <xdr:to>
      <xdr:col>82</xdr:col>
      <xdr:colOff>309600</xdr:colOff>
      <xdr:row>129</xdr:row>
      <xdr:rowOff>114480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30599192-E6ED-40AA-9F57-87F7F97FFBB5}"/>
            </a:ext>
            <a:ext uri="{147F2762-F138-4A5C-976F-8EAC2B608ADB}">
              <a16:predDERef xmlns:a16="http://schemas.microsoft.com/office/drawing/2014/main" pred="{DD1BA566-D754-4955-A870-A05C757D7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84</xdr:col>
      <xdr:colOff>0</xdr:colOff>
      <xdr:row>110</xdr:row>
      <xdr:rowOff>0</xdr:rowOff>
    </xdr:from>
    <xdr:to>
      <xdr:col>96</xdr:col>
      <xdr:colOff>309600</xdr:colOff>
      <xdr:row>130</xdr:row>
      <xdr:rowOff>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C5CA82C-2C7F-4E72-899E-76A9EB2F3C63}"/>
            </a:ext>
            <a:ext uri="{147F2762-F138-4A5C-976F-8EAC2B608ADB}">
              <a16:predDERef xmlns:a16="http://schemas.microsoft.com/office/drawing/2014/main" pred="{30599192-E6ED-40AA-9F57-87F7F97FF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</xdr:col>
      <xdr:colOff>0</xdr:colOff>
      <xdr:row>176</xdr:row>
      <xdr:rowOff>0</xdr:rowOff>
    </xdr:from>
    <xdr:to>
      <xdr:col>26</xdr:col>
      <xdr:colOff>405476</xdr:colOff>
      <xdr:row>195</xdr:row>
      <xdr:rowOff>119380</xdr:rowOff>
    </xdr:to>
    <xdr:graphicFrame macro="">
      <xdr:nvGraphicFramePr>
        <xdr:cNvPr id="72" name="Chart 3">
          <a:extLst>
            <a:ext uri="{FF2B5EF4-FFF2-40B4-BE49-F238E27FC236}">
              <a16:creationId xmlns:a16="http://schemas.microsoft.com/office/drawing/2014/main" id="{4436A76B-DD4D-420F-8AA4-A1483968191E}"/>
            </a:ext>
            <a:ext uri="{147F2762-F138-4A5C-976F-8EAC2B608ADB}">
              <a16:predDERef xmlns:a16="http://schemas.microsoft.com/office/drawing/2014/main" pred="{DC5CA82C-2C7F-4E72-899E-76A9EB2F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28</xdr:col>
      <xdr:colOff>0</xdr:colOff>
      <xdr:row>176</xdr:row>
      <xdr:rowOff>0</xdr:rowOff>
    </xdr:from>
    <xdr:to>
      <xdr:col>40</xdr:col>
      <xdr:colOff>312821</xdr:colOff>
      <xdr:row>195</xdr:row>
      <xdr:rowOff>119380</xdr:rowOff>
    </xdr:to>
    <xdr:graphicFrame macro="">
      <xdr:nvGraphicFramePr>
        <xdr:cNvPr id="73" name="Chart 3">
          <a:extLst>
            <a:ext uri="{FF2B5EF4-FFF2-40B4-BE49-F238E27FC236}">
              <a16:creationId xmlns:a16="http://schemas.microsoft.com/office/drawing/2014/main" id="{08D16A3C-28A4-471C-931C-F1C4A2F57D82}"/>
            </a:ext>
            <a:ext uri="{147F2762-F138-4A5C-976F-8EAC2B608ADB}">
              <a16:predDERef xmlns:a16="http://schemas.microsoft.com/office/drawing/2014/main" pred="{4436A76B-DD4D-420F-8AA4-A14839681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14</xdr:col>
      <xdr:colOff>0</xdr:colOff>
      <xdr:row>198</xdr:row>
      <xdr:rowOff>0</xdr:rowOff>
    </xdr:from>
    <xdr:to>
      <xdr:col>26</xdr:col>
      <xdr:colOff>405476</xdr:colOff>
      <xdr:row>217</xdr:row>
      <xdr:rowOff>119380</xdr:rowOff>
    </xdr:to>
    <xdr:graphicFrame macro="">
      <xdr:nvGraphicFramePr>
        <xdr:cNvPr id="74" name="Chart 3">
          <a:extLst>
            <a:ext uri="{FF2B5EF4-FFF2-40B4-BE49-F238E27FC236}">
              <a16:creationId xmlns:a16="http://schemas.microsoft.com/office/drawing/2014/main" id="{A0262637-912E-4546-A3F7-6BC9FF0261A6}"/>
            </a:ext>
            <a:ext uri="{147F2762-F138-4A5C-976F-8EAC2B608ADB}">
              <a16:predDERef xmlns:a16="http://schemas.microsoft.com/office/drawing/2014/main" pred="{08D16A3C-28A4-471C-931C-F1C4A2F57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28</xdr:col>
      <xdr:colOff>0</xdr:colOff>
      <xdr:row>198</xdr:row>
      <xdr:rowOff>0</xdr:rowOff>
    </xdr:from>
    <xdr:to>
      <xdr:col>40</xdr:col>
      <xdr:colOff>405476</xdr:colOff>
      <xdr:row>217</xdr:row>
      <xdr:rowOff>119380</xdr:rowOff>
    </xdr:to>
    <xdr:graphicFrame macro="">
      <xdr:nvGraphicFramePr>
        <xdr:cNvPr id="75" name="Chart 3">
          <a:extLst>
            <a:ext uri="{FF2B5EF4-FFF2-40B4-BE49-F238E27FC236}">
              <a16:creationId xmlns:a16="http://schemas.microsoft.com/office/drawing/2014/main" id="{8E4E20DB-CC92-4557-B01F-C8AF03343618}"/>
            </a:ext>
            <a:ext uri="{147F2762-F138-4A5C-976F-8EAC2B608ADB}">
              <a16:predDERef xmlns:a16="http://schemas.microsoft.com/office/drawing/2014/main" pred="{A0262637-912E-4546-A3F7-6BC9FF026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42</xdr:col>
      <xdr:colOff>0</xdr:colOff>
      <xdr:row>198</xdr:row>
      <xdr:rowOff>0</xdr:rowOff>
    </xdr:from>
    <xdr:to>
      <xdr:col>54</xdr:col>
      <xdr:colOff>405476</xdr:colOff>
      <xdr:row>217</xdr:row>
      <xdr:rowOff>119380</xdr:rowOff>
    </xdr:to>
    <xdr:graphicFrame macro="">
      <xdr:nvGraphicFramePr>
        <xdr:cNvPr id="76" name="Chart 3">
          <a:extLst>
            <a:ext uri="{FF2B5EF4-FFF2-40B4-BE49-F238E27FC236}">
              <a16:creationId xmlns:a16="http://schemas.microsoft.com/office/drawing/2014/main" id="{7BDEACCA-77DB-403C-84FD-A7F62D37B335}"/>
            </a:ext>
            <a:ext uri="{147F2762-F138-4A5C-976F-8EAC2B608ADB}">
              <a16:predDERef xmlns:a16="http://schemas.microsoft.com/office/drawing/2014/main" pred="{8E4E20DB-CC92-4557-B01F-C8AF03343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56</xdr:col>
      <xdr:colOff>0</xdr:colOff>
      <xdr:row>198</xdr:row>
      <xdr:rowOff>0</xdr:rowOff>
    </xdr:from>
    <xdr:to>
      <xdr:col>68</xdr:col>
      <xdr:colOff>405476</xdr:colOff>
      <xdr:row>217</xdr:row>
      <xdr:rowOff>119380</xdr:rowOff>
    </xdr:to>
    <xdr:graphicFrame macro="">
      <xdr:nvGraphicFramePr>
        <xdr:cNvPr id="77" name="Chart 3">
          <a:extLst>
            <a:ext uri="{FF2B5EF4-FFF2-40B4-BE49-F238E27FC236}">
              <a16:creationId xmlns:a16="http://schemas.microsoft.com/office/drawing/2014/main" id="{8CA49546-8472-4206-9CAF-AEC0C61C2E9B}"/>
            </a:ext>
            <a:ext uri="{147F2762-F138-4A5C-976F-8EAC2B608ADB}">
              <a16:predDERef xmlns:a16="http://schemas.microsoft.com/office/drawing/2014/main" pred="{7BDEACCA-77DB-403C-84FD-A7F62D37B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70</xdr:col>
      <xdr:colOff>0</xdr:colOff>
      <xdr:row>198</xdr:row>
      <xdr:rowOff>0</xdr:rowOff>
    </xdr:from>
    <xdr:to>
      <xdr:col>82</xdr:col>
      <xdr:colOff>405476</xdr:colOff>
      <xdr:row>217</xdr:row>
      <xdr:rowOff>119380</xdr:rowOff>
    </xdr:to>
    <xdr:graphicFrame macro="">
      <xdr:nvGraphicFramePr>
        <xdr:cNvPr id="79" name="Chart 3">
          <a:extLst>
            <a:ext uri="{FF2B5EF4-FFF2-40B4-BE49-F238E27FC236}">
              <a16:creationId xmlns:a16="http://schemas.microsoft.com/office/drawing/2014/main" id="{A9B54968-2482-4C3D-ACB1-CA8F96D13A34}"/>
            </a:ext>
            <a:ext uri="{147F2762-F138-4A5C-976F-8EAC2B608ADB}">
              <a16:predDERef xmlns:a16="http://schemas.microsoft.com/office/drawing/2014/main" pred="{8CA49546-8472-4206-9CAF-AEC0C61C2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0</xdr:colOff>
      <xdr:row>198</xdr:row>
      <xdr:rowOff>0</xdr:rowOff>
    </xdr:from>
    <xdr:to>
      <xdr:col>96</xdr:col>
      <xdr:colOff>405476</xdr:colOff>
      <xdr:row>217</xdr:row>
      <xdr:rowOff>119380</xdr:rowOff>
    </xdr:to>
    <xdr:graphicFrame macro="">
      <xdr:nvGraphicFramePr>
        <xdr:cNvPr id="80" name="Chart 3">
          <a:extLst>
            <a:ext uri="{FF2B5EF4-FFF2-40B4-BE49-F238E27FC236}">
              <a16:creationId xmlns:a16="http://schemas.microsoft.com/office/drawing/2014/main" id="{B59E3EB1-F6A2-423B-B084-1BF542518A4E}"/>
            </a:ext>
            <a:ext uri="{147F2762-F138-4A5C-976F-8EAC2B608ADB}">
              <a16:predDERef xmlns:a16="http://schemas.microsoft.com/office/drawing/2014/main" pred="{A9B54968-2482-4C3D-ACB1-CA8F96D13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26</xdr:col>
      <xdr:colOff>353209</xdr:colOff>
      <xdr:row>42</xdr:row>
      <xdr:rowOff>177910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12FA8662-0698-42D5-96A8-F736A6E8481D}"/>
            </a:ext>
            <a:ext uri="{147F2762-F138-4A5C-976F-8EAC2B608ADB}">
              <a16:predDERef xmlns:a16="http://schemas.microsoft.com/office/drawing/2014/main" pred="{B59E3EB1-F6A2-423B-B084-1BF542518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14</xdr:col>
      <xdr:colOff>0</xdr:colOff>
      <xdr:row>44</xdr:row>
      <xdr:rowOff>0</xdr:rowOff>
    </xdr:from>
    <xdr:to>
      <xdr:col>26</xdr:col>
      <xdr:colOff>309483</xdr:colOff>
      <xdr:row>63</xdr:row>
      <xdr:rowOff>113030</xdr:rowOff>
    </xdr:to>
    <xdr:graphicFrame macro="">
      <xdr:nvGraphicFramePr>
        <xdr:cNvPr id="81" name="Chart 1">
          <a:extLst>
            <a:ext uri="{FF2B5EF4-FFF2-40B4-BE49-F238E27FC236}">
              <a16:creationId xmlns:a16="http://schemas.microsoft.com/office/drawing/2014/main" id="{944BEA01-96C3-4CA0-B704-2AC026FEEC29}"/>
            </a:ext>
            <a:ext uri="{147F2762-F138-4A5C-976F-8EAC2B608ADB}">
              <a16:predDERef xmlns:a16="http://schemas.microsoft.com/office/drawing/2014/main" pred="{12FA8662-0698-42D5-96A8-F736A6E84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14</xdr:col>
      <xdr:colOff>0</xdr:colOff>
      <xdr:row>66</xdr:row>
      <xdr:rowOff>0</xdr:rowOff>
    </xdr:from>
    <xdr:to>
      <xdr:col>26</xdr:col>
      <xdr:colOff>309483</xdr:colOff>
      <xdr:row>85</xdr:row>
      <xdr:rowOff>113030</xdr:rowOff>
    </xdr:to>
    <xdr:graphicFrame macro="">
      <xdr:nvGraphicFramePr>
        <xdr:cNvPr id="82" name="Chart 1">
          <a:extLst>
            <a:ext uri="{FF2B5EF4-FFF2-40B4-BE49-F238E27FC236}">
              <a16:creationId xmlns:a16="http://schemas.microsoft.com/office/drawing/2014/main" id="{8C3B43CD-67C8-4E9F-8264-CA5FCA5981BC}"/>
            </a:ext>
            <a:ext uri="{147F2762-F138-4A5C-976F-8EAC2B608ADB}">
              <a16:predDERef xmlns:a16="http://schemas.microsoft.com/office/drawing/2014/main" pred="{944BEA01-96C3-4CA0-B704-2AC026FEE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14</xdr:col>
      <xdr:colOff>0</xdr:colOff>
      <xdr:row>88</xdr:row>
      <xdr:rowOff>0</xdr:rowOff>
    </xdr:from>
    <xdr:to>
      <xdr:col>26</xdr:col>
      <xdr:colOff>309483</xdr:colOff>
      <xdr:row>107</xdr:row>
      <xdr:rowOff>113030</xdr:rowOff>
    </xdr:to>
    <xdr:graphicFrame macro="">
      <xdr:nvGraphicFramePr>
        <xdr:cNvPr id="83" name="Chart 1">
          <a:extLst>
            <a:ext uri="{FF2B5EF4-FFF2-40B4-BE49-F238E27FC236}">
              <a16:creationId xmlns:a16="http://schemas.microsoft.com/office/drawing/2014/main" id="{7420438C-4DB6-423F-9EAB-B65026B93498}"/>
            </a:ext>
            <a:ext uri="{147F2762-F138-4A5C-976F-8EAC2B608ADB}">
              <a16:predDERef xmlns:a16="http://schemas.microsoft.com/office/drawing/2014/main" pred="{8C3B43CD-67C8-4E9F-8264-CA5FCA598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14</xdr:col>
      <xdr:colOff>0</xdr:colOff>
      <xdr:row>110</xdr:row>
      <xdr:rowOff>0</xdr:rowOff>
    </xdr:from>
    <xdr:to>
      <xdr:col>26</xdr:col>
      <xdr:colOff>309600</xdr:colOff>
      <xdr:row>129</xdr:row>
      <xdr:rowOff>106680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A7E2D991-417C-405A-9CD2-98110404E149}"/>
            </a:ext>
            <a:ext uri="{147F2762-F138-4A5C-976F-8EAC2B608ADB}">
              <a16:predDERef xmlns:a16="http://schemas.microsoft.com/office/drawing/2014/main" pred="{7420438C-4DB6-423F-9EAB-B65026B93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14</xdr:col>
      <xdr:colOff>0</xdr:colOff>
      <xdr:row>132</xdr:row>
      <xdr:rowOff>0</xdr:rowOff>
    </xdr:from>
    <xdr:to>
      <xdr:col>26</xdr:col>
      <xdr:colOff>309600</xdr:colOff>
      <xdr:row>151</xdr:row>
      <xdr:rowOff>114480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5355B1F7-69F8-45D0-9077-A82953413D9B}"/>
            </a:ext>
            <a:ext uri="{147F2762-F138-4A5C-976F-8EAC2B608ADB}">
              <a16:predDERef xmlns:a16="http://schemas.microsoft.com/office/drawing/2014/main" pred="{A7E2D991-417C-405A-9CD2-98110404E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14</xdr:col>
      <xdr:colOff>0</xdr:colOff>
      <xdr:row>154</xdr:row>
      <xdr:rowOff>0</xdr:rowOff>
    </xdr:from>
    <xdr:to>
      <xdr:col>26</xdr:col>
      <xdr:colOff>405476</xdr:colOff>
      <xdr:row>173</xdr:row>
      <xdr:rowOff>119380</xdr:rowOff>
    </xdr:to>
    <xdr:graphicFrame macro="">
      <xdr:nvGraphicFramePr>
        <xdr:cNvPr id="86" name="Chart 3">
          <a:extLst>
            <a:ext uri="{FF2B5EF4-FFF2-40B4-BE49-F238E27FC236}">
              <a16:creationId xmlns:a16="http://schemas.microsoft.com/office/drawing/2014/main" id="{802263C2-C602-4A41-8082-E9D59A07EF40}"/>
            </a:ext>
            <a:ext uri="{147F2762-F138-4A5C-976F-8EAC2B608ADB}">
              <a16:predDERef xmlns:a16="http://schemas.microsoft.com/office/drawing/2014/main" pred="{5355B1F7-69F8-45D0-9077-A82953413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28</xdr:col>
      <xdr:colOff>0</xdr:colOff>
      <xdr:row>132</xdr:row>
      <xdr:rowOff>0</xdr:rowOff>
    </xdr:from>
    <xdr:to>
      <xdr:col>40</xdr:col>
      <xdr:colOff>309600</xdr:colOff>
      <xdr:row>151</xdr:row>
      <xdr:rowOff>114480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B4C2B671-F3CD-4619-B6C8-F1C39F400057}"/>
            </a:ext>
            <a:ext uri="{147F2762-F138-4A5C-976F-8EAC2B608ADB}">
              <a16:predDERef xmlns:a16="http://schemas.microsoft.com/office/drawing/2014/main" pred="{802263C2-C602-4A41-8082-E9D59A07E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28</xdr:col>
      <xdr:colOff>0</xdr:colOff>
      <xdr:row>154</xdr:row>
      <xdr:rowOff>0</xdr:rowOff>
    </xdr:from>
    <xdr:to>
      <xdr:col>40</xdr:col>
      <xdr:colOff>309483</xdr:colOff>
      <xdr:row>173</xdr:row>
      <xdr:rowOff>111961</xdr:rowOff>
    </xdr:to>
    <xdr:graphicFrame macro="">
      <xdr:nvGraphicFramePr>
        <xdr:cNvPr id="88" name="Chart 1">
          <a:extLst>
            <a:ext uri="{FF2B5EF4-FFF2-40B4-BE49-F238E27FC236}">
              <a16:creationId xmlns:a16="http://schemas.microsoft.com/office/drawing/2014/main" id="{42691A80-AA5B-4181-8846-B5DC3343F6BE}"/>
            </a:ext>
            <a:ext uri="{147F2762-F138-4A5C-976F-8EAC2B608ADB}">
              <a16:predDERef xmlns:a16="http://schemas.microsoft.com/office/drawing/2014/main" pred="{B4C2B671-F3CD-4619-B6C8-F1C39F400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42</xdr:col>
      <xdr:colOff>0</xdr:colOff>
      <xdr:row>132</xdr:row>
      <xdr:rowOff>0</xdr:rowOff>
    </xdr:from>
    <xdr:to>
      <xdr:col>54</xdr:col>
      <xdr:colOff>309600</xdr:colOff>
      <xdr:row>151</xdr:row>
      <xdr:rowOff>114480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40DC156E-5CCC-4B37-9BA4-FA76BFC7EB05}"/>
            </a:ext>
            <a:ext uri="{147F2762-F138-4A5C-976F-8EAC2B608ADB}">
              <a16:predDERef xmlns:a16="http://schemas.microsoft.com/office/drawing/2014/main" pred="{42691A80-AA5B-4181-8846-B5DC3343F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42</xdr:col>
      <xdr:colOff>0</xdr:colOff>
      <xdr:row>154</xdr:row>
      <xdr:rowOff>0</xdr:rowOff>
    </xdr:from>
    <xdr:to>
      <xdr:col>54</xdr:col>
      <xdr:colOff>309600</xdr:colOff>
      <xdr:row>174</xdr:row>
      <xdr:rowOff>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75FA5EDF-D8CD-4F25-8F9F-E29EDF228875}"/>
            </a:ext>
            <a:ext uri="{147F2762-F138-4A5C-976F-8EAC2B608ADB}">
              <a16:predDERef xmlns:a16="http://schemas.microsoft.com/office/drawing/2014/main" pred="{40DC156E-5CCC-4B37-9BA4-FA76BFC7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56</xdr:col>
      <xdr:colOff>0</xdr:colOff>
      <xdr:row>132</xdr:row>
      <xdr:rowOff>0</xdr:rowOff>
    </xdr:from>
    <xdr:to>
      <xdr:col>68</xdr:col>
      <xdr:colOff>309600</xdr:colOff>
      <xdr:row>151</xdr:row>
      <xdr:rowOff>114480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F590A4C1-1765-4E52-B8C2-83B93A780F23}"/>
            </a:ext>
            <a:ext uri="{147F2762-F138-4A5C-976F-8EAC2B608ADB}">
              <a16:predDERef xmlns:a16="http://schemas.microsoft.com/office/drawing/2014/main" pred="{75FA5EDF-D8CD-4F25-8F9F-E29EDF228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429108</xdr:colOff>
      <xdr:row>20</xdr:row>
      <xdr:rowOff>177536</xdr:rowOff>
    </xdr:to>
    <xdr:graphicFrame macro="">
      <xdr:nvGraphicFramePr>
        <xdr:cNvPr id="69" name="Chart 1">
          <a:extLst>
            <a:ext uri="{FF2B5EF4-FFF2-40B4-BE49-F238E27FC236}">
              <a16:creationId xmlns:a16="http://schemas.microsoft.com/office/drawing/2014/main" id="{46689EE6-BD36-41F9-B2C3-AE0CC2BBBA81}"/>
            </a:ext>
            <a:ext uri="{147F2762-F138-4A5C-976F-8EAC2B608ADB}">
              <a16:predDERef xmlns:a16="http://schemas.microsoft.com/office/drawing/2014/main" pred="{F590A4C1-1765-4E52-B8C2-83B93A780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40</xdr:col>
      <xdr:colOff>309600</xdr:colOff>
      <xdr:row>21</xdr:row>
      <xdr:rowOff>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9A8DCA3-9FC5-4193-854A-D9B79275542C}"/>
            </a:ext>
            <a:ext uri="{147F2762-F138-4A5C-976F-8EAC2B608ADB}">
              <a16:predDERef xmlns:a16="http://schemas.microsoft.com/office/drawing/2014/main" pred="{46689EE6-BD36-41F9-B2C3-AE0CC2BBB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26</xdr:col>
      <xdr:colOff>353209</xdr:colOff>
      <xdr:row>20</xdr:row>
      <xdr:rowOff>177910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677F38EA-088B-48AB-B68F-52D5B415AC1D}"/>
            </a:ext>
            <a:ext uri="{147F2762-F138-4A5C-976F-8EAC2B608ADB}">
              <a16:predDERef xmlns:a16="http://schemas.microsoft.com/office/drawing/2014/main" pred="{C9A8DCA3-9FC5-4193-854A-D9B792755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42</xdr:col>
      <xdr:colOff>40105</xdr:colOff>
      <xdr:row>0</xdr:row>
      <xdr:rowOff>20052</xdr:rowOff>
    </xdr:from>
    <xdr:to>
      <xdr:col>54</xdr:col>
      <xdr:colOff>349704</xdr:colOff>
      <xdr:row>21</xdr:row>
      <xdr:rowOff>6015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9DBDCB22-3627-4683-9B77-9EC71F453DD1}"/>
            </a:ext>
            <a:ext uri="{147F2762-F138-4A5C-976F-8EAC2B608ADB}">
              <a16:predDERef xmlns:a16="http://schemas.microsoft.com/office/drawing/2014/main" pred="{677F38EA-088B-48AB-B68F-52D5B415A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56</xdr:col>
      <xdr:colOff>0</xdr:colOff>
      <xdr:row>0</xdr:row>
      <xdr:rowOff>0</xdr:rowOff>
    </xdr:from>
    <xdr:to>
      <xdr:col>68</xdr:col>
      <xdr:colOff>309599</xdr:colOff>
      <xdr:row>20</xdr:row>
      <xdr:rowOff>176463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16F0118B-85A8-470C-94B8-E0C5D984D830}"/>
            </a:ext>
            <a:ext uri="{147F2762-F138-4A5C-976F-8EAC2B608ADB}">
              <a16:predDERef xmlns:a16="http://schemas.microsoft.com/office/drawing/2014/main" pred="{9DBDCB22-3627-4683-9B77-9EC71F453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70</xdr:col>
      <xdr:colOff>0</xdr:colOff>
      <xdr:row>0</xdr:row>
      <xdr:rowOff>0</xdr:rowOff>
    </xdr:from>
    <xdr:to>
      <xdr:col>82</xdr:col>
      <xdr:colOff>309600</xdr:colOff>
      <xdr:row>21</xdr:row>
      <xdr:rowOff>8023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2196E116-1933-4C01-BEFF-E2E93726D936}"/>
            </a:ext>
            <a:ext uri="{147F2762-F138-4A5C-976F-8EAC2B608ADB}">
              <a16:predDERef xmlns:a16="http://schemas.microsoft.com/office/drawing/2014/main" pred="{16F0118B-85A8-470C-94B8-E0C5D984D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13</xdr:col>
      <xdr:colOff>609599</xdr:colOff>
      <xdr:row>329</xdr:row>
      <xdr:rowOff>224589</xdr:rowOff>
    </xdr:from>
    <xdr:to>
      <xdr:col>26</xdr:col>
      <xdr:colOff>312820</xdr:colOff>
      <xdr:row>349</xdr:row>
      <xdr:rowOff>128336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8D733401-A084-49F8-BC3C-C6B91DAD89A4}"/>
            </a:ext>
            <a:ext uri="{147F2762-F138-4A5C-976F-8EAC2B608ADB}">
              <a16:predDERef xmlns:a16="http://schemas.microsoft.com/office/drawing/2014/main" pred="{2196E116-1933-4C01-BEFF-E2E93726D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30"/>
  <sheetViews>
    <sheetView showGridLines="0" topLeftCell="A141" zoomScale="95" zoomScaleNormal="95" workbookViewId="0">
      <selection activeCell="G115" sqref="G115"/>
    </sheetView>
  </sheetViews>
  <sheetFormatPr defaultColWidth="8.875" defaultRowHeight="15"/>
  <cols>
    <col min="1" max="16384" width="8.875" style="71"/>
  </cols>
  <sheetData>
    <row r="1" spans="1:1">
      <c r="A1" s="70"/>
    </row>
    <row r="9" spans="1:1">
      <c r="A9" s="70"/>
    </row>
    <row r="17" spans="1:1">
      <c r="A17" s="70"/>
    </row>
    <row r="22" spans="1:1" s="69" customFormat="1" ht="24.6" customHeight="1">
      <c r="A22" s="68" t="s">
        <v>0</v>
      </c>
    </row>
    <row r="23" spans="1:1">
      <c r="A23" s="70"/>
    </row>
    <row r="31" spans="1:1">
      <c r="A31" s="70"/>
    </row>
    <row r="39" spans="1:1">
      <c r="A39" s="70"/>
    </row>
    <row r="44" spans="1:1" s="69" customFormat="1" ht="25.9" customHeight="1">
      <c r="A44" s="68" t="s">
        <v>1</v>
      </c>
    </row>
    <row r="45" spans="1:1">
      <c r="A45" s="70"/>
    </row>
    <row r="50" spans="1:1">
      <c r="A50" s="70"/>
    </row>
    <row r="56" spans="1:1">
      <c r="A56" s="70"/>
    </row>
    <row r="62" spans="1:1">
      <c r="A62" s="70"/>
    </row>
    <row r="64" spans="1:1" ht="9.6" customHeight="1"/>
    <row r="65" spans="1:1" s="69" customFormat="1"/>
    <row r="66" spans="1:1" s="69" customFormat="1" ht="18">
      <c r="A66" s="68" t="s">
        <v>2</v>
      </c>
    </row>
    <row r="68" spans="1:1">
      <c r="A68" s="70"/>
    </row>
    <row r="73" spans="1:1">
      <c r="A73" s="70"/>
    </row>
    <row r="78" spans="1:1">
      <c r="A78" s="70"/>
    </row>
    <row r="84" spans="1:1">
      <c r="A84" s="70"/>
    </row>
    <row r="86" spans="1:1" ht="9.6" customHeight="1"/>
    <row r="87" spans="1:1" s="69" customFormat="1"/>
    <row r="88" spans="1:1" s="69" customFormat="1" ht="18">
      <c r="A88" s="68" t="s">
        <v>3</v>
      </c>
    </row>
    <row r="89" spans="1:1">
      <c r="A89" s="70"/>
    </row>
    <row r="95" spans="1:1">
      <c r="A95" s="70"/>
    </row>
    <row r="101" spans="1:1">
      <c r="A101" s="70"/>
    </row>
    <row r="107" spans="1:1">
      <c r="A107" s="70"/>
    </row>
    <row r="108" spans="1:1" ht="9.6" customHeight="1"/>
    <row r="109" spans="1:1" s="69" customFormat="1"/>
    <row r="110" spans="1:1" s="69" customFormat="1" ht="18">
      <c r="A110" s="68" t="s">
        <v>4</v>
      </c>
    </row>
    <row r="130" spans="1:1" ht="10.15" customHeight="1"/>
    <row r="131" spans="1:1" s="69" customFormat="1"/>
    <row r="132" spans="1:1" s="69" customFormat="1" ht="18">
      <c r="A132" s="68" t="s">
        <v>5</v>
      </c>
    </row>
    <row r="152" spans="1:1" ht="9.6" customHeight="1"/>
    <row r="153" spans="1:1" s="69" customFormat="1"/>
    <row r="154" spans="1:1" s="69" customFormat="1" ht="18">
      <c r="A154" s="68" t="s">
        <v>6</v>
      </c>
    </row>
    <row r="174" spans="1:1" ht="10.15" customHeight="1"/>
    <row r="175" spans="1:1" s="69" customFormat="1"/>
    <row r="176" spans="1:1" s="69" customFormat="1" ht="18">
      <c r="A176" s="68" t="s">
        <v>7</v>
      </c>
    </row>
    <row r="196" spans="1:1" ht="10.15" customHeight="1"/>
    <row r="197" spans="1:1" s="69" customFormat="1"/>
    <row r="198" spans="1:1" s="69" customFormat="1" ht="18">
      <c r="A198" s="68" t="s">
        <v>8</v>
      </c>
    </row>
    <row r="218" spans="1:1" ht="9.6" customHeight="1"/>
    <row r="219" spans="1:1" s="69" customFormat="1"/>
    <row r="220" spans="1:1" s="69" customFormat="1" ht="18">
      <c r="A220" s="68" t="s">
        <v>9</v>
      </c>
    </row>
    <row r="240" ht="9.6" customHeight="1"/>
    <row r="241" spans="1:1" s="69" customFormat="1"/>
    <row r="242" spans="1:1" s="69" customFormat="1" ht="18">
      <c r="A242" s="68" t="s">
        <v>10</v>
      </c>
    </row>
    <row r="262" spans="1:1" ht="9" customHeight="1"/>
    <row r="263" spans="1:1" s="69" customFormat="1"/>
    <row r="264" spans="1:1" s="69" customFormat="1" ht="18">
      <c r="A264" s="68" t="s">
        <v>11</v>
      </c>
    </row>
    <row r="284" spans="1:1" ht="9.6" customHeight="1"/>
    <row r="285" spans="1:1" s="69" customFormat="1"/>
    <row r="286" spans="1:1" s="69" customFormat="1" ht="18">
      <c r="A286" s="68" t="s">
        <v>12</v>
      </c>
    </row>
    <row r="306" spans="1:1" ht="3" customHeight="1"/>
    <row r="307" spans="1:1" s="69" customFormat="1"/>
    <row r="308" spans="1:1" s="69" customFormat="1" ht="18">
      <c r="A308" s="68" t="s">
        <v>13</v>
      </c>
    </row>
    <row r="328" spans="1:1" ht="9" customHeight="1"/>
    <row r="329" spans="1:1" s="69" customFormat="1"/>
    <row r="330" spans="1:1" s="69" customFormat="1" ht="18">
      <c r="A330" s="68" t="s">
        <v>14</v>
      </c>
    </row>
  </sheetData>
  <sheetProtection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226"/>
  <sheetViews>
    <sheetView zoomScale="84" zoomScaleNormal="78" workbookViewId="0">
      <pane xSplit="1" ySplit="9" topLeftCell="B71" activePane="bottomRight" state="frozen"/>
      <selection pane="bottomRight" activeCell="A88" sqref="A88"/>
      <selection pane="bottomLeft" activeCell="A5" sqref="A5"/>
      <selection pane="topRight" activeCell="B1" sqref="B1"/>
    </sheetView>
  </sheetViews>
  <sheetFormatPr defaultColWidth="8.75" defaultRowHeight="18.75"/>
  <cols>
    <col min="1" max="1" width="65.625" customWidth="1"/>
    <col min="2" max="2" width="16.125" style="4" customWidth="1"/>
    <col min="3" max="3" width="14.25" style="4" customWidth="1"/>
    <col min="4" max="4" width="12" style="4" customWidth="1"/>
    <col min="5" max="5" width="10.75" style="4" customWidth="1"/>
    <col min="6" max="6" width="12.375" customWidth="1"/>
    <col min="7" max="7" width="12.875" customWidth="1"/>
    <col min="8" max="8" width="13.375" customWidth="1"/>
    <col min="9" max="9" width="12.875" customWidth="1"/>
    <col min="10" max="11" width="12.625" customWidth="1"/>
    <col min="12" max="12" width="12.875" customWidth="1"/>
    <col min="13" max="13" width="13.375" customWidth="1"/>
    <col min="14" max="14" width="14.25" customWidth="1"/>
    <col min="15" max="15" width="13.875" customWidth="1"/>
    <col min="16" max="16" width="12" customWidth="1"/>
    <col min="17" max="18" width="11.125" customWidth="1"/>
    <col min="19" max="19" width="10.75" customWidth="1"/>
    <col min="20" max="20" width="13" bestFit="1" customWidth="1"/>
    <col min="21" max="21" width="10.875" bestFit="1" customWidth="1"/>
    <col min="22" max="23" width="13.375" bestFit="1" customWidth="1"/>
    <col min="24" max="27" width="11.125" customWidth="1"/>
    <col min="28" max="32" width="10.75" bestFit="1" customWidth="1"/>
    <col min="33" max="33" width="11.125" bestFit="1" customWidth="1"/>
    <col min="34" max="34" width="10.75" bestFit="1" customWidth="1"/>
    <col min="35" max="35" width="11.125" bestFit="1" customWidth="1"/>
    <col min="36" max="37" width="10.75" bestFit="1" customWidth="1"/>
    <col min="38" max="42" width="11.125" bestFit="1" customWidth="1"/>
    <col min="43" max="43" width="10.75" bestFit="1" customWidth="1"/>
    <col min="44" max="44" width="11.125" bestFit="1" customWidth="1"/>
    <col min="45" max="45" width="10.75" bestFit="1" customWidth="1"/>
    <col min="46" max="47" width="11.125" bestFit="1" customWidth="1"/>
    <col min="48" max="49" width="10.75" bestFit="1" customWidth="1"/>
    <col min="50" max="51" width="11.125" bestFit="1" customWidth="1"/>
    <col min="52" max="52" width="10.75" bestFit="1" customWidth="1"/>
    <col min="53" max="54" width="11.125" bestFit="1" customWidth="1"/>
    <col min="55" max="56" width="10.75" bestFit="1" customWidth="1"/>
    <col min="57" max="58" width="11.125" bestFit="1" customWidth="1"/>
    <col min="59" max="63" width="10.75" bestFit="1" customWidth="1"/>
    <col min="64" max="79" width="10.625" customWidth="1"/>
  </cols>
  <sheetData>
    <row r="1" spans="1:79" s="4" customFormat="1">
      <c r="A1" s="206" t="s">
        <v>15</v>
      </c>
      <c r="B1" s="4">
        <v>2513</v>
      </c>
      <c r="C1" s="4">
        <v>2514</v>
      </c>
      <c r="D1" s="4">
        <v>2515</v>
      </c>
      <c r="E1" s="4">
        <v>2516</v>
      </c>
      <c r="F1" s="4">
        <v>2517</v>
      </c>
      <c r="G1" s="4">
        <v>2518</v>
      </c>
      <c r="H1" s="4">
        <v>2519</v>
      </c>
      <c r="I1" s="4">
        <v>2520</v>
      </c>
      <c r="J1" s="4">
        <v>2521</v>
      </c>
      <c r="K1" s="4">
        <v>2522</v>
      </c>
      <c r="L1" s="4">
        <v>2523</v>
      </c>
      <c r="M1" s="4">
        <v>2524</v>
      </c>
      <c r="N1" s="4">
        <v>2525</v>
      </c>
      <c r="O1" s="4">
        <v>2526</v>
      </c>
      <c r="P1" s="4">
        <v>2527</v>
      </c>
      <c r="Q1" s="4">
        <v>2528</v>
      </c>
      <c r="R1" s="4">
        <v>2529</v>
      </c>
      <c r="S1" s="4">
        <v>2530</v>
      </c>
      <c r="T1" s="4">
        <v>2531</v>
      </c>
      <c r="U1" s="4">
        <v>2532</v>
      </c>
      <c r="V1" s="4">
        <v>2533</v>
      </c>
      <c r="W1" s="4">
        <v>2534</v>
      </c>
      <c r="X1" s="4">
        <v>2535</v>
      </c>
      <c r="Y1" s="4">
        <v>2536</v>
      </c>
      <c r="Z1" s="4">
        <v>2537</v>
      </c>
      <c r="AA1" s="4">
        <v>2538</v>
      </c>
      <c r="AB1" s="4">
        <v>2539</v>
      </c>
      <c r="AC1" s="4">
        <v>2540</v>
      </c>
      <c r="AD1" s="4">
        <v>2541</v>
      </c>
      <c r="AE1" s="4">
        <v>2542</v>
      </c>
      <c r="AF1" s="4">
        <v>2543</v>
      </c>
      <c r="AG1" s="4">
        <v>2544</v>
      </c>
      <c r="AH1" s="4">
        <v>2545</v>
      </c>
      <c r="AI1" s="4">
        <v>2546</v>
      </c>
      <c r="AJ1" s="4">
        <v>2547</v>
      </c>
      <c r="AK1" s="4">
        <v>2548</v>
      </c>
      <c r="AL1" s="4">
        <v>2549</v>
      </c>
      <c r="AM1" s="4">
        <v>2550</v>
      </c>
      <c r="AN1" s="4">
        <v>2551</v>
      </c>
      <c r="AO1" s="4">
        <v>2552</v>
      </c>
      <c r="AP1" s="4">
        <v>2601</v>
      </c>
      <c r="AQ1" s="4">
        <v>2602</v>
      </c>
      <c r="AR1" s="4">
        <v>2603</v>
      </c>
      <c r="AS1" s="4">
        <v>2604</v>
      </c>
      <c r="AT1" s="4">
        <v>2605</v>
      </c>
      <c r="AU1" s="4">
        <v>2606</v>
      </c>
      <c r="AV1" s="4">
        <v>2607</v>
      </c>
      <c r="AW1" s="4">
        <v>2608</v>
      </c>
      <c r="AX1" s="4">
        <v>2609</v>
      </c>
      <c r="AY1" s="4">
        <v>2610</v>
      </c>
      <c r="AZ1" s="4">
        <v>2611</v>
      </c>
      <c r="BA1" s="4">
        <v>2612</v>
      </c>
      <c r="BB1" s="4">
        <v>2613</v>
      </c>
      <c r="BC1" s="4">
        <v>2614</v>
      </c>
      <c r="BD1" s="4">
        <v>2615</v>
      </c>
      <c r="BE1" s="4">
        <v>2616</v>
      </c>
      <c r="BF1" s="4">
        <v>2617</v>
      </c>
      <c r="BG1" s="4">
        <v>2618</v>
      </c>
      <c r="BH1" s="4">
        <v>2619</v>
      </c>
      <c r="BI1" s="4">
        <v>2620</v>
      </c>
      <c r="BJ1" s="4">
        <v>2621</v>
      </c>
      <c r="BK1" s="4">
        <v>2622</v>
      </c>
      <c r="BL1" s="4">
        <v>2623</v>
      </c>
      <c r="BM1" s="4">
        <v>2624</v>
      </c>
      <c r="BN1" s="4">
        <v>2625</v>
      </c>
      <c r="BO1" s="4">
        <v>2626</v>
      </c>
      <c r="BP1" s="4">
        <v>2627</v>
      </c>
      <c r="BQ1" s="4">
        <v>2628</v>
      </c>
      <c r="BR1" s="4">
        <v>2629</v>
      </c>
      <c r="BS1" s="4">
        <v>2630</v>
      </c>
      <c r="BT1" s="4">
        <v>2631</v>
      </c>
      <c r="BU1" s="4">
        <v>2632</v>
      </c>
      <c r="BV1" s="4">
        <v>2633</v>
      </c>
      <c r="BW1" s="4">
        <v>2634</v>
      </c>
      <c r="BX1" s="4">
        <v>2635</v>
      </c>
      <c r="BY1" s="4">
        <v>2636</v>
      </c>
      <c r="BZ1" s="4">
        <v>2637</v>
      </c>
      <c r="CA1" s="4">
        <v>2638</v>
      </c>
    </row>
    <row r="2" spans="1:79" s="4" customFormat="1">
      <c r="A2" s="206" t="s">
        <v>0</v>
      </c>
      <c r="B2" s="4">
        <f t="shared" ref="B2:Z2" si="0">B9-10</f>
        <v>2517</v>
      </c>
      <c r="C2" s="4">
        <f t="shared" si="0"/>
        <v>2518</v>
      </c>
      <c r="D2" s="4">
        <f t="shared" si="0"/>
        <v>2519</v>
      </c>
      <c r="E2" s="4">
        <f t="shared" si="0"/>
        <v>2520</v>
      </c>
      <c r="F2" s="4">
        <f t="shared" si="0"/>
        <v>2521</v>
      </c>
      <c r="G2" s="4">
        <f t="shared" si="0"/>
        <v>2522</v>
      </c>
      <c r="H2" s="4">
        <f t="shared" si="0"/>
        <v>2523</v>
      </c>
      <c r="I2" s="4">
        <f t="shared" si="0"/>
        <v>2524</v>
      </c>
      <c r="J2" s="4">
        <f t="shared" si="0"/>
        <v>2525</v>
      </c>
      <c r="K2" s="4">
        <f t="shared" si="0"/>
        <v>2526</v>
      </c>
      <c r="L2" s="4">
        <f t="shared" si="0"/>
        <v>2527</v>
      </c>
      <c r="M2" s="4">
        <f t="shared" si="0"/>
        <v>2528</v>
      </c>
      <c r="N2" s="4">
        <f t="shared" si="0"/>
        <v>2529</v>
      </c>
      <c r="O2" s="4">
        <f t="shared" si="0"/>
        <v>2530</v>
      </c>
      <c r="P2" s="4">
        <f t="shared" si="0"/>
        <v>2531</v>
      </c>
      <c r="Q2" s="4">
        <f t="shared" si="0"/>
        <v>2532</v>
      </c>
      <c r="R2" s="4">
        <f t="shared" si="0"/>
        <v>2533</v>
      </c>
      <c r="S2" s="4">
        <f t="shared" si="0"/>
        <v>2534</v>
      </c>
      <c r="T2" s="4">
        <f t="shared" si="0"/>
        <v>2535</v>
      </c>
      <c r="U2" s="4">
        <f t="shared" si="0"/>
        <v>2536</v>
      </c>
      <c r="V2" s="4">
        <f t="shared" si="0"/>
        <v>2537</v>
      </c>
      <c r="W2" s="4">
        <f t="shared" si="0"/>
        <v>2538</v>
      </c>
      <c r="X2" s="4">
        <f t="shared" si="0"/>
        <v>2539</v>
      </c>
      <c r="Y2" s="4">
        <f t="shared" si="0"/>
        <v>2540</v>
      </c>
      <c r="Z2" s="4">
        <f t="shared" si="0"/>
        <v>2541</v>
      </c>
      <c r="AA2" s="4">
        <f>AA9-10</f>
        <v>2542</v>
      </c>
      <c r="AB2" s="4">
        <v>2543</v>
      </c>
      <c r="AC2" s="4">
        <v>2544</v>
      </c>
      <c r="AD2" s="4">
        <v>2545</v>
      </c>
      <c r="AE2" s="4">
        <v>2546</v>
      </c>
      <c r="AF2" s="4">
        <v>2547</v>
      </c>
      <c r="AG2" s="4">
        <v>2548</v>
      </c>
      <c r="AH2" s="4">
        <v>2549</v>
      </c>
      <c r="AI2" s="4">
        <v>2550</v>
      </c>
      <c r="AJ2" s="4">
        <v>2551</v>
      </c>
      <c r="AK2" s="4">
        <v>2552</v>
      </c>
      <c r="AL2" s="4">
        <v>2601</v>
      </c>
      <c r="AM2" s="4">
        <v>2602</v>
      </c>
      <c r="AN2" s="4">
        <v>2603</v>
      </c>
      <c r="AO2" s="4">
        <v>2604</v>
      </c>
      <c r="AP2" s="4">
        <v>2605</v>
      </c>
      <c r="AQ2" s="4">
        <v>2606</v>
      </c>
      <c r="AR2" s="4">
        <v>2607</v>
      </c>
      <c r="AS2" s="4">
        <v>2608</v>
      </c>
      <c r="AT2" s="4">
        <v>2609</v>
      </c>
      <c r="AU2" s="4">
        <v>2610</v>
      </c>
      <c r="AV2" s="4">
        <v>2611</v>
      </c>
      <c r="AW2" s="4">
        <v>2612</v>
      </c>
      <c r="AX2" s="4">
        <v>2613</v>
      </c>
      <c r="AY2" s="4">
        <v>2614</v>
      </c>
      <c r="AZ2" s="4">
        <v>2615</v>
      </c>
      <c r="BA2" s="4">
        <v>2616</v>
      </c>
      <c r="BB2" s="4">
        <v>2617</v>
      </c>
      <c r="BC2" s="4">
        <v>2618</v>
      </c>
      <c r="BD2" s="4">
        <v>2619</v>
      </c>
      <c r="BE2" s="4">
        <v>2620</v>
      </c>
      <c r="BF2" s="4">
        <v>2621</v>
      </c>
      <c r="BG2" s="4">
        <v>2622</v>
      </c>
      <c r="BH2" s="4">
        <v>2623</v>
      </c>
      <c r="BI2" s="4">
        <v>2624</v>
      </c>
      <c r="BJ2" s="4">
        <v>2625</v>
      </c>
      <c r="BK2" s="4">
        <v>2626</v>
      </c>
      <c r="BL2" s="4">
        <v>2627</v>
      </c>
      <c r="BM2" s="4">
        <v>2628</v>
      </c>
      <c r="BN2" s="4">
        <v>2629</v>
      </c>
      <c r="BO2" s="4">
        <v>2630</v>
      </c>
      <c r="BP2" s="4">
        <v>2631</v>
      </c>
      <c r="BQ2" s="4">
        <v>2632</v>
      </c>
      <c r="BR2" s="4">
        <v>2633</v>
      </c>
      <c r="BS2" s="4">
        <v>2634</v>
      </c>
      <c r="BT2" s="4">
        <v>2635</v>
      </c>
      <c r="BU2" s="4">
        <v>2636</v>
      </c>
      <c r="BV2" s="4">
        <v>2637</v>
      </c>
      <c r="BW2" s="4">
        <v>2638</v>
      </c>
      <c r="BX2" s="4">
        <v>2639</v>
      </c>
      <c r="BY2" s="4">
        <v>2640</v>
      </c>
      <c r="BZ2" s="4">
        <v>2641</v>
      </c>
      <c r="CA2" s="4">
        <v>2642</v>
      </c>
    </row>
    <row r="3" spans="1:79" s="4" customFormat="1">
      <c r="A3" s="206" t="s">
        <v>1</v>
      </c>
      <c r="B3" s="4">
        <f t="shared" ref="B3:G3" si="1">B9-16</f>
        <v>2511</v>
      </c>
      <c r="C3" s="4">
        <f t="shared" si="1"/>
        <v>2512</v>
      </c>
      <c r="D3" s="4">
        <f t="shared" si="1"/>
        <v>2513</v>
      </c>
      <c r="E3" s="4">
        <f t="shared" si="1"/>
        <v>2514</v>
      </c>
      <c r="F3" s="4">
        <f t="shared" si="1"/>
        <v>2515</v>
      </c>
      <c r="G3" s="4">
        <f t="shared" si="1"/>
        <v>2516</v>
      </c>
      <c r="H3" s="4">
        <f t="shared" ref="H3:L3" si="2">H9-16</f>
        <v>2517</v>
      </c>
      <c r="I3" s="4">
        <f t="shared" si="2"/>
        <v>2518</v>
      </c>
      <c r="J3" s="4">
        <f t="shared" si="2"/>
        <v>2519</v>
      </c>
      <c r="K3" s="4">
        <f t="shared" si="2"/>
        <v>2520</v>
      </c>
      <c r="L3" s="4">
        <f t="shared" si="2"/>
        <v>2521</v>
      </c>
      <c r="M3" s="4">
        <f t="shared" ref="M3:Z3" si="3">M9-16</f>
        <v>2522</v>
      </c>
      <c r="N3" s="4">
        <f t="shared" si="3"/>
        <v>2523</v>
      </c>
      <c r="O3" s="4">
        <f t="shared" si="3"/>
        <v>2524</v>
      </c>
      <c r="P3" s="4">
        <f t="shared" si="3"/>
        <v>2525</v>
      </c>
      <c r="Q3" s="4">
        <f t="shared" si="3"/>
        <v>2526</v>
      </c>
      <c r="R3" s="4">
        <f t="shared" si="3"/>
        <v>2527</v>
      </c>
      <c r="S3" s="4">
        <f t="shared" si="3"/>
        <v>2528</v>
      </c>
      <c r="T3" s="4">
        <f t="shared" si="3"/>
        <v>2529</v>
      </c>
      <c r="U3" s="4">
        <f t="shared" si="3"/>
        <v>2530</v>
      </c>
      <c r="V3" s="4">
        <f t="shared" si="3"/>
        <v>2531</v>
      </c>
      <c r="W3" s="4">
        <f t="shared" si="3"/>
        <v>2532</v>
      </c>
      <c r="X3" s="4">
        <f t="shared" si="3"/>
        <v>2533</v>
      </c>
      <c r="Y3" s="4">
        <f t="shared" si="3"/>
        <v>2534</v>
      </c>
      <c r="Z3" s="4">
        <f t="shared" si="3"/>
        <v>2535</v>
      </c>
      <c r="AA3" s="4">
        <f>AA9-16</f>
        <v>2536</v>
      </c>
      <c r="AB3" s="4">
        <v>2537</v>
      </c>
      <c r="AC3" s="4">
        <v>2538</v>
      </c>
      <c r="AD3" s="4">
        <v>2539</v>
      </c>
      <c r="AE3" s="4">
        <v>2540</v>
      </c>
      <c r="AF3" s="4">
        <v>2541</v>
      </c>
      <c r="AG3" s="4">
        <v>2542</v>
      </c>
      <c r="AH3" s="4">
        <v>2543</v>
      </c>
      <c r="AI3" s="4">
        <v>2544</v>
      </c>
      <c r="AJ3" s="4">
        <v>2545</v>
      </c>
      <c r="AK3" s="4">
        <v>2546</v>
      </c>
      <c r="AL3" s="4">
        <v>2547</v>
      </c>
      <c r="AM3" s="4">
        <v>2548</v>
      </c>
      <c r="AN3" s="4">
        <v>2549</v>
      </c>
      <c r="AO3" s="4">
        <v>2550</v>
      </c>
      <c r="AP3" s="4">
        <v>2551</v>
      </c>
      <c r="AQ3" s="4">
        <v>2552</v>
      </c>
      <c r="AR3" s="4">
        <v>2601</v>
      </c>
      <c r="AS3" s="4">
        <v>2602</v>
      </c>
      <c r="AT3" s="4">
        <v>2603</v>
      </c>
      <c r="AU3" s="4">
        <v>2604</v>
      </c>
      <c r="AV3" s="4">
        <v>2605</v>
      </c>
      <c r="AW3" s="4">
        <v>2606</v>
      </c>
      <c r="AX3" s="4">
        <v>2607</v>
      </c>
      <c r="AY3" s="4">
        <v>2608</v>
      </c>
      <c r="AZ3" s="4">
        <v>2609</v>
      </c>
      <c r="BA3" s="4">
        <v>2610</v>
      </c>
      <c r="BB3" s="4">
        <v>2611</v>
      </c>
      <c r="BC3" s="4">
        <v>2612</v>
      </c>
      <c r="BD3" s="4">
        <v>2613</v>
      </c>
      <c r="BE3" s="4">
        <v>2614</v>
      </c>
      <c r="BF3" s="4">
        <v>2615</v>
      </c>
      <c r="BG3" s="4">
        <v>2616</v>
      </c>
      <c r="BH3" s="4">
        <v>2617</v>
      </c>
      <c r="BI3" s="4">
        <v>2618</v>
      </c>
      <c r="BJ3" s="4">
        <v>2619</v>
      </c>
      <c r="BK3" s="4">
        <v>2620</v>
      </c>
      <c r="BL3" s="4">
        <v>2621</v>
      </c>
      <c r="BM3" s="4">
        <v>2622</v>
      </c>
      <c r="BN3" s="4">
        <v>2623</v>
      </c>
      <c r="BO3" s="4">
        <v>2624</v>
      </c>
      <c r="BP3" s="4">
        <v>2625</v>
      </c>
      <c r="BQ3" s="4">
        <v>2626</v>
      </c>
      <c r="BR3" s="4">
        <v>2627</v>
      </c>
      <c r="BS3" s="4">
        <v>2628</v>
      </c>
      <c r="BT3" s="4">
        <v>2629</v>
      </c>
      <c r="BU3" s="4">
        <v>2630</v>
      </c>
      <c r="BV3" s="4">
        <v>2631</v>
      </c>
      <c r="BW3" s="4">
        <v>2632</v>
      </c>
      <c r="BX3" s="4">
        <v>2633</v>
      </c>
      <c r="BY3" s="4">
        <v>2634</v>
      </c>
      <c r="BZ3" s="4">
        <v>2635</v>
      </c>
      <c r="CA3" s="4">
        <v>2636</v>
      </c>
    </row>
    <row r="4" spans="1:79" s="4" customFormat="1">
      <c r="A4" s="206" t="s">
        <v>2</v>
      </c>
      <c r="B4" s="4">
        <f t="shared" ref="B4:H4" si="4">B9-25</f>
        <v>2502</v>
      </c>
      <c r="C4" s="4">
        <f t="shared" si="4"/>
        <v>2503</v>
      </c>
      <c r="D4" s="4">
        <f t="shared" si="4"/>
        <v>2504</v>
      </c>
      <c r="E4" s="4">
        <f t="shared" si="4"/>
        <v>2505</v>
      </c>
      <c r="F4" s="4">
        <f t="shared" si="4"/>
        <v>2506</v>
      </c>
      <c r="G4" s="4">
        <f t="shared" si="4"/>
        <v>2507</v>
      </c>
      <c r="H4" s="4">
        <f t="shared" si="4"/>
        <v>2508</v>
      </c>
      <c r="I4" s="4">
        <f t="shared" ref="I4:L4" si="5">I9-25</f>
        <v>2509</v>
      </c>
      <c r="J4" s="4">
        <f t="shared" si="5"/>
        <v>2510</v>
      </c>
      <c r="K4" s="4">
        <f t="shared" si="5"/>
        <v>2511</v>
      </c>
      <c r="L4" s="4">
        <f t="shared" si="5"/>
        <v>2512</v>
      </c>
      <c r="M4" s="4">
        <f t="shared" ref="M4:O4" si="6">M9-25</f>
        <v>2513</v>
      </c>
      <c r="N4" s="4">
        <f t="shared" si="6"/>
        <v>2514</v>
      </c>
      <c r="O4" s="4">
        <f t="shared" si="6"/>
        <v>2515</v>
      </c>
      <c r="P4" s="4">
        <f t="shared" ref="P4:R4" si="7">P9-25</f>
        <v>2516</v>
      </c>
      <c r="Q4" s="4">
        <f t="shared" si="7"/>
        <v>2517</v>
      </c>
      <c r="R4" s="4">
        <f t="shared" si="7"/>
        <v>2518</v>
      </c>
      <c r="S4" s="4">
        <f t="shared" ref="S4:W4" si="8">S9-25</f>
        <v>2519</v>
      </c>
      <c r="T4" s="4">
        <f t="shared" si="8"/>
        <v>2520</v>
      </c>
      <c r="U4" s="4">
        <f t="shared" si="8"/>
        <v>2521</v>
      </c>
      <c r="V4" s="4">
        <f t="shared" si="8"/>
        <v>2522</v>
      </c>
      <c r="W4" s="4">
        <f t="shared" si="8"/>
        <v>2523</v>
      </c>
      <c r="X4" s="4">
        <f t="shared" ref="X4:Z4" si="9">X9-25</f>
        <v>2524</v>
      </c>
      <c r="Y4" s="4">
        <f t="shared" si="9"/>
        <v>2525</v>
      </c>
      <c r="Z4" s="4">
        <f t="shared" si="9"/>
        <v>2526</v>
      </c>
      <c r="AA4" s="4">
        <f>AA9-25</f>
        <v>2527</v>
      </c>
      <c r="AB4" s="4">
        <v>2528</v>
      </c>
      <c r="AC4" s="4">
        <v>2529</v>
      </c>
      <c r="AD4" s="4">
        <v>2530</v>
      </c>
      <c r="AE4" s="4">
        <v>2531</v>
      </c>
      <c r="AF4" s="4">
        <v>2532</v>
      </c>
      <c r="AG4" s="4">
        <v>2533</v>
      </c>
      <c r="AH4" s="4">
        <v>2534</v>
      </c>
      <c r="AI4" s="4">
        <v>2535</v>
      </c>
      <c r="AJ4" s="4">
        <v>2536</v>
      </c>
      <c r="AK4" s="4">
        <v>2537</v>
      </c>
      <c r="AL4" s="4">
        <v>2538</v>
      </c>
      <c r="AM4" s="4">
        <v>2539</v>
      </c>
      <c r="AN4" s="4">
        <v>2540</v>
      </c>
      <c r="AO4" s="4">
        <v>2541</v>
      </c>
      <c r="AP4" s="4">
        <v>2542</v>
      </c>
      <c r="AQ4" s="4">
        <v>2543</v>
      </c>
      <c r="AR4" s="4">
        <v>2544</v>
      </c>
      <c r="AS4" s="4">
        <v>2545</v>
      </c>
      <c r="AT4" s="4">
        <v>2546</v>
      </c>
      <c r="AU4" s="4">
        <v>2547</v>
      </c>
      <c r="AV4" s="4">
        <v>2548</v>
      </c>
      <c r="AW4" s="4">
        <v>2549</v>
      </c>
      <c r="AX4" s="4">
        <v>2550</v>
      </c>
      <c r="AY4" s="4">
        <v>2551</v>
      </c>
      <c r="AZ4" s="4">
        <v>2552</v>
      </c>
      <c r="BA4" s="4">
        <v>2601</v>
      </c>
      <c r="BB4" s="4">
        <v>2602</v>
      </c>
      <c r="BC4" s="4">
        <v>2603</v>
      </c>
      <c r="BD4" s="4">
        <v>2604</v>
      </c>
      <c r="BE4" s="4">
        <v>2605</v>
      </c>
      <c r="BF4" s="4">
        <v>2606</v>
      </c>
      <c r="BG4" s="4">
        <v>2607</v>
      </c>
      <c r="BH4" s="4">
        <v>2608</v>
      </c>
      <c r="BI4" s="4">
        <v>2609</v>
      </c>
      <c r="BJ4" s="4">
        <v>2610</v>
      </c>
      <c r="BK4" s="4">
        <v>2611</v>
      </c>
      <c r="BL4" s="4">
        <v>2612</v>
      </c>
      <c r="BM4" s="4">
        <v>2613</v>
      </c>
      <c r="BN4" s="4">
        <v>2614</v>
      </c>
      <c r="BO4" s="4">
        <v>2615</v>
      </c>
      <c r="BP4" s="4">
        <v>2616</v>
      </c>
      <c r="BQ4" s="4">
        <v>2617</v>
      </c>
      <c r="BR4" s="4">
        <v>2618</v>
      </c>
      <c r="BS4" s="4">
        <v>2619</v>
      </c>
      <c r="BT4" s="4">
        <v>2620</v>
      </c>
      <c r="BU4" s="4">
        <v>2621</v>
      </c>
      <c r="BV4" s="4">
        <v>2622</v>
      </c>
      <c r="BW4" s="4">
        <v>2623</v>
      </c>
      <c r="BX4" s="4">
        <v>2624</v>
      </c>
      <c r="BY4" s="4">
        <v>2625</v>
      </c>
      <c r="BZ4" s="4">
        <v>2626</v>
      </c>
      <c r="CA4" s="4">
        <v>2627</v>
      </c>
    </row>
    <row r="5" spans="1:79" s="4" customFormat="1">
      <c r="A5" s="206" t="s">
        <v>3</v>
      </c>
      <c r="B5" s="4">
        <v>2451</v>
      </c>
      <c r="C5" s="4">
        <v>2452</v>
      </c>
      <c r="D5" s="4">
        <f t="shared" ref="D5:U5" si="10">D9-28</f>
        <v>2501</v>
      </c>
      <c r="E5" s="4">
        <f t="shared" si="10"/>
        <v>2502</v>
      </c>
      <c r="F5" s="4">
        <f t="shared" si="10"/>
        <v>2503</v>
      </c>
      <c r="G5" s="4">
        <f t="shared" si="10"/>
        <v>2504</v>
      </c>
      <c r="H5" s="4">
        <f t="shared" si="10"/>
        <v>2505</v>
      </c>
      <c r="I5" s="4">
        <f t="shared" si="10"/>
        <v>2506</v>
      </c>
      <c r="J5" s="4">
        <f t="shared" si="10"/>
        <v>2507</v>
      </c>
      <c r="K5" s="4">
        <f t="shared" si="10"/>
        <v>2508</v>
      </c>
      <c r="L5" s="4">
        <f t="shared" si="10"/>
        <v>2509</v>
      </c>
      <c r="M5" s="4">
        <f t="shared" si="10"/>
        <v>2510</v>
      </c>
      <c r="N5" s="4">
        <f t="shared" si="10"/>
        <v>2511</v>
      </c>
      <c r="O5" s="4">
        <f t="shared" si="10"/>
        <v>2512</v>
      </c>
      <c r="P5" s="4">
        <f t="shared" si="10"/>
        <v>2513</v>
      </c>
      <c r="Q5" s="4">
        <f t="shared" si="10"/>
        <v>2514</v>
      </c>
      <c r="R5" s="4">
        <f t="shared" si="10"/>
        <v>2515</v>
      </c>
      <c r="S5" s="4">
        <f t="shared" si="10"/>
        <v>2516</v>
      </c>
      <c r="T5" s="4">
        <f t="shared" si="10"/>
        <v>2517</v>
      </c>
      <c r="U5" s="4">
        <f t="shared" si="10"/>
        <v>2518</v>
      </c>
      <c r="V5" s="4">
        <f t="shared" ref="V5:Z5" si="11">V9-28</f>
        <v>2519</v>
      </c>
      <c r="W5" s="4">
        <f t="shared" si="11"/>
        <v>2520</v>
      </c>
      <c r="X5" s="4">
        <f t="shared" si="11"/>
        <v>2521</v>
      </c>
      <c r="Y5" s="4">
        <f t="shared" si="11"/>
        <v>2522</v>
      </c>
      <c r="Z5" s="4">
        <f t="shared" si="11"/>
        <v>2523</v>
      </c>
      <c r="AA5" s="4">
        <f>AA9-28</f>
        <v>2524</v>
      </c>
      <c r="AB5" s="4">
        <v>2525</v>
      </c>
      <c r="AC5" s="4">
        <v>2526</v>
      </c>
      <c r="AD5" s="4">
        <v>2527</v>
      </c>
      <c r="AE5" s="4">
        <v>2528</v>
      </c>
      <c r="AF5" s="4">
        <v>2529</v>
      </c>
      <c r="AG5" s="4">
        <v>2530</v>
      </c>
      <c r="AH5" s="4">
        <v>2531</v>
      </c>
      <c r="AI5" s="4">
        <v>2532</v>
      </c>
      <c r="AJ5" s="4">
        <v>2533</v>
      </c>
      <c r="AK5" s="4">
        <v>2534</v>
      </c>
      <c r="AL5" s="4">
        <v>2535</v>
      </c>
      <c r="AM5" s="4">
        <v>2536</v>
      </c>
      <c r="AN5" s="4">
        <v>2537</v>
      </c>
      <c r="AO5" s="4">
        <v>2538</v>
      </c>
      <c r="AP5" s="4">
        <v>2539</v>
      </c>
      <c r="AQ5" s="4">
        <v>2540</v>
      </c>
      <c r="AR5" s="4">
        <v>2541</v>
      </c>
      <c r="AS5" s="4">
        <v>2542</v>
      </c>
      <c r="AT5" s="4">
        <v>2543</v>
      </c>
      <c r="AU5" s="4">
        <v>2544</v>
      </c>
      <c r="AV5" s="4">
        <v>2545</v>
      </c>
      <c r="AW5" s="4">
        <v>2546</v>
      </c>
      <c r="AX5" s="4">
        <v>2547</v>
      </c>
      <c r="AY5" s="4">
        <v>2548</v>
      </c>
      <c r="AZ5" s="4">
        <v>2549</v>
      </c>
      <c r="BA5" s="4">
        <v>2550</v>
      </c>
      <c r="BB5" s="4">
        <v>2551</v>
      </c>
      <c r="BC5" s="4">
        <v>2552</v>
      </c>
      <c r="BD5" s="4">
        <v>2601</v>
      </c>
      <c r="BE5" s="4">
        <v>2602</v>
      </c>
      <c r="BF5" s="4">
        <v>2603</v>
      </c>
      <c r="BG5" s="4">
        <v>2604</v>
      </c>
      <c r="BH5" s="4">
        <v>2605</v>
      </c>
      <c r="BI5" s="4">
        <v>2606</v>
      </c>
      <c r="BJ5" s="4">
        <v>2607</v>
      </c>
      <c r="BK5" s="4">
        <v>2608</v>
      </c>
      <c r="BL5" s="4">
        <v>2609</v>
      </c>
      <c r="BM5" s="4">
        <v>2610</v>
      </c>
      <c r="BN5" s="4">
        <v>2611</v>
      </c>
      <c r="BO5" s="4">
        <v>2612</v>
      </c>
      <c r="BP5" s="4">
        <v>2613</v>
      </c>
      <c r="BQ5" s="4">
        <v>2614</v>
      </c>
      <c r="BR5" s="4">
        <v>2615</v>
      </c>
      <c r="BS5" s="4">
        <v>2616</v>
      </c>
      <c r="BT5" s="4">
        <v>2617</v>
      </c>
      <c r="BU5" s="4">
        <v>2618</v>
      </c>
      <c r="BV5" s="4">
        <v>2619</v>
      </c>
      <c r="BW5" s="4">
        <v>2620</v>
      </c>
      <c r="BX5" s="4">
        <v>2621</v>
      </c>
      <c r="BY5" s="4">
        <v>2622</v>
      </c>
      <c r="BZ5" s="4">
        <v>2623</v>
      </c>
      <c r="CA5" s="4">
        <v>2624</v>
      </c>
    </row>
    <row r="6" spans="1:79" s="4" customFormat="1">
      <c r="A6" s="206" t="s">
        <v>16</v>
      </c>
      <c r="B6" s="4">
        <f>B5-4</f>
        <v>2447</v>
      </c>
      <c r="C6" s="4">
        <f>C5-4</f>
        <v>2448</v>
      </c>
      <c r="D6" s="4">
        <v>2449</v>
      </c>
      <c r="E6" s="4">
        <v>2450</v>
      </c>
      <c r="F6" s="4">
        <v>2451</v>
      </c>
      <c r="G6" s="4">
        <v>2452</v>
      </c>
      <c r="H6" s="4">
        <v>2501</v>
      </c>
      <c r="I6" s="4">
        <v>2502</v>
      </c>
      <c r="J6" s="4">
        <v>2503</v>
      </c>
      <c r="K6" s="4">
        <v>2504</v>
      </c>
      <c r="L6" s="4">
        <v>2505</v>
      </c>
      <c r="M6" s="4">
        <v>2506</v>
      </c>
      <c r="N6" s="4">
        <v>2507</v>
      </c>
      <c r="O6" s="4">
        <v>2508</v>
      </c>
      <c r="P6" s="4">
        <v>2509</v>
      </c>
      <c r="Q6" s="4">
        <v>2510</v>
      </c>
      <c r="R6" s="4">
        <v>2511</v>
      </c>
      <c r="S6" s="4">
        <v>2512</v>
      </c>
      <c r="T6" s="4">
        <v>2513</v>
      </c>
      <c r="U6" s="4">
        <v>2514</v>
      </c>
      <c r="V6" s="4">
        <v>2515</v>
      </c>
      <c r="W6" s="4">
        <v>2516</v>
      </c>
      <c r="X6" s="4">
        <v>2517</v>
      </c>
      <c r="Y6" s="4">
        <v>2518</v>
      </c>
      <c r="Z6" s="4">
        <v>2519</v>
      </c>
      <c r="AA6" s="4">
        <v>2520</v>
      </c>
      <c r="AB6" s="4">
        <v>2521</v>
      </c>
      <c r="AC6" s="4">
        <v>2522</v>
      </c>
      <c r="AD6" s="4">
        <v>2523</v>
      </c>
      <c r="AE6" s="4">
        <v>2524</v>
      </c>
      <c r="AF6" s="4">
        <v>2525</v>
      </c>
      <c r="AG6" s="4">
        <v>2526</v>
      </c>
      <c r="AH6" s="4">
        <v>2527</v>
      </c>
      <c r="AI6" s="4">
        <v>2528</v>
      </c>
      <c r="AJ6" s="4">
        <v>2529</v>
      </c>
      <c r="AK6" s="4">
        <v>2530</v>
      </c>
      <c r="AL6" s="4">
        <v>2531</v>
      </c>
      <c r="AM6" s="4">
        <v>2532</v>
      </c>
      <c r="AN6" s="4">
        <v>2533</v>
      </c>
      <c r="AO6" s="4">
        <v>2534</v>
      </c>
      <c r="AP6" s="4">
        <v>2535</v>
      </c>
      <c r="AQ6" s="4">
        <v>2536</v>
      </c>
      <c r="AR6" s="4">
        <v>2537</v>
      </c>
      <c r="AS6" s="4">
        <v>2538</v>
      </c>
      <c r="AT6" s="4">
        <v>2539</v>
      </c>
      <c r="AU6" s="4">
        <v>2540</v>
      </c>
      <c r="AV6" s="4">
        <v>2541</v>
      </c>
      <c r="AW6" s="4">
        <v>2542</v>
      </c>
      <c r="AX6" s="4">
        <v>2543</v>
      </c>
      <c r="AY6" s="4">
        <v>2544</v>
      </c>
      <c r="AZ6" s="4">
        <v>2545</v>
      </c>
      <c r="BA6" s="4">
        <v>2546</v>
      </c>
      <c r="BB6" s="4">
        <v>2547</v>
      </c>
      <c r="BC6" s="4">
        <v>2548</v>
      </c>
      <c r="BD6" s="4">
        <v>2549</v>
      </c>
      <c r="BE6" s="4">
        <v>2550</v>
      </c>
      <c r="BF6" s="4">
        <v>2551</v>
      </c>
      <c r="BG6" s="4">
        <v>2552</v>
      </c>
      <c r="BH6" s="4">
        <v>2601</v>
      </c>
      <c r="BI6" s="4">
        <v>2601</v>
      </c>
      <c r="BJ6" s="4">
        <v>2602</v>
      </c>
      <c r="BK6" s="4">
        <v>2603</v>
      </c>
      <c r="BL6" s="4">
        <v>2604</v>
      </c>
      <c r="BM6" s="4">
        <v>2605</v>
      </c>
      <c r="BN6" s="4">
        <v>2606</v>
      </c>
      <c r="BO6" s="4">
        <v>2607</v>
      </c>
      <c r="BP6" s="4">
        <v>2608</v>
      </c>
      <c r="BQ6" s="4">
        <v>2609</v>
      </c>
      <c r="BR6" s="4">
        <v>2610</v>
      </c>
      <c r="BS6" s="4">
        <v>2611</v>
      </c>
      <c r="BT6" s="4">
        <v>2612</v>
      </c>
      <c r="BU6" s="4">
        <v>2613</v>
      </c>
      <c r="BV6" s="4">
        <v>2614</v>
      </c>
      <c r="BW6" s="4">
        <v>2615</v>
      </c>
      <c r="BX6" s="4">
        <v>2616</v>
      </c>
      <c r="BY6" s="4">
        <v>2617</v>
      </c>
      <c r="BZ6" s="4">
        <v>2618</v>
      </c>
      <c r="CA6" s="4">
        <v>2619</v>
      </c>
    </row>
    <row r="7" spans="1:79" s="4" customFormat="1" ht="19.5" thickBot="1">
      <c r="A7" s="206" t="s">
        <v>17</v>
      </c>
      <c r="B7" s="4">
        <v>2431</v>
      </c>
      <c r="C7" s="4">
        <v>2432</v>
      </c>
      <c r="D7" s="4">
        <v>2433</v>
      </c>
      <c r="E7" s="4">
        <v>2434</v>
      </c>
      <c r="F7" s="4">
        <v>2435</v>
      </c>
      <c r="G7" s="4">
        <v>2436</v>
      </c>
      <c r="H7" s="4">
        <v>2437</v>
      </c>
      <c r="I7" s="4">
        <v>2438</v>
      </c>
      <c r="J7" s="4">
        <v>2439</v>
      </c>
      <c r="K7" s="4">
        <v>2440</v>
      </c>
      <c r="L7" s="4">
        <v>2441</v>
      </c>
      <c r="M7" s="4">
        <v>2442</v>
      </c>
      <c r="N7" s="4">
        <v>2443</v>
      </c>
      <c r="O7" s="4">
        <v>2444</v>
      </c>
      <c r="P7" s="4">
        <v>2445</v>
      </c>
      <c r="Q7" s="4">
        <v>2446</v>
      </c>
      <c r="R7" s="4">
        <v>2447</v>
      </c>
      <c r="S7" s="4">
        <v>2448</v>
      </c>
      <c r="T7" s="4">
        <v>2449</v>
      </c>
      <c r="U7" s="4">
        <v>2450</v>
      </c>
      <c r="V7" s="4">
        <v>2451</v>
      </c>
      <c r="W7" s="4">
        <v>2452</v>
      </c>
      <c r="X7" s="4">
        <f t="shared" ref="X7:Y7" si="12">X9-48</f>
        <v>2501</v>
      </c>
      <c r="Y7" s="4">
        <f t="shared" si="12"/>
        <v>2502</v>
      </c>
      <c r="Z7" s="4">
        <f>Z9-48</f>
        <v>2503</v>
      </c>
      <c r="AA7" s="4">
        <f>AA9-48</f>
        <v>2504</v>
      </c>
      <c r="AB7" s="4">
        <v>2505</v>
      </c>
      <c r="AC7" s="4">
        <v>2506</v>
      </c>
      <c r="AD7" s="4">
        <v>2507</v>
      </c>
      <c r="AE7" s="4">
        <v>2508</v>
      </c>
      <c r="AF7" s="4">
        <v>2509</v>
      </c>
      <c r="AG7" s="4">
        <v>2510</v>
      </c>
      <c r="AH7" s="4">
        <v>2511</v>
      </c>
      <c r="AI7" s="4">
        <v>2512</v>
      </c>
      <c r="AJ7" s="4">
        <v>2513</v>
      </c>
      <c r="AK7" s="4">
        <v>2514</v>
      </c>
      <c r="AL7" s="4">
        <v>2515</v>
      </c>
      <c r="AM7" s="4">
        <v>2516</v>
      </c>
      <c r="AN7" s="4">
        <v>2517</v>
      </c>
      <c r="AO7" s="4">
        <v>2518</v>
      </c>
      <c r="AP7" s="4">
        <v>2519</v>
      </c>
      <c r="AQ7" s="4">
        <v>2520</v>
      </c>
      <c r="AR7" s="4">
        <v>2521</v>
      </c>
      <c r="AS7" s="4">
        <v>2522</v>
      </c>
      <c r="AT7" s="4">
        <v>2523</v>
      </c>
      <c r="AU7" s="4">
        <v>2524</v>
      </c>
      <c r="AV7" s="4">
        <v>2525</v>
      </c>
      <c r="AW7" s="4">
        <v>2526</v>
      </c>
      <c r="AX7" s="4">
        <v>2527</v>
      </c>
      <c r="AY7" s="4">
        <v>2528</v>
      </c>
      <c r="AZ7" s="4">
        <v>2529</v>
      </c>
      <c r="BA7" s="4">
        <v>2530</v>
      </c>
      <c r="BB7" s="4">
        <v>2531</v>
      </c>
      <c r="BC7" s="4">
        <v>2532</v>
      </c>
      <c r="BD7" s="4">
        <v>2533</v>
      </c>
      <c r="BE7" s="4">
        <v>2534</v>
      </c>
      <c r="BF7" s="4">
        <v>2535</v>
      </c>
      <c r="BG7" s="4">
        <v>2536</v>
      </c>
      <c r="BH7" s="4">
        <v>2537</v>
      </c>
      <c r="BI7" s="4">
        <v>2538</v>
      </c>
      <c r="BJ7" s="4">
        <v>2539</v>
      </c>
      <c r="BK7" s="4">
        <v>2540</v>
      </c>
      <c r="BL7" s="4">
        <v>2541</v>
      </c>
      <c r="BM7" s="4">
        <v>2542</v>
      </c>
      <c r="BN7" s="4">
        <v>2543</v>
      </c>
      <c r="BO7" s="4">
        <v>2544</v>
      </c>
      <c r="BP7" s="4">
        <v>2545</v>
      </c>
      <c r="BQ7" s="4">
        <v>2546</v>
      </c>
      <c r="BR7" s="4">
        <v>2547</v>
      </c>
      <c r="BS7" s="4">
        <v>2548</v>
      </c>
      <c r="BT7" s="4">
        <v>2549</v>
      </c>
      <c r="BU7" s="4">
        <v>2550</v>
      </c>
      <c r="BV7" s="4">
        <v>2551</v>
      </c>
      <c r="BW7" s="4">
        <v>2552</v>
      </c>
      <c r="BX7" s="4">
        <v>2601</v>
      </c>
      <c r="BY7" s="4">
        <v>2602</v>
      </c>
      <c r="BZ7" s="4">
        <v>2603</v>
      </c>
      <c r="CA7" s="4">
        <v>2604</v>
      </c>
    </row>
    <row r="8" spans="1:79" s="7" customFormat="1">
      <c r="A8" s="8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</row>
    <row r="9" spans="1:79" s="237" customFormat="1" ht="21.75" thickBot="1">
      <c r="A9" s="5" t="s">
        <v>18</v>
      </c>
      <c r="B9" s="101">
        <v>2527</v>
      </c>
      <c r="C9" s="101">
        <v>2528</v>
      </c>
      <c r="D9" s="101">
        <v>2529</v>
      </c>
      <c r="E9" s="101">
        <v>2530</v>
      </c>
      <c r="F9" s="101">
        <v>2531</v>
      </c>
      <c r="G9" s="101">
        <v>2532</v>
      </c>
      <c r="H9" s="101">
        <v>2533</v>
      </c>
      <c r="I9" s="101">
        <v>2534</v>
      </c>
      <c r="J9" s="101">
        <v>2535</v>
      </c>
      <c r="K9" s="101">
        <v>2536</v>
      </c>
      <c r="L9" s="101">
        <v>2537</v>
      </c>
      <c r="M9" s="101">
        <v>2538</v>
      </c>
      <c r="N9" s="101">
        <v>2539</v>
      </c>
      <c r="O9" s="101">
        <v>2540</v>
      </c>
      <c r="P9" s="101">
        <v>2541</v>
      </c>
      <c r="Q9" s="101">
        <v>2542</v>
      </c>
      <c r="R9" s="101">
        <v>2543</v>
      </c>
      <c r="S9" s="101">
        <v>2544</v>
      </c>
      <c r="T9" s="101">
        <v>2545</v>
      </c>
      <c r="U9" s="101">
        <v>2546</v>
      </c>
      <c r="V9" s="101">
        <v>2547</v>
      </c>
      <c r="W9" s="101">
        <v>2548</v>
      </c>
      <c r="X9" s="101">
        <v>2549</v>
      </c>
      <c r="Y9" s="101">
        <v>2550</v>
      </c>
      <c r="Z9" s="101">
        <v>2551</v>
      </c>
      <c r="AA9" s="101">
        <v>2552</v>
      </c>
      <c r="AB9" s="101">
        <v>2601</v>
      </c>
      <c r="AC9" s="101">
        <v>2602</v>
      </c>
      <c r="AD9" s="101">
        <v>2603</v>
      </c>
      <c r="AE9" s="101">
        <v>2604</v>
      </c>
      <c r="AF9" s="101">
        <v>2605</v>
      </c>
      <c r="AG9" s="101">
        <v>2606</v>
      </c>
      <c r="AH9" s="101">
        <v>2607</v>
      </c>
      <c r="AI9" s="101">
        <v>2608</v>
      </c>
      <c r="AJ9" s="101">
        <v>2609</v>
      </c>
      <c r="AK9" s="101">
        <v>2610</v>
      </c>
      <c r="AL9" s="101">
        <v>2611</v>
      </c>
      <c r="AM9" s="101">
        <v>2612</v>
      </c>
      <c r="AN9" s="101">
        <v>2613</v>
      </c>
      <c r="AO9" s="101">
        <v>2614</v>
      </c>
      <c r="AP9" s="101">
        <v>2615</v>
      </c>
      <c r="AQ9" s="101">
        <v>2616</v>
      </c>
      <c r="AR9" s="101">
        <v>2617</v>
      </c>
      <c r="AS9" s="101">
        <v>2618</v>
      </c>
      <c r="AT9" s="101">
        <v>2619</v>
      </c>
      <c r="AU9" s="101">
        <v>2620</v>
      </c>
      <c r="AV9" s="101">
        <v>2621</v>
      </c>
      <c r="AW9" s="101">
        <v>2622</v>
      </c>
      <c r="AX9" s="101">
        <v>2623</v>
      </c>
      <c r="AY9" s="101">
        <v>2624</v>
      </c>
      <c r="AZ9" s="101">
        <v>2625</v>
      </c>
      <c r="BA9" s="101">
        <v>2626</v>
      </c>
      <c r="BB9" s="101">
        <v>2627</v>
      </c>
      <c r="BC9" s="101">
        <v>2628</v>
      </c>
      <c r="BD9" s="101">
        <v>2629</v>
      </c>
      <c r="BE9" s="101">
        <v>2630</v>
      </c>
      <c r="BF9" s="101">
        <v>2631</v>
      </c>
      <c r="BG9" s="101">
        <v>2632</v>
      </c>
      <c r="BH9" s="101">
        <v>2633</v>
      </c>
      <c r="BI9" s="101">
        <v>2634</v>
      </c>
      <c r="BJ9" s="101">
        <v>2635</v>
      </c>
      <c r="BK9" s="101">
        <v>2636</v>
      </c>
      <c r="BL9" s="101">
        <v>2637</v>
      </c>
      <c r="BM9" s="101">
        <v>2638</v>
      </c>
      <c r="BN9" s="101">
        <v>2639</v>
      </c>
      <c r="BO9" s="101">
        <v>2640</v>
      </c>
      <c r="BP9" s="101">
        <v>2641</v>
      </c>
      <c r="BQ9" s="101">
        <v>2642</v>
      </c>
      <c r="BR9" s="101">
        <v>2643</v>
      </c>
      <c r="BS9" s="101">
        <v>2644</v>
      </c>
      <c r="BT9" s="101">
        <v>2645</v>
      </c>
      <c r="BU9" s="101">
        <v>2646</v>
      </c>
      <c r="BV9" s="101">
        <v>2647</v>
      </c>
      <c r="BW9" s="101">
        <v>2648</v>
      </c>
      <c r="BX9" s="101">
        <v>2649</v>
      </c>
      <c r="BY9" s="101">
        <v>2650</v>
      </c>
      <c r="BZ9" s="101">
        <v>2651</v>
      </c>
      <c r="CA9" s="101">
        <v>2652</v>
      </c>
    </row>
    <row r="10" spans="1:79" s="238" customFormat="1">
      <c r="A10" s="206" t="s">
        <v>19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>
        <v>8.6199999999999992</v>
      </c>
      <c r="AG10" s="77">
        <v>8.07</v>
      </c>
      <c r="AH10" s="77">
        <v>7.78</v>
      </c>
      <c r="AI10" s="77">
        <v>9.41</v>
      </c>
      <c r="AJ10" s="77">
        <v>8.73</v>
      </c>
      <c r="AK10" s="77">
        <v>9.7799999999999994</v>
      </c>
      <c r="AL10" s="77">
        <v>7.66</v>
      </c>
      <c r="AM10" s="77">
        <v>8</v>
      </c>
      <c r="AN10" s="77">
        <v>8</v>
      </c>
      <c r="AO10" s="77">
        <v>7.62</v>
      </c>
      <c r="AP10" s="77">
        <v>9.07</v>
      </c>
      <c r="AQ10" s="77">
        <v>8</v>
      </c>
      <c r="AR10" s="77">
        <v>7.71</v>
      </c>
      <c r="AS10" s="77">
        <v>8.64</v>
      </c>
      <c r="AT10" s="77">
        <v>7.9</v>
      </c>
      <c r="AU10" s="77">
        <v>8.5</v>
      </c>
      <c r="AV10" s="77">
        <v>8.3000000000000007</v>
      </c>
      <c r="AW10" s="77">
        <v>9.5</v>
      </c>
      <c r="AX10" s="77">
        <v>9.16</v>
      </c>
      <c r="AY10" s="77">
        <v>9.14</v>
      </c>
      <c r="AZ10" s="77">
        <v>8</v>
      </c>
      <c r="BA10" s="77">
        <v>9.1</v>
      </c>
      <c r="BB10" s="77">
        <v>9.5</v>
      </c>
      <c r="BC10" s="77">
        <v>10.3</v>
      </c>
      <c r="BD10" s="77">
        <v>8.4</v>
      </c>
      <c r="BE10" s="77">
        <v>9.3000000000000007</v>
      </c>
      <c r="BF10" s="77">
        <v>9.3800000000000008</v>
      </c>
      <c r="BG10" s="77">
        <v>7.7</v>
      </c>
      <c r="BH10" s="77">
        <v>9.6</v>
      </c>
      <c r="BI10" s="77"/>
      <c r="BJ10" s="77"/>
      <c r="BK10" s="77"/>
    </row>
    <row r="11" spans="1:79" s="243" customFormat="1" ht="33" customHeight="1">
      <c r="A11" s="206" t="s">
        <v>20</v>
      </c>
      <c r="B11" s="20">
        <v>7.2</v>
      </c>
      <c r="C11" s="20">
        <v>7.2</v>
      </c>
      <c r="D11" s="20">
        <v>7.2</v>
      </c>
      <c r="E11" s="20">
        <v>7.2</v>
      </c>
      <c r="F11" s="20">
        <v>7.2</v>
      </c>
      <c r="G11" s="20">
        <v>7.2</v>
      </c>
      <c r="H11" s="20">
        <v>7.2</v>
      </c>
      <c r="I11" s="20">
        <v>7.2</v>
      </c>
      <c r="J11" s="20">
        <v>7.2</v>
      </c>
      <c r="K11" s="20">
        <v>7.2</v>
      </c>
      <c r="L11" s="20">
        <v>7.2</v>
      </c>
      <c r="M11" s="20">
        <v>7.2</v>
      </c>
      <c r="N11" s="20">
        <v>7.2</v>
      </c>
      <c r="O11" s="20">
        <v>7.2</v>
      </c>
      <c r="P11" s="20">
        <v>7.2</v>
      </c>
      <c r="Q11" s="20">
        <v>7.2</v>
      </c>
      <c r="R11" s="20">
        <v>7.2</v>
      </c>
      <c r="S11" s="20">
        <v>7.2</v>
      </c>
      <c r="T11" s="20">
        <v>7.2</v>
      </c>
      <c r="U11" s="20">
        <v>7.2</v>
      </c>
      <c r="V11" s="20">
        <v>7.2</v>
      </c>
      <c r="W11" s="20">
        <v>7.2</v>
      </c>
      <c r="X11" s="20">
        <v>7.2</v>
      </c>
      <c r="Y11" s="20">
        <v>7.2</v>
      </c>
      <c r="Z11" s="20">
        <v>7.2</v>
      </c>
      <c r="AA11" s="20">
        <v>7.2</v>
      </c>
      <c r="AB11" s="20">
        <v>7.2</v>
      </c>
      <c r="AC11" s="20">
        <v>7.2</v>
      </c>
      <c r="AD11" s="20">
        <v>7.2</v>
      </c>
      <c r="AE11" s="20">
        <v>7.2</v>
      </c>
      <c r="AF11" s="20">
        <v>7.2</v>
      </c>
      <c r="AG11" s="20">
        <v>7.2</v>
      </c>
      <c r="AH11" s="20">
        <v>7.2</v>
      </c>
      <c r="AI11" s="20">
        <v>7.2</v>
      </c>
      <c r="AJ11" s="20">
        <v>7.2</v>
      </c>
      <c r="AK11" s="20">
        <v>7.2</v>
      </c>
      <c r="AL11" s="20">
        <v>7.2</v>
      </c>
      <c r="AM11" s="20">
        <v>7.2</v>
      </c>
      <c r="AN11" s="20">
        <v>7.2</v>
      </c>
      <c r="AO11" s="20">
        <v>7.2</v>
      </c>
      <c r="AP11" s="20">
        <v>7.2</v>
      </c>
      <c r="AQ11" s="20">
        <v>7.2</v>
      </c>
      <c r="AR11" s="20">
        <v>7.2</v>
      </c>
      <c r="AS11" s="20">
        <v>7.2</v>
      </c>
      <c r="AT11" s="20">
        <v>7.2</v>
      </c>
      <c r="AU11" s="20">
        <v>7.2</v>
      </c>
      <c r="AV11" s="20">
        <v>7.2</v>
      </c>
      <c r="AW11" s="20">
        <v>7.2</v>
      </c>
      <c r="AX11" s="20">
        <v>7.2</v>
      </c>
      <c r="AY11" s="20">
        <v>7.2</v>
      </c>
      <c r="AZ11" s="20">
        <v>7.2</v>
      </c>
      <c r="BA11" s="20">
        <v>7.2</v>
      </c>
      <c r="BB11" s="20">
        <v>7.2</v>
      </c>
      <c r="BC11" s="20">
        <v>7.2</v>
      </c>
      <c r="BD11" s="20">
        <v>7.2</v>
      </c>
      <c r="BE11" s="20">
        <v>7.2</v>
      </c>
      <c r="BF11" s="20">
        <v>7.2</v>
      </c>
      <c r="BG11" s="20">
        <v>7.2</v>
      </c>
      <c r="BH11" s="20">
        <v>7.2</v>
      </c>
      <c r="BI11" s="20">
        <v>7.2</v>
      </c>
      <c r="BJ11" s="20">
        <v>7.2</v>
      </c>
      <c r="BK11" s="20">
        <v>7.2</v>
      </c>
      <c r="BL11" s="20">
        <v>7.2</v>
      </c>
      <c r="BM11" s="20">
        <v>7.2</v>
      </c>
      <c r="BN11" s="20">
        <v>7.2</v>
      </c>
      <c r="BO11" s="20">
        <v>7.2</v>
      </c>
      <c r="BP11" s="20">
        <v>7.2</v>
      </c>
      <c r="BQ11" s="20">
        <v>7.2</v>
      </c>
      <c r="BR11" s="20">
        <v>7.2</v>
      </c>
      <c r="BS11" s="20">
        <v>7.2</v>
      </c>
      <c r="BT11" s="20">
        <v>7.2</v>
      </c>
      <c r="BU11" s="20">
        <v>7.2</v>
      </c>
      <c r="BV11" s="20">
        <v>7.2</v>
      </c>
      <c r="BW11" s="20">
        <v>7.2</v>
      </c>
      <c r="BX11" s="20">
        <v>7.2</v>
      </c>
      <c r="BY11" s="20">
        <v>7.2</v>
      </c>
      <c r="BZ11" s="20">
        <v>7.2</v>
      </c>
      <c r="CA11" s="20">
        <v>7.2</v>
      </c>
    </row>
    <row r="12" spans="1:79" s="243" customFormat="1">
      <c r="A12" s="206" t="s">
        <v>21</v>
      </c>
      <c r="B12" s="20">
        <v>7.3</v>
      </c>
      <c r="C12" s="20">
        <v>7.3</v>
      </c>
      <c r="D12" s="20">
        <v>7.3</v>
      </c>
      <c r="E12" s="20">
        <v>7.3</v>
      </c>
      <c r="F12" s="20">
        <v>7.3</v>
      </c>
      <c r="G12" s="20">
        <v>7.3</v>
      </c>
      <c r="H12" s="20">
        <v>7.3</v>
      </c>
      <c r="I12" s="20">
        <v>7.3</v>
      </c>
      <c r="J12" s="20">
        <v>7.3</v>
      </c>
      <c r="K12" s="20">
        <v>7.3</v>
      </c>
      <c r="L12" s="20">
        <v>7.3</v>
      </c>
      <c r="M12" s="20">
        <v>7.3</v>
      </c>
      <c r="N12" s="20">
        <v>7.3</v>
      </c>
      <c r="O12" s="20">
        <v>7.3</v>
      </c>
      <c r="P12" s="20">
        <v>7.3</v>
      </c>
      <c r="Q12" s="20">
        <v>7.3</v>
      </c>
      <c r="R12" s="20">
        <v>7.3</v>
      </c>
      <c r="S12" s="20">
        <v>7.3</v>
      </c>
      <c r="T12" s="20">
        <v>7.3</v>
      </c>
      <c r="U12" s="20">
        <v>7.3</v>
      </c>
      <c r="V12" s="20">
        <v>7.3</v>
      </c>
      <c r="W12" s="20">
        <v>7.3</v>
      </c>
      <c r="X12" s="20">
        <v>7.3</v>
      </c>
      <c r="Y12" s="20">
        <v>7.3</v>
      </c>
      <c r="Z12" s="20">
        <v>7.3</v>
      </c>
      <c r="AA12" s="20">
        <v>7.3</v>
      </c>
      <c r="AB12" s="20">
        <v>7.3</v>
      </c>
      <c r="AC12" s="20">
        <v>7.3</v>
      </c>
      <c r="AD12" s="20">
        <v>7.3</v>
      </c>
      <c r="AE12" s="20">
        <v>7.3</v>
      </c>
      <c r="AF12" s="20">
        <v>7.3</v>
      </c>
      <c r="AG12" s="20">
        <v>7.3</v>
      </c>
      <c r="AH12" s="20">
        <v>7.3</v>
      </c>
      <c r="AI12" s="20">
        <v>7.3</v>
      </c>
      <c r="AJ12" s="20">
        <v>7.3</v>
      </c>
      <c r="AK12" s="20">
        <v>7.3</v>
      </c>
      <c r="AL12" s="20">
        <v>7.3</v>
      </c>
      <c r="AM12" s="20">
        <v>7.3</v>
      </c>
      <c r="AN12" s="20">
        <v>7.3</v>
      </c>
      <c r="AO12" s="20">
        <v>7.3</v>
      </c>
      <c r="AP12" s="20">
        <v>7.3</v>
      </c>
      <c r="AQ12" s="20">
        <v>7.3</v>
      </c>
      <c r="AR12" s="20">
        <v>7.3</v>
      </c>
      <c r="AS12" s="20">
        <v>7.3</v>
      </c>
      <c r="AT12" s="20">
        <v>7.3</v>
      </c>
      <c r="AU12" s="20">
        <v>7.3</v>
      </c>
      <c r="AV12" s="20">
        <v>7.3</v>
      </c>
      <c r="AW12" s="20">
        <v>7.3</v>
      </c>
      <c r="AX12" s="20">
        <v>7.3</v>
      </c>
      <c r="AY12" s="20">
        <v>7.3</v>
      </c>
      <c r="AZ12" s="20">
        <v>7.3</v>
      </c>
      <c r="BA12" s="20">
        <v>7.3</v>
      </c>
      <c r="BB12" s="20">
        <v>7.3</v>
      </c>
      <c r="BC12" s="20">
        <v>7.3</v>
      </c>
      <c r="BD12" s="20">
        <v>7.3</v>
      </c>
      <c r="BE12" s="20">
        <v>7.3</v>
      </c>
      <c r="BF12" s="20">
        <v>7.3</v>
      </c>
      <c r="BG12" s="20">
        <v>7.3</v>
      </c>
      <c r="BH12" s="20">
        <v>7.3</v>
      </c>
      <c r="BI12" s="20">
        <v>7.3</v>
      </c>
      <c r="BJ12" s="20">
        <v>7.3</v>
      </c>
      <c r="BK12" s="20">
        <v>7.3</v>
      </c>
      <c r="BL12" s="20">
        <v>7.3</v>
      </c>
      <c r="BM12" s="20">
        <v>7.3</v>
      </c>
      <c r="BN12" s="20">
        <v>7.3</v>
      </c>
      <c r="BO12" s="20">
        <v>7.3</v>
      </c>
      <c r="BP12" s="20">
        <v>7.3</v>
      </c>
      <c r="BQ12" s="20">
        <v>7.3</v>
      </c>
      <c r="BR12" s="20">
        <v>7.3</v>
      </c>
      <c r="BS12" s="20">
        <v>7.3</v>
      </c>
      <c r="BT12" s="20">
        <v>7.3</v>
      </c>
      <c r="BU12" s="20">
        <v>7.3</v>
      </c>
      <c r="BV12" s="20">
        <v>7.3</v>
      </c>
      <c r="BW12" s="20">
        <v>7.3</v>
      </c>
      <c r="BX12" s="20">
        <v>7.3</v>
      </c>
      <c r="BY12" s="20">
        <v>7.3</v>
      </c>
      <c r="BZ12" s="20">
        <v>7.3</v>
      </c>
      <c r="CA12" s="20">
        <v>7.3</v>
      </c>
    </row>
    <row r="13" spans="1:79" s="243" customFormat="1">
      <c r="A13" s="206" t="s">
        <v>22</v>
      </c>
      <c r="B13" s="20">
        <v>6.8</v>
      </c>
      <c r="C13" s="20">
        <v>6.8</v>
      </c>
      <c r="D13" s="20">
        <v>6.8</v>
      </c>
      <c r="E13" s="20">
        <v>6.8</v>
      </c>
      <c r="F13" s="20">
        <v>6.8</v>
      </c>
      <c r="G13" s="20">
        <v>6.8</v>
      </c>
      <c r="H13" s="20">
        <v>6.8</v>
      </c>
      <c r="I13" s="20">
        <v>6.8</v>
      </c>
      <c r="J13" s="20">
        <v>6.8</v>
      </c>
      <c r="K13" s="20">
        <v>6.8</v>
      </c>
      <c r="L13" s="20">
        <v>6.8</v>
      </c>
      <c r="M13" s="20">
        <v>6.8</v>
      </c>
      <c r="N13" s="20">
        <v>6.8</v>
      </c>
      <c r="O13" s="20">
        <v>6.8</v>
      </c>
      <c r="P13" s="20">
        <v>6.8</v>
      </c>
      <c r="Q13" s="20">
        <v>6.8</v>
      </c>
      <c r="R13" s="20">
        <v>6.8</v>
      </c>
      <c r="S13" s="20">
        <v>6.8</v>
      </c>
      <c r="T13" s="20">
        <v>6.8</v>
      </c>
      <c r="U13" s="20">
        <v>6.8</v>
      </c>
      <c r="V13" s="20">
        <v>6.8</v>
      </c>
      <c r="W13" s="20">
        <v>6.8</v>
      </c>
      <c r="X13" s="20">
        <v>6.8</v>
      </c>
      <c r="Y13" s="20">
        <v>6.8</v>
      </c>
      <c r="Z13" s="20">
        <v>6.8</v>
      </c>
      <c r="AA13" s="20">
        <v>6.8</v>
      </c>
      <c r="AB13" s="20">
        <v>6.8</v>
      </c>
      <c r="AC13" s="20">
        <v>6.8</v>
      </c>
      <c r="AD13" s="20">
        <v>6.8</v>
      </c>
      <c r="AE13" s="20">
        <v>6.8</v>
      </c>
      <c r="AF13" s="20">
        <v>6.8</v>
      </c>
      <c r="AG13" s="20">
        <v>6.8</v>
      </c>
      <c r="AH13" s="20">
        <v>6.8</v>
      </c>
      <c r="AI13" s="20">
        <v>6.8</v>
      </c>
      <c r="AJ13" s="20">
        <v>6.8</v>
      </c>
      <c r="AK13" s="20">
        <v>6.8</v>
      </c>
      <c r="AL13" s="20">
        <v>6.8</v>
      </c>
      <c r="AM13" s="20">
        <v>6.8</v>
      </c>
      <c r="AN13" s="20">
        <v>6.8</v>
      </c>
      <c r="AO13" s="20">
        <v>6.8</v>
      </c>
      <c r="AP13" s="20">
        <v>6.8</v>
      </c>
      <c r="AQ13" s="20">
        <v>6.8</v>
      </c>
      <c r="AR13" s="20">
        <v>6.8</v>
      </c>
      <c r="AS13" s="20">
        <v>6.8</v>
      </c>
      <c r="AT13" s="20">
        <v>6.8</v>
      </c>
      <c r="AU13" s="20">
        <v>6.8</v>
      </c>
      <c r="AV13" s="20">
        <v>6.8</v>
      </c>
      <c r="AW13" s="20">
        <v>6.8</v>
      </c>
      <c r="AX13" s="20">
        <v>6.8</v>
      </c>
      <c r="AY13" s="20">
        <v>6.8</v>
      </c>
      <c r="AZ13" s="20">
        <v>6.8</v>
      </c>
      <c r="BA13" s="20">
        <v>6.8</v>
      </c>
      <c r="BB13" s="20">
        <v>6.8</v>
      </c>
      <c r="BC13" s="20">
        <v>6.8</v>
      </c>
      <c r="BD13" s="20">
        <v>6.8</v>
      </c>
      <c r="BE13" s="20">
        <v>6.8</v>
      </c>
      <c r="BF13" s="20">
        <v>6.8</v>
      </c>
      <c r="BG13" s="20">
        <v>6.8</v>
      </c>
      <c r="BH13" s="20">
        <v>6.8</v>
      </c>
      <c r="BI13" s="20">
        <v>6.8</v>
      </c>
      <c r="BJ13" s="20">
        <v>6.8</v>
      </c>
      <c r="BK13" s="20">
        <v>6.8</v>
      </c>
      <c r="BL13" s="20">
        <v>6.8</v>
      </c>
      <c r="BM13" s="20">
        <v>6.8</v>
      </c>
      <c r="BN13" s="20">
        <v>6.8</v>
      </c>
      <c r="BO13" s="20">
        <v>6.8</v>
      </c>
      <c r="BP13" s="20">
        <v>6.8</v>
      </c>
      <c r="BQ13" s="20">
        <v>6.8</v>
      </c>
      <c r="BR13" s="20">
        <v>6.8</v>
      </c>
      <c r="BS13" s="20">
        <v>6.8</v>
      </c>
      <c r="BT13" s="20">
        <v>6.8</v>
      </c>
      <c r="BU13" s="20">
        <v>6.8</v>
      </c>
      <c r="BV13" s="20">
        <v>6.8</v>
      </c>
      <c r="BW13" s="20">
        <v>6.8</v>
      </c>
      <c r="BX13" s="20">
        <v>6.8</v>
      </c>
      <c r="BY13" s="20">
        <v>6.8</v>
      </c>
      <c r="BZ13" s="20">
        <v>6.8</v>
      </c>
      <c r="CA13" s="20">
        <v>6.8</v>
      </c>
    </row>
    <row r="14" spans="1:79" ht="18" customHeight="1">
      <c r="A14" s="11" t="s">
        <v>23</v>
      </c>
      <c r="B14" s="106" t="e">
        <f>B15/(SUM(B15,B17,B19))</f>
        <v>#DIV/0!</v>
      </c>
      <c r="C14" s="106" t="e">
        <f t="shared" ref="C14:E14" si="13">C15/(SUM(C15,C17,C19))</f>
        <v>#DIV/0!</v>
      </c>
      <c r="D14" s="106" t="e">
        <f t="shared" si="13"/>
        <v>#DIV/0!</v>
      </c>
      <c r="E14" s="106" t="e">
        <f t="shared" si="13"/>
        <v>#DIV/0!</v>
      </c>
      <c r="F14" s="106" t="e">
        <f>F15/(SUM(F15,F17,F19))</f>
        <v>#DIV/0!</v>
      </c>
      <c r="G14" s="106" t="e">
        <f t="shared" ref="G14:I14" si="14">G15/(SUM(G15,G17,G19))</f>
        <v>#DIV/0!</v>
      </c>
      <c r="H14" s="106" t="e">
        <f t="shared" si="14"/>
        <v>#DIV/0!</v>
      </c>
      <c r="I14" s="106" t="e">
        <f t="shared" si="14"/>
        <v>#DIV/0!</v>
      </c>
      <c r="J14" s="106" t="e">
        <f>J15/(SUM(J15,J17,J19))</f>
        <v>#DIV/0!</v>
      </c>
      <c r="K14" s="106" t="e">
        <f t="shared" ref="K14:BV14" si="15">K15/(SUM(K15,K17,K19))</f>
        <v>#DIV/0!</v>
      </c>
      <c r="L14" s="106" t="e">
        <f t="shared" si="15"/>
        <v>#DIV/0!</v>
      </c>
      <c r="M14" s="106" t="e">
        <f t="shared" si="15"/>
        <v>#DIV/0!</v>
      </c>
      <c r="N14" s="106" t="e">
        <f t="shared" si="15"/>
        <v>#DIV/0!</v>
      </c>
      <c r="O14" s="106" t="e">
        <f t="shared" si="15"/>
        <v>#DIV/0!</v>
      </c>
      <c r="P14" s="106" t="e">
        <f t="shared" si="15"/>
        <v>#DIV/0!</v>
      </c>
      <c r="Q14" s="106" t="e">
        <f t="shared" si="15"/>
        <v>#DIV/0!</v>
      </c>
      <c r="R14" s="106" t="e">
        <f t="shared" si="15"/>
        <v>#DIV/0!</v>
      </c>
      <c r="S14" s="106" t="e">
        <f t="shared" si="15"/>
        <v>#DIV/0!</v>
      </c>
      <c r="T14" s="106" t="e">
        <f t="shared" si="15"/>
        <v>#DIV/0!</v>
      </c>
      <c r="U14" s="106" t="e">
        <f t="shared" si="15"/>
        <v>#DIV/0!</v>
      </c>
      <c r="V14" s="106" t="e">
        <f t="shared" si="15"/>
        <v>#DIV/0!</v>
      </c>
      <c r="W14" s="106" t="e">
        <f t="shared" si="15"/>
        <v>#DIV/0!</v>
      </c>
      <c r="X14" s="106" t="e">
        <f t="shared" si="15"/>
        <v>#DIV/0!</v>
      </c>
      <c r="Y14" s="106" t="e">
        <f t="shared" si="15"/>
        <v>#DIV/0!</v>
      </c>
      <c r="Z14" s="106" t="e">
        <f t="shared" si="15"/>
        <v>#DIV/0!</v>
      </c>
      <c r="AA14" s="106" t="e">
        <f t="shared" si="15"/>
        <v>#DIV/0!</v>
      </c>
      <c r="AB14" s="106" t="e">
        <f t="shared" si="15"/>
        <v>#DIV/0!</v>
      </c>
      <c r="AC14" s="106" t="e">
        <f t="shared" si="15"/>
        <v>#DIV/0!</v>
      </c>
      <c r="AD14" s="106" t="e">
        <f t="shared" si="15"/>
        <v>#DIV/0!</v>
      </c>
      <c r="AE14" s="106" t="e">
        <f t="shared" si="15"/>
        <v>#DIV/0!</v>
      </c>
      <c r="AF14" s="106">
        <f t="shared" si="15"/>
        <v>0</v>
      </c>
      <c r="AG14" s="106">
        <f t="shared" si="15"/>
        <v>0</v>
      </c>
      <c r="AH14" s="106">
        <f t="shared" si="15"/>
        <v>0</v>
      </c>
      <c r="AI14" s="106">
        <f t="shared" si="15"/>
        <v>0</v>
      </c>
      <c r="AJ14" s="106">
        <f t="shared" si="15"/>
        <v>0</v>
      </c>
      <c r="AK14" s="106">
        <f t="shared" si="15"/>
        <v>0</v>
      </c>
      <c r="AL14" s="106">
        <f t="shared" si="15"/>
        <v>0.14285714285714285</v>
      </c>
      <c r="AM14" s="106">
        <f t="shared" si="15"/>
        <v>0</v>
      </c>
      <c r="AN14" s="106">
        <f t="shared" si="15"/>
        <v>0</v>
      </c>
      <c r="AO14" s="106">
        <f t="shared" si="15"/>
        <v>0.14285714285714285</v>
      </c>
      <c r="AP14" s="106">
        <f t="shared" si="15"/>
        <v>0</v>
      </c>
      <c r="AQ14" s="106">
        <f t="shared" si="15"/>
        <v>0.14285714285714285</v>
      </c>
      <c r="AR14" s="106">
        <f t="shared" si="15"/>
        <v>0</v>
      </c>
      <c r="AS14" s="106">
        <f t="shared" si="15"/>
        <v>0</v>
      </c>
      <c r="AT14" s="106">
        <f t="shared" si="15"/>
        <v>0</v>
      </c>
      <c r="AU14" s="106">
        <f t="shared" si="15"/>
        <v>0</v>
      </c>
      <c r="AV14" s="106">
        <f t="shared" si="15"/>
        <v>0</v>
      </c>
      <c r="AW14" s="106">
        <f t="shared" si="15"/>
        <v>0</v>
      </c>
      <c r="AX14" s="106">
        <f t="shared" si="15"/>
        <v>0</v>
      </c>
      <c r="AY14" s="106">
        <f t="shared" si="15"/>
        <v>0</v>
      </c>
      <c r="AZ14" s="106">
        <f t="shared" si="15"/>
        <v>0</v>
      </c>
      <c r="BA14" s="106">
        <f t="shared" si="15"/>
        <v>0</v>
      </c>
      <c r="BB14" s="106">
        <f t="shared" si="15"/>
        <v>0</v>
      </c>
      <c r="BC14" s="106">
        <f t="shared" si="15"/>
        <v>0</v>
      </c>
      <c r="BD14" s="106">
        <f t="shared" si="15"/>
        <v>0</v>
      </c>
      <c r="BE14" s="106">
        <f t="shared" si="15"/>
        <v>0</v>
      </c>
      <c r="BF14" s="106">
        <f t="shared" si="15"/>
        <v>0</v>
      </c>
      <c r="BG14" s="106">
        <f t="shared" si="15"/>
        <v>7.1428571428571425E-2</v>
      </c>
      <c r="BH14" s="106">
        <f t="shared" si="15"/>
        <v>0</v>
      </c>
      <c r="BI14" s="106" t="e">
        <f t="shared" si="15"/>
        <v>#DIV/0!</v>
      </c>
      <c r="BJ14" s="106" t="e">
        <f t="shared" si="15"/>
        <v>#DIV/0!</v>
      </c>
      <c r="BK14" s="107" t="e">
        <f t="shared" si="15"/>
        <v>#DIV/0!</v>
      </c>
      <c r="BL14" s="107" t="e">
        <f t="shared" si="15"/>
        <v>#DIV/0!</v>
      </c>
      <c r="BM14" s="107" t="e">
        <f t="shared" si="15"/>
        <v>#DIV/0!</v>
      </c>
      <c r="BN14" s="107" t="e">
        <f t="shared" si="15"/>
        <v>#DIV/0!</v>
      </c>
      <c r="BO14" s="107" t="e">
        <f t="shared" si="15"/>
        <v>#DIV/0!</v>
      </c>
      <c r="BP14" s="107" t="e">
        <f t="shared" si="15"/>
        <v>#DIV/0!</v>
      </c>
      <c r="BQ14" s="107" t="e">
        <f t="shared" si="15"/>
        <v>#DIV/0!</v>
      </c>
      <c r="BR14" s="107" t="e">
        <f t="shared" si="15"/>
        <v>#DIV/0!</v>
      </c>
      <c r="BS14" s="107" t="e">
        <f t="shared" si="15"/>
        <v>#DIV/0!</v>
      </c>
      <c r="BT14" s="107" t="e">
        <f t="shared" si="15"/>
        <v>#DIV/0!</v>
      </c>
      <c r="BU14" s="107" t="e">
        <f t="shared" si="15"/>
        <v>#DIV/0!</v>
      </c>
      <c r="BV14" s="107" t="e">
        <f t="shared" si="15"/>
        <v>#DIV/0!</v>
      </c>
      <c r="BW14" s="107" t="e">
        <f t="shared" ref="BW14:CA14" si="16">BW15/(SUM(BW15,BW17,BW19))</f>
        <v>#DIV/0!</v>
      </c>
      <c r="BX14" s="107" t="e">
        <f t="shared" si="16"/>
        <v>#DIV/0!</v>
      </c>
      <c r="BY14" s="107" t="e">
        <f t="shared" si="16"/>
        <v>#DIV/0!</v>
      </c>
      <c r="BZ14" s="107" t="e">
        <f t="shared" si="16"/>
        <v>#DIV/0!</v>
      </c>
      <c r="CA14" s="107" t="e">
        <f t="shared" si="16"/>
        <v>#DIV/0!</v>
      </c>
    </row>
    <row r="15" spans="1:79" s="89" customFormat="1">
      <c r="A15" s="11" t="s">
        <v>24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>
        <v>0</v>
      </c>
      <c r="AG15" s="108">
        <v>0</v>
      </c>
      <c r="AH15" s="108">
        <v>0</v>
      </c>
      <c r="AI15" s="108">
        <v>0</v>
      </c>
      <c r="AJ15" s="108">
        <v>0</v>
      </c>
      <c r="AK15" s="108">
        <v>0</v>
      </c>
      <c r="AL15" s="108">
        <v>2</v>
      </c>
      <c r="AM15" s="108">
        <v>0</v>
      </c>
      <c r="AN15" s="108">
        <v>0</v>
      </c>
      <c r="AO15" s="108">
        <v>2</v>
      </c>
      <c r="AP15" s="108">
        <v>0</v>
      </c>
      <c r="AQ15" s="108">
        <v>2</v>
      </c>
      <c r="AR15" s="108">
        <v>0</v>
      </c>
      <c r="AS15" s="108">
        <v>0</v>
      </c>
      <c r="AT15" s="108">
        <v>0</v>
      </c>
      <c r="AU15" s="108">
        <v>0</v>
      </c>
      <c r="AV15" s="108">
        <v>0</v>
      </c>
      <c r="AW15" s="108">
        <v>0</v>
      </c>
      <c r="AX15" s="108">
        <v>0</v>
      </c>
      <c r="AY15" s="108">
        <v>0</v>
      </c>
      <c r="AZ15" s="108">
        <v>0</v>
      </c>
      <c r="BA15" s="108">
        <v>0</v>
      </c>
      <c r="BB15" s="108">
        <v>0</v>
      </c>
      <c r="BC15" s="108">
        <v>0</v>
      </c>
      <c r="BD15" s="108">
        <v>0</v>
      </c>
      <c r="BE15" s="108">
        <v>0</v>
      </c>
      <c r="BF15" s="108">
        <v>0</v>
      </c>
      <c r="BG15" s="108">
        <v>1</v>
      </c>
      <c r="BH15" s="108">
        <v>0</v>
      </c>
      <c r="BI15" s="108"/>
      <c r="BJ15" s="108"/>
      <c r="BK15" s="197"/>
    </row>
    <row r="16" spans="1:79">
      <c r="A16" s="11" t="s">
        <v>25</v>
      </c>
      <c r="B16" s="106" t="e">
        <f>B17/(SUM(B15,B17,B19))</f>
        <v>#DIV/0!</v>
      </c>
      <c r="C16" s="106" t="e">
        <f>C17/(SUM(C15,C17,C19))</f>
        <v>#DIV/0!</v>
      </c>
      <c r="D16" s="106" t="e">
        <f t="shared" ref="D16:E16" si="17">D17/(SUM(D15,D17,D19))</f>
        <v>#DIV/0!</v>
      </c>
      <c r="E16" s="106" t="e">
        <f t="shared" si="17"/>
        <v>#DIV/0!</v>
      </c>
      <c r="F16" s="106" t="e">
        <f>F17/(SUM(F15,F17,F19))</f>
        <v>#DIV/0!</v>
      </c>
      <c r="G16" s="106" t="e">
        <f>G17/(SUM(G15,G17,G19))</f>
        <v>#DIV/0!</v>
      </c>
      <c r="H16" s="106" t="e">
        <f>H17/(SUM(H15,H17,H19))</f>
        <v>#DIV/0!</v>
      </c>
      <c r="I16" s="106" t="e">
        <f>I17/(SUM(I15,I17,I19))</f>
        <v>#DIV/0!</v>
      </c>
      <c r="J16" s="106" t="e">
        <f t="shared" ref="J16:BU16" si="18">J17/(SUM(J15,J17,J19))</f>
        <v>#DIV/0!</v>
      </c>
      <c r="K16" s="106" t="e">
        <f t="shared" si="18"/>
        <v>#DIV/0!</v>
      </c>
      <c r="L16" s="106" t="e">
        <f t="shared" si="18"/>
        <v>#DIV/0!</v>
      </c>
      <c r="M16" s="106" t="e">
        <f t="shared" si="18"/>
        <v>#DIV/0!</v>
      </c>
      <c r="N16" s="106" t="e">
        <f t="shared" si="18"/>
        <v>#DIV/0!</v>
      </c>
      <c r="O16" s="106" t="e">
        <f t="shared" si="18"/>
        <v>#DIV/0!</v>
      </c>
      <c r="P16" s="106" t="e">
        <f t="shared" si="18"/>
        <v>#DIV/0!</v>
      </c>
      <c r="Q16" s="106" t="e">
        <f t="shared" si="18"/>
        <v>#DIV/0!</v>
      </c>
      <c r="R16" s="106" t="e">
        <f t="shared" si="18"/>
        <v>#DIV/0!</v>
      </c>
      <c r="S16" s="106" t="e">
        <f t="shared" si="18"/>
        <v>#DIV/0!</v>
      </c>
      <c r="T16" s="106" t="e">
        <f t="shared" si="18"/>
        <v>#DIV/0!</v>
      </c>
      <c r="U16" s="106" t="e">
        <f t="shared" si="18"/>
        <v>#DIV/0!</v>
      </c>
      <c r="V16" s="106" t="e">
        <f t="shared" si="18"/>
        <v>#DIV/0!</v>
      </c>
      <c r="W16" s="106" t="e">
        <f t="shared" si="18"/>
        <v>#DIV/0!</v>
      </c>
      <c r="X16" s="106" t="e">
        <f t="shared" si="18"/>
        <v>#DIV/0!</v>
      </c>
      <c r="Y16" s="106" t="e">
        <f t="shared" si="18"/>
        <v>#DIV/0!</v>
      </c>
      <c r="Z16" s="106" t="e">
        <f t="shared" si="18"/>
        <v>#DIV/0!</v>
      </c>
      <c r="AA16" s="106" t="e">
        <f t="shared" si="18"/>
        <v>#DIV/0!</v>
      </c>
      <c r="AB16" s="106" t="e">
        <f t="shared" si="18"/>
        <v>#DIV/0!</v>
      </c>
      <c r="AC16" s="106" t="e">
        <f t="shared" si="18"/>
        <v>#DIV/0!</v>
      </c>
      <c r="AD16" s="106" t="e">
        <f t="shared" si="18"/>
        <v>#DIV/0!</v>
      </c>
      <c r="AE16" s="106" t="e">
        <f t="shared" si="18"/>
        <v>#DIV/0!</v>
      </c>
      <c r="AF16" s="106">
        <f t="shared" si="18"/>
        <v>0.14285714285714285</v>
      </c>
      <c r="AG16" s="106">
        <f t="shared" si="18"/>
        <v>0.14285714285714285</v>
      </c>
      <c r="AH16" s="106">
        <f t="shared" si="18"/>
        <v>0.21428571428571427</v>
      </c>
      <c r="AI16" s="106">
        <f t="shared" si="18"/>
        <v>0</v>
      </c>
      <c r="AJ16" s="106">
        <f t="shared" si="18"/>
        <v>7.6923076923076927E-2</v>
      </c>
      <c r="AK16" s="106">
        <f t="shared" si="18"/>
        <v>0</v>
      </c>
      <c r="AL16" s="106">
        <f t="shared" si="18"/>
        <v>0.2857142857142857</v>
      </c>
      <c r="AM16" s="106">
        <f t="shared" si="18"/>
        <v>0.2857142857142857</v>
      </c>
      <c r="AN16" s="106">
        <f t="shared" si="18"/>
        <v>0.2857142857142857</v>
      </c>
      <c r="AO16" s="106">
        <f t="shared" si="18"/>
        <v>0.42857142857142855</v>
      </c>
      <c r="AP16" s="106">
        <f t="shared" si="18"/>
        <v>0</v>
      </c>
      <c r="AQ16" s="106">
        <f t="shared" si="18"/>
        <v>0.21428571428571427</v>
      </c>
      <c r="AR16" s="106">
        <f t="shared" si="18"/>
        <v>0.2857142857142857</v>
      </c>
      <c r="AS16" s="106">
        <f t="shared" si="18"/>
        <v>0</v>
      </c>
      <c r="AT16" s="106">
        <f t="shared" si="18"/>
        <v>0.1111111111111111</v>
      </c>
      <c r="AU16" s="106">
        <f t="shared" si="18"/>
        <v>0.10526315789473684</v>
      </c>
      <c r="AV16" s="106">
        <f t="shared" si="18"/>
        <v>0.14285714285714285</v>
      </c>
      <c r="AW16" s="106">
        <f t="shared" si="18"/>
        <v>0</v>
      </c>
      <c r="AX16" s="106">
        <f t="shared" si="18"/>
        <v>0</v>
      </c>
      <c r="AY16" s="106">
        <f t="shared" si="18"/>
        <v>0</v>
      </c>
      <c r="AZ16" s="106">
        <f t="shared" si="18"/>
        <v>0.2857142857142857</v>
      </c>
      <c r="BA16" s="106">
        <f t="shared" si="18"/>
        <v>0</v>
      </c>
      <c r="BB16" s="106">
        <f t="shared" si="18"/>
        <v>0</v>
      </c>
      <c r="BC16" s="106">
        <f t="shared" si="18"/>
        <v>0</v>
      </c>
      <c r="BD16" s="106">
        <f t="shared" si="18"/>
        <v>0.22222222222222221</v>
      </c>
      <c r="BE16" s="106">
        <f t="shared" si="18"/>
        <v>0</v>
      </c>
      <c r="BF16" s="106">
        <f t="shared" si="18"/>
        <v>0</v>
      </c>
      <c r="BG16" s="106">
        <f t="shared" si="18"/>
        <v>0.35714285714285715</v>
      </c>
      <c r="BH16" s="106">
        <f t="shared" si="18"/>
        <v>0</v>
      </c>
      <c r="BI16" s="106" t="e">
        <f t="shared" si="18"/>
        <v>#DIV/0!</v>
      </c>
      <c r="BJ16" s="106" t="e">
        <f t="shared" si="18"/>
        <v>#DIV/0!</v>
      </c>
      <c r="BK16" s="107" t="e">
        <f t="shared" si="18"/>
        <v>#DIV/0!</v>
      </c>
      <c r="BL16" s="107" t="e">
        <f t="shared" si="18"/>
        <v>#DIV/0!</v>
      </c>
      <c r="BM16" s="107" t="e">
        <f t="shared" si="18"/>
        <v>#DIV/0!</v>
      </c>
      <c r="BN16" s="107" t="e">
        <f t="shared" si="18"/>
        <v>#DIV/0!</v>
      </c>
      <c r="BO16" s="107" t="e">
        <f t="shared" si="18"/>
        <v>#DIV/0!</v>
      </c>
      <c r="BP16" s="107" t="e">
        <f t="shared" si="18"/>
        <v>#DIV/0!</v>
      </c>
      <c r="BQ16" s="107" t="e">
        <f t="shared" si="18"/>
        <v>#DIV/0!</v>
      </c>
      <c r="BR16" s="107" t="e">
        <f t="shared" si="18"/>
        <v>#DIV/0!</v>
      </c>
      <c r="BS16" s="107" t="e">
        <f t="shared" si="18"/>
        <v>#DIV/0!</v>
      </c>
      <c r="BT16" s="107" t="e">
        <f t="shared" si="18"/>
        <v>#DIV/0!</v>
      </c>
      <c r="BU16" s="107" t="e">
        <f t="shared" si="18"/>
        <v>#DIV/0!</v>
      </c>
      <c r="BV16" s="107" t="e">
        <f t="shared" ref="BV16:CA16" si="19">BV17/(SUM(BV15,BV17,BV19))</f>
        <v>#DIV/0!</v>
      </c>
      <c r="BW16" s="107" t="e">
        <f t="shared" si="19"/>
        <v>#DIV/0!</v>
      </c>
      <c r="BX16" s="107" t="e">
        <f t="shared" si="19"/>
        <v>#DIV/0!</v>
      </c>
      <c r="BY16" s="107" t="e">
        <f t="shared" si="19"/>
        <v>#DIV/0!</v>
      </c>
      <c r="BZ16" s="107" t="e">
        <f t="shared" si="19"/>
        <v>#DIV/0!</v>
      </c>
      <c r="CA16" s="107" t="e">
        <f t="shared" si="19"/>
        <v>#DIV/0!</v>
      </c>
    </row>
    <row r="17" spans="1:79" s="89" customFormat="1">
      <c r="A17" s="11" t="s">
        <v>26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>
        <v>2</v>
      </c>
      <c r="AG17" s="108">
        <v>2</v>
      </c>
      <c r="AH17" s="108">
        <v>3</v>
      </c>
      <c r="AI17" s="108">
        <v>0</v>
      </c>
      <c r="AJ17" s="108">
        <v>1</v>
      </c>
      <c r="AK17" s="108">
        <v>0</v>
      </c>
      <c r="AL17" s="108">
        <v>4</v>
      </c>
      <c r="AM17" s="108">
        <v>4</v>
      </c>
      <c r="AN17" s="108">
        <v>4</v>
      </c>
      <c r="AO17" s="108">
        <v>6</v>
      </c>
      <c r="AP17" s="108">
        <v>0</v>
      </c>
      <c r="AQ17" s="108">
        <v>3</v>
      </c>
      <c r="AR17" s="108">
        <v>4</v>
      </c>
      <c r="AS17" s="108">
        <v>0</v>
      </c>
      <c r="AT17" s="108">
        <v>1</v>
      </c>
      <c r="AU17" s="108">
        <v>2</v>
      </c>
      <c r="AV17" s="108">
        <v>2</v>
      </c>
      <c r="AW17" s="108">
        <v>0</v>
      </c>
      <c r="AX17" s="108">
        <v>0</v>
      </c>
      <c r="AY17" s="108">
        <v>0</v>
      </c>
      <c r="AZ17" s="108">
        <v>4</v>
      </c>
      <c r="BA17" s="108">
        <v>0</v>
      </c>
      <c r="BB17" s="108">
        <v>0</v>
      </c>
      <c r="BC17" s="108">
        <v>0</v>
      </c>
      <c r="BD17" s="108">
        <v>2</v>
      </c>
      <c r="BE17" s="108">
        <v>0</v>
      </c>
      <c r="BF17" s="108">
        <v>0</v>
      </c>
      <c r="BG17" s="108">
        <v>5</v>
      </c>
      <c r="BH17" s="108">
        <v>0</v>
      </c>
      <c r="BI17" s="108"/>
      <c r="BJ17" s="108"/>
      <c r="BK17" s="197"/>
    </row>
    <row r="18" spans="1:79">
      <c r="A18" s="11" t="s">
        <v>27</v>
      </c>
      <c r="B18" s="106" t="e">
        <f>B19/(SUM(B19,B15,B17))</f>
        <v>#DIV/0!</v>
      </c>
      <c r="C18" s="106" t="e">
        <f t="shared" ref="C18:E18" si="20">C19/(SUM(C19,C15,C17))</f>
        <v>#DIV/0!</v>
      </c>
      <c r="D18" s="106" t="e">
        <f t="shared" si="20"/>
        <v>#DIV/0!</v>
      </c>
      <c r="E18" s="106" t="e">
        <f t="shared" si="20"/>
        <v>#DIV/0!</v>
      </c>
      <c r="F18" s="106" t="e">
        <f>F19/(SUM(F15,F17,F19))</f>
        <v>#DIV/0!</v>
      </c>
      <c r="G18" s="106" t="e">
        <f t="shared" ref="G18:BR18" si="21">G19/(SUM(G15,G17,G19))</f>
        <v>#DIV/0!</v>
      </c>
      <c r="H18" s="106" t="e">
        <f t="shared" si="21"/>
        <v>#DIV/0!</v>
      </c>
      <c r="I18" s="106" t="e">
        <f t="shared" si="21"/>
        <v>#DIV/0!</v>
      </c>
      <c r="J18" s="106" t="e">
        <f t="shared" si="21"/>
        <v>#DIV/0!</v>
      </c>
      <c r="K18" s="106" t="e">
        <f t="shared" si="21"/>
        <v>#DIV/0!</v>
      </c>
      <c r="L18" s="106" t="e">
        <f t="shared" si="21"/>
        <v>#DIV/0!</v>
      </c>
      <c r="M18" s="106" t="e">
        <f t="shared" si="21"/>
        <v>#DIV/0!</v>
      </c>
      <c r="N18" s="106" t="e">
        <f t="shared" si="21"/>
        <v>#DIV/0!</v>
      </c>
      <c r="O18" s="106" t="e">
        <f t="shared" si="21"/>
        <v>#DIV/0!</v>
      </c>
      <c r="P18" s="106" t="e">
        <f t="shared" si="21"/>
        <v>#DIV/0!</v>
      </c>
      <c r="Q18" s="106" t="e">
        <f t="shared" si="21"/>
        <v>#DIV/0!</v>
      </c>
      <c r="R18" s="106" t="e">
        <f t="shared" si="21"/>
        <v>#DIV/0!</v>
      </c>
      <c r="S18" s="106" t="e">
        <f t="shared" si="21"/>
        <v>#DIV/0!</v>
      </c>
      <c r="T18" s="106" t="e">
        <f t="shared" si="21"/>
        <v>#DIV/0!</v>
      </c>
      <c r="U18" s="106" t="e">
        <f t="shared" si="21"/>
        <v>#DIV/0!</v>
      </c>
      <c r="V18" s="106" t="e">
        <f t="shared" si="21"/>
        <v>#DIV/0!</v>
      </c>
      <c r="W18" s="106" t="e">
        <f t="shared" si="21"/>
        <v>#DIV/0!</v>
      </c>
      <c r="X18" s="106" t="e">
        <f t="shared" si="21"/>
        <v>#DIV/0!</v>
      </c>
      <c r="Y18" s="106" t="e">
        <f t="shared" si="21"/>
        <v>#DIV/0!</v>
      </c>
      <c r="Z18" s="106" t="e">
        <f t="shared" si="21"/>
        <v>#DIV/0!</v>
      </c>
      <c r="AA18" s="106" t="e">
        <f t="shared" si="21"/>
        <v>#DIV/0!</v>
      </c>
      <c r="AB18" s="106" t="e">
        <f t="shared" si="21"/>
        <v>#DIV/0!</v>
      </c>
      <c r="AC18" s="106" t="e">
        <f t="shared" si="21"/>
        <v>#DIV/0!</v>
      </c>
      <c r="AD18" s="106" t="e">
        <f t="shared" si="21"/>
        <v>#DIV/0!</v>
      </c>
      <c r="AE18" s="106" t="e">
        <f t="shared" si="21"/>
        <v>#DIV/0!</v>
      </c>
      <c r="AF18" s="106">
        <f t="shared" si="21"/>
        <v>0.8571428571428571</v>
      </c>
      <c r="AG18" s="106">
        <f t="shared" si="21"/>
        <v>0.8571428571428571</v>
      </c>
      <c r="AH18" s="106">
        <f t="shared" si="21"/>
        <v>0.7857142857142857</v>
      </c>
      <c r="AI18" s="106">
        <f t="shared" si="21"/>
        <v>1</v>
      </c>
      <c r="AJ18" s="106">
        <f t="shared" si="21"/>
        <v>0.92307692307692313</v>
      </c>
      <c r="AK18" s="106">
        <f t="shared" si="21"/>
        <v>1</v>
      </c>
      <c r="AL18" s="106">
        <f t="shared" si="21"/>
        <v>0.5714285714285714</v>
      </c>
      <c r="AM18" s="106">
        <f t="shared" si="21"/>
        <v>0.7142857142857143</v>
      </c>
      <c r="AN18" s="106">
        <f t="shared" si="21"/>
        <v>0.7142857142857143</v>
      </c>
      <c r="AO18" s="106">
        <f t="shared" si="21"/>
        <v>0.42857142857142855</v>
      </c>
      <c r="AP18" s="106">
        <f t="shared" si="21"/>
        <v>1</v>
      </c>
      <c r="AQ18" s="106">
        <f t="shared" si="21"/>
        <v>0.6428571428571429</v>
      </c>
      <c r="AR18" s="106">
        <f t="shared" si="21"/>
        <v>0.7142857142857143</v>
      </c>
      <c r="AS18" s="106">
        <f t="shared" si="21"/>
        <v>1</v>
      </c>
      <c r="AT18" s="106">
        <f t="shared" si="21"/>
        <v>0.88888888888888884</v>
      </c>
      <c r="AU18" s="106">
        <f t="shared" si="21"/>
        <v>0.89473684210526316</v>
      </c>
      <c r="AV18" s="106">
        <f t="shared" si="21"/>
        <v>0.8571428571428571</v>
      </c>
      <c r="AW18" s="106">
        <f t="shared" si="21"/>
        <v>1</v>
      </c>
      <c r="AX18" s="106">
        <f t="shared" si="21"/>
        <v>1</v>
      </c>
      <c r="AY18" s="106">
        <f t="shared" si="21"/>
        <v>1</v>
      </c>
      <c r="AZ18" s="106">
        <f t="shared" si="21"/>
        <v>0.7142857142857143</v>
      </c>
      <c r="BA18" s="106">
        <f t="shared" si="21"/>
        <v>1</v>
      </c>
      <c r="BB18" s="106">
        <f t="shared" si="21"/>
        <v>1</v>
      </c>
      <c r="BC18" s="106">
        <f t="shared" si="21"/>
        <v>1</v>
      </c>
      <c r="BD18" s="106">
        <f t="shared" si="21"/>
        <v>0.77777777777777779</v>
      </c>
      <c r="BE18" s="106">
        <f t="shared" si="21"/>
        <v>1</v>
      </c>
      <c r="BF18" s="106">
        <f t="shared" si="21"/>
        <v>1</v>
      </c>
      <c r="BG18" s="106">
        <f t="shared" si="21"/>
        <v>0.5714285714285714</v>
      </c>
      <c r="BH18" s="106">
        <f t="shared" si="21"/>
        <v>1</v>
      </c>
      <c r="BI18" s="106" t="e">
        <f t="shared" si="21"/>
        <v>#DIV/0!</v>
      </c>
      <c r="BJ18" s="106" t="e">
        <f t="shared" si="21"/>
        <v>#DIV/0!</v>
      </c>
      <c r="BK18" s="107" t="e">
        <f t="shared" si="21"/>
        <v>#DIV/0!</v>
      </c>
      <c r="BL18" s="107" t="e">
        <f t="shared" si="21"/>
        <v>#DIV/0!</v>
      </c>
      <c r="BM18" s="107" t="e">
        <f t="shared" si="21"/>
        <v>#DIV/0!</v>
      </c>
      <c r="BN18" s="107" t="e">
        <f t="shared" si="21"/>
        <v>#DIV/0!</v>
      </c>
      <c r="BO18" s="107" t="e">
        <f t="shared" si="21"/>
        <v>#DIV/0!</v>
      </c>
      <c r="BP18" s="107" t="e">
        <f t="shared" si="21"/>
        <v>#DIV/0!</v>
      </c>
      <c r="BQ18" s="107" t="e">
        <f t="shared" si="21"/>
        <v>#DIV/0!</v>
      </c>
      <c r="BR18" s="107" t="e">
        <f t="shared" si="21"/>
        <v>#DIV/0!</v>
      </c>
      <c r="BS18" s="107" t="e">
        <f t="shared" ref="BS18:CA18" si="22">BS19/(SUM(BS15,BS17,BS19))</f>
        <v>#DIV/0!</v>
      </c>
      <c r="BT18" s="107" t="e">
        <f t="shared" si="22"/>
        <v>#DIV/0!</v>
      </c>
      <c r="BU18" s="107" t="e">
        <f t="shared" si="22"/>
        <v>#DIV/0!</v>
      </c>
      <c r="BV18" s="107" t="e">
        <f t="shared" si="22"/>
        <v>#DIV/0!</v>
      </c>
      <c r="BW18" s="107" t="e">
        <f t="shared" si="22"/>
        <v>#DIV/0!</v>
      </c>
      <c r="BX18" s="107" t="e">
        <f t="shared" si="22"/>
        <v>#DIV/0!</v>
      </c>
      <c r="BY18" s="107" t="e">
        <f t="shared" si="22"/>
        <v>#DIV/0!</v>
      </c>
      <c r="BZ18" s="107" t="e">
        <f t="shared" si="22"/>
        <v>#DIV/0!</v>
      </c>
      <c r="CA18" s="107" t="e">
        <f t="shared" si="22"/>
        <v>#DIV/0!</v>
      </c>
    </row>
    <row r="19" spans="1:79" s="89" customFormat="1" ht="19.5" thickBot="1">
      <c r="A19" s="239" t="s">
        <v>28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>
        <v>12</v>
      </c>
      <c r="AG19" s="143">
        <v>12</v>
      </c>
      <c r="AH19" s="143">
        <v>11</v>
      </c>
      <c r="AI19" s="143">
        <v>14</v>
      </c>
      <c r="AJ19" s="143">
        <v>12</v>
      </c>
      <c r="AK19" s="143">
        <v>14</v>
      </c>
      <c r="AL19" s="143">
        <v>8</v>
      </c>
      <c r="AM19" s="143">
        <v>10</v>
      </c>
      <c r="AN19" s="143">
        <v>10</v>
      </c>
      <c r="AO19" s="143">
        <v>6</v>
      </c>
      <c r="AP19" s="143">
        <v>14</v>
      </c>
      <c r="AQ19" s="143">
        <v>9</v>
      </c>
      <c r="AR19" s="143">
        <v>10</v>
      </c>
      <c r="AS19" s="143">
        <v>14</v>
      </c>
      <c r="AT19" s="143">
        <v>8</v>
      </c>
      <c r="AU19" s="143">
        <v>17</v>
      </c>
      <c r="AV19" s="143">
        <v>12</v>
      </c>
      <c r="AW19" s="143">
        <v>14</v>
      </c>
      <c r="AX19" s="143">
        <v>14</v>
      </c>
      <c r="AY19" s="143">
        <v>14</v>
      </c>
      <c r="AZ19" s="143">
        <v>10</v>
      </c>
      <c r="BA19" s="143">
        <v>14</v>
      </c>
      <c r="BB19" s="143">
        <v>14</v>
      </c>
      <c r="BC19" s="143">
        <v>10</v>
      </c>
      <c r="BD19" s="143">
        <v>7</v>
      </c>
      <c r="BE19" s="143">
        <v>12</v>
      </c>
      <c r="BF19" s="143">
        <v>15</v>
      </c>
      <c r="BG19" s="143">
        <v>8</v>
      </c>
      <c r="BH19" s="143">
        <v>12</v>
      </c>
      <c r="BI19" s="143"/>
      <c r="BJ19" s="143"/>
      <c r="BK19" s="221"/>
    </row>
    <row r="20" spans="1:79" s="242" customFormat="1" ht="21.75" thickBot="1">
      <c r="A20" s="240"/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</row>
    <row r="21" spans="1:79" s="72" customFormat="1">
      <c r="A21" s="225" t="s">
        <v>29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8">
        <v>0.46400000000000002</v>
      </c>
      <c r="AM21" s="228">
        <v>0.47099999999999997</v>
      </c>
      <c r="AN21" s="228">
        <v>0.47099999999999997</v>
      </c>
      <c r="AO21" s="228">
        <v>0.502</v>
      </c>
      <c r="AP21" s="228">
        <v>0.48499999999999999</v>
      </c>
      <c r="AQ21" s="228">
        <v>0.502</v>
      </c>
      <c r="AR21" s="228">
        <v>0.495</v>
      </c>
      <c r="AS21" s="228">
        <v>0.49199999999999999</v>
      </c>
      <c r="AT21" s="228">
        <v>0.51300000000000001</v>
      </c>
      <c r="AU21" s="228">
        <v>0.48799999999999999</v>
      </c>
      <c r="AV21" s="228">
        <v>0.433</v>
      </c>
      <c r="AW21" s="228">
        <v>0.51600000000000001</v>
      </c>
      <c r="AX21" s="228">
        <v>0.46100000000000002</v>
      </c>
      <c r="AY21" s="228">
        <v>0.51700000000000002</v>
      </c>
      <c r="AZ21" s="253">
        <v>0.5</v>
      </c>
      <c r="BA21" s="228">
        <v>0.47299999999999998</v>
      </c>
      <c r="BB21" s="228">
        <v>0.51</v>
      </c>
      <c r="BC21" s="228">
        <v>0.45</v>
      </c>
      <c r="BD21" s="228">
        <v>0.46600000000000003</v>
      </c>
      <c r="BE21" s="228">
        <v>0.53500000000000003</v>
      </c>
      <c r="BF21" s="228">
        <v>0.50900000000000001</v>
      </c>
      <c r="BG21" s="228">
        <v>0.55200000000000005</v>
      </c>
      <c r="BH21" s="228">
        <v>0.54200000000000004</v>
      </c>
      <c r="BI21" s="228"/>
      <c r="BJ21" s="228"/>
      <c r="BK21" s="254"/>
    </row>
    <row r="22" spans="1:79" s="77" customFormat="1">
      <c r="A22" s="20" t="s">
        <v>30</v>
      </c>
      <c r="AL22" s="77">
        <v>0.39900000000000002</v>
      </c>
      <c r="AM22" s="77">
        <v>0.371</v>
      </c>
      <c r="AN22" s="77">
        <v>0.42199999999999999</v>
      </c>
      <c r="AO22" s="77">
        <v>0.42099999999999999</v>
      </c>
      <c r="AP22" s="77">
        <v>0.34599999999999997</v>
      </c>
      <c r="AR22" s="77">
        <v>0.42899999999999999</v>
      </c>
      <c r="AS22" s="77">
        <v>0.42899999999999999</v>
      </c>
      <c r="AT22" s="77">
        <v>0.39300000000000002</v>
      </c>
      <c r="AU22" s="77">
        <v>0.45200000000000001</v>
      </c>
      <c r="AV22" s="77">
        <v>0.38800000000000001</v>
      </c>
      <c r="AX22" s="202">
        <v>0.4</v>
      </c>
      <c r="AY22" s="77">
        <v>0.371</v>
      </c>
      <c r="AZ22" s="77">
        <v>0.39500000000000002</v>
      </c>
      <c r="BA22" s="77">
        <v>0.38300000000000001</v>
      </c>
      <c r="BB22" s="77">
        <v>0.435</v>
      </c>
      <c r="BC22" s="77">
        <v>0.38300000000000001</v>
      </c>
      <c r="BF22" s="77">
        <v>0.40500000000000003</v>
      </c>
    </row>
    <row r="23" spans="1:79" s="77" customFormat="1">
      <c r="A23" s="20" t="s">
        <v>31</v>
      </c>
      <c r="AL23" s="202">
        <v>0.52</v>
      </c>
      <c r="AM23" s="77">
        <v>0.53200000000000003</v>
      </c>
      <c r="AN23" s="77">
        <v>0.55300000000000005</v>
      </c>
      <c r="AO23" s="77">
        <v>0.52800000000000002</v>
      </c>
      <c r="AP23" s="77">
        <v>0.58899999999999997</v>
      </c>
      <c r="AQ23" s="77">
        <v>0.51900000000000002</v>
      </c>
      <c r="AR23" s="77">
        <v>0.58299999999999996</v>
      </c>
      <c r="AS23" s="77">
        <v>0.54200000000000004</v>
      </c>
      <c r="AT23" s="77">
        <v>0.57599999999999996</v>
      </c>
      <c r="AU23" s="77">
        <v>0.57099999999999995</v>
      </c>
      <c r="AV23" s="77">
        <v>0.52400000000000002</v>
      </c>
      <c r="AW23" s="77">
        <v>0.55200000000000005</v>
      </c>
      <c r="AX23" s="202">
        <v>0.53</v>
      </c>
      <c r="AY23" s="77">
        <v>0.56699999999999995</v>
      </c>
      <c r="AZ23" s="77">
        <v>0.56899999999999995</v>
      </c>
      <c r="BA23" s="77">
        <v>0.54900000000000004</v>
      </c>
      <c r="BB23" s="77">
        <v>0.53800000000000003</v>
      </c>
      <c r="BC23" s="77">
        <v>0.54500000000000004</v>
      </c>
      <c r="BD23" s="77">
        <v>0.52100000000000002</v>
      </c>
      <c r="BE23" s="202">
        <v>0.54</v>
      </c>
      <c r="BF23" s="202">
        <v>0.54</v>
      </c>
      <c r="BG23" s="77">
        <v>0.56200000000000006</v>
      </c>
      <c r="BH23" s="77">
        <v>0.55400000000000005</v>
      </c>
    </row>
    <row r="24" spans="1:79" s="19" customFormat="1" ht="19.5" thickBot="1">
      <c r="A24" s="224" t="s">
        <v>32</v>
      </c>
      <c r="B24" s="227">
        <v>0.55000000000000004</v>
      </c>
      <c r="C24" s="227">
        <v>0.55000000000000004</v>
      </c>
      <c r="D24" s="227">
        <v>0.55000000000000004</v>
      </c>
      <c r="E24" s="227">
        <v>0.55000000000000004</v>
      </c>
      <c r="F24" s="227">
        <v>0.55000000000000004</v>
      </c>
      <c r="G24" s="227">
        <v>0.55000000000000004</v>
      </c>
      <c r="H24" s="227">
        <v>0.55000000000000004</v>
      </c>
      <c r="I24" s="227">
        <v>0.55000000000000004</v>
      </c>
      <c r="J24" s="227">
        <v>0.55000000000000004</v>
      </c>
      <c r="K24" s="227">
        <v>0.55000000000000004</v>
      </c>
      <c r="L24" s="227">
        <v>0.55000000000000004</v>
      </c>
      <c r="M24" s="227">
        <v>0.55000000000000004</v>
      </c>
      <c r="N24" s="227">
        <v>0.55000000000000004</v>
      </c>
      <c r="O24" s="227">
        <v>0.55000000000000004</v>
      </c>
      <c r="P24" s="227">
        <v>0.55000000000000004</v>
      </c>
      <c r="Q24" s="227">
        <v>0.55000000000000004</v>
      </c>
      <c r="R24" s="227">
        <v>0.55000000000000004</v>
      </c>
      <c r="S24" s="227">
        <v>0.55000000000000004</v>
      </c>
      <c r="T24" s="227">
        <v>0.55000000000000004</v>
      </c>
      <c r="U24" s="227">
        <v>0.55000000000000004</v>
      </c>
      <c r="V24" s="227">
        <v>0.55000000000000004</v>
      </c>
      <c r="W24" s="227">
        <v>0.55000000000000004</v>
      </c>
      <c r="X24" s="227">
        <v>0.55000000000000004</v>
      </c>
      <c r="Y24" s="227">
        <v>0.55000000000000004</v>
      </c>
      <c r="Z24" s="227">
        <v>0.55000000000000004</v>
      </c>
      <c r="AA24" s="227">
        <v>0.55000000000000004</v>
      </c>
      <c r="AB24" s="227">
        <v>0.55000000000000004</v>
      </c>
      <c r="AC24" s="227">
        <v>0.55000000000000004</v>
      </c>
      <c r="AD24" s="227">
        <v>0.55000000000000004</v>
      </c>
      <c r="AE24" s="227">
        <v>0.55000000000000004</v>
      </c>
      <c r="AF24" s="227">
        <v>0.55000000000000004</v>
      </c>
      <c r="AG24" s="227">
        <v>0.55000000000000004</v>
      </c>
      <c r="AH24" s="227">
        <v>0.55000000000000004</v>
      </c>
      <c r="AI24" s="227">
        <v>0.55000000000000004</v>
      </c>
      <c r="AJ24" s="227">
        <v>0.55000000000000004</v>
      </c>
      <c r="AK24" s="227">
        <v>0.55000000000000004</v>
      </c>
      <c r="AL24" s="227">
        <v>0.55000000000000004</v>
      </c>
      <c r="AM24" s="227">
        <v>0.55000000000000004</v>
      </c>
      <c r="AN24" s="227">
        <v>0.55000000000000004</v>
      </c>
      <c r="AO24" s="227">
        <v>0.55000000000000004</v>
      </c>
      <c r="AP24" s="227">
        <v>0.55000000000000004</v>
      </c>
      <c r="AQ24" s="227">
        <v>0.55000000000000004</v>
      </c>
      <c r="AR24" s="227">
        <v>0.55000000000000004</v>
      </c>
      <c r="AS24" s="227">
        <v>0.55000000000000004</v>
      </c>
      <c r="AT24" s="227">
        <v>0.55000000000000004</v>
      </c>
      <c r="AU24" s="227">
        <v>0.55000000000000004</v>
      </c>
      <c r="AV24" s="227">
        <v>0.55000000000000004</v>
      </c>
      <c r="AW24" s="227">
        <v>0.55000000000000004</v>
      </c>
      <c r="AX24" s="227">
        <v>0.55000000000000004</v>
      </c>
      <c r="AY24" s="227">
        <v>0.55000000000000004</v>
      </c>
      <c r="AZ24" s="227">
        <v>0.55000000000000004</v>
      </c>
      <c r="BA24" s="227">
        <v>0.55000000000000004</v>
      </c>
      <c r="BB24" s="227">
        <v>0.55000000000000004</v>
      </c>
      <c r="BC24" s="227">
        <v>0.55000000000000004</v>
      </c>
      <c r="BD24" s="227">
        <v>0.55000000000000004</v>
      </c>
      <c r="BE24" s="227">
        <v>0.55000000000000004</v>
      </c>
      <c r="BF24" s="227">
        <v>0.55000000000000004</v>
      </c>
      <c r="BG24" s="227">
        <v>0.55000000000000004</v>
      </c>
      <c r="BH24" s="227">
        <v>0.55000000000000004</v>
      </c>
      <c r="BI24" s="227">
        <v>0.55000000000000004</v>
      </c>
      <c r="BJ24" s="227">
        <v>0.55000000000000004</v>
      </c>
      <c r="BK24" s="227">
        <v>0.55000000000000004</v>
      </c>
      <c r="BL24" s="227">
        <v>0.55000000000000004</v>
      </c>
      <c r="BM24" s="227">
        <v>0.55000000000000004</v>
      </c>
      <c r="BN24" s="227">
        <v>0.55000000000000004</v>
      </c>
      <c r="BO24" s="227">
        <v>0.55000000000000004</v>
      </c>
      <c r="BP24" s="227">
        <v>0.55000000000000004</v>
      </c>
      <c r="BQ24" s="227">
        <v>0.55000000000000004</v>
      </c>
      <c r="BR24" s="227">
        <v>0.55000000000000004</v>
      </c>
      <c r="BS24" s="227">
        <v>0.55000000000000004</v>
      </c>
      <c r="BT24" s="227">
        <v>0.55000000000000004</v>
      </c>
      <c r="BU24" s="227">
        <v>0.55000000000000004</v>
      </c>
      <c r="BV24" s="227">
        <v>0.55000000000000004</v>
      </c>
      <c r="BW24" s="227">
        <v>0.55000000000000004</v>
      </c>
      <c r="BX24" s="227">
        <v>0.55000000000000004</v>
      </c>
      <c r="BY24" s="227">
        <v>0.55000000000000004</v>
      </c>
      <c r="BZ24" s="227">
        <v>0.55000000000000004</v>
      </c>
      <c r="CA24" s="227">
        <v>0.55000000000000004</v>
      </c>
    </row>
    <row r="25" spans="1:79" s="84" customFormat="1" ht="19.5" thickBot="1">
      <c r="A25" s="224" t="s">
        <v>33</v>
      </c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>
        <v>19.5</v>
      </c>
      <c r="AM25" s="228">
        <v>19.8</v>
      </c>
      <c r="AN25" s="228">
        <v>19.8</v>
      </c>
      <c r="AO25" s="228">
        <v>21.1</v>
      </c>
      <c r="AP25" s="228">
        <v>20.37</v>
      </c>
      <c r="AQ25" s="228">
        <v>21.1</v>
      </c>
      <c r="AR25" s="228">
        <v>20.8</v>
      </c>
      <c r="AS25" s="228">
        <v>20.7</v>
      </c>
      <c r="AT25" s="228">
        <v>21.5</v>
      </c>
      <c r="AU25" s="228">
        <v>20.5</v>
      </c>
      <c r="AV25" s="228">
        <v>18.2</v>
      </c>
      <c r="AW25" s="228">
        <v>21.7</v>
      </c>
      <c r="AX25" s="228">
        <v>19.399999999999999</v>
      </c>
      <c r="AY25" s="228">
        <v>21.7</v>
      </c>
      <c r="AZ25" s="228">
        <v>21</v>
      </c>
      <c r="BA25" s="228">
        <v>19.899999999999999</v>
      </c>
      <c r="BB25" s="228">
        <v>21.5</v>
      </c>
      <c r="BC25" s="228">
        <v>19</v>
      </c>
      <c r="BD25" s="228">
        <v>19.600000000000001</v>
      </c>
      <c r="BE25" s="228">
        <v>22.8</v>
      </c>
      <c r="BF25" s="228">
        <v>21.4</v>
      </c>
      <c r="BG25" s="228">
        <v>23.2</v>
      </c>
      <c r="BH25" s="228">
        <v>22.8</v>
      </c>
      <c r="BI25" s="228"/>
      <c r="BJ25" s="228"/>
      <c r="BK25" s="254"/>
    </row>
    <row r="26" spans="1:79" s="229" customFormat="1" ht="19.5" thickBot="1">
      <c r="A26" s="231" t="s">
        <v>34</v>
      </c>
      <c r="B26" s="232">
        <v>21</v>
      </c>
      <c r="C26" s="232">
        <v>21</v>
      </c>
      <c r="D26" s="232">
        <v>21</v>
      </c>
      <c r="E26" s="232">
        <v>21</v>
      </c>
      <c r="F26" s="232">
        <v>21</v>
      </c>
      <c r="G26" s="232">
        <v>21</v>
      </c>
      <c r="H26" s="232">
        <v>21</v>
      </c>
      <c r="I26" s="232">
        <v>21</v>
      </c>
      <c r="J26" s="232">
        <v>21</v>
      </c>
      <c r="K26" s="232">
        <v>21</v>
      </c>
      <c r="L26" s="232">
        <v>21</v>
      </c>
      <c r="M26" s="232">
        <v>21</v>
      </c>
      <c r="N26" s="232">
        <v>21</v>
      </c>
      <c r="O26" s="232">
        <v>21</v>
      </c>
      <c r="P26" s="232">
        <v>21</v>
      </c>
      <c r="Q26" s="232">
        <v>21</v>
      </c>
      <c r="R26" s="232">
        <v>21</v>
      </c>
      <c r="S26" s="232">
        <v>21</v>
      </c>
      <c r="T26" s="232">
        <v>21</v>
      </c>
      <c r="U26" s="232">
        <v>21</v>
      </c>
      <c r="V26" s="232">
        <v>21</v>
      </c>
      <c r="W26" s="232">
        <v>21</v>
      </c>
      <c r="X26" s="232">
        <v>21</v>
      </c>
      <c r="Y26" s="232">
        <v>21</v>
      </c>
      <c r="Z26" s="232">
        <v>21</v>
      </c>
      <c r="AA26" s="232">
        <v>21</v>
      </c>
      <c r="AB26" s="232">
        <v>21</v>
      </c>
      <c r="AC26" s="232">
        <v>21</v>
      </c>
      <c r="AD26" s="232">
        <v>21</v>
      </c>
      <c r="AE26" s="232">
        <v>21</v>
      </c>
      <c r="AF26" s="232">
        <v>21</v>
      </c>
      <c r="AG26" s="232">
        <v>21</v>
      </c>
      <c r="AH26" s="232">
        <v>21</v>
      </c>
      <c r="AI26" s="232">
        <v>21</v>
      </c>
      <c r="AJ26" s="232">
        <v>21</v>
      </c>
      <c r="AK26" s="232">
        <v>21</v>
      </c>
      <c r="AL26" s="232">
        <v>21</v>
      </c>
      <c r="AM26" s="232">
        <v>21</v>
      </c>
      <c r="AN26" s="232">
        <v>21</v>
      </c>
      <c r="AO26" s="232">
        <v>21</v>
      </c>
      <c r="AP26" s="232">
        <v>21</v>
      </c>
      <c r="AQ26" s="232">
        <v>21</v>
      </c>
      <c r="AR26" s="232">
        <v>21</v>
      </c>
      <c r="AS26" s="232">
        <v>21</v>
      </c>
      <c r="AT26" s="232">
        <v>21</v>
      </c>
      <c r="AU26" s="232">
        <v>21</v>
      </c>
      <c r="AV26" s="232">
        <v>21</v>
      </c>
      <c r="AW26" s="232">
        <v>21</v>
      </c>
      <c r="AX26" s="232">
        <v>21</v>
      </c>
      <c r="AY26" s="232">
        <v>21</v>
      </c>
      <c r="AZ26" s="232">
        <v>21</v>
      </c>
      <c r="BA26" s="232">
        <v>21</v>
      </c>
      <c r="BB26" s="232">
        <v>21</v>
      </c>
      <c r="BC26" s="232">
        <v>21</v>
      </c>
      <c r="BD26" s="232">
        <v>21</v>
      </c>
      <c r="BE26" s="232">
        <v>21</v>
      </c>
      <c r="BF26" s="232">
        <v>21</v>
      </c>
      <c r="BG26" s="232">
        <v>21</v>
      </c>
      <c r="BH26" s="232">
        <v>21</v>
      </c>
      <c r="BI26" s="232">
        <v>21</v>
      </c>
      <c r="BJ26" s="232">
        <v>21</v>
      </c>
      <c r="BK26" s="232">
        <v>21</v>
      </c>
      <c r="BL26" s="232">
        <v>21</v>
      </c>
      <c r="BM26" s="232">
        <v>21</v>
      </c>
      <c r="BN26" s="232">
        <v>21</v>
      </c>
      <c r="BO26" s="232">
        <v>21</v>
      </c>
      <c r="BP26" s="232">
        <v>21</v>
      </c>
      <c r="BQ26" s="232">
        <v>21</v>
      </c>
      <c r="BR26" s="232">
        <v>21</v>
      </c>
      <c r="BS26" s="232">
        <v>21</v>
      </c>
      <c r="BT26" s="232">
        <v>21</v>
      </c>
      <c r="BU26" s="232">
        <v>21</v>
      </c>
      <c r="BV26" s="232">
        <v>21</v>
      </c>
      <c r="BW26" s="232">
        <v>21</v>
      </c>
      <c r="BX26" s="232">
        <v>21</v>
      </c>
      <c r="BY26" s="232">
        <v>21</v>
      </c>
      <c r="BZ26" s="232">
        <v>21</v>
      </c>
      <c r="CA26" s="232">
        <v>21</v>
      </c>
    </row>
    <row r="27" spans="1:79" s="236" customFormat="1" ht="19.5" thickBot="1">
      <c r="A27" s="233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5"/>
    </row>
    <row r="28" spans="1:79" s="14" customFormat="1" ht="21.75" thickBot="1">
      <c r="A28" s="244" t="s">
        <v>35</v>
      </c>
      <c r="B28" s="102"/>
      <c r="C28" s="102"/>
      <c r="D28" s="102"/>
      <c r="E28" s="102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4"/>
    </row>
    <row r="29" spans="1:79" s="17" customFormat="1" ht="19.5" thickBot="1">
      <c r="A29" s="224" t="s">
        <v>20</v>
      </c>
      <c r="B29" s="230">
        <v>28</v>
      </c>
      <c r="C29" s="230">
        <v>28</v>
      </c>
      <c r="D29" s="230">
        <v>28</v>
      </c>
      <c r="E29" s="230">
        <v>28</v>
      </c>
      <c r="F29" s="230">
        <v>28</v>
      </c>
      <c r="G29" s="230">
        <v>28</v>
      </c>
      <c r="H29" s="230">
        <v>28</v>
      </c>
      <c r="I29" s="230">
        <v>28</v>
      </c>
      <c r="J29" s="230">
        <v>28</v>
      </c>
      <c r="K29" s="230">
        <v>28</v>
      </c>
      <c r="L29" s="230">
        <v>28</v>
      </c>
      <c r="M29" s="230">
        <v>28</v>
      </c>
      <c r="N29" s="230">
        <v>28</v>
      </c>
      <c r="O29" s="230">
        <v>28</v>
      </c>
      <c r="P29" s="230">
        <v>28</v>
      </c>
      <c r="Q29" s="230">
        <v>28</v>
      </c>
      <c r="R29" s="230">
        <v>28</v>
      </c>
      <c r="S29" s="230">
        <v>28</v>
      </c>
      <c r="T29" s="230">
        <v>28</v>
      </c>
      <c r="U29" s="230">
        <v>28</v>
      </c>
      <c r="V29" s="230">
        <v>28</v>
      </c>
      <c r="W29" s="230">
        <v>28</v>
      </c>
      <c r="X29" s="230">
        <v>28</v>
      </c>
      <c r="Y29" s="230">
        <v>28</v>
      </c>
      <c r="Z29" s="230">
        <v>28</v>
      </c>
      <c r="AA29" s="230">
        <v>28</v>
      </c>
      <c r="AB29" s="230">
        <v>28</v>
      </c>
      <c r="AC29" s="230">
        <v>28</v>
      </c>
      <c r="AD29" s="230">
        <v>28</v>
      </c>
      <c r="AE29" s="230">
        <v>28</v>
      </c>
      <c r="AF29" s="230">
        <v>28</v>
      </c>
      <c r="AG29" s="230">
        <v>28</v>
      </c>
      <c r="AH29" s="230">
        <v>28</v>
      </c>
      <c r="AI29" s="230">
        <v>28</v>
      </c>
      <c r="AJ29" s="230">
        <v>28</v>
      </c>
      <c r="AK29" s="230">
        <v>28</v>
      </c>
      <c r="AL29" s="230">
        <v>28</v>
      </c>
      <c r="AM29" s="230">
        <v>28</v>
      </c>
      <c r="AN29" s="230">
        <v>28</v>
      </c>
      <c r="AO29" s="230">
        <v>28</v>
      </c>
      <c r="AP29" s="230">
        <v>28</v>
      </c>
      <c r="AQ29" s="230">
        <v>28</v>
      </c>
      <c r="AR29" s="230">
        <v>28</v>
      </c>
      <c r="AS29" s="230">
        <v>28</v>
      </c>
      <c r="AT29" s="230">
        <v>28</v>
      </c>
      <c r="AU29" s="230">
        <v>28</v>
      </c>
      <c r="AV29" s="230">
        <v>28</v>
      </c>
      <c r="AW29" s="230">
        <v>28</v>
      </c>
      <c r="AX29" s="230">
        <v>28</v>
      </c>
      <c r="AY29" s="230">
        <v>28</v>
      </c>
      <c r="AZ29" s="230">
        <v>28</v>
      </c>
      <c r="BA29" s="230">
        <v>28</v>
      </c>
      <c r="BB29" s="230">
        <v>28</v>
      </c>
      <c r="BC29" s="230">
        <v>28</v>
      </c>
      <c r="BD29" s="230">
        <v>28</v>
      </c>
      <c r="BE29" s="230">
        <v>28</v>
      </c>
      <c r="BF29" s="230">
        <v>28</v>
      </c>
      <c r="BG29" s="230">
        <v>28</v>
      </c>
      <c r="BH29" s="230">
        <v>28</v>
      </c>
      <c r="BI29" s="230">
        <v>28</v>
      </c>
      <c r="BJ29" s="230">
        <v>28</v>
      </c>
      <c r="BK29" s="230">
        <v>28</v>
      </c>
      <c r="BL29" s="230">
        <v>28</v>
      </c>
      <c r="BM29" s="230">
        <v>28</v>
      </c>
      <c r="BN29" s="230">
        <v>28</v>
      </c>
      <c r="BO29" s="230">
        <v>28</v>
      </c>
      <c r="BP29" s="230">
        <v>28</v>
      </c>
      <c r="BQ29" s="230">
        <v>28</v>
      </c>
      <c r="BR29" s="230">
        <v>28</v>
      </c>
      <c r="BS29" s="230">
        <v>28</v>
      </c>
      <c r="BT29" s="230">
        <v>28</v>
      </c>
      <c r="BU29" s="230">
        <v>28</v>
      </c>
      <c r="BV29" s="230">
        <v>28</v>
      </c>
      <c r="BW29" s="230">
        <v>28</v>
      </c>
      <c r="BX29" s="230">
        <v>28</v>
      </c>
      <c r="BY29" s="230">
        <v>28</v>
      </c>
      <c r="BZ29" s="230">
        <v>28</v>
      </c>
      <c r="CA29" s="230">
        <v>28</v>
      </c>
    </row>
    <row r="30" spans="1:79" s="17" customFormat="1">
      <c r="A30" s="15" t="s">
        <v>22</v>
      </c>
      <c r="B30" s="16">
        <v>31</v>
      </c>
      <c r="C30" s="16">
        <v>31</v>
      </c>
      <c r="D30" s="16">
        <v>31</v>
      </c>
      <c r="E30" s="16">
        <v>31</v>
      </c>
      <c r="F30" s="16">
        <v>31</v>
      </c>
      <c r="G30" s="16">
        <v>31</v>
      </c>
      <c r="H30" s="16">
        <v>31</v>
      </c>
      <c r="I30" s="16">
        <v>31</v>
      </c>
      <c r="J30" s="16">
        <v>31</v>
      </c>
      <c r="K30" s="16">
        <v>31</v>
      </c>
      <c r="L30" s="16">
        <v>31</v>
      </c>
      <c r="M30" s="16">
        <v>31</v>
      </c>
      <c r="N30" s="16">
        <v>31</v>
      </c>
      <c r="O30" s="16">
        <v>31</v>
      </c>
      <c r="P30" s="16">
        <v>31</v>
      </c>
      <c r="Q30" s="16">
        <v>31</v>
      </c>
      <c r="R30" s="16">
        <v>31</v>
      </c>
      <c r="S30" s="16">
        <v>31</v>
      </c>
      <c r="T30" s="16">
        <v>31</v>
      </c>
      <c r="U30" s="16">
        <v>31</v>
      </c>
      <c r="V30" s="16">
        <v>31</v>
      </c>
      <c r="W30" s="16">
        <v>31</v>
      </c>
      <c r="X30" s="16">
        <v>31</v>
      </c>
      <c r="Y30" s="16">
        <v>31</v>
      </c>
      <c r="Z30" s="16">
        <v>31</v>
      </c>
      <c r="AA30" s="16">
        <v>31</v>
      </c>
      <c r="AB30" s="16">
        <v>31</v>
      </c>
      <c r="AC30" s="16">
        <v>31</v>
      </c>
      <c r="AD30" s="16">
        <v>31</v>
      </c>
      <c r="AE30" s="16">
        <v>31</v>
      </c>
      <c r="AF30" s="16">
        <v>31</v>
      </c>
      <c r="AG30" s="16">
        <v>31</v>
      </c>
      <c r="AH30" s="16">
        <v>27</v>
      </c>
      <c r="AI30" s="16">
        <v>27</v>
      </c>
      <c r="AJ30" s="16">
        <v>27</v>
      </c>
      <c r="AK30" s="16">
        <v>27</v>
      </c>
      <c r="AL30" s="16">
        <v>27</v>
      </c>
      <c r="AM30" s="16">
        <v>27</v>
      </c>
      <c r="AN30" s="16">
        <v>27</v>
      </c>
      <c r="AO30" s="16">
        <v>27</v>
      </c>
      <c r="AP30" s="16">
        <v>27</v>
      </c>
      <c r="AQ30" s="16">
        <v>27</v>
      </c>
      <c r="AR30" s="16">
        <v>27</v>
      </c>
      <c r="AS30" s="16">
        <v>27</v>
      </c>
      <c r="AT30" s="16">
        <v>27</v>
      </c>
      <c r="AU30" s="16">
        <v>27</v>
      </c>
      <c r="AV30" s="16">
        <v>27</v>
      </c>
      <c r="AW30" s="16">
        <v>27</v>
      </c>
      <c r="AX30" s="16">
        <v>27</v>
      </c>
      <c r="AY30" s="16">
        <v>27</v>
      </c>
      <c r="AZ30" s="16">
        <v>27</v>
      </c>
      <c r="BA30" s="16">
        <v>27</v>
      </c>
      <c r="BB30" s="16">
        <v>27</v>
      </c>
      <c r="BC30" s="16">
        <v>27</v>
      </c>
      <c r="BD30" s="16">
        <v>27</v>
      </c>
      <c r="BE30" s="16">
        <v>27</v>
      </c>
      <c r="BF30" s="16">
        <v>27</v>
      </c>
      <c r="BG30" s="16">
        <v>27</v>
      </c>
      <c r="BH30" s="16">
        <v>27</v>
      </c>
      <c r="BI30" s="16">
        <v>27</v>
      </c>
      <c r="BJ30" s="16">
        <v>27</v>
      </c>
      <c r="BK30" s="16">
        <v>27</v>
      </c>
      <c r="BL30" s="16">
        <v>27</v>
      </c>
      <c r="BM30" s="16">
        <v>27</v>
      </c>
      <c r="BN30" s="16">
        <v>27</v>
      </c>
      <c r="BO30" s="16">
        <v>27</v>
      </c>
      <c r="BP30" s="16">
        <v>27</v>
      </c>
      <c r="BQ30" s="16">
        <v>27</v>
      </c>
      <c r="BR30" s="16">
        <v>27</v>
      </c>
      <c r="BS30" s="16">
        <v>27</v>
      </c>
      <c r="BT30" s="16">
        <v>27</v>
      </c>
      <c r="BU30" s="16">
        <v>27</v>
      </c>
      <c r="BV30" s="16">
        <v>27</v>
      </c>
      <c r="BW30" s="16">
        <v>27</v>
      </c>
      <c r="BX30" s="16">
        <v>27</v>
      </c>
      <c r="BY30" s="16">
        <v>27</v>
      </c>
      <c r="BZ30" s="16">
        <v>27</v>
      </c>
      <c r="CA30" s="16">
        <v>27</v>
      </c>
    </row>
    <row r="31" spans="1:79" s="18" customFormat="1" ht="19.5" thickBot="1">
      <c r="A31" s="15" t="s">
        <v>21</v>
      </c>
      <c r="B31" s="16">
        <v>32</v>
      </c>
      <c r="C31" s="16">
        <v>32</v>
      </c>
      <c r="D31" s="16">
        <v>32</v>
      </c>
      <c r="E31" s="16">
        <v>32</v>
      </c>
      <c r="F31" s="16">
        <v>32</v>
      </c>
      <c r="G31" s="16">
        <v>32</v>
      </c>
      <c r="H31" s="16">
        <v>32</v>
      </c>
      <c r="I31" s="16">
        <v>32</v>
      </c>
      <c r="J31" s="16">
        <v>32</v>
      </c>
      <c r="K31" s="16">
        <v>32</v>
      </c>
      <c r="L31" s="16">
        <v>32</v>
      </c>
      <c r="M31" s="16">
        <v>32</v>
      </c>
      <c r="N31" s="16">
        <v>32</v>
      </c>
      <c r="O31" s="16">
        <v>32</v>
      </c>
      <c r="P31" s="16">
        <v>32</v>
      </c>
      <c r="Q31" s="16">
        <v>32</v>
      </c>
      <c r="R31" s="16">
        <v>32</v>
      </c>
      <c r="S31" s="16">
        <v>32</v>
      </c>
      <c r="T31" s="16">
        <v>32</v>
      </c>
      <c r="U31" s="16">
        <v>32</v>
      </c>
      <c r="V31" s="16">
        <v>32</v>
      </c>
      <c r="W31" s="16">
        <v>32</v>
      </c>
      <c r="X31" s="16">
        <v>32</v>
      </c>
      <c r="Y31" s="16">
        <v>32</v>
      </c>
      <c r="Z31" s="16">
        <v>32</v>
      </c>
      <c r="AA31" s="16">
        <v>32</v>
      </c>
      <c r="AB31" s="16">
        <v>32</v>
      </c>
      <c r="AC31" s="16">
        <v>32</v>
      </c>
      <c r="AD31" s="16">
        <v>32</v>
      </c>
      <c r="AE31" s="16">
        <v>32</v>
      </c>
      <c r="AF31" s="16">
        <v>32</v>
      </c>
      <c r="AG31" s="16">
        <v>32</v>
      </c>
      <c r="AH31" s="16">
        <v>29</v>
      </c>
      <c r="AI31" s="16">
        <v>29</v>
      </c>
      <c r="AJ31" s="16">
        <v>29</v>
      </c>
      <c r="AK31" s="16">
        <v>29</v>
      </c>
      <c r="AL31" s="16">
        <v>29</v>
      </c>
      <c r="AM31" s="16">
        <v>29</v>
      </c>
      <c r="AN31" s="16">
        <v>29</v>
      </c>
      <c r="AO31" s="16">
        <v>29</v>
      </c>
      <c r="AP31" s="16">
        <v>29</v>
      </c>
      <c r="AQ31" s="16">
        <v>29</v>
      </c>
      <c r="AR31" s="16">
        <v>29</v>
      </c>
      <c r="AS31" s="16">
        <v>29</v>
      </c>
      <c r="AT31" s="16">
        <v>29</v>
      </c>
      <c r="AU31" s="16">
        <v>29</v>
      </c>
      <c r="AV31" s="16">
        <v>29</v>
      </c>
      <c r="AW31" s="16">
        <v>29</v>
      </c>
      <c r="AX31" s="16">
        <v>29</v>
      </c>
      <c r="AY31" s="16">
        <v>29</v>
      </c>
      <c r="AZ31" s="16">
        <v>29</v>
      </c>
      <c r="BA31" s="16">
        <v>29</v>
      </c>
      <c r="BB31" s="16">
        <v>29</v>
      </c>
      <c r="BC31" s="16">
        <v>29</v>
      </c>
      <c r="BD31" s="16">
        <v>29</v>
      </c>
      <c r="BE31" s="16">
        <v>29</v>
      </c>
      <c r="BF31" s="16">
        <v>29</v>
      </c>
      <c r="BG31" s="16">
        <v>29</v>
      </c>
      <c r="BH31" s="16">
        <v>29</v>
      </c>
      <c r="BI31" s="16">
        <v>29</v>
      </c>
      <c r="BJ31" s="16">
        <v>29</v>
      </c>
      <c r="BK31" s="16">
        <v>29</v>
      </c>
      <c r="BL31" s="16">
        <v>29</v>
      </c>
      <c r="BM31" s="16">
        <v>29</v>
      </c>
      <c r="BN31" s="16">
        <v>29</v>
      </c>
      <c r="BO31" s="16">
        <v>29</v>
      </c>
      <c r="BP31" s="16">
        <v>29</v>
      </c>
      <c r="BQ31" s="16">
        <v>29</v>
      </c>
      <c r="BR31" s="16">
        <v>29</v>
      </c>
      <c r="BS31" s="16">
        <v>29</v>
      </c>
      <c r="BT31" s="16">
        <v>29</v>
      </c>
      <c r="BU31" s="16">
        <v>29</v>
      </c>
      <c r="BV31" s="16">
        <v>29</v>
      </c>
      <c r="BW31" s="16">
        <v>29</v>
      </c>
      <c r="BX31" s="16">
        <v>29</v>
      </c>
      <c r="BY31" s="16">
        <v>29</v>
      </c>
      <c r="BZ31" s="16">
        <v>29</v>
      </c>
      <c r="CA31" s="16">
        <v>29</v>
      </c>
    </row>
    <row r="32" spans="1:79" s="89" customFormat="1">
      <c r="A32" s="11" t="s">
        <v>36</v>
      </c>
      <c r="B32" s="138">
        <v>29.2</v>
      </c>
      <c r="C32" s="138">
        <v>29.8</v>
      </c>
      <c r="D32" s="138">
        <v>31.7</v>
      </c>
      <c r="E32" s="138">
        <v>28.5</v>
      </c>
      <c r="F32" s="138">
        <v>27.9</v>
      </c>
      <c r="G32" s="138">
        <v>26.3</v>
      </c>
      <c r="H32" s="138">
        <v>34.200000000000003</v>
      </c>
      <c r="I32" s="138">
        <v>25.3</v>
      </c>
      <c r="J32" s="138">
        <v>30.4</v>
      </c>
      <c r="K32" s="138">
        <v>27.6</v>
      </c>
      <c r="L32" s="138">
        <v>33.200000000000003</v>
      </c>
      <c r="M32" s="138">
        <v>29.7</v>
      </c>
      <c r="N32" s="138">
        <v>29.3</v>
      </c>
      <c r="O32" s="138">
        <v>26.6</v>
      </c>
      <c r="P32" s="138">
        <v>30.4</v>
      </c>
      <c r="Q32" s="138">
        <v>26.3</v>
      </c>
      <c r="R32" s="138">
        <v>33.4</v>
      </c>
      <c r="S32" s="138">
        <v>28.5</v>
      </c>
      <c r="T32" s="138">
        <v>31.2</v>
      </c>
      <c r="U32" s="138">
        <v>29.3</v>
      </c>
      <c r="V32" s="138">
        <v>26.9</v>
      </c>
      <c r="W32" s="138">
        <v>28.9</v>
      </c>
      <c r="X32" s="138">
        <v>27.8</v>
      </c>
      <c r="Y32" s="138">
        <v>26.8</v>
      </c>
      <c r="Z32" s="138">
        <v>26.5</v>
      </c>
      <c r="AA32" s="138">
        <v>27.9</v>
      </c>
      <c r="AB32" s="138">
        <v>27.1</v>
      </c>
      <c r="AC32" s="138">
        <v>28.6</v>
      </c>
      <c r="AD32" s="138">
        <v>29</v>
      </c>
      <c r="AE32" s="138">
        <v>29</v>
      </c>
      <c r="AF32" s="138">
        <v>29.4</v>
      </c>
      <c r="AG32" s="138">
        <v>29.9</v>
      </c>
      <c r="AH32" s="138">
        <v>27.5</v>
      </c>
      <c r="AI32" s="138">
        <v>30.8</v>
      </c>
      <c r="AJ32" s="138">
        <v>28.5</v>
      </c>
      <c r="AK32" s="138">
        <v>27.3</v>
      </c>
      <c r="AL32" s="138">
        <v>28.1</v>
      </c>
      <c r="AM32" s="138">
        <v>27.9</v>
      </c>
      <c r="AN32" s="138">
        <v>27.5</v>
      </c>
      <c r="AO32" s="138">
        <v>30.5</v>
      </c>
      <c r="AP32" s="138">
        <v>29.5</v>
      </c>
      <c r="AQ32" s="138">
        <v>30.9</v>
      </c>
      <c r="AR32" s="138">
        <v>28.3</v>
      </c>
      <c r="AS32" s="138">
        <v>28.7</v>
      </c>
      <c r="AT32" s="138">
        <v>29.6</v>
      </c>
      <c r="AU32" s="138">
        <v>28.1</v>
      </c>
      <c r="AV32" s="138">
        <v>27</v>
      </c>
      <c r="AW32" s="138">
        <v>29.8</v>
      </c>
      <c r="AX32" s="138">
        <v>27.1</v>
      </c>
      <c r="AY32" s="138">
        <v>30.3</v>
      </c>
      <c r="AZ32" s="138">
        <v>29.4</v>
      </c>
      <c r="BA32" s="138">
        <v>28</v>
      </c>
      <c r="BB32" s="138">
        <v>29.6</v>
      </c>
      <c r="BC32" s="138">
        <v>28.6</v>
      </c>
      <c r="BD32" s="138">
        <v>28.8</v>
      </c>
      <c r="BE32" s="138">
        <v>31.6</v>
      </c>
      <c r="BF32" s="138">
        <v>29.4</v>
      </c>
      <c r="BG32" s="138">
        <v>32.4</v>
      </c>
      <c r="BH32" s="108">
        <v>32.200000000000003</v>
      </c>
      <c r="BI32" s="108">
        <v>32.4</v>
      </c>
      <c r="BJ32" s="108"/>
      <c r="BK32" s="197"/>
    </row>
    <row r="33" spans="1:79" s="72" customFormat="1">
      <c r="A33" s="11" t="s">
        <v>37</v>
      </c>
      <c r="B33" s="122">
        <v>26.6</v>
      </c>
      <c r="C33" s="122">
        <v>25</v>
      </c>
      <c r="D33" s="122">
        <v>29</v>
      </c>
      <c r="E33" s="122">
        <v>26.3</v>
      </c>
      <c r="F33" s="122">
        <v>27</v>
      </c>
      <c r="G33" s="122">
        <v>26.3</v>
      </c>
      <c r="H33" s="122">
        <v>27</v>
      </c>
      <c r="I33" s="122">
        <v>23.1</v>
      </c>
      <c r="J33" s="122">
        <v>27.8</v>
      </c>
      <c r="K33" s="122">
        <v>26.4</v>
      </c>
      <c r="L33" s="122">
        <v>28.3</v>
      </c>
      <c r="M33" s="122">
        <v>27.4</v>
      </c>
      <c r="N33" s="122">
        <v>27</v>
      </c>
      <c r="O33" s="122">
        <v>26.2</v>
      </c>
      <c r="P33" s="122">
        <v>28.2</v>
      </c>
      <c r="Q33" s="122">
        <v>25.9</v>
      </c>
      <c r="R33" s="122">
        <v>30</v>
      </c>
      <c r="S33" s="122">
        <v>27.3</v>
      </c>
      <c r="T33" s="122">
        <v>26.3</v>
      </c>
      <c r="U33" s="122">
        <v>25</v>
      </c>
      <c r="V33" s="122">
        <v>26.3</v>
      </c>
      <c r="W33" s="122">
        <v>28.1</v>
      </c>
      <c r="X33" s="122">
        <v>26.3</v>
      </c>
      <c r="Y33" s="122">
        <v>24.4</v>
      </c>
      <c r="Z33" s="122">
        <v>25.5</v>
      </c>
      <c r="AA33" s="122">
        <v>26.6</v>
      </c>
      <c r="AB33" s="141">
        <v>26.8</v>
      </c>
      <c r="AC33" s="141">
        <v>27.4</v>
      </c>
      <c r="AD33" s="141">
        <v>27.6</v>
      </c>
      <c r="AE33" s="141">
        <v>28.9</v>
      </c>
      <c r="AF33" s="141">
        <v>27.6</v>
      </c>
      <c r="AG33" s="141">
        <v>28</v>
      </c>
      <c r="AH33" s="141">
        <v>24</v>
      </c>
      <c r="AI33" s="141"/>
      <c r="AJ33" s="141">
        <v>25.8</v>
      </c>
      <c r="AK33" s="141">
        <v>23.8</v>
      </c>
      <c r="AL33" s="141">
        <v>24.5</v>
      </c>
      <c r="AM33" s="141">
        <v>23.5</v>
      </c>
      <c r="AN33" s="141">
        <v>25.2</v>
      </c>
      <c r="AO33" s="141">
        <v>26</v>
      </c>
      <c r="AP33" s="141">
        <v>23.7</v>
      </c>
      <c r="AQ33" s="141"/>
      <c r="AR33" s="141">
        <v>24</v>
      </c>
      <c r="AS33" s="141">
        <v>25</v>
      </c>
      <c r="AT33" s="141">
        <v>24.5</v>
      </c>
      <c r="AU33" s="141">
        <v>26</v>
      </c>
      <c r="AV33" s="141">
        <v>24.8</v>
      </c>
      <c r="AW33" s="141"/>
      <c r="AX33" s="141">
        <v>24.2</v>
      </c>
      <c r="AY33" s="141">
        <v>24.3</v>
      </c>
      <c r="AZ33" s="141">
        <v>25</v>
      </c>
      <c r="BA33" s="141">
        <v>24.3</v>
      </c>
      <c r="BB33" s="141">
        <v>26</v>
      </c>
      <c r="BC33" s="141">
        <v>24.6</v>
      </c>
      <c r="BD33" s="141"/>
      <c r="BE33" s="141"/>
      <c r="BF33" s="141">
        <v>25</v>
      </c>
      <c r="BG33" s="141"/>
      <c r="BH33" s="141"/>
      <c r="BI33" s="141"/>
      <c r="BJ33" s="141"/>
      <c r="BK33" s="187"/>
    </row>
    <row r="34" spans="1:79" s="72" customFormat="1">
      <c r="A34" s="11" t="s">
        <v>38</v>
      </c>
      <c r="B34" s="122">
        <v>34</v>
      </c>
      <c r="C34" s="122">
        <v>35.299999999999997</v>
      </c>
      <c r="D34" s="122">
        <v>34.700000000000003</v>
      </c>
      <c r="E34" s="122">
        <v>33.299999999999997</v>
      </c>
      <c r="F34" s="122"/>
      <c r="G34" s="122"/>
      <c r="H34" s="122">
        <v>37.9</v>
      </c>
      <c r="I34" s="122">
        <v>33</v>
      </c>
      <c r="J34" s="122">
        <v>33.299999999999997</v>
      </c>
      <c r="K34" s="122">
        <v>34</v>
      </c>
      <c r="L34" s="122">
        <v>35.1</v>
      </c>
      <c r="M34" s="122">
        <v>34.700000000000003</v>
      </c>
      <c r="N34" s="122">
        <v>34</v>
      </c>
      <c r="O34" s="122"/>
      <c r="P34" s="122">
        <v>33.299999999999997</v>
      </c>
      <c r="Q34" s="122"/>
      <c r="R34" s="122"/>
      <c r="S34" s="122">
        <v>33.5</v>
      </c>
      <c r="T34" s="122">
        <v>38.5</v>
      </c>
      <c r="U34" s="122">
        <v>36</v>
      </c>
      <c r="V34" s="122"/>
      <c r="W34" s="122"/>
      <c r="X34" s="122">
        <v>33</v>
      </c>
      <c r="Y34" s="122">
        <v>34.5</v>
      </c>
      <c r="Z34" s="122">
        <v>33</v>
      </c>
      <c r="AA34" s="122">
        <v>32.299999999999997</v>
      </c>
      <c r="AB34" s="141"/>
      <c r="AC34" s="141">
        <v>33</v>
      </c>
      <c r="AD34" s="141">
        <v>34</v>
      </c>
      <c r="AE34" s="141"/>
      <c r="AF34" s="141">
        <v>34.5</v>
      </c>
      <c r="AG34" s="141">
        <v>34</v>
      </c>
      <c r="AH34" s="141">
        <v>30.3</v>
      </c>
      <c r="AI34" s="141">
        <v>31.4</v>
      </c>
      <c r="AJ34" s="141">
        <v>30.3</v>
      </c>
      <c r="AK34" s="141">
        <v>31.7</v>
      </c>
      <c r="AL34" s="141">
        <v>31.2</v>
      </c>
      <c r="AM34" s="141">
        <v>30.8</v>
      </c>
      <c r="AN34" s="141">
        <v>31.3</v>
      </c>
      <c r="AO34" s="141">
        <v>31.8</v>
      </c>
      <c r="AP34" s="141">
        <v>32.6</v>
      </c>
      <c r="AQ34" s="141">
        <v>31.9</v>
      </c>
      <c r="AR34" s="141">
        <v>32</v>
      </c>
      <c r="AS34" s="141">
        <v>31.3</v>
      </c>
      <c r="AT34" s="141">
        <v>32.799999999999997</v>
      </c>
      <c r="AU34" s="141">
        <v>35.200000000000003</v>
      </c>
      <c r="AV34" s="141">
        <v>30</v>
      </c>
      <c r="AW34" s="141">
        <v>31.7</v>
      </c>
      <c r="AX34" s="141">
        <v>30.3</v>
      </c>
      <c r="AY34" s="141">
        <v>32.200000000000003</v>
      </c>
      <c r="AZ34" s="141">
        <v>32</v>
      </c>
      <c r="BA34" s="141">
        <v>31.2</v>
      </c>
      <c r="BB34" s="141">
        <v>30.9</v>
      </c>
      <c r="BC34" s="141">
        <v>33.5</v>
      </c>
      <c r="BD34" s="141">
        <v>31.3</v>
      </c>
      <c r="BE34" s="141">
        <v>31.9</v>
      </c>
      <c r="BF34" s="141">
        <v>31</v>
      </c>
      <c r="BG34" s="141">
        <v>32.799999999999997</v>
      </c>
      <c r="BH34" s="141">
        <v>32.700000000000003</v>
      </c>
      <c r="BI34" s="141">
        <v>33.6</v>
      </c>
      <c r="BJ34" s="141"/>
      <c r="BK34" s="187"/>
    </row>
    <row r="35" spans="1:79" ht="18" customHeight="1">
      <c r="A35" s="11" t="s">
        <v>23</v>
      </c>
      <c r="B35" s="106">
        <f>B36/(SUM(B36,B38,B40))</f>
        <v>0.58333333333333337</v>
      </c>
      <c r="C35" s="106">
        <f t="shared" ref="C35:E35" si="23">C36/(SUM(C36,C38,C40))</f>
        <v>0.5</v>
      </c>
      <c r="D35" s="106">
        <f t="shared" si="23"/>
        <v>0.25</v>
      </c>
      <c r="E35" s="106">
        <f t="shared" si="23"/>
        <v>0.66666666666666663</v>
      </c>
      <c r="F35" s="106">
        <f>F36/(SUM(F36,F38,F40))</f>
        <v>0.8</v>
      </c>
      <c r="G35" s="106">
        <f t="shared" ref="G35:I35" si="24">G36/(SUM(G36,G38,G40))</f>
        <v>1</v>
      </c>
      <c r="H35" s="106">
        <f t="shared" si="24"/>
        <v>0.25</v>
      </c>
      <c r="I35" s="106">
        <f t="shared" si="24"/>
        <v>0.75</v>
      </c>
      <c r="J35" s="106">
        <f>J36/(SUM(J36,J38,J40))</f>
        <v>0.5</v>
      </c>
      <c r="K35" s="106">
        <f t="shared" ref="K35:N35" si="25">K36/(SUM(K36,K38,K40))</f>
        <v>0.81818181818181823</v>
      </c>
      <c r="L35" s="106">
        <f t="shared" si="25"/>
        <v>0.25</v>
      </c>
      <c r="M35" s="106">
        <f t="shared" si="25"/>
        <v>0.63636363636363635</v>
      </c>
      <c r="N35" s="106">
        <f t="shared" si="25"/>
        <v>0.5</v>
      </c>
      <c r="O35" s="106">
        <f t="shared" ref="O35" si="26">O36/(SUM(O36,O38,O40))</f>
        <v>0.91666666666666663</v>
      </c>
      <c r="P35" s="106">
        <f t="shared" ref="P35" si="27">P36/(SUM(P36,P38,P40))</f>
        <v>0.41666666666666669</v>
      </c>
      <c r="Q35" s="106">
        <f t="shared" ref="Q35" si="28">Q36/(SUM(Q36,Q38,Q40))</f>
        <v>0.91666666666666663</v>
      </c>
      <c r="R35" s="106">
        <f t="shared" ref="R35" si="29">R36/(SUM(R36,R38,R40))</f>
        <v>7.6923076923076927E-2</v>
      </c>
      <c r="S35" s="106">
        <f t="shared" ref="S35" si="30">S36/(SUM(S36,S38,S40))</f>
        <v>0</v>
      </c>
      <c r="T35" s="106">
        <f t="shared" ref="T35" si="31">T36/(SUM(T36,T38,T40))</f>
        <v>0.54545454545454541</v>
      </c>
      <c r="U35" s="106">
        <f t="shared" ref="U35" si="32">U36/(SUM(U36,U38,U40))</f>
        <v>0.75</v>
      </c>
      <c r="V35" s="106">
        <f t="shared" ref="V35" si="33">V36/(SUM(V36,V38,V40))</f>
        <v>0.88888888888888884</v>
      </c>
      <c r="W35" s="106">
        <f t="shared" ref="W35" si="34">W36/(SUM(W36,W38,W40))</f>
        <v>0.8</v>
      </c>
      <c r="X35" s="106">
        <f t="shared" ref="X35" si="35">X36/(SUM(X36,X38,X40))</f>
        <v>0.77777777777777779</v>
      </c>
      <c r="Y35" s="106">
        <f t="shared" ref="Y35" si="36">Y36/(SUM(Y36,Y38,Y40))</f>
        <v>0.72727272727272729</v>
      </c>
      <c r="Z35" s="106">
        <f t="shared" ref="Z35" si="37">Z36/(SUM(Z36,Z38,Z40))</f>
        <v>0.84615384615384615</v>
      </c>
      <c r="AA35" s="106">
        <f t="shared" ref="AA35" si="38">AA36/(SUM(AA36,AA38,AA40))</f>
        <v>0.76923076923076927</v>
      </c>
      <c r="AB35" s="106">
        <f t="shared" ref="AB35" si="39">AB36/(SUM(AB36,AB38,AB40))</f>
        <v>0.92307692307692313</v>
      </c>
      <c r="AC35" s="106">
        <f t="shared" ref="AC35" si="40">AC36/(SUM(AC36,AC38,AC40))</f>
        <v>0.76923076923076927</v>
      </c>
      <c r="AD35" s="106">
        <f t="shared" ref="AD35" si="41">AD36/(SUM(AD36,AD38,AD40))</f>
        <v>0.69230769230769229</v>
      </c>
      <c r="AE35" s="106">
        <f t="shared" ref="AE35" si="42">AE36/(SUM(AE36,AE38,AE40))</f>
        <v>0.81818181818181823</v>
      </c>
      <c r="AF35" s="106">
        <f t="shared" ref="AF35" si="43">AF36/(SUM(AF36,AF38,AF40))</f>
        <v>0.6428571428571429</v>
      </c>
      <c r="AG35" s="106">
        <f t="shared" ref="AG35" si="44">AG36/(SUM(AG36,AG38,AG40))</f>
        <v>0.5714285714285714</v>
      </c>
      <c r="AH35" s="106">
        <f t="shared" ref="AH35" si="45">AH36/(SUM(AH36,AH38,AH40))</f>
        <v>0.30769230769230771</v>
      </c>
      <c r="AI35" s="106">
        <f t="shared" ref="AI35" si="46">AI36/(SUM(AI36,AI38,AI40))</f>
        <v>0</v>
      </c>
      <c r="AJ35" s="106">
        <f t="shared" ref="AJ35" si="47">AJ36/(SUM(AJ36,AJ38,AJ40))</f>
        <v>0.2857142857142857</v>
      </c>
      <c r="AK35" s="106">
        <f t="shared" ref="AK35" si="48">AK36/(SUM(AK36,AK38,AK40))</f>
        <v>0.25</v>
      </c>
      <c r="AL35" s="106">
        <f t="shared" ref="AL35" si="49">AL36/(SUM(AL36,AL38,AL40))</f>
        <v>0.30769230769230771</v>
      </c>
      <c r="AM35" s="106">
        <f t="shared" ref="AM35" si="50">AM36/(SUM(AM36,AM38,AM40))</f>
        <v>0.2857142857142857</v>
      </c>
      <c r="AN35" s="106">
        <f t="shared" ref="AN35" si="51">AN36/(SUM(AN36,AN38,AN40))</f>
        <v>0.41666666666666669</v>
      </c>
      <c r="AO35" s="106">
        <f t="shared" ref="AO35" si="52">AO36/(SUM(AO36,AO38,AO40))</f>
        <v>9.0909090909090912E-2</v>
      </c>
      <c r="AP35" s="106">
        <f t="shared" ref="AP35" si="53">AP36/(SUM(AP36,AP38,AP40))</f>
        <v>0.25</v>
      </c>
      <c r="AQ35" s="106">
        <f t="shared" ref="AQ35" si="54">AQ36/(SUM(AQ36,AQ38,AQ40))</f>
        <v>0</v>
      </c>
      <c r="AR35" s="106">
        <f t="shared" ref="AR35" si="55">AR36/(SUM(AR36,AR38,AR40))</f>
        <v>7.6923076923076927E-2</v>
      </c>
      <c r="AS35" s="106">
        <f t="shared" ref="AS35" si="56">AS36/(SUM(AS36,AS38,AS40))</f>
        <v>0.15384615384615385</v>
      </c>
      <c r="AT35" s="106">
        <f t="shared" ref="AT35" si="57">AT36/(SUM(AT36,AT38,AT40))</f>
        <v>0.18181818181818182</v>
      </c>
      <c r="AU35" s="106">
        <f t="shared" ref="AU35" si="58">AU36/(SUM(AU36,AU38,AU40))</f>
        <v>0.21428571428571427</v>
      </c>
      <c r="AV35" s="106">
        <f t="shared" ref="AV35" si="59">AV36/(SUM(AV36,AV38,AV40))</f>
        <v>0.36363636363636365</v>
      </c>
      <c r="AW35" s="106">
        <f t="shared" ref="AW35" si="60">AW36/(SUM(AW36,AW38,AW40))</f>
        <v>0</v>
      </c>
      <c r="AX35" s="106">
        <f t="shared" ref="AX35" si="61">AX36/(SUM(AX36,AX38,AX40))</f>
        <v>0.35714285714285715</v>
      </c>
      <c r="AY35" s="106">
        <f t="shared" ref="AY35" si="62">AY36/(SUM(AY36,AY38,AY40))</f>
        <v>0.21428571428571427</v>
      </c>
      <c r="AZ35" s="106">
        <f t="shared" ref="AZ35" si="63">AZ36/(SUM(AZ36,AZ38,AZ40))</f>
        <v>0.2857142857142857</v>
      </c>
      <c r="BA35" s="106">
        <f t="shared" ref="BA35" si="64">BA36/(SUM(BA36,BA38,BA40))</f>
        <v>0.36363636363636365</v>
      </c>
      <c r="BB35" s="106">
        <f t="shared" ref="BB35" si="65">BB36/(SUM(BB36,BB38,BB40))</f>
        <v>0.14285714285714285</v>
      </c>
      <c r="BC35" s="106">
        <f t="shared" ref="BC35" si="66">BC36/(SUM(BC36,BC38,BC40))</f>
        <v>0.41666666666666669</v>
      </c>
      <c r="BD35" s="106">
        <f t="shared" ref="BD35" si="67">BD36/(SUM(BD36,BD38,BD40))</f>
        <v>0</v>
      </c>
      <c r="BE35" s="106">
        <f t="shared" ref="BE35" si="68">BE36/(SUM(BE36,BE38,BE40))</f>
        <v>0</v>
      </c>
      <c r="BF35" s="106">
        <f t="shared" ref="BF35" si="69">BF36/(SUM(BF36,BF38,BF40))</f>
        <v>7.1428571428571425E-2</v>
      </c>
      <c r="BG35" s="106">
        <f t="shared" ref="BG35" si="70">BG36/(SUM(BG36,BG38,BG40))</f>
        <v>0</v>
      </c>
      <c r="BH35" s="106">
        <f t="shared" ref="BH35" si="71">BH36/(SUM(BH36,BH38,BH40))</f>
        <v>0</v>
      </c>
      <c r="BI35" s="106">
        <f t="shared" ref="BI35" si="72">BI36/(SUM(BI36,BI38,BI40))</f>
        <v>0</v>
      </c>
      <c r="BJ35" s="106" t="e">
        <f t="shared" ref="BJ35" si="73">BJ36/(SUM(BJ36,BJ38,BJ40))</f>
        <v>#DIV/0!</v>
      </c>
      <c r="BK35" s="107" t="e">
        <f t="shared" ref="BK35:CA35" si="74">BK36/(SUM(BK36,BK38,BK40))</f>
        <v>#DIV/0!</v>
      </c>
      <c r="BL35" s="107" t="e">
        <f t="shared" si="74"/>
        <v>#DIV/0!</v>
      </c>
      <c r="BM35" s="107" t="e">
        <f t="shared" si="74"/>
        <v>#DIV/0!</v>
      </c>
      <c r="BN35" s="107" t="e">
        <f t="shared" si="74"/>
        <v>#DIV/0!</v>
      </c>
      <c r="BO35" s="107" t="e">
        <f t="shared" si="74"/>
        <v>#DIV/0!</v>
      </c>
      <c r="BP35" s="107" t="e">
        <f t="shared" si="74"/>
        <v>#DIV/0!</v>
      </c>
      <c r="BQ35" s="107" t="e">
        <f t="shared" si="74"/>
        <v>#DIV/0!</v>
      </c>
      <c r="BR35" s="107" t="e">
        <f t="shared" si="74"/>
        <v>#DIV/0!</v>
      </c>
      <c r="BS35" s="107" t="e">
        <f t="shared" si="74"/>
        <v>#DIV/0!</v>
      </c>
      <c r="BT35" s="107" t="e">
        <f t="shared" si="74"/>
        <v>#DIV/0!</v>
      </c>
      <c r="BU35" s="107" t="e">
        <f t="shared" si="74"/>
        <v>#DIV/0!</v>
      </c>
      <c r="BV35" s="107" t="e">
        <f t="shared" si="74"/>
        <v>#DIV/0!</v>
      </c>
      <c r="BW35" s="107" t="e">
        <f t="shared" si="74"/>
        <v>#DIV/0!</v>
      </c>
      <c r="BX35" s="107" t="e">
        <f t="shared" si="74"/>
        <v>#DIV/0!</v>
      </c>
      <c r="BY35" s="107" t="e">
        <f t="shared" si="74"/>
        <v>#DIV/0!</v>
      </c>
      <c r="BZ35" s="107" t="e">
        <f t="shared" si="74"/>
        <v>#DIV/0!</v>
      </c>
      <c r="CA35" s="107" t="e">
        <f t="shared" si="74"/>
        <v>#DIV/0!</v>
      </c>
    </row>
    <row r="36" spans="1:79" s="89" customFormat="1">
      <c r="A36" s="11" t="s">
        <v>39</v>
      </c>
      <c r="B36" s="108">
        <v>7</v>
      </c>
      <c r="C36" s="108">
        <v>4</v>
      </c>
      <c r="D36" s="108">
        <v>3</v>
      </c>
      <c r="E36" s="108">
        <v>8</v>
      </c>
      <c r="F36" s="108">
        <v>8</v>
      </c>
      <c r="G36" s="108">
        <v>12</v>
      </c>
      <c r="H36" s="108">
        <v>3</v>
      </c>
      <c r="I36" s="108">
        <v>9</v>
      </c>
      <c r="J36" s="108">
        <v>5</v>
      </c>
      <c r="K36" s="108">
        <v>9</v>
      </c>
      <c r="L36" s="108">
        <v>3</v>
      </c>
      <c r="M36" s="108">
        <v>7</v>
      </c>
      <c r="N36" s="108">
        <v>6</v>
      </c>
      <c r="O36" s="108">
        <v>11</v>
      </c>
      <c r="P36" s="108">
        <v>5</v>
      </c>
      <c r="Q36" s="108">
        <v>11</v>
      </c>
      <c r="R36" s="108">
        <v>1</v>
      </c>
      <c r="S36" s="108">
        <v>0</v>
      </c>
      <c r="T36" s="108">
        <v>6</v>
      </c>
      <c r="U36" s="108">
        <v>9</v>
      </c>
      <c r="V36" s="108">
        <v>8</v>
      </c>
      <c r="W36" s="108">
        <v>8</v>
      </c>
      <c r="X36" s="108">
        <v>7</v>
      </c>
      <c r="Y36" s="108">
        <v>8</v>
      </c>
      <c r="Z36" s="108">
        <v>11</v>
      </c>
      <c r="AA36" s="108">
        <v>10</v>
      </c>
      <c r="AB36" s="108">
        <v>12</v>
      </c>
      <c r="AC36" s="108">
        <v>10</v>
      </c>
      <c r="AD36" s="108">
        <v>9</v>
      </c>
      <c r="AE36" s="108">
        <v>9</v>
      </c>
      <c r="AF36" s="108">
        <v>9</v>
      </c>
      <c r="AG36" s="108">
        <v>8</v>
      </c>
      <c r="AH36" s="108">
        <v>4</v>
      </c>
      <c r="AI36" s="108">
        <v>0</v>
      </c>
      <c r="AJ36" s="108">
        <v>4</v>
      </c>
      <c r="AK36" s="108">
        <v>3</v>
      </c>
      <c r="AL36" s="108">
        <v>4</v>
      </c>
      <c r="AM36" s="108">
        <v>4</v>
      </c>
      <c r="AN36" s="108">
        <v>5</v>
      </c>
      <c r="AO36" s="108">
        <v>1</v>
      </c>
      <c r="AP36" s="108">
        <v>3</v>
      </c>
      <c r="AQ36" s="108">
        <v>0</v>
      </c>
      <c r="AR36" s="108">
        <v>1</v>
      </c>
      <c r="AS36" s="108">
        <v>2</v>
      </c>
      <c r="AT36" s="108">
        <v>2</v>
      </c>
      <c r="AU36" s="108">
        <v>3</v>
      </c>
      <c r="AV36" s="108">
        <v>4</v>
      </c>
      <c r="AW36" s="108">
        <v>0</v>
      </c>
      <c r="AX36" s="108">
        <v>5</v>
      </c>
      <c r="AY36" s="108">
        <v>3</v>
      </c>
      <c r="AZ36" s="108">
        <v>4</v>
      </c>
      <c r="BA36" s="108">
        <v>4</v>
      </c>
      <c r="BB36" s="108">
        <v>2</v>
      </c>
      <c r="BC36" s="108">
        <v>5</v>
      </c>
      <c r="BD36" s="108">
        <v>0</v>
      </c>
      <c r="BE36" s="108">
        <v>0</v>
      </c>
      <c r="BF36" s="108">
        <v>1</v>
      </c>
      <c r="BG36" s="108">
        <v>0</v>
      </c>
      <c r="BH36" s="108">
        <v>0</v>
      </c>
      <c r="BI36" s="108">
        <v>0</v>
      </c>
      <c r="BJ36" s="108"/>
      <c r="BK36" s="197"/>
    </row>
    <row r="37" spans="1:79">
      <c r="A37" s="11" t="s">
        <v>25</v>
      </c>
      <c r="B37" s="106">
        <f>B38/(SUM(B36,B38,B40))</f>
        <v>0.16666666666666666</v>
      </c>
      <c r="C37" s="106">
        <f>C38/(SUM(C36,C38,C40))</f>
        <v>0.125</v>
      </c>
      <c r="D37" s="106">
        <f t="shared" ref="D37:E37" si="75">D38/(SUM(D36,D38,D40))</f>
        <v>0.5</v>
      </c>
      <c r="E37" s="106">
        <f t="shared" si="75"/>
        <v>8.3333333333333329E-2</v>
      </c>
      <c r="F37" s="106">
        <f>F38/(SUM(F36,F38,F40))</f>
        <v>0.2</v>
      </c>
      <c r="G37" s="106">
        <f>G38/(SUM(G36,G38,G40))</f>
        <v>0</v>
      </c>
      <c r="H37" s="106">
        <f>H38/(SUM(H36,H38,H40))</f>
        <v>0.16666666666666666</v>
      </c>
      <c r="I37" s="106">
        <f>I38/(SUM(I36,I38,I40))</f>
        <v>0.16666666666666666</v>
      </c>
      <c r="J37" s="106">
        <f t="shared" ref="J37:N37" si="76">J38/(SUM(J36,J38,J40))</f>
        <v>0.1</v>
      </c>
      <c r="K37" s="106">
        <f t="shared" si="76"/>
        <v>9.0909090909090912E-2</v>
      </c>
      <c r="L37" s="106">
        <f t="shared" si="76"/>
        <v>8.3333333333333329E-2</v>
      </c>
      <c r="M37" s="106">
        <f t="shared" si="76"/>
        <v>9.0909090909090912E-2</v>
      </c>
      <c r="N37" s="106">
        <f t="shared" si="76"/>
        <v>0.41666666666666669</v>
      </c>
      <c r="O37" s="106">
        <f t="shared" ref="O37" si="77">O38/(SUM(O36,O38,O40))</f>
        <v>8.3333333333333329E-2</v>
      </c>
      <c r="P37" s="106">
        <f t="shared" ref="P37" si="78">P38/(SUM(P36,P38,P40))</f>
        <v>0.33333333333333331</v>
      </c>
      <c r="Q37" s="106">
        <f t="shared" ref="Q37" si="79">Q38/(SUM(Q36,Q38,Q40))</f>
        <v>8.3333333333333329E-2</v>
      </c>
      <c r="R37" s="106">
        <f t="shared" ref="R37" si="80">R38/(SUM(R36,R38,R40))</f>
        <v>0.46153846153846156</v>
      </c>
      <c r="S37" s="106">
        <f t="shared" ref="S37" si="81">S38/(SUM(S36,S38,S40))</f>
        <v>0.81818181818181823</v>
      </c>
      <c r="T37" s="106">
        <f t="shared" ref="T37" si="82">T38/(SUM(T36,T38,T40))</f>
        <v>9.0909090909090912E-2</v>
      </c>
      <c r="U37" s="106">
        <f t="shared" ref="U37" si="83">U38/(SUM(U36,U38,U40))</f>
        <v>0.16666666666666666</v>
      </c>
      <c r="V37" s="106">
        <f t="shared" ref="V37" si="84">V38/(SUM(V36,V38,V40))</f>
        <v>0.1111111111111111</v>
      </c>
      <c r="W37" s="106">
        <f t="shared" ref="W37" si="85">W38/(SUM(W36,W38,W40))</f>
        <v>0.2</v>
      </c>
      <c r="X37" s="106">
        <f t="shared" ref="X37" si="86">X38/(SUM(X36,X38,X40))</f>
        <v>0</v>
      </c>
      <c r="Y37" s="106">
        <f t="shared" ref="Y37" si="87">Y38/(SUM(Y36,Y38,Y40))</f>
        <v>9.0909090909090912E-2</v>
      </c>
      <c r="Z37" s="106">
        <f t="shared" ref="Z37" si="88">Z38/(SUM(Z36,Z38,Z40))</f>
        <v>7.6923076923076927E-2</v>
      </c>
      <c r="AA37" s="106">
        <f t="shared" ref="AA37" si="89">AA38/(SUM(AA36,AA38,AA40))</f>
        <v>0</v>
      </c>
      <c r="AB37" s="106">
        <f t="shared" ref="AB37" si="90">AB38/(SUM(AB36,AB38,AB40))</f>
        <v>7.6923076923076927E-2</v>
      </c>
      <c r="AC37" s="106">
        <f t="shared" ref="AC37" si="91">AC38/(SUM(AC36,AC38,AC40))</f>
        <v>7.6923076923076927E-2</v>
      </c>
      <c r="AD37" s="106">
        <f t="shared" ref="AD37" si="92">AD38/(SUM(AD36,AD38,AD40))</f>
        <v>0.23076923076923078</v>
      </c>
      <c r="AE37" s="106">
        <f t="shared" ref="AE37" si="93">AE38/(SUM(AE36,AE38,AE40))</f>
        <v>0.18181818181818182</v>
      </c>
      <c r="AF37" s="106">
        <f t="shared" ref="AF37" si="94">AF38/(SUM(AF36,AF38,AF40))</f>
        <v>0.21428571428571427</v>
      </c>
      <c r="AG37" s="106">
        <f t="shared" ref="AG37" si="95">AG38/(SUM(AG36,AG38,AG40))</f>
        <v>0.2857142857142857</v>
      </c>
      <c r="AH37" s="106">
        <f t="shared" ref="AH37" si="96">AH38/(SUM(AH36,AH38,AH40))</f>
        <v>0.46153846153846156</v>
      </c>
      <c r="AI37" s="106">
        <f t="shared" ref="AI37" si="97">AI38/(SUM(AI36,AI38,AI40))</f>
        <v>0.25</v>
      </c>
      <c r="AJ37" s="106">
        <f t="shared" ref="AJ37" si="98">AJ38/(SUM(AJ36,AJ38,AJ40))</f>
        <v>0.21428571428571427</v>
      </c>
      <c r="AK37" s="106">
        <f t="shared" ref="AK37" si="99">AK38/(SUM(AK36,AK38,AK40))</f>
        <v>0.5</v>
      </c>
      <c r="AL37" s="106">
        <f t="shared" ref="AL37" si="100">AL38/(SUM(AL36,AL38,AL40))</f>
        <v>0.30769230769230771</v>
      </c>
      <c r="AM37" s="106">
        <f t="shared" ref="AM37" si="101">AM38/(SUM(AM36,AM38,AM40))</f>
        <v>0.2857142857142857</v>
      </c>
      <c r="AN37" s="106">
        <f t="shared" ref="AN37" si="102">AN38/(SUM(AN36,AN38,AN40))</f>
        <v>0.33333333333333331</v>
      </c>
      <c r="AO37" s="106">
        <f t="shared" ref="AO37" si="103">AO38/(SUM(AO36,AO38,AO40))</f>
        <v>0.18181818181818182</v>
      </c>
      <c r="AP37" s="106">
        <f t="shared" ref="AP37" si="104">AP38/(SUM(AP36,AP38,AP40))</f>
        <v>0.16666666666666666</v>
      </c>
      <c r="AQ37" s="106">
        <f t="shared" ref="AQ37" si="105">AQ38/(SUM(AQ36,AQ38,AQ40))</f>
        <v>0.2857142857142857</v>
      </c>
      <c r="AR37" s="106">
        <f t="shared" ref="AR37" si="106">AR38/(SUM(AR36,AR38,AR40))</f>
        <v>0.76923076923076927</v>
      </c>
      <c r="AS37" s="106">
        <f t="shared" ref="AS37" si="107">AS38/(SUM(AS36,AS38,AS40))</f>
        <v>0.53846153846153844</v>
      </c>
      <c r="AT37" s="106">
        <f t="shared" ref="AT37" si="108">AT38/(SUM(AT36,AT38,AT40))</f>
        <v>0.36363636363636365</v>
      </c>
      <c r="AU37" s="106">
        <f t="shared" ref="AU37" si="109">AU38/(SUM(AU36,AU38,AU40))</f>
        <v>0.6428571428571429</v>
      </c>
      <c r="AV37" s="106">
        <f t="shared" ref="AV37" si="110">AV38/(SUM(AV36,AV38,AV40))</f>
        <v>0.54545454545454541</v>
      </c>
      <c r="AW37" s="106">
        <f t="shared" ref="AW37" si="111">AW38/(SUM(AW36,AW38,AW40))</f>
        <v>0.53846153846153844</v>
      </c>
      <c r="AX37" s="106">
        <f t="shared" ref="AX37" si="112">AX38/(SUM(AX36,AX38,AX40))</f>
        <v>0.42857142857142855</v>
      </c>
      <c r="AY37" s="106">
        <f t="shared" ref="AY37" si="113">AY38/(SUM(AY36,AY38,AY40))</f>
        <v>7.1428571428571425E-2</v>
      </c>
      <c r="AZ37" s="106">
        <f t="shared" ref="AZ37" si="114">AZ38/(SUM(AZ36,AZ38,AZ40))</f>
        <v>0.14285714285714285</v>
      </c>
      <c r="BA37" s="106">
        <f t="shared" ref="BA37" si="115">BA38/(SUM(BA36,BA38,BA40))</f>
        <v>0.18181818181818182</v>
      </c>
      <c r="BB37" s="106">
        <f t="shared" ref="BB37" si="116">BB38/(SUM(BB36,BB38,BB40))</f>
        <v>0.21428571428571427</v>
      </c>
      <c r="BC37" s="106">
        <f t="shared" ref="BC37" si="117">BC38/(SUM(BC36,BC38,BC40))</f>
        <v>0.25</v>
      </c>
      <c r="BD37" s="106">
        <f t="shared" ref="BD37" si="118">BD38/(SUM(BD36,BD38,BD40))</f>
        <v>0.7857142857142857</v>
      </c>
      <c r="BE37" s="106">
        <f t="shared" ref="BE37" si="119">BE38/(SUM(BE36,BE38,BE40))</f>
        <v>7.1428571428571425E-2</v>
      </c>
      <c r="BF37" s="106">
        <f t="shared" ref="BF37" si="120">BF38/(SUM(BF36,BF38,BF40))</f>
        <v>0.42857142857142855</v>
      </c>
      <c r="BG37" s="106">
        <f t="shared" ref="BG37" si="121">BG38/(SUM(BG36,BG38,BG40))</f>
        <v>7.6923076923076927E-2</v>
      </c>
      <c r="BH37" s="106">
        <f t="shared" ref="BH37" si="122">BH38/(SUM(BH36,BH38,BH40))</f>
        <v>7.6923076923076927E-2</v>
      </c>
      <c r="BI37" s="106">
        <f t="shared" ref="BI37" si="123">BI38/(SUM(BI36,BI38,BI40))</f>
        <v>0.25</v>
      </c>
      <c r="BJ37" s="106" t="e">
        <f t="shared" ref="BJ37" si="124">BJ38/(SUM(BJ36,BJ38,BJ40))</f>
        <v>#DIV/0!</v>
      </c>
      <c r="BK37" s="107" t="e">
        <f t="shared" ref="BK37:CA37" si="125">BK38/(SUM(BK36,BK38,BK40))</f>
        <v>#DIV/0!</v>
      </c>
      <c r="BL37" s="107" t="e">
        <f t="shared" si="125"/>
        <v>#DIV/0!</v>
      </c>
      <c r="BM37" s="107" t="e">
        <f t="shared" si="125"/>
        <v>#DIV/0!</v>
      </c>
      <c r="BN37" s="107" t="e">
        <f t="shared" si="125"/>
        <v>#DIV/0!</v>
      </c>
      <c r="BO37" s="107" t="e">
        <f t="shared" si="125"/>
        <v>#DIV/0!</v>
      </c>
      <c r="BP37" s="107" t="e">
        <f t="shared" si="125"/>
        <v>#DIV/0!</v>
      </c>
      <c r="BQ37" s="107" t="e">
        <f t="shared" si="125"/>
        <v>#DIV/0!</v>
      </c>
      <c r="BR37" s="107" t="e">
        <f t="shared" si="125"/>
        <v>#DIV/0!</v>
      </c>
      <c r="BS37" s="107" t="e">
        <f t="shared" si="125"/>
        <v>#DIV/0!</v>
      </c>
      <c r="BT37" s="107" t="e">
        <f t="shared" si="125"/>
        <v>#DIV/0!</v>
      </c>
      <c r="BU37" s="107" t="e">
        <f t="shared" si="125"/>
        <v>#DIV/0!</v>
      </c>
      <c r="BV37" s="107" t="e">
        <f t="shared" si="125"/>
        <v>#DIV/0!</v>
      </c>
      <c r="BW37" s="107" t="e">
        <f t="shared" si="125"/>
        <v>#DIV/0!</v>
      </c>
      <c r="BX37" s="107" t="e">
        <f t="shared" si="125"/>
        <v>#DIV/0!</v>
      </c>
      <c r="BY37" s="107" t="e">
        <f t="shared" si="125"/>
        <v>#DIV/0!</v>
      </c>
      <c r="BZ37" s="107" t="e">
        <f t="shared" si="125"/>
        <v>#DIV/0!</v>
      </c>
      <c r="CA37" s="107" t="e">
        <f t="shared" si="125"/>
        <v>#DIV/0!</v>
      </c>
    </row>
    <row r="38" spans="1:79" s="89" customFormat="1">
      <c r="A38" s="11" t="s">
        <v>26</v>
      </c>
      <c r="B38" s="108">
        <v>2</v>
      </c>
      <c r="C38" s="108">
        <v>1</v>
      </c>
      <c r="D38" s="108">
        <v>6</v>
      </c>
      <c r="E38" s="108">
        <v>1</v>
      </c>
      <c r="F38" s="108">
        <v>2</v>
      </c>
      <c r="G38" s="108">
        <v>0</v>
      </c>
      <c r="H38" s="108">
        <v>2</v>
      </c>
      <c r="I38" s="108">
        <v>2</v>
      </c>
      <c r="J38" s="108">
        <v>1</v>
      </c>
      <c r="K38" s="108">
        <v>1</v>
      </c>
      <c r="L38" s="108">
        <v>1</v>
      </c>
      <c r="M38" s="108">
        <v>1</v>
      </c>
      <c r="N38" s="108">
        <v>5</v>
      </c>
      <c r="O38" s="108">
        <v>1</v>
      </c>
      <c r="P38" s="108">
        <v>4</v>
      </c>
      <c r="Q38" s="108">
        <v>1</v>
      </c>
      <c r="R38" s="108">
        <v>6</v>
      </c>
      <c r="S38" s="108">
        <v>9</v>
      </c>
      <c r="T38" s="108">
        <v>1</v>
      </c>
      <c r="U38" s="108">
        <v>2</v>
      </c>
      <c r="V38" s="108">
        <v>1</v>
      </c>
      <c r="W38" s="108">
        <v>2</v>
      </c>
      <c r="X38" s="108">
        <v>0</v>
      </c>
      <c r="Y38" s="108">
        <v>1</v>
      </c>
      <c r="Z38" s="108">
        <v>1</v>
      </c>
      <c r="AA38" s="108">
        <v>0</v>
      </c>
      <c r="AB38" s="108">
        <v>1</v>
      </c>
      <c r="AC38" s="108">
        <v>1</v>
      </c>
      <c r="AD38" s="108">
        <v>3</v>
      </c>
      <c r="AE38" s="108">
        <v>2</v>
      </c>
      <c r="AF38" s="108">
        <v>3</v>
      </c>
      <c r="AG38" s="108">
        <v>4</v>
      </c>
      <c r="AH38" s="108">
        <v>6</v>
      </c>
      <c r="AI38" s="108">
        <v>3</v>
      </c>
      <c r="AJ38" s="108">
        <v>3</v>
      </c>
      <c r="AK38" s="108">
        <v>6</v>
      </c>
      <c r="AL38" s="108">
        <v>4</v>
      </c>
      <c r="AM38" s="108">
        <v>4</v>
      </c>
      <c r="AN38" s="108">
        <v>4</v>
      </c>
      <c r="AO38" s="108">
        <v>2</v>
      </c>
      <c r="AP38" s="108">
        <v>2</v>
      </c>
      <c r="AQ38" s="108">
        <v>4</v>
      </c>
      <c r="AR38" s="108">
        <v>10</v>
      </c>
      <c r="AS38" s="108">
        <v>7</v>
      </c>
      <c r="AT38" s="108">
        <v>4</v>
      </c>
      <c r="AU38" s="108">
        <v>9</v>
      </c>
      <c r="AV38" s="108">
        <v>6</v>
      </c>
      <c r="AW38" s="108">
        <v>7</v>
      </c>
      <c r="AX38" s="108">
        <v>6</v>
      </c>
      <c r="AY38" s="108">
        <v>1</v>
      </c>
      <c r="AZ38" s="108">
        <v>2</v>
      </c>
      <c r="BA38" s="108">
        <v>2</v>
      </c>
      <c r="BB38" s="108">
        <v>3</v>
      </c>
      <c r="BC38" s="108">
        <v>3</v>
      </c>
      <c r="BD38" s="108">
        <v>11</v>
      </c>
      <c r="BE38" s="108">
        <v>1</v>
      </c>
      <c r="BF38" s="108">
        <v>6</v>
      </c>
      <c r="BG38" s="108">
        <v>1</v>
      </c>
      <c r="BH38" s="108">
        <v>1</v>
      </c>
      <c r="BI38" s="108">
        <v>3</v>
      </c>
      <c r="BJ38" s="108"/>
      <c r="BK38" s="197"/>
    </row>
    <row r="39" spans="1:79">
      <c r="A39" s="11" t="s">
        <v>27</v>
      </c>
      <c r="B39" s="106">
        <f>B40/(SUM(B40,B36,B38))</f>
        <v>0.25</v>
      </c>
      <c r="C39" s="106">
        <f t="shared" ref="C39:E39" si="126">C40/(SUM(C40,C36,C38))</f>
        <v>0.375</v>
      </c>
      <c r="D39" s="106">
        <f t="shared" si="126"/>
        <v>0.25</v>
      </c>
      <c r="E39" s="106">
        <f t="shared" si="126"/>
        <v>0.25</v>
      </c>
      <c r="F39" s="106">
        <f>F40/(SUM(F36,F38,F40))</f>
        <v>0</v>
      </c>
      <c r="G39" s="106">
        <f t="shared" ref="G39:I39" si="127">G40/(SUM(G36,G38,G40))</f>
        <v>0</v>
      </c>
      <c r="H39" s="106">
        <f t="shared" si="127"/>
        <v>0.58333333333333337</v>
      </c>
      <c r="I39" s="106">
        <f t="shared" si="127"/>
        <v>8.3333333333333329E-2</v>
      </c>
      <c r="J39" s="106">
        <f t="shared" ref="J39" si="128">J40/(SUM(J36,J38,J40))</f>
        <v>0.4</v>
      </c>
      <c r="K39" s="106">
        <f t="shared" ref="K39" si="129">K40/(SUM(K36,K38,K40))</f>
        <v>9.0909090909090912E-2</v>
      </c>
      <c r="L39" s="106">
        <f t="shared" ref="L39" si="130">L40/(SUM(L36,L38,L40))</f>
        <v>0.66666666666666663</v>
      </c>
      <c r="M39" s="106">
        <f t="shared" ref="M39" si="131">M40/(SUM(M36,M38,M40))</f>
        <v>0.27272727272727271</v>
      </c>
      <c r="N39" s="106">
        <f t="shared" ref="N39" si="132">N40/(SUM(N36,N38,N40))</f>
        <v>8.3333333333333329E-2</v>
      </c>
      <c r="O39" s="106">
        <f t="shared" ref="O39" si="133">O40/(SUM(O36,O38,O40))</f>
        <v>0</v>
      </c>
      <c r="P39" s="106">
        <f t="shared" ref="P39" si="134">P40/(SUM(P36,P38,P40))</f>
        <v>0.25</v>
      </c>
      <c r="Q39" s="106">
        <f t="shared" ref="Q39" si="135">Q40/(SUM(Q36,Q38,Q40))</f>
        <v>0</v>
      </c>
      <c r="R39" s="106">
        <f t="shared" ref="R39" si="136">R40/(SUM(R36,R38,R40))</f>
        <v>0.46153846153846156</v>
      </c>
      <c r="S39" s="106">
        <f t="shared" ref="S39" si="137">S40/(SUM(S36,S38,S40))</f>
        <v>0.18181818181818182</v>
      </c>
      <c r="T39" s="106">
        <f t="shared" ref="T39" si="138">T40/(SUM(T36,T38,T40))</f>
        <v>0.36363636363636365</v>
      </c>
      <c r="U39" s="106">
        <f t="shared" ref="U39" si="139">U40/(SUM(U36,U38,U40))</f>
        <v>8.3333333333333329E-2</v>
      </c>
      <c r="V39" s="106">
        <f t="shared" ref="V39" si="140">V40/(SUM(V36,V38,V40))</f>
        <v>0</v>
      </c>
      <c r="W39" s="106">
        <f t="shared" ref="W39" si="141">W40/(SUM(W36,W38,W40))</f>
        <v>0</v>
      </c>
      <c r="X39" s="106">
        <f t="shared" ref="X39" si="142">X40/(SUM(X36,X38,X40))</f>
        <v>0.22222222222222221</v>
      </c>
      <c r="Y39" s="106">
        <f t="shared" ref="Y39" si="143">Y40/(SUM(Y36,Y38,Y40))</f>
        <v>0.18181818181818182</v>
      </c>
      <c r="Z39" s="106">
        <f t="shared" ref="Z39" si="144">Z40/(SUM(Z36,Z38,Z40))</f>
        <v>7.6923076923076927E-2</v>
      </c>
      <c r="AA39" s="106">
        <f t="shared" ref="AA39" si="145">AA40/(SUM(AA36,AA38,AA40))</f>
        <v>0.23076923076923078</v>
      </c>
      <c r="AB39" s="106">
        <f t="shared" ref="AB39" si="146">AB40/(SUM(AB36,AB38,AB40))</f>
        <v>0</v>
      </c>
      <c r="AC39" s="106">
        <f t="shared" ref="AC39" si="147">AC40/(SUM(AC36,AC38,AC40))</f>
        <v>0.15384615384615385</v>
      </c>
      <c r="AD39" s="106">
        <f t="shared" ref="AD39" si="148">AD40/(SUM(AD36,AD38,AD40))</f>
        <v>7.6923076923076927E-2</v>
      </c>
      <c r="AE39" s="106">
        <f t="shared" ref="AE39" si="149">AE40/(SUM(AE36,AE38,AE40))</f>
        <v>0</v>
      </c>
      <c r="AF39" s="106">
        <f t="shared" ref="AF39" si="150">AF40/(SUM(AF36,AF38,AF40))</f>
        <v>0.14285714285714285</v>
      </c>
      <c r="AG39" s="106">
        <f t="shared" ref="AG39" si="151">AG40/(SUM(AG36,AG38,AG40))</f>
        <v>0.14285714285714285</v>
      </c>
      <c r="AH39" s="106">
        <f t="shared" ref="AH39" si="152">AH40/(SUM(AH36,AH38,AH40))</f>
        <v>0.23076923076923078</v>
      </c>
      <c r="AI39" s="106">
        <f t="shared" ref="AI39" si="153">AI40/(SUM(AI36,AI38,AI40))</f>
        <v>0.75</v>
      </c>
      <c r="AJ39" s="106">
        <f t="shared" ref="AJ39" si="154">AJ40/(SUM(AJ36,AJ38,AJ40))</f>
        <v>0.5</v>
      </c>
      <c r="AK39" s="106">
        <f t="shared" ref="AK39" si="155">AK40/(SUM(AK36,AK38,AK40))</f>
        <v>0.25</v>
      </c>
      <c r="AL39" s="106">
        <f t="shared" ref="AL39" si="156">AL40/(SUM(AL36,AL38,AL40))</f>
        <v>0.38461538461538464</v>
      </c>
      <c r="AM39" s="106">
        <f t="shared" ref="AM39" si="157">AM40/(SUM(AM36,AM38,AM40))</f>
        <v>0.42857142857142855</v>
      </c>
      <c r="AN39" s="106">
        <f t="shared" ref="AN39" si="158">AN40/(SUM(AN36,AN38,AN40))</f>
        <v>0.25</v>
      </c>
      <c r="AO39" s="106">
        <f t="shared" ref="AO39" si="159">AO40/(SUM(AO36,AO38,AO40))</f>
        <v>0.72727272727272729</v>
      </c>
      <c r="AP39" s="106">
        <f t="shared" ref="AP39" si="160">AP40/(SUM(AP36,AP38,AP40))</f>
        <v>0.58333333333333337</v>
      </c>
      <c r="AQ39" s="106">
        <f t="shared" ref="AQ39" si="161">AQ40/(SUM(AQ36,AQ38,AQ40))</f>
        <v>0.7142857142857143</v>
      </c>
      <c r="AR39" s="106">
        <f t="shared" ref="AR39" si="162">AR40/(SUM(AR36,AR38,AR40))</f>
        <v>0.15384615384615385</v>
      </c>
      <c r="AS39" s="106">
        <f t="shared" ref="AS39" si="163">AS40/(SUM(AS36,AS38,AS40))</f>
        <v>0.30769230769230771</v>
      </c>
      <c r="AT39" s="106">
        <f t="shared" ref="AT39" si="164">AT40/(SUM(AT36,AT38,AT40))</f>
        <v>0.45454545454545453</v>
      </c>
      <c r="AU39" s="106">
        <f t="shared" ref="AU39" si="165">AU40/(SUM(AU36,AU38,AU40))</f>
        <v>0.14285714285714285</v>
      </c>
      <c r="AV39" s="106">
        <f t="shared" ref="AV39" si="166">AV40/(SUM(AV36,AV38,AV40))</f>
        <v>9.0909090909090912E-2</v>
      </c>
      <c r="AW39" s="106">
        <f t="shared" ref="AW39" si="167">AW40/(SUM(AW36,AW38,AW40))</f>
        <v>0.46153846153846156</v>
      </c>
      <c r="AX39" s="106">
        <f t="shared" ref="AX39" si="168">AX40/(SUM(AX36,AX38,AX40))</f>
        <v>0.21428571428571427</v>
      </c>
      <c r="AY39" s="106">
        <f t="shared" ref="AY39" si="169">AY40/(SUM(AY36,AY38,AY40))</f>
        <v>0.7142857142857143</v>
      </c>
      <c r="AZ39" s="106">
        <f t="shared" ref="AZ39" si="170">AZ40/(SUM(AZ36,AZ38,AZ40))</f>
        <v>0.5714285714285714</v>
      </c>
      <c r="BA39" s="106">
        <f t="shared" ref="BA39" si="171">BA40/(SUM(BA36,BA38,BA40))</f>
        <v>0.45454545454545453</v>
      </c>
      <c r="BB39" s="106">
        <f t="shared" ref="BB39" si="172">BB40/(SUM(BB36,BB38,BB40))</f>
        <v>0.6428571428571429</v>
      </c>
      <c r="BC39" s="106">
        <f t="shared" ref="BC39" si="173">BC40/(SUM(BC36,BC38,BC40))</f>
        <v>0.33333333333333331</v>
      </c>
      <c r="BD39" s="106">
        <f t="shared" ref="BD39" si="174">BD40/(SUM(BD36,BD38,BD40))</f>
        <v>0.21428571428571427</v>
      </c>
      <c r="BE39" s="106">
        <f t="shared" ref="BE39" si="175">BE40/(SUM(BE36,BE38,BE40))</f>
        <v>0.9285714285714286</v>
      </c>
      <c r="BF39" s="106">
        <f t="shared" ref="BF39" si="176">BF40/(SUM(BF36,BF38,BF40))</f>
        <v>0.5</v>
      </c>
      <c r="BG39" s="106">
        <f t="shared" ref="BG39" si="177">BG40/(SUM(BG36,BG38,BG40))</f>
        <v>0.92307692307692313</v>
      </c>
      <c r="BH39" s="106">
        <f t="shared" ref="BH39" si="178">BH40/(SUM(BH36,BH38,BH40))</f>
        <v>0.92307692307692313</v>
      </c>
      <c r="BI39" s="106">
        <f t="shared" ref="BI39" si="179">BI40/(SUM(BI36,BI38,BI40))</f>
        <v>0.75</v>
      </c>
      <c r="BJ39" s="106" t="e">
        <f t="shared" ref="BJ39" si="180">BJ40/(SUM(BJ36,BJ38,BJ40))</f>
        <v>#DIV/0!</v>
      </c>
      <c r="BK39" s="107" t="e">
        <f t="shared" ref="BK39:CA39" si="181">BK40/(SUM(BK36,BK38,BK40))</f>
        <v>#DIV/0!</v>
      </c>
      <c r="BL39" s="107" t="e">
        <f t="shared" si="181"/>
        <v>#DIV/0!</v>
      </c>
      <c r="BM39" s="107" t="e">
        <f t="shared" si="181"/>
        <v>#DIV/0!</v>
      </c>
      <c r="BN39" s="107" t="e">
        <f t="shared" si="181"/>
        <v>#DIV/0!</v>
      </c>
      <c r="BO39" s="107" t="e">
        <f t="shared" si="181"/>
        <v>#DIV/0!</v>
      </c>
      <c r="BP39" s="107" t="e">
        <f t="shared" si="181"/>
        <v>#DIV/0!</v>
      </c>
      <c r="BQ39" s="107" t="e">
        <f t="shared" si="181"/>
        <v>#DIV/0!</v>
      </c>
      <c r="BR39" s="107" t="e">
        <f t="shared" si="181"/>
        <v>#DIV/0!</v>
      </c>
      <c r="BS39" s="107" t="e">
        <f t="shared" si="181"/>
        <v>#DIV/0!</v>
      </c>
      <c r="BT39" s="107" t="e">
        <f t="shared" si="181"/>
        <v>#DIV/0!</v>
      </c>
      <c r="BU39" s="107" t="e">
        <f t="shared" si="181"/>
        <v>#DIV/0!</v>
      </c>
      <c r="BV39" s="107" t="e">
        <f t="shared" si="181"/>
        <v>#DIV/0!</v>
      </c>
      <c r="BW39" s="107" t="e">
        <f t="shared" si="181"/>
        <v>#DIV/0!</v>
      </c>
      <c r="BX39" s="107" t="e">
        <f t="shared" si="181"/>
        <v>#DIV/0!</v>
      </c>
      <c r="BY39" s="107" t="e">
        <f t="shared" si="181"/>
        <v>#DIV/0!</v>
      </c>
      <c r="BZ39" s="107" t="e">
        <f t="shared" si="181"/>
        <v>#DIV/0!</v>
      </c>
      <c r="CA39" s="107" t="e">
        <f t="shared" si="181"/>
        <v>#DIV/0!</v>
      </c>
    </row>
    <row r="40" spans="1:79" s="90" customFormat="1" ht="19.5" thickBot="1">
      <c r="A40" s="11" t="s">
        <v>28</v>
      </c>
      <c r="B40" s="108">
        <v>3</v>
      </c>
      <c r="C40" s="108">
        <v>3</v>
      </c>
      <c r="D40" s="108">
        <v>3</v>
      </c>
      <c r="E40" s="108">
        <v>3</v>
      </c>
      <c r="F40" s="108">
        <v>0</v>
      </c>
      <c r="G40" s="108">
        <v>0</v>
      </c>
      <c r="H40" s="108">
        <v>7</v>
      </c>
      <c r="I40" s="108">
        <v>1</v>
      </c>
      <c r="J40" s="108">
        <v>4</v>
      </c>
      <c r="K40" s="108">
        <v>1</v>
      </c>
      <c r="L40" s="108">
        <v>8</v>
      </c>
      <c r="M40" s="108">
        <v>3</v>
      </c>
      <c r="N40" s="108">
        <v>1</v>
      </c>
      <c r="O40" s="108">
        <v>0</v>
      </c>
      <c r="P40" s="108">
        <v>3</v>
      </c>
      <c r="Q40" s="108">
        <v>0</v>
      </c>
      <c r="R40" s="108">
        <v>6</v>
      </c>
      <c r="S40" s="108">
        <v>2</v>
      </c>
      <c r="T40" s="108">
        <v>4</v>
      </c>
      <c r="U40" s="108">
        <v>1</v>
      </c>
      <c r="V40" s="108">
        <v>0</v>
      </c>
      <c r="W40" s="108">
        <v>0</v>
      </c>
      <c r="X40" s="108">
        <v>2</v>
      </c>
      <c r="Y40" s="108">
        <v>2</v>
      </c>
      <c r="Z40" s="108">
        <v>1</v>
      </c>
      <c r="AA40" s="108">
        <v>3</v>
      </c>
      <c r="AB40" s="108">
        <v>0</v>
      </c>
      <c r="AC40" s="108">
        <v>2</v>
      </c>
      <c r="AD40" s="108">
        <v>1</v>
      </c>
      <c r="AE40" s="108">
        <v>0</v>
      </c>
      <c r="AF40" s="108">
        <v>2</v>
      </c>
      <c r="AG40" s="108">
        <v>2</v>
      </c>
      <c r="AH40" s="108">
        <v>3</v>
      </c>
      <c r="AI40" s="108">
        <v>9</v>
      </c>
      <c r="AJ40" s="108">
        <v>7</v>
      </c>
      <c r="AK40" s="108">
        <v>3</v>
      </c>
      <c r="AL40" s="108">
        <v>5</v>
      </c>
      <c r="AM40" s="108">
        <v>6</v>
      </c>
      <c r="AN40" s="108">
        <v>3</v>
      </c>
      <c r="AO40" s="108">
        <v>8</v>
      </c>
      <c r="AP40" s="108">
        <v>7</v>
      </c>
      <c r="AQ40" s="108">
        <v>10</v>
      </c>
      <c r="AR40" s="108">
        <v>2</v>
      </c>
      <c r="AS40" s="108">
        <v>4</v>
      </c>
      <c r="AT40" s="108">
        <v>5</v>
      </c>
      <c r="AU40" s="108">
        <v>2</v>
      </c>
      <c r="AV40" s="108">
        <v>1</v>
      </c>
      <c r="AW40" s="108">
        <v>6</v>
      </c>
      <c r="AX40" s="108">
        <v>3</v>
      </c>
      <c r="AY40" s="108">
        <v>10</v>
      </c>
      <c r="AZ40" s="108">
        <v>8</v>
      </c>
      <c r="BA40" s="108">
        <v>5</v>
      </c>
      <c r="BB40" s="108">
        <v>9</v>
      </c>
      <c r="BC40" s="108">
        <v>4</v>
      </c>
      <c r="BD40" s="108">
        <v>3</v>
      </c>
      <c r="BE40" s="108">
        <v>13</v>
      </c>
      <c r="BF40" s="108">
        <v>7</v>
      </c>
      <c r="BG40" s="108">
        <v>12</v>
      </c>
      <c r="BH40" s="108">
        <v>12</v>
      </c>
      <c r="BI40" s="108">
        <v>9</v>
      </c>
      <c r="BJ40" s="108"/>
      <c r="BK40" s="197"/>
    </row>
    <row r="41" spans="1:79" s="19" customFormat="1" ht="19.5" thickBot="1">
      <c r="A41" s="32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1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3"/>
    </row>
    <row r="42" spans="1:79" ht="19.5" thickBot="1">
      <c r="A42" s="6"/>
      <c r="B42" s="3"/>
      <c r="C42" s="3"/>
      <c r="D42" s="3"/>
      <c r="E42" s="3"/>
      <c r="F42" s="114"/>
      <c r="G42" s="114"/>
      <c r="H42" s="114"/>
      <c r="I42" s="114"/>
      <c r="J42" s="3"/>
      <c r="K42" s="3"/>
      <c r="L42" s="3"/>
      <c r="M42" s="3"/>
      <c r="N42" s="3"/>
      <c r="O42" s="114"/>
      <c r="P42" s="114"/>
      <c r="Q42" s="114"/>
      <c r="R42" s="114"/>
      <c r="S42" s="114"/>
      <c r="T42" s="114"/>
      <c r="U42" s="114"/>
      <c r="V42" s="114"/>
      <c r="W42" s="3"/>
      <c r="X42" s="3"/>
      <c r="Y42" s="3"/>
      <c r="Z42" s="3"/>
      <c r="AA42" s="3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</row>
    <row r="43" spans="1:79" s="14" customFormat="1" ht="19.5" thickBot="1">
      <c r="A43" s="13" t="s">
        <v>40</v>
      </c>
      <c r="B43" s="102"/>
      <c r="C43" s="102"/>
      <c r="D43" s="102"/>
      <c r="E43" s="102"/>
      <c r="F43" s="103"/>
      <c r="G43" s="103"/>
      <c r="H43" s="103"/>
      <c r="I43" s="103"/>
      <c r="J43" s="102"/>
      <c r="K43" s="102"/>
      <c r="L43" s="102"/>
      <c r="M43" s="102"/>
      <c r="N43" s="102"/>
      <c r="O43" s="103"/>
      <c r="P43" s="103"/>
      <c r="Q43" s="103"/>
      <c r="R43" s="103"/>
      <c r="S43" s="103"/>
      <c r="T43" s="103"/>
      <c r="U43" s="103"/>
      <c r="V43" s="103"/>
      <c r="W43" s="102"/>
      <c r="X43" s="102"/>
      <c r="Y43" s="102"/>
      <c r="Z43" s="102"/>
      <c r="AA43" s="102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4"/>
    </row>
    <row r="44" spans="1:79" s="17" customFormat="1" ht="19.5" thickBot="1">
      <c r="A44" s="224" t="s">
        <v>20</v>
      </c>
      <c r="B44" s="230">
        <v>68</v>
      </c>
      <c r="C44" s="230">
        <v>68</v>
      </c>
      <c r="D44" s="230">
        <v>68</v>
      </c>
      <c r="E44" s="230">
        <v>68</v>
      </c>
      <c r="F44" s="230">
        <v>68</v>
      </c>
      <c r="G44" s="230">
        <v>68</v>
      </c>
      <c r="H44" s="230">
        <v>68</v>
      </c>
      <c r="I44" s="230">
        <v>68</v>
      </c>
      <c r="J44" s="230">
        <v>68</v>
      </c>
      <c r="K44" s="230">
        <v>68</v>
      </c>
      <c r="L44" s="230">
        <v>68</v>
      </c>
      <c r="M44" s="230">
        <v>68</v>
      </c>
      <c r="N44" s="230">
        <v>68</v>
      </c>
      <c r="O44" s="230">
        <v>68</v>
      </c>
      <c r="P44" s="230">
        <v>68</v>
      </c>
      <c r="Q44" s="230">
        <v>68</v>
      </c>
      <c r="R44" s="230">
        <v>68</v>
      </c>
      <c r="S44" s="230">
        <v>68</v>
      </c>
      <c r="T44" s="230">
        <v>68</v>
      </c>
      <c r="U44" s="230">
        <v>68</v>
      </c>
      <c r="V44" s="230">
        <v>68</v>
      </c>
      <c r="W44" s="230">
        <v>68</v>
      </c>
      <c r="X44" s="230">
        <v>68</v>
      </c>
      <c r="Y44" s="230">
        <v>68</v>
      </c>
      <c r="Z44" s="230">
        <v>68</v>
      </c>
      <c r="AA44" s="230">
        <v>68</v>
      </c>
      <c r="AB44" s="230">
        <v>68</v>
      </c>
      <c r="AC44" s="230">
        <v>68</v>
      </c>
      <c r="AD44" s="230">
        <v>68</v>
      </c>
      <c r="AE44" s="230">
        <v>68</v>
      </c>
      <c r="AF44" s="230">
        <v>68</v>
      </c>
      <c r="AG44" s="230">
        <v>68</v>
      </c>
      <c r="AH44" s="230">
        <v>68</v>
      </c>
      <c r="AI44" s="230">
        <v>68</v>
      </c>
      <c r="AJ44" s="230">
        <v>68</v>
      </c>
      <c r="AK44" s="230">
        <v>68</v>
      </c>
      <c r="AL44" s="230">
        <v>68</v>
      </c>
      <c r="AM44" s="230">
        <v>68</v>
      </c>
      <c r="AN44" s="230">
        <v>68</v>
      </c>
      <c r="AO44" s="230">
        <v>68</v>
      </c>
      <c r="AP44" s="230">
        <v>68</v>
      </c>
      <c r="AQ44" s="230">
        <v>68</v>
      </c>
      <c r="AR44" s="230">
        <v>68</v>
      </c>
      <c r="AS44" s="230">
        <v>68</v>
      </c>
      <c r="AT44" s="230">
        <v>68</v>
      </c>
      <c r="AU44" s="230">
        <v>68</v>
      </c>
      <c r="AV44" s="230">
        <v>68</v>
      </c>
      <c r="AW44" s="230">
        <v>68</v>
      </c>
      <c r="AX44" s="230">
        <v>68</v>
      </c>
      <c r="AY44" s="230">
        <v>68</v>
      </c>
      <c r="AZ44" s="230">
        <v>68</v>
      </c>
      <c r="BA44" s="230">
        <v>68</v>
      </c>
      <c r="BB44" s="230">
        <v>68</v>
      </c>
      <c r="BC44" s="230">
        <v>68</v>
      </c>
      <c r="BD44" s="230">
        <v>68</v>
      </c>
      <c r="BE44" s="230">
        <v>68</v>
      </c>
      <c r="BF44" s="230">
        <v>68</v>
      </c>
      <c r="BG44" s="230">
        <v>68</v>
      </c>
      <c r="BH44" s="230">
        <v>68</v>
      </c>
      <c r="BI44" s="230">
        <v>68</v>
      </c>
      <c r="BJ44" s="230">
        <v>68</v>
      </c>
      <c r="BK44" s="230">
        <v>68</v>
      </c>
      <c r="BL44" s="230">
        <v>68</v>
      </c>
      <c r="BM44" s="230">
        <v>68</v>
      </c>
      <c r="BN44" s="230">
        <v>68</v>
      </c>
      <c r="BO44" s="230">
        <v>68</v>
      </c>
      <c r="BP44" s="230">
        <v>68</v>
      </c>
      <c r="BQ44" s="230">
        <v>68</v>
      </c>
      <c r="BR44" s="230">
        <v>68</v>
      </c>
      <c r="BS44" s="230">
        <v>68</v>
      </c>
      <c r="BT44" s="230">
        <v>68</v>
      </c>
      <c r="BU44" s="230">
        <v>68</v>
      </c>
      <c r="BV44" s="230">
        <v>68</v>
      </c>
      <c r="BW44" s="230">
        <v>68</v>
      </c>
      <c r="BX44" s="230">
        <v>68</v>
      </c>
      <c r="BY44" s="230">
        <v>68</v>
      </c>
      <c r="BZ44" s="230">
        <v>68</v>
      </c>
      <c r="CA44" s="230">
        <v>68</v>
      </c>
    </row>
    <row r="45" spans="1:79" s="17" customFormat="1">
      <c r="A45" s="15" t="s">
        <v>22</v>
      </c>
      <c r="B45" s="16">
        <v>64</v>
      </c>
      <c r="C45" s="16">
        <v>64</v>
      </c>
      <c r="D45" s="16">
        <v>64</v>
      </c>
      <c r="E45" s="16">
        <v>64</v>
      </c>
      <c r="F45" s="16">
        <v>64</v>
      </c>
      <c r="G45" s="16">
        <v>64</v>
      </c>
      <c r="H45" s="16">
        <v>64</v>
      </c>
      <c r="I45" s="16">
        <v>64</v>
      </c>
      <c r="J45" s="16">
        <v>64</v>
      </c>
      <c r="K45" s="16">
        <v>64</v>
      </c>
      <c r="L45" s="16">
        <v>64</v>
      </c>
      <c r="M45" s="16">
        <v>64</v>
      </c>
      <c r="N45" s="16">
        <v>64</v>
      </c>
      <c r="O45" s="16">
        <v>64</v>
      </c>
      <c r="P45" s="16">
        <v>64</v>
      </c>
      <c r="Q45" s="16">
        <v>64</v>
      </c>
      <c r="R45" s="16">
        <v>64</v>
      </c>
      <c r="S45" s="16">
        <v>64</v>
      </c>
      <c r="T45" s="16">
        <v>64</v>
      </c>
      <c r="U45" s="16">
        <v>64</v>
      </c>
      <c r="V45" s="16">
        <v>64</v>
      </c>
      <c r="W45" s="16">
        <v>64</v>
      </c>
      <c r="X45" s="16">
        <v>64</v>
      </c>
      <c r="Y45" s="16">
        <v>64</v>
      </c>
      <c r="Z45" s="16">
        <v>64</v>
      </c>
      <c r="AA45" s="16">
        <v>64</v>
      </c>
      <c r="AB45" s="16">
        <v>64</v>
      </c>
      <c r="AC45" s="16">
        <v>64</v>
      </c>
      <c r="AD45" s="16">
        <v>64</v>
      </c>
      <c r="AE45" s="16">
        <v>64</v>
      </c>
      <c r="AF45" s="16">
        <v>64</v>
      </c>
      <c r="AG45" s="16">
        <v>64</v>
      </c>
      <c r="AH45" s="16">
        <v>64</v>
      </c>
      <c r="AI45" s="16">
        <v>64</v>
      </c>
      <c r="AJ45" s="16">
        <v>64</v>
      </c>
      <c r="AK45" s="16">
        <v>64</v>
      </c>
      <c r="AL45" s="16">
        <v>64</v>
      </c>
      <c r="AM45" s="16">
        <v>64</v>
      </c>
      <c r="AN45" s="16">
        <v>61</v>
      </c>
      <c r="AO45" s="16">
        <v>61</v>
      </c>
      <c r="AP45" s="16">
        <v>61</v>
      </c>
      <c r="AQ45" s="16">
        <v>61</v>
      </c>
      <c r="AR45" s="16">
        <v>61</v>
      </c>
      <c r="AS45" s="16">
        <v>61</v>
      </c>
      <c r="AT45" s="16">
        <v>61</v>
      </c>
      <c r="AU45" s="16">
        <v>61</v>
      </c>
      <c r="AV45" s="16">
        <v>61</v>
      </c>
      <c r="AW45" s="16">
        <v>61</v>
      </c>
      <c r="AX45" s="16">
        <v>61</v>
      </c>
      <c r="AY45" s="16">
        <v>61</v>
      </c>
      <c r="AZ45" s="16">
        <v>61</v>
      </c>
      <c r="BA45" s="16">
        <v>61</v>
      </c>
      <c r="BB45" s="16">
        <v>61</v>
      </c>
      <c r="BC45" s="16">
        <v>61</v>
      </c>
      <c r="BD45" s="16">
        <v>61</v>
      </c>
      <c r="BE45" s="16">
        <v>61</v>
      </c>
      <c r="BF45" s="16">
        <v>61</v>
      </c>
      <c r="BG45" s="16">
        <v>61</v>
      </c>
      <c r="BH45" s="16">
        <v>61</v>
      </c>
      <c r="BI45" s="16">
        <v>61</v>
      </c>
      <c r="BJ45" s="16">
        <v>61</v>
      </c>
      <c r="BK45" s="16">
        <v>61</v>
      </c>
      <c r="BL45" s="16">
        <v>61</v>
      </c>
      <c r="BM45" s="16">
        <v>61</v>
      </c>
      <c r="BN45" s="16">
        <v>61</v>
      </c>
      <c r="BO45" s="16">
        <v>61</v>
      </c>
      <c r="BP45" s="16">
        <v>61</v>
      </c>
      <c r="BQ45" s="16">
        <v>61</v>
      </c>
      <c r="BR45" s="16">
        <v>61</v>
      </c>
      <c r="BS45" s="16">
        <v>61</v>
      </c>
      <c r="BT45" s="16">
        <v>61</v>
      </c>
      <c r="BU45" s="16">
        <v>61</v>
      </c>
      <c r="BV45" s="16">
        <v>61</v>
      </c>
      <c r="BW45" s="16">
        <v>61</v>
      </c>
      <c r="BX45" s="16">
        <v>61</v>
      </c>
      <c r="BY45" s="16">
        <v>61</v>
      </c>
      <c r="BZ45" s="16">
        <v>61</v>
      </c>
      <c r="CA45" s="16">
        <v>61</v>
      </c>
    </row>
    <row r="46" spans="1:79" s="18" customFormat="1" ht="19.5" thickBot="1">
      <c r="A46" s="15" t="s">
        <v>21</v>
      </c>
      <c r="B46" s="16">
        <v>67</v>
      </c>
      <c r="C46" s="16">
        <v>67</v>
      </c>
      <c r="D46" s="16">
        <v>67</v>
      </c>
      <c r="E46" s="16">
        <v>67</v>
      </c>
      <c r="F46" s="16">
        <v>67</v>
      </c>
      <c r="G46" s="16">
        <v>67</v>
      </c>
      <c r="H46" s="16">
        <v>67</v>
      </c>
      <c r="I46" s="16">
        <v>67</v>
      </c>
      <c r="J46" s="16">
        <v>67</v>
      </c>
      <c r="K46" s="16">
        <v>67</v>
      </c>
      <c r="L46" s="16">
        <v>67</v>
      </c>
      <c r="M46" s="16">
        <v>67</v>
      </c>
      <c r="N46" s="16">
        <v>67</v>
      </c>
      <c r="O46" s="16">
        <v>67</v>
      </c>
      <c r="P46" s="16">
        <v>67</v>
      </c>
      <c r="Q46" s="16">
        <v>67</v>
      </c>
      <c r="R46" s="16">
        <v>67</v>
      </c>
      <c r="S46" s="16">
        <v>67</v>
      </c>
      <c r="T46" s="16">
        <v>67</v>
      </c>
      <c r="U46" s="16">
        <v>67</v>
      </c>
      <c r="V46" s="16">
        <v>67</v>
      </c>
      <c r="W46" s="16">
        <v>67</v>
      </c>
      <c r="X46" s="16">
        <v>67</v>
      </c>
      <c r="Y46" s="16">
        <v>67</v>
      </c>
      <c r="Z46" s="16">
        <v>67</v>
      </c>
      <c r="AA46" s="16">
        <v>67</v>
      </c>
      <c r="AB46" s="16">
        <v>67</v>
      </c>
      <c r="AC46" s="16">
        <v>67</v>
      </c>
      <c r="AD46" s="16">
        <v>67</v>
      </c>
      <c r="AE46" s="16">
        <v>67</v>
      </c>
      <c r="AF46" s="16">
        <v>67</v>
      </c>
      <c r="AG46" s="16">
        <v>67</v>
      </c>
      <c r="AH46" s="16">
        <v>67</v>
      </c>
      <c r="AI46" s="16">
        <v>67</v>
      </c>
      <c r="AJ46" s="16">
        <v>67</v>
      </c>
      <c r="AK46" s="16">
        <v>67</v>
      </c>
      <c r="AL46" s="16">
        <v>67</v>
      </c>
      <c r="AM46" s="16">
        <v>67</v>
      </c>
      <c r="AN46" s="16">
        <v>71</v>
      </c>
      <c r="AO46" s="16">
        <v>71</v>
      </c>
      <c r="AP46" s="16">
        <v>71</v>
      </c>
      <c r="AQ46" s="16">
        <v>71</v>
      </c>
      <c r="AR46" s="16">
        <v>71</v>
      </c>
      <c r="AS46" s="16">
        <v>71</v>
      </c>
      <c r="AT46" s="16">
        <v>71</v>
      </c>
      <c r="AU46" s="16">
        <v>71</v>
      </c>
      <c r="AV46" s="16">
        <v>71</v>
      </c>
      <c r="AW46" s="16">
        <v>71</v>
      </c>
      <c r="AX46" s="16">
        <v>71</v>
      </c>
      <c r="AY46" s="16">
        <v>71</v>
      </c>
      <c r="AZ46" s="16">
        <v>71</v>
      </c>
      <c r="BA46" s="16">
        <v>71</v>
      </c>
      <c r="BB46" s="16">
        <v>71</v>
      </c>
      <c r="BC46" s="16">
        <v>71</v>
      </c>
      <c r="BD46" s="16">
        <v>71</v>
      </c>
      <c r="BE46" s="16">
        <v>71</v>
      </c>
      <c r="BF46" s="16">
        <v>71</v>
      </c>
      <c r="BG46" s="16">
        <v>71</v>
      </c>
      <c r="BH46" s="16">
        <v>71</v>
      </c>
      <c r="BI46" s="16">
        <v>71</v>
      </c>
      <c r="BJ46" s="16">
        <v>71</v>
      </c>
      <c r="BK46" s="16">
        <v>71</v>
      </c>
      <c r="BL46" s="16">
        <v>71</v>
      </c>
      <c r="BM46" s="16">
        <v>71</v>
      </c>
      <c r="BN46" s="16">
        <v>71</v>
      </c>
      <c r="BO46" s="16">
        <v>71</v>
      </c>
      <c r="BP46" s="16">
        <v>71</v>
      </c>
      <c r="BQ46" s="16">
        <v>71</v>
      </c>
      <c r="BR46" s="16">
        <v>71</v>
      </c>
      <c r="BS46" s="16">
        <v>71</v>
      </c>
      <c r="BT46" s="16">
        <v>71</v>
      </c>
      <c r="BU46" s="16">
        <v>71</v>
      </c>
      <c r="BV46" s="16">
        <v>71</v>
      </c>
      <c r="BW46" s="16">
        <v>71</v>
      </c>
      <c r="BX46" s="16">
        <v>71</v>
      </c>
      <c r="BY46" s="16">
        <v>71</v>
      </c>
      <c r="BZ46" s="16">
        <v>71</v>
      </c>
      <c r="CA46" s="16">
        <v>71</v>
      </c>
    </row>
    <row r="47" spans="1:79" s="72" customFormat="1">
      <c r="A47" s="11" t="s">
        <v>36</v>
      </c>
      <c r="B47" s="122">
        <v>64.599999999999994</v>
      </c>
      <c r="C47" s="122">
        <v>59.9</v>
      </c>
      <c r="D47" s="122">
        <v>61.9</v>
      </c>
      <c r="E47" s="122">
        <v>62.5</v>
      </c>
      <c r="F47" s="122">
        <v>69.3</v>
      </c>
      <c r="G47" s="122">
        <v>61.9</v>
      </c>
      <c r="H47" s="122">
        <v>64.099999999999994</v>
      </c>
      <c r="I47" s="122">
        <v>63.8</v>
      </c>
      <c r="J47" s="122">
        <v>64.2</v>
      </c>
      <c r="K47" s="122">
        <v>64.5</v>
      </c>
      <c r="L47" s="122">
        <v>64</v>
      </c>
      <c r="M47" s="122">
        <v>57.6</v>
      </c>
      <c r="N47" s="122">
        <v>66</v>
      </c>
      <c r="O47" s="122">
        <v>57.3</v>
      </c>
      <c r="P47" s="122">
        <v>62.3</v>
      </c>
      <c r="Q47" s="122">
        <v>62.8</v>
      </c>
      <c r="R47" s="122">
        <v>66.3</v>
      </c>
      <c r="S47" s="122">
        <v>64.2</v>
      </c>
      <c r="T47" s="122">
        <v>64.8</v>
      </c>
      <c r="U47" s="122">
        <v>58.8</v>
      </c>
      <c r="V47" s="122">
        <v>64</v>
      </c>
      <c r="W47" s="122">
        <v>60.7</v>
      </c>
      <c r="X47" s="122">
        <v>67.400000000000006</v>
      </c>
      <c r="Y47" s="122">
        <v>64.5</v>
      </c>
      <c r="Z47" s="122">
        <v>64.599999999999994</v>
      </c>
      <c r="AA47" s="122">
        <v>68.2</v>
      </c>
      <c r="AB47" s="141">
        <v>61.4</v>
      </c>
      <c r="AC47" s="141">
        <v>66.2</v>
      </c>
      <c r="AD47" s="141">
        <v>59.1</v>
      </c>
      <c r="AE47" s="141">
        <v>58.1</v>
      </c>
      <c r="AF47" s="141">
        <v>64.099999999999994</v>
      </c>
      <c r="AG47" s="141">
        <v>62.5</v>
      </c>
      <c r="AH47" s="141">
        <v>61.2</v>
      </c>
      <c r="AI47" s="141">
        <v>67</v>
      </c>
      <c r="AJ47" s="141">
        <v>66.099999999999994</v>
      </c>
      <c r="AK47" s="141">
        <v>65.900000000000006</v>
      </c>
      <c r="AL47" s="141">
        <v>64.400000000000006</v>
      </c>
      <c r="AM47" s="141">
        <v>66.099999999999994</v>
      </c>
      <c r="AN47" s="141">
        <v>62.8</v>
      </c>
      <c r="AO47" s="141">
        <v>65.099999999999994</v>
      </c>
      <c r="AP47" s="141">
        <v>66.900000000000006</v>
      </c>
      <c r="AQ47" s="141">
        <v>67.099999999999994</v>
      </c>
      <c r="AR47" s="141">
        <v>65.8</v>
      </c>
      <c r="AS47" s="141">
        <v>65.5</v>
      </c>
      <c r="AT47" s="141">
        <v>64.3</v>
      </c>
      <c r="AU47" s="141">
        <v>69</v>
      </c>
      <c r="AV47" s="141">
        <v>65</v>
      </c>
      <c r="AW47" s="141">
        <v>67.5</v>
      </c>
      <c r="AX47" s="141">
        <v>64.2</v>
      </c>
      <c r="AY47" s="141">
        <v>64.400000000000006</v>
      </c>
      <c r="AZ47" s="141">
        <v>71.5</v>
      </c>
      <c r="BA47" s="141">
        <v>65.3</v>
      </c>
      <c r="BB47" s="141">
        <v>64</v>
      </c>
      <c r="BC47" s="141">
        <v>65</v>
      </c>
      <c r="BD47" s="141">
        <v>60.6</v>
      </c>
      <c r="BE47" s="141">
        <v>68.2</v>
      </c>
      <c r="BF47" s="141">
        <v>63.7</v>
      </c>
      <c r="BG47" s="141">
        <v>64.5</v>
      </c>
      <c r="BH47" s="141">
        <v>66.8</v>
      </c>
      <c r="BI47" s="141">
        <v>66.3</v>
      </c>
      <c r="BJ47" s="141"/>
      <c r="BK47" s="187"/>
    </row>
    <row r="48" spans="1:79" s="72" customFormat="1">
      <c r="A48" s="11" t="s">
        <v>41</v>
      </c>
      <c r="B48" s="122">
        <v>58.6</v>
      </c>
      <c r="C48" s="122">
        <v>57.6</v>
      </c>
      <c r="D48" s="122">
        <v>56.7</v>
      </c>
      <c r="E48" s="122">
        <v>57.2</v>
      </c>
      <c r="F48" s="122">
        <v>63</v>
      </c>
      <c r="G48" s="122">
        <v>56.8</v>
      </c>
      <c r="H48" s="122">
        <v>59.3</v>
      </c>
      <c r="I48" s="122">
        <v>53.7</v>
      </c>
      <c r="J48" s="122">
        <v>60.7</v>
      </c>
      <c r="K48" s="122">
        <v>58.2</v>
      </c>
      <c r="L48" s="122">
        <v>59.3</v>
      </c>
      <c r="M48" s="122">
        <v>56.7</v>
      </c>
      <c r="N48" s="122">
        <v>60</v>
      </c>
      <c r="O48" s="122">
        <v>52</v>
      </c>
      <c r="P48" s="122">
        <v>60</v>
      </c>
      <c r="Q48" s="122">
        <v>58.7</v>
      </c>
      <c r="R48" s="122">
        <v>60.5</v>
      </c>
      <c r="S48" s="122">
        <v>59</v>
      </c>
      <c r="T48" s="122">
        <v>59.5</v>
      </c>
      <c r="U48" s="122">
        <v>57</v>
      </c>
      <c r="V48" s="122">
        <v>58</v>
      </c>
      <c r="W48" s="122">
        <v>57.6</v>
      </c>
      <c r="X48" s="122">
        <v>62.3</v>
      </c>
      <c r="Y48" s="122">
        <v>59.6</v>
      </c>
      <c r="Z48" s="122">
        <v>56.7</v>
      </c>
      <c r="AA48" s="122">
        <v>62.5</v>
      </c>
      <c r="AB48" s="141">
        <v>58.8</v>
      </c>
      <c r="AC48" s="141">
        <v>61.5</v>
      </c>
      <c r="AD48" s="141">
        <v>56.6</v>
      </c>
      <c r="AE48" s="141">
        <v>55.9</v>
      </c>
      <c r="AF48" s="141">
        <v>59</v>
      </c>
      <c r="AG48" s="141">
        <v>57.9</v>
      </c>
      <c r="AH48" s="141">
        <v>59.9</v>
      </c>
      <c r="AI48" s="141">
        <v>57</v>
      </c>
      <c r="AJ48" s="141">
        <v>58</v>
      </c>
      <c r="AK48" s="141">
        <v>60</v>
      </c>
      <c r="AL48" s="141">
        <v>61.3</v>
      </c>
      <c r="AM48" s="141">
        <v>59.5</v>
      </c>
      <c r="AN48" s="141">
        <v>59.8</v>
      </c>
      <c r="AO48" s="141"/>
      <c r="AP48" s="141">
        <v>59.7</v>
      </c>
      <c r="AQ48" s="141">
        <v>56.5</v>
      </c>
      <c r="AR48" s="141">
        <v>58.3</v>
      </c>
      <c r="AS48" s="141">
        <v>57.3</v>
      </c>
      <c r="AT48" s="141">
        <v>59</v>
      </c>
      <c r="AU48" s="141"/>
      <c r="AV48" s="141">
        <v>54.5</v>
      </c>
      <c r="AW48" s="141"/>
      <c r="AX48" s="141">
        <v>58.7</v>
      </c>
      <c r="AY48" s="141">
        <v>59</v>
      </c>
      <c r="AZ48" s="141">
        <v>60</v>
      </c>
      <c r="BA48" s="141"/>
      <c r="BB48" s="141">
        <v>56</v>
      </c>
      <c r="BC48" s="141">
        <v>57</v>
      </c>
      <c r="BD48" s="141">
        <v>51.5</v>
      </c>
      <c r="BE48" s="141"/>
      <c r="BF48" s="141">
        <v>55.7</v>
      </c>
      <c r="BG48" s="141">
        <v>59</v>
      </c>
      <c r="BH48" s="141">
        <v>60</v>
      </c>
      <c r="BI48" s="141">
        <v>57</v>
      </c>
      <c r="BJ48" s="141"/>
      <c r="BK48" s="187"/>
    </row>
    <row r="49" spans="1:79" s="72" customFormat="1">
      <c r="A49" s="11" t="s">
        <v>42</v>
      </c>
      <c r="B49" s="122">
        <v>74.3</v>
      </c>
      <c r="C49" s="122">
        <v>68</v>
      </c>
      <c r="D49" s="122">
        <v>68.8</v>
      </c>
      <c r="E49" s="122">
        <v>70.5</v>
      </c>
      <c r="F49" s="122">
        <v>70.7</v>
      </c>
      <c r="G49" s="122">
        <v>72.5</v>
      </c>
      <c r="H49" s="122">
        <v>71.7</v>
      </c>
      <c r="I49" s="122">
        <v>72.7</v>
      </c>
      <c r="J49" s="122">
        <v>70</v>
      </c>
      <c r="K49" s="122">
        <v>71.3</v>
      </c>
      <c r="L49" s="122">
        <v>70</v>
      </c>
      <c r="M49" s="122"/>
      <c r="N49" s="122">
        <v>72.8</v>
      </c>
      <c r="O49" s="122">
        <v>71</v>
      </c>
      <c r="P49" s="122">
        <v>68</v>
      </c>
      <c r="Q49" s="122">
        <v>71.5</v>
      </c>
      <c r="R49" s="122">
        <v>71.400000000000006</v>
      </c>
      <c r="S49" s="122">
        <v>73.5</v>
      </c>
      <c r="T49" s="122">
        <v>70.7</v>
      </c>
      <c r="U49" s="122"/>
      <c r="V49" s="122">
        <v>72</v>
      </c>
      <c r="W49" s="122">
        <v>70</v>
      </c>
      <c r="X49" s="122">
        <v>69.7</v>
      </c>
      <c r="Y49" s="122">
        <v>70</v>
      </c>
      <c r="Z49" s="122">
        <v>72.3</v>
      </c>
      <c r="AA49" s="122">
        <v>71.8</v>
      </c>
      <c r="AB49" s="141">
        <v>72</v>
      </c>
      <c r="AC49" s="141">
        <v>73</v>
      </c>
      <c r="AD49" s="141">
        <v>70</v>
      </c>
      <c r="AE49" s="141">
        <v>68</v>
      </c>
      <c r="AF49" s="141">
        <v>69.8</v>
      </c>
      <c r="AG49" s="141">
        <v>70.7</v>
      </c>
      <c r="AH49" s="141"/>
      <c r="AI49" s="141">
        <v>69.8</v>
      </c>
      <c r="AJ49" s="141">
        <v>70.400000000000006</v>
      </c>
      <c r="AK49" s="141">
        <v>70</v>
      </c>
      <c r="AL49" s="141">
        <v>70</v>
      </c>
      <c r="AM49" s="141">
        <v>72.2</v>
      </c>
      <c r="AN49" s="141"/>
      <c r="AO49" s="141">
        <v>76</v>
      </c>
      <c r="AP49" s="141">
        <v>73</v>
      </c>
      <c r="AQ49" s="141">
        <v>74.5</v>
      </c>
      <c r="AR49" s="141">
        <v>73.7</v>
      </c>
      <c r="AS49" s="141">
        <v>73</v>
      </c>
      <c r="AT49" s="141"/>
      <c r="AU49" s="141">
        <v>72.7</v>
      </c>
      <c r="AV49" s="141">
        <v>73</v>
      </c>
      <c r="AW49" s="141">
        <v>81</v>
      </c>
      <c r="AX49" s="141">
        <v>81</v>
      </c>
      <c r="AY49" s="141">
        <v>72</v>
      </c>
      <c r="AZ49" s="141">
        <v>75.7</v>
      </c>
      <c r="BA49" s="141">
        <v>72</v>
      </c>
      <c r="BB49" s="141">
        <v>72</v>
      </c>
      <c r="BC49" s="141"/>
      <c r="BD49" s="141"/>
      <c r="BE49" s="141">
        <v>72.5</v>
      </c>
      <c r="BF49" s="141">
        <v>72</v>
      </c>
      <c r="BG49" s="141"/>
      <c r="BH49" s="141">
        <v>73</v>
      </c>
      <c r="BI49" s="141">
        <v>75.5</v>
      </c>
      <c r="BJ49" s="141"/>
      <c r="BK49" s="187"/>
    </row>
    <row r="50" spans="1:79">
      <c r="A50" s="15" t="s">
        <v>43</v>
      </c>
      <c r="B50" s="88"/>
      <c r="C50" s="88"/>
      <c r="D50" s="88"/>
      <c r="E50" s="88"/>
      <c r="F50" s="88"/>
      <c r="G50" s="88">
        <v>0.77</v>
      </c>
      <c r="H50" s="88">
        <f t="shared" ref="H50:Z50" si="182">(H47-B32)/42</f>
        <v>0.83095238095238078</v>
      </c>
      <c r="I50" s="88">
        <f t="shared" si="182"/>
        <v>0.80952380952380953</v>
      </c>
      <c r="J50" s="88">
        <f t="shared" si="182"/>
        <v>0.77380952380952384</v>
      </c>
      <c r="K50" s="88">
        <f t="shared" si="182"/>
        <v>0.8571428571428571</v>
      </c>
      <c r="L50" s="88">
        <f t="shared" si="182"/>
        <v>0.85952380952380958</v>
      </c>
      <c r="M50" s="88">
        <v>0.74</v>
      </c>
      <c r="N50" s="88">
        <v>0.75</v>
      </c>
      <c r="O50" s="88">
        <f t="shared" si="182"/>
        <v>0.76190476190476186</v>
      </c>
      <c r="P50" s="88">
        <f t="shared" si="182"/>
        <v>0.75952380952380949</v>
      </c>
      <c r="Q50" s="88">
        <f t="shared" si="182"/>
        <v>0.838095238095238</v>
      </c>
      <c r="R50" s="88">
        <v>0.78</v>
      </c>
      <c r="S50" s="88">
        <f t="shared" si="182"/>
        <v>0.8214285714285714</v>
      </c>
      <c r="T50" s="88">
        <f t="shared" si="182"/>
        <v>0.84523809523809523</v>
      </c>
      <c r="U50" s="88">
        <v>0.76</v>
      </c>
      <c r="V50" s="88">
        <f t="shared" si="182"/>
        <v>0.8</v>
      </c>
      <c r="W50" s="88">
        <f t="shared" si="182"/>
        <v>0.81904761904761914</v>
      </c>
      <c r="X50" s="88">
        <f t="shared" si="182"/>
        <v>0.80952380952380965</v>
      </c>
      <c r="Y50" s="88">
        <f t="shared" si="182"/>
        <v>0.8571428571428571</v>
      </c>
      <c r="Z50" s="88">
        <f t="shared" si="182"/>
        <v>0.79523809523809508</v>
      </c>
      <c r="AA50" s="88">
        <v>0.93</v>
      </c>
      <c r="AB50" s="88">
        <v>0.81</v>
      </c>
      <c r="AC50" s="88">
        <f>(AC47-W32)/42</f>
        <v>0.88809523809523816</v>
      </c>
      <c r="AD50" s="88">
        <f>(AD47-X32)/42</f>
        <v>0.74523809523809526</v>
      </c>
      <c r="AE50" s="88">
        <v>0.74</v>
      </c>
      <c r="AF50" s="88">
        <v>0.88</v>
      </c>
      <c r="AG50" s="88">
        <v>0.82</v>
      </c>
      <c r="AH50" s="88">
        <v>0.81</v>
      </c>
      <c r="AI50" s="88">
        <v>0.92600000000000005</v>
      </c>
      <c r="AJ50" s="88">
        <v>0.88300000000000001</v>
      </c>
      <c r="AK50" s="88">
        <v>0.873</v>
      </c>
      <c r="AL50" s="88">
        <v>0.83499999999999996</v>
      </c>
      <c r="AM50" s="88">
        <v>0.86199999999999999</v>
      </c>
      <c r="AN50" s="88">
        <v>0.83299999999999996</v>
      </c>
      <c r="AO50" s="88">
        <v>0.82</v>
      </c>
      <c r="AP50" s="88">
        <v>0.91300000000000003</v>
      </c>
      <c r="AQ50" s="88">
        <v>0.94</v>
      </c>
      <c r="AR50" s="88">
        <v>0.90500000000000003</v>
      </c>
      <c r="AS50" s="88">
        <v>0.89600000000000002</v>
      </c>
      <c r="AT50" s="88">
        <v>0.88100000000000001</v>
      </c>
      <c r="AU50" s="88">
        <v>0.91600000000000004</v>
      </c>
      <c r="AV50" s="88">
        <v>0.84499999999999997</v>
      </c>
      <c r="AW50" s="88">
        <v>0.88100000000000001</v>
      </c>
      <c r="AX50" s="88">
        <v>0.85299999999999998</v>
      </c>
      <c r="AY50" s="88">
        <v>0.85</v>
      </c>
      <c r="AZ50" s="88">
        <v>0.98099999999999998</v>
      </c>
      <c r="BA50" s="88">
        <v>0.88400000000000001</v>
      </c>
      <c r="BB50" s="88">
        <v>0.88400000000000001</v>
      </c>
      <c r="BC50" s="88">
        <v>0.83899999999999997</v>
      </c>
      <c r="BD50" s="88">
        <v>0.79600000000000004</v>
      </c>
      <c r="BE50" s="88">
        <v>0.90300000000000002</v>
      </c>
      <c r="BF50" s="88">
        <v>0.81799999999999995</v>
      </c>
      <c r="BG50" s="88">
        <v>0.86899999999999999</v>
      </c>
      <c r="BH50" s="88">
        <v>0.88700000000000001</v>
      </c>
      <c r="BI50" s="88">
        <v>0.89900000000000002</v>
      </c>
      <c r="BJ50" s="88"/>
      <c r="BK50" s="174"/>
    </row>
    <row r="51" spans="1:79" s="72" customFormat="1">
      <c r="A51" s="15" t="s">
        <v>44</v>
      </c>
      <c r="B51" s="209"/>
      <c r="C51" s="209"/>
      <c r="D51" s="209"/>
      <c r="E51" s="209"/>
      <c r="F51" s="209"/>
      <c r="G51" s="209">
        <v>0.66900000000000004</v>
      </c>
      <c r="H51" s="209">
        <v>0.79</v>
      </c>
      <c r="I51" s="209">
        <v>0.7</v>
      </c>
      <c r="J51" s="209">
        <v>0.71399999999999997</v>
      </c>
      <c r="K51" s="209">
        <v>0.79</v>
      </c>
      <c r="L51" s="209">
        <v>0.82</v>
      </c>
      <c r="M51" s="209">
        <v>0.73</v>
      </c>
      <c r="N51" s="209">
        <v>0.74</v>
      </c>
      <c r="O51" s="209">
        <v>0.7</v>
      </c>
      <c r="P51" s="209">
        <v>0.74</v>
      </c>
      <c r="Q51" s="209">
        <v>0.8</v>
      </c>
      <c r="R51" s="209">
        <v>0.71</v>
      </c>
      <c r="S51" s="209">
        <v>0.81</v>
      </c>
      <c r="T51" s="209">
        <v>0.79</v>
      </c>
      <c r="U51" s="209">
        <v>0.73799999999999999</v>
      </c>
      <c r="V51" s="209">
        <v>0.67</v>
      </c>
      <c r="W51" s="209">
        <v>0.77</v>
      </c>
      <c r="X51" s="209">
        <v>0.71</v>
      </c>
      <c r="Y51" s="209">
        <v>0.79</v>
      </c>
      <c r="Z51" s="209">
        <v>0.62</v>
      </c>
      <c r="AA51" s="209">
        <v>0.88</v>
      </c>
      <c r="AB51" s="209">
        <v>0.77</v>
      </c>
      <c r="AC51" s="209">
        <v>0.81</v>
      </c>
      <c r="AD51" s="209">
        <v>0.72</v>
      </c>
      <c r="AE51" s="209">
        <v>0.72</v>
      </c>
      <c r="AF51" s="209">
        <v>0.84</v>
      </c>
      <c r="AG51" s="209">
        <v>0.75</v>
      </c>
      <c r="AH51" s="209">
        <v>0.79</v>
      </c>
      <c r="AI51" s="209">
        <v>0.78600000000000003</v>
      </c>
      <c r="AJ51" s="209">
        <v>0.77800000000000002</v>
      </c>
      <c r="AK51" s="209">
        <v>0.81</v>
      </c>
      <c r="AL51" s="209">
        <v>0.80200000000000005</v>
      </c>
      <c r="AM51" s="209">
        <v>0.76800000000000002</v>
      </c>
      <c r="AN51" s="209">
        <v>0.78100000000000003</v>
      </c>
      <c r="AO51" s="209"/>
      <c r="AP51" s="209">
        <v>0.81</v>
      </c>
      <c r="AQ51" s="209">
        <v>0.77400000000000002</v>
      </c>
      <c r="AR51" s="209">
        <v>0.80200000000000005</v>
      </c>
      <c r="AS51" s="209">
        <v>0.78600000000000003</v>
      </c>
      <c r="AT51" s="209">
        <v>0.83299999999999996</v>
      </c>
      <c r="AU51" s="209"/>
      <c r="AV51" s="209">
        <v>0.75</v>
      </c>
      <c r="AW51" s="209"/>
      <c r="AX51" s="209">
        <v>0.73</v>
      </c>
      <c r="AY51" s="209">
        <v>0.78600000000000003</v>
      </c>
      <c r="AZ51" s="209">
        <v>0.73799999999999999</v>
      </c>
      <c r="BA51" s="209"/>
      <c r="BB51" s="209">
        <v>0.78600000000000003</v>
      </c>
      <c r="BC51" s="209">
        <v>0.69</v>
      </c>
      <c r="BD51" s="209">
        <v>0.625</v>
      </c>
      <c r="BE51" s="209"/>
      <c r="BF51" s="209">
        <v>0.70599999999999996</v>
      </c>
      <c r="BG51" s="209">
        <v>0.78600000000000003</v>
      </c>
      <c r="BH51" s="209">
        <v>0.76200000000000001</v>
      </c>
      <c r="BI51" s="209">
        <v>0.76200000000000001</v>
      </c>
      <c r="BJ51" s="209"/>
      <c r="BK51" s="210"/>
    </row>
    <row r="52" spans="1:79" s="72" customFormat="1">
      <c r="A52" s="15" t="s">
        <v>45</v>
      </c>
      <c r="B52" s="209"/>
      <c r="C52" s="209"/>
      <c r="D52" s="209"/>
      <c r="E52" s="209"/>
      <c r="F52" s="209"/>
      <c r="G52" s="209">
        <v>0.93</v>
      </c>
      <c r="H52" s="209">
        <v>0.93</v>
      </c>
      <c r="I52" s="209">
        <v>0.89</v>
      </c>
      <c r="J52" s="209">
        <v>0.86399999999999999</v>
      </c>
      <c r="K52" s="209">
        <v>0.91</v>
      </c>
      <c r="L52" s="209">
        <v>0.93</v>
      </c>
      <c r="M52" s="209"/>
      <c r="N52" s="209">
        <v>0.78</v>
      </c>
      <c r="O52" s="209">
        <v>0.92</v>
      </c>
      <c r="P52" s="209">
        <v>0.83</v>
      </c>
      <c r="Q52" s="209">
        <v>0.92</v>
      </c>
      <c r="R52" s="209">
        <v>0.85</v>
      </c>
      <c r="S52" s="209">
        <v>0.9</v>
      </c>
      <c r="T52" s="209">
        <v>0.97</v>
      </c>
      <c r="U52" s="209"/>
      <c r="V52" s="209">
        <v>0.92</v>
      </c>
      <c r="W52" s="209">
        <v>0.95</v>
      </c>
      <c r="X52" s="209">
        <v>0.873</v>
      </c>
      <c r="Y52" s="209">
        <v>0.92800000000000005</v>
      </c>
      <c r="Z52" s="209">
        <v>0.85</v>
      </c>
      <c r="AA52" s="209">
        <v>0.98</v>
      </c>
      <c r="AB52" s="209">
        <v>0.95</v>
      </c>
      <c r="AC52" s="209">
        <v>1.1499999999999999</v>
      </c>
      <c r="AD52" s="209">
        <v>0.88</v>
      </c>
      <c r="AE52" s="209">
        <v>1.04</v>
      </c>
      <c r="AF52" s="209">
        <v>0.95</v>
      </c>
      <c r="AG52" s="209">
        <v>0.91</v>
      </c>
      <c r="AH52" s="209"/>
      <c r="AI52" s="209">
        <v>0.95599999999999996</v>
      </c>
      <c r="AJ52" s="209">
        <v>0.94299999999999995</v>
      </c>
      <c r="AK52" s="209">
        <v>0.96399999999999997</v>
      </c>
      <c r="AL52" s="209">
        <v>0.84499999999999997</v>
      </c>
      <c r="AM52" s="209">
        <v>0.94299999999999995</v>
      </c>
      <c r="AN52" s="209"/>
      <c r="AO52" s="209">
        <v>1</v>
      </c>
      <c r="AP52" s="209">
        <v>1.012</v>
      </c>
      <c r="AQ52" s="209">
        <v>1.042</v>
      </c>
      <c r="AR52" s="209">
        <v>1.008</v>
      </c>
      <c r="AS52" s="209">
        <v>1.024</v>
      </c>
      <c r="AT52" s="209"/>
      <c r="AU52" s="209">
        <v>1</v>
      </c>
      <c r="AV52" s="209">
        <v>0.89300000000000002</v>
      </c>
      <c r="AW52" s="209">
        <v>1.119</v>
      </c>
      <c r="AX52" s="209">
        <v>1.119</v>
      </c>
      <c r="AY52" s="209">
        <v>0.95199999999999996</v>
      </c>
      <c r="AZ52" s="209">
        <v>1.036</v>
      </c>
      <c r="BA52" s="209">
        <v>0.90500000000000003</v>
      </c>
      <c r="BB52" s="209">
        <v>1</v>
      </c>
      <c r="BC52" s="209"/>
      <c r="BD52" s="209"/>
      <c r="BE52" s="209">
        <v>1.048</v>
      </c>
      <c r="BF52" s="209">
        <v>0.92900000000000005</v>
      </c>
      <c r="BG52" s="209"/>
      <c r="BH52" s="209">
        <v>0.92900000000000005</v>
      </c>
      <c r="BI52" s="209">
        <v>1.024</v>
      </c>
      <c r="BJ52" s="209"/>
      <c r="BK52" s="210"/>
    </row>
    <row r="53" spans="1:79">
      <c r="A53" s="15" t="s">
        <v>46</v>
      </c>
      <c r="B53" s="88"/>
      <c r="C53" s="88"/>
      <c r="D53" s="88"/>
      <c r="E53" s="88"/>
      <c r="F53" s="88"/>
      <c r="G53" s="173">
        <v>0.80900000000000005</v>
      </c>
      <c r="H53" s="173">
        <v>0.80900000000000005</v>
      </c>
      <c r="I53" s="173">
        <v>0.80900000000000005</v>
      </c>
      <c r="J53" s="173">
        <v>0.80900000000000005</v>
      </c>
      <c r="K53" s="173">
        <v>0.80900000000000005</v>
      </c>
      <c r="L53" s="173">
        <v>0.80900000000000005</v>
      </c>
      <c r="M53" s="173">
        <v>0.80900000000000005</v>
      </c>
      <c r="N53" s="173">
        <v>0.80900000000000005</v>
      </c>
      <c r="O53" s="173">
        <v>0.80900000000000005</v>
      </c>
      <c r="P53" s="173">
        <v>0.80900000000000005</v>
      </c>
      <c r="Q53" s="173">
        <v>0.80900000000000005</v>
      </c>
      <c r="R53" s="173">
        <v>0.80900000000000005</v>
      </c>
      <c r="S53" s="173">
        <v>0.80900000000000005</v>
      </c>
      <c r="T53" s="173">
        <v>0.80900000000000005</v>
      </c>
      <c r="U53" s="173">
        <v>0.80900000000000005</v>
      </c>
      <c r="V53" s="173">
        <v>0.80900000000000005</v>
      </c>
      <c r="W53" s="173">
        <v>0.80900000000000005</v>
      </c>
      <c r="X53" s="173">
        <v>0.80900000000000005</v>
      </c>
      <c r="Y53" s="173">
        <v>0.80900000000000005</v>
      </c>
      <c r="Z53" s="173">
        <v>0.80900000000000005</v>
      </c>
      <c r="AA53" s="173">
        <v>0.80900000000000005</v>
      </c>
      <c r="AB53" s="173">
        <v>0.80900000000000005</v>
      </c>
      <c r="AC53" s="173">
        <v>0.80900000000000005</v>
      </c>
      <c r="AD53" s="173">
        <v>0.80900000000000005</v>
      </c>
      <c r="AE53" s="173">
        <v>0.80900000000000005</v>
      </c>
      <c r="AF53" s="173">
        <v>0.80900000000000005</v>
      </c>
      <c r="AG53" s="173">
        <v>0.80900000000000005</v>
      </c>
      <c r="AH53" s="173">
        <v>0.80900000000000005</v>
      </c>
      <c r="AI53" s="173">
        <v>0.80900000000000005</v>
      </c>
      <c r="AJ53" s="173">
        <v>0.80900000000000005</v>
      </c>
      <c r="AK53" s="173">
        <v>0.80900000000000005</v>
      </c>
      <c r="AL53" s="173">
        <v>0.80900000000000005</v>
      </c>
      <c r="AM53" s="173">
        <v>0.80900000000000005</v>
      </c>
      <c r="AN53" s="173">
        <v>0.80900000000000005</v>
      </c>
      <c r="AO53" s="173">
        <v>0.80900000000000005</v>
      </c>
      <c r="AP53" s="173">
        <v>0.80900000000000005</v>
      </c>
      <c r="AQ53" s="173">
        <v>0.80900000000000005</v>
      </c>
      <c r="AR53" s="173">
        <v>0.80900000000000005</v>
      </c>
      <c r="AS53" s="173">
        <v>0.80900000000000005</v>
      </c>
      <c r="AT53" s="173">
        <v>0.80900000000000005</v>
      </c>
      <c r="AU53" s="173">
        <v>0.80900000000000005</v>
      </c>
      <c r="AV53" s="173">
        <v>0.80900000000000005</v>
      </c>
      <c r="AW53" s="173">
        <v>0.80900000000000005</v>
      </c>
      <c r="AX53" s="173">
        <v>0.80900000000000005</v>
      </c>
      <c r="AY53" s="173">
        <v>0.80900000000000005</v>
      </c>
      <c r="AZ53" s="173">
        <v>0.80900000000000005</v>
      </c>
      <c r="BA53" s="173">
        <v>0.80900000000000005</v>
      </c>
      <c r="BB53" s="173">
        <v>0.80900000000000005</v>
      </c>
      <c r="BC53" s="173">
        <v>0.80900000000000005</v>
      </c>
      <c r="BD53" s="173">
        <v>0.80900000000000005</v>
      </c>
      <c r="BE53" s="173">
        <v>0.80900000000000005</v>
      </c>
      <c r="BF53" s="173">
        <v>0.80900000000000005</v>
      </c>
      <c r="BG53" s="173">
        <v>0.80900000000000005</v>
      </c>
      <c r="BH53" s="173">
        <v>0.80900000000000005</v>
      </c>
      <c r="BI53" s="173">
        <v>0.80900000000000005</v>
      </c>
      <c r="BJ53" s="173">
        <v>0.80900000000000005</v>
      </c>
      <c r="BK53" s="175">
        <v>0.80900000000000005</v>
      </c>
      <c r="BL53" s="175">
        <v>0.80900000000000005</v>
      </c>
      <c r="BM53" s="175">
        <v>0.80900000000000005</v>
      </c>
      <c r="BN53" s="175">
        <v>0.80900000000000005</v>
      </c>
      <c r="BO53" s="175">
        <v>0.80900000000000005</v>
      </c>
      <c r="BP53" s="175">
        <v>0.80900000000000005</v>
      </c>
      <c r="BQ53" s="175">
        <v>0.80900000000000005</v>
      </c>
      <c r="BR53" s="175">
        <v>0.80900000000000005</v>
      </c>
      <c r="BS53" s="175">
        <v>0.80900000000000005</v>
      </c>
      <c r="BT53" s="175">
        <v>0.80900000000000005</v>
      </c>
      <c r="BU53" s="175">
        <v>0.80900000000000005</v>
      </c>
      <c r="BV53" s="175">
        <v>0.80900000000000005</v>
      </c>
      <c r="BW53" s="175">
        <v>0.80900000000000005</v>
      </c>
      <c r="BX53" s="175">
        <v>0.80900000000000005</v>
      </c>
      <c r="BY53" s="175">
        <v>0.80900000000000005</v>
      </c>
      <c r="BZ53" s="175">
        <v>0.80900000000000005</v>
      </c>
      <c r="CA53" s="175">
        <v>0.80900000000000005</v>
      </c>
    </row>
    <row r="54" spans="1:79" s="2" customFormat="1">
      <c r="A54" s="11" t="s">
        <v>23</v>
      </c>
      <c r="B54" s="106">
        <f>B55/(SUM(B55,B57,B59))</f>
        <v>0.5</v>
      </c>
      <c r="C54" s="106">
        <f t="shared" ref="C54:M54" si="183">C55/(SUM(C55,C57,C59))</f>
        <v>0.7142857142857143</v>
      </c>
      <c r="D54" s="106">
        <f t="shared" si="183"/>
        <v>0.5</v>
      </c>
      <c r="E54" s="106">
        <f t="shared" si="183"/>
        <v>0.5</v>
      </c>
      <c r="F54" s="106">
        <f t="shared" si="183"/>
        <v>8.3333333333333329E-2</v>
      </c>
      <c r="G54" s="106">
        <f t="shared" si="183"/>
        <v>0.5</v>
      </c>
      <c r="H54" s="106">
        <f t="shared" si="183"/>
        <v>0.5</v>
      </c>
      <c r="I54" s="106">
        <f t="shared" si="183"/>
        <v>0.375</v>
      </c>
      <c r="J54" s="106">
        <f t="shared" si="183"/>
        <v>0.5</v>
      </c>
      <c r="K54" s="106">
        <f t="shared" si="183"/>
        <v>0.41666666666666669</v>
      </c>
      <c r="L54" s="106">
        <f t="shared" si="183"/>
        <v>0.4</v>
      </c>
      <c r="M54" s="106">
        <f t="shared" si="183"/>
        <v>0.90909090909090906</v>
      </c>
      <c r="N54" s="106">
        <f t="shared" ref="N54" si="184">N55/(SUM(N55,N57,N59))</f>
        <v>0.36363636363636365</v>
      </c>
      <c r="O54" s="106">
        <f t="shared" ref="O54" si="185">O55/(SUM(O55,O57,O59))</f>
        <v>0.66666666666666663</v>
      </c>
      <c r="P54" s="106">
        <f t="shared" ref="P54" si="186">P55/(SUM(P55,P57,P59))</f>
        <v>0.8</v>
      </c>
      <c r="Q54" s="106">
        <f t="shared" ref="Q54" si="187">Q55/(SUM(Q55,Q57,Q59))</f>
        <v>0.54545454545454541</v>
      </c>
      <c r="R54" s="106">
        <f t="shared" ref="R54" si="188">R55/(SUM(R55,R57,R59))</f>
        <v>0.36363636363636365</v>
      </c>
      <c r="S54" s="106">
        <f t="shared" ref="S54" si="189">S55/(SUM(S55,S57,S59))</f>
        <v>0.45454545454545453</v>
      </c>
      <c r="T54" s="106">
        <f t="shared" ref="T54" si="190">T55/(SUM(T55,T57,T59))</f>
        <v>0.33333333333333331</v>
      </c>
      <c r="U54" s="106">
        <f t="shared" ref="U54" si="191">U55/(SUM(U55,U57,U59))</f>
        <v>0.81818181818181823</v>
      </c>
      <c r="V54" s="106">
        <f t="shared" ref="V54" si="192">V55/(SUM(V55,V57,V59))</f>
        <v>0.41666666666666669</v>
      </c>
      <c r="W54" s="106">
        <f t="shared" ref="W54:CA54" si="193">W55/(SUM(W55,W57,W59))</f>
        <v>0.75</v>
      </c>
      <c r="X54" s="106">
        <f t="shared" si="193"/>
        <v>0.25</v>
      </c>
      <c r="Y54" s="106">
        <f t="shared" si="193"/>
        <v>0.45454545454545453</v>
      </c>
      <c r="Z54" s="106">
        <f t="shared" si="193"/>
        <v>0.27272727272727271</v>
      </c>
      <c r="AA54" s="106">
        <f t="shared" si="193"/>
        <v>0.16666666666666666</v>
      </c>
      <c r="AB54" s="106">
        <f t="shared" si="193"/>
        <v>0.75</v>
      </c>
      <c r="AC54" s="106">
        <f t="shared" si="193"/>
        <v>0.22222222222222221</v>
      </c>
      <c r="AD54" s="106">
        <f t="shared" si="193"/>
        <v>0.77777777777777779</v>
      </c>
      <c r="AE54" s="106">
        <f t="shared" si="193"/>
        <v>0.8</v>
      </c>
      <c r="AF54" s="106">
        <f t="shared" si="193"/>
        <v>0.5</v>
      </c>
      <c r="AG54" s="106">
        <f t="shared" si="193"/>
        <v>0.53846153846153844</v>
      </c>
      <c r="AH54" s="106">
        <f t="shared" si="193"/>
        <v>0.72727272727272729</v>
      </c>
      <c r="AI54" s="106">
        <f t="shared" si="193"/>
        <v>9.0909090909090912E-2</v>
      </c>
      <c r="AJ54" s="106">
        <f t="shared" si="193"/>
        <v>0.23076923076923078</v>
      </c>
      <c r="AK54" s="106">
        <f t="shared" si="193"/>
        <v>0.1111111111111111</v>
      </c>
      <c r="AL54" s="106">
        <f t="shared" si="193"/>
        <v>0.46153846153846156</v>
      </c>
      <c r="AM54" s="106">
        <f t="shared" si="193"/>
        <v>0.2857142857142857</v>
      </c>
      <c r="AN54" s="106">
        <f t="shared" si="193"/>
        <v>0.41666666666666669</v>
      </c>
      <c r="AO54" s="106">
        <f t="shared" si="193"/>
        <v>0</v>
      </c>
      <c r="AP54" s="106">
        <f t="shared" si="193"/>
        <v>0.21428571428571427</v>
      </c>
      <c r="AQ54" s="106">
        <f t="shared" si="193"/>
        <v>0.16666666666666666</v>
      </c>
      <c r="AR54" s="106">
        <f t="shared" si="193"/>
        <v>0.25</v>
      </c>
      <c r="AS54" s="106">
        <f t="shared" si="193"/>
        <v>0.21428571428571427</v>
      </c>
      <c r="AT54" s="106">
        <f t="shared" si="193"/>
        <v>0.1</v>
      </c>
      <c r="AU54" s="106">
        <f t="shared" si="193"/>
        <v>0</v>
      </c>
      <c r="AV54" s="106">
        <f t="shared" si="193"/>
        <v>0.16666666666666666</v>
      </c>
      <c r="AW54" s="106">
        <f t="shared" si="193"/>
        <v>0</v>
      </c>
      <c r="AX54" s="106">
        <f t="shared" si="193"/>
        <v>0.23076923076923078</v>
      </c>
      <c r="AY54" s="106">
        <f t="shared" si="193"/>
        <v>7.6923076923076927E-2</v>
      </c>
      <c r="AZ54" s="106">
        <f t="shared" si="193"/>
        <v>0.1</v>
      </c>
      <c r="BA54" s="106">
        <f t="shared" si="193"/>
        <v>0</v>
      </c>
      <c r="BB54" s="106">
        <f t="shared" si="193"/>
        <v>0.1111111111111111</v>
      </c>
      <c r="BC54" s="106">
        <f t="shared" si="193"/>
        <v>0.15384615384615385</v>
      </c>
      <c r="BD54" s="106">
        <f t="shared" si="193"/>
        <v>0.2857142857142857</v>
      </c>
      <c r="BE54" s="106">
        <f t="shared" si="193"/>
        <v>0</v>
      </c>
      <c r="BF54" s="106">
        <f t="shared" si="193"/>
        <v>0.21428571428571427</v>
      </c>
      <c r="BG54" s="106">
        <f t="shared" si="193"/>
        <v>0.1</v>
      </c>
      <c r="BH54" s="106">
        <f t="shared" si="193"/>
        <v>8.3333333333333329E-2</v>
      </c>
      <c r="BI54" s="106">
        <f t="shared" si="193"/>
        <v>0.33333333333333331</v>
      </c>
      <c r="BJ54" s="106" t="e">
        <f t="shared" si="193"/>
        <v>#DIV/0!</v>
      </c>
      <c r="BK54" s="107" t="e">
        <f t="shared" si="193"/>
        <v>#DIV/0!</v>
      </c>
      <c r="BL54" s="107" t="e">
        <f t="shared" si="193"/>
        <v>#DIV/0!</v>
      </c>
      <c r="BM54" s="107" t="e">
        <f t="shared" si="193"/>
        <v>#DIV/0!</v>
      </c>
      <c r="BN54" s="107" t="e">
        <f t="shared" si="193"/>
        <v>#DIV/0!</v>
      </c>
      <c r="BO54" s="107" t="e">
        <f t="shared" si="193"/>
        <v>#DIV/0!</v>
      </c>
      <c r="BP54" s="107" t="e">
        <f t="shared" si="193"/>
        <v>#DIV/0!</v>
      </c>
      <c r="BQ54" s="107" t="e">
        <f t="shared" si="193"/>
        <v>#DIV/0!</v>
      </c>
      <c r="BR54" s="107" t="e">
        <f t="shared" si="193"/>
        <v>#DIV/0!</v>
      </c>
      <c r="BS54" s="107" t="e">
        <f t="shared" si="193"/>
        <v>#DIV/0!</v>
      </c>
      <c r="BT54" s="107" t="e">
        <f t="shared" si="193"/>
        <v>#DIV/0!</v>
      </c>
      <c r="BU54" s="107" t="e">
        <f t="shared" si="193"/>
        <v>#DIV/0!</v>
      </c>
      <c r="BV54" s="107" t="e">
        <f t="shared" si="193"/>
        <v>#DIV/0!</v>
      </c>
      <c r="BW54" s="107" t="e">
        <f t="shared" si="193"/>
        <v>#DIV/0!</v>
      </c>
      <c r="BX54" s="107" t="e">
        <f t="shared" si="193"/>
        <v>#DIV/0!</v>
      </c>
      <c r="BY54" s="107" t="e">
        <f t="shared" si="193"/>
        <v>#DIV/0!</v>
      </c>
      <c r="BZ54" s="107" t="e">
        <f t="shared" si="193"/>
        <v>#DIV/0!</v>
      </c>
      <c r="CA54" s="107" t="e">
        <f t="shared" si="193"/>
        <v>#DIV/0!</v>
      </c>
    </row>
    <row r="55" spans="1:79" s="89" customFormat="1">
      <c r="A55" s="11" t="s">
        <v>39</v>
      </c>
      <c r="B55" s="108">
        <v>7</v>
      </c>
      <c r="C55" s="108">
        <v>10</v>
      </c>
      <c r="D55" s="108">
        <v>7</v>
      </c>
      <c r="E55" s="108">
        <v>5</v>
      </c>
      <c r="F55" s="108">
        <v>1</v>
      </c>
      <c r="G55" s="108">
        <v>6</v>
      </c>
      <c r="H55" s="108">
        <v>6</v>
      </c>
      <c r="I55" s="108">
        <v>3</v>
      </c>
      <c r="J55" s="108">
        <v>6</v>
      </c>
      <c r="K55" s="108">
        <v>5</v>
      </c>
      <c r="L55" s="108">
        <v>4</v>
      </c>
      <c r="M55" s="108">
        <v>10</v>
      </c>
      <c r="N55" s="108">
        <v>4</v>
      </c>
      <c r="O55" s="108">
        <v>8</v>
      </c>
      <c r="P55" s="108">
        <v>8</v>
      </c>
      <c r="Q55" s="108">
        <v>6</v>
      </c>
      <c r="R55" s="108">
        <v>4</v>
      </c>
      <c r="S55" s="108">
        <v>5</v>
      </c>
      <c r="T55" s="108">
        <v>4</v>
      </c>
      <c r="U55" s="108">
        <v>9</v>
      </c>
      <c r="V55" s="108">
        <v>5</v>
      </c>
      <c r="W55" s="108">
        <v>9</v>
      </c>
      <c r="X55" s="108">
        <v>3</v>
      </c>
      <c r="Y55" s="108">
        <v>5</v>
      </c>
      <c r="Z55" s="108">
        <v>3</v>
      </c>
      <c r="AA55" s="108">
        <v>2</v>
      </c>
      <c r="AB55" s="108">
        <v>6</v>
      </c>
      <c r="AC55" s="108">
        <v>2</v>
      </c>
      <c r="AD55" s="108">
        <v>7</v>
      </c>
      <c r="AE55" s="108">
        <v>8</v>
      </c>
      <c r="AF55" s="108">
        <v>6</v>
      </c>
      <c r="AG55" s="108">
        <v>7</v>
      </c>
      <c r="AH55" s="108">
        <v>8</v>
      </c>
      <c r="AI55" s="108">
        <v>1</v>
      </c>
      <c r="AJ55" s="108">
        <v>3</v>
      </c>
      <c r="AK55" s="108">
        <v>1</v>
      </c>
      <c r="AL55" s="108">
        <v>6</v>
      </c>
      <c r="AM55" s="108">
        <v>4</v>
      </c>
      <c r="AN55" s="108">
        <v>5</v>
      </c>
      <c r="AO55" s="108">
        <v>0</v>
      </c>
      <c r="AP55" s="108">
        <v>3</v>
      </c>
      <c r="AQ55" s="108">
        <v>2</v>
      </c>
      <c r="AR55" s="108">
        <v>3</v>
      </c>
      <c r="AS55" s="108">
        <v>3</v>
      </c>
      <c r="AT55" s="108">
        <v>1</v>
      </c>
      <c r="AU55" s="108">
        <v>0</v>
      </c>
      <c r="AV55" s="108">
        <v>2</v>
      </c>
      <c r="AW55" s="108">
        <v>0</v>
      </c>
      <c r="AX55" s="108">
        <v>3</v>
      </c>
      <c r="AY55" s="108">
        <v>1</v>
      </c>
      <c r="AZ55" s="108">
        <v>1</v>
      </c>
      <c r="BA55" s="108">
        <v>0</v>
      </c>
      <c r="BB55" s="108">
        <v>1</v>
      </c>
      <c r="BC55" s="108">
        <v>2</v>
      </c>
      <c r="BD55" s="108">
        <v>4</v>
      </c>
      <c r="BE55" s="108">
        <v>0</v>
      </c>
      <c r="BF55" s="108">
        <v>3</v>
      </c>
      <c r="BG55" s="108">
        <v>1</v>
      </c>
      <c r="BH55" s="108">
        <v>1</v>
      </c>
      <c r="BI55" s="108">
        <v>4</v>
      </c>
      <c r="BJ55" s="108"/>
      <c r="BK55" s="197"/>
    </row>
    <row r="56" spans="1:79" s="2" customFormat="1" ht="21.75" customHeight="1">
      <c r="A56" s="11" t="s">
        <v>25</v>
      </c>
      <c r="B56" s="106">
        <f>B57/(SUM(B55,B57,B59))</f>
        <v>0.21428571428571427</v>
      </c>
      <c r="C56" s="106">
        <f t="shared" ref="C56:N56" si="194">C57/(SUM(C55,C57,C59))</f>
        <v>0.21428571428571427</v>
      </c>
      <c r="D56" s="106">
        <f t="shared" si="194"/>
        <v>0.21428571428571427</v>
      </c>
      <c r="E56" s="106">
        <f t="shared" si="194"/>
        <v>0.3</v>
      </c>
      <c r="F56" s="106">
        <f t="shared" si="194"/>
        <v>0.16666666666666666</v>
      </c>
      <c r="G56" s="106">
        <f t="shared" si="194"/>
        <v>0.33333333333333331</v>
      </c>
      <c r="H56" s="106">
        <f t="shared" si="194"/>
        <v>0.25</v>
      </c>
      <c r="I56" s="106">
        <f t="shared" si="194"/>
        <v>0.25</v>
      </c>
      <c r="J56" s="106">
        <f t="shared" si="194"/>
        <v>0.25</v>
      </c>
      <c r="K56" s="106">
        <f t="shared" si="194"/>
        <v>0.25</v>
      </c>
      <c r="L56" s="106">
        <f t="shared" si="194"/>
        <v>0.4</v>
      </c>
      <c r="M56" s="106">
        <f t="shared" si="194"/>
        <v>9.0909090909090912E-2</v>
      </c>
      <c r="N56" s="106">
        <f t="shared" si="194"/>
        <v>0.27272727272727271</v>
      </c>
      <c r="O56" s="106">
        <f t="shared" ref="O56" si="195">O57/(SUM(O55,O57,O59))</f>
        <v>0.16666666666666666</v>
      </c>
      <c r="P56" s="106">
        <f t="shared" ref="P56" si="196">P57/(SUM(P55,P57,P59))</f>
        <v>0.1</v>
      </c>
      <c r="Q56" s="106">
        <f t="shared" ref="Q56" si="197">Q57/(SUM(Q55,Q57,Q59))</f>
        <v>0.27272727272727271</v>
      </c>
      <c r="R56" s="106">
        <f t="shared" ref="R56" si="198">R57/(SUM(R55,R57,R59))</f>
        <v>0.18181818181818182</v>
      </c>
      <c r="S56" s="106">
        <f t="shared" ref="S56" si="199">S57/(SUM(S55,S57,S59))</f>
        <v>0.36363636363636365</v>
      </c>
      <c r="T56" s="106">
        <f t="shared" ref="T56" si="200">T57/(SUM(T55,T57,T59))</f>
        <v>0.41666666666666669</v>
      </c>
      <c r="U56" s="106">
        <f t="shared" ref="U56" si="201">U57/(SUM(U55,U57,U59))</f>
        <v>0.18181818181818182</v>
      </c>
      <c r="V56" s="106">
        <f t="shared" ref="V56" si="202">V57/(SUM(V55,V57,V59))</f>
        <v>0.16666666666666666</v>
      </c>
      <c r="W56" s="106">
        <f t="shared" ref="W56" si="203">W57/(SUM(W55,W57,W59))</f>
        <v>0</v>
      </c>
      <c r="X56" s="106">
        <f t="shared" ref="X56" si="204">X57/(SUM(X55,X57,X59))</f>
        <v>0.16666666666666666</v>
      </c>
      <c r="Y56" s="106">
        <f t="shared" ref="Y56" si="205">Y57/(SUM(Y55,Y57,Y59))</f>
        <v>0.18181818181818182</v>
      </c>
      <c r="Z56" s="106">
        <f t="shared" ref="Z56" si="206">Z57/(SUM(Z55,Z57,Z59))</f>
        <v>0.45454545454545453</v>
      </c>
      <c r="AA56" s="106">
        <f t="shared" ref="AA56" si="207">AA57/(SUM(AA55,AA57,AA59))</f>
        <v>0.41666666666666669</v>
      </c>
      <c r="AB56" s="106">
        <f t="shared" ref="AB56" si="208">AB57/(SUM(AB55,AB57,AB59))</f>
        <v>0.125</v>
      </c>
      <c r="AC56" s="106">
        <f t="shared" ref="AC56" si="209">AC57/(SUM(AC55,AC57,AC59))</f>
        <v>0.55555555555555558</v>
      </c>
      <c r="AD56" s="106">
        <f t="shared" ref="AD56" si="210">AD57/(SUM(AD55,AD57,AD59))</f>
        <v>0.1111111111111111</v>
      </c>
      <c r="AE56" s="106">
        <f t="shared" ref="AE56" si="211">AE57/(SUM(AE55,AE57,AE59))</f>
        <v>0.1</v>
      </c>
      <c r="AF56" s="106">
        <f t="shared" ref="AF56" si="212">AF57/(SUM(AF55,AF57,AF59))</f>
        <v>0.16666666666666666</v>
      </c>
      <c r="AG56" s="106">
        <f t="shared" ref="AG56" si="213">AG57/(SUM(AG55,AG57,AG59))</f>
        <v>0.23076923076923078</v>
      </c>
      <c r="AH56" s="106">
        <f t="shared" ref="AH56" si="214">AH57/(SUM(AH55,AH57,AH59))</f>
        <v>0.27272727272727271</v>
      </c>
      <c r="AI56" s="106">
        <f t="shared" ref="AI56" si="215">AI57/(SUM(AI55,AI57,AI59))</f>
        <v>0.36363636363636365</v>
      </c>
      <c r="AJ56" s="106">
        <f t="shared" ref="AJ56" si="216">AJ57/(SUM(AJ55,AJ57,AJ59))</f>
        <v>0.38461538461538464</v>
      </c>
      <c r="AK56" s="106">
        <f t="shared" ref="AK56" si="217">AK57/(SUM(AK55,AK57,AK59))</f>
        <v>0.66666666666666663</v>
      </c>
      <c r="AL56" s="106">
        <f t="shared" ref="AL56" si="218">AL57/(SUM(AL55,AL57,AL59))</f>
        <v>0.38461538461538464</v>
      </c>
      <c r="AM56" s="106">
        <f t="shared" ref="AM56" si="219">AM57/(SUM(AM55,AM57,AM59))</f>
        <v>0.35714285714285715</v>
      </c>
      <c r="AN56" s="106">
        <f t="shared" ref="AN56" si="220">AN57/(SUM(AN55,AN57,AN59))</f>
        <v>0.58333333333333337</v>
      </c>
      <c r="AO56" s="106">
        <f t="shared" ref="AO56" si="221">AO57/(SUM(AO55,AO57,AO59))</f>
        <v>0.90909090909090906</v>
      </c>
      <c r="AP56" s="106">
        <f t="shared" ref="AP56" si="222">AP57/(SUM(AP55,AP57,AP59))</f>
        <v>0.6428571428571429</v>
      </c>
      <c r="AQ56" s="106">
        <f t="shared" ref="AQ56" si="223">AQ57/(SUM(AQ55,AQ57,AQ59))</f>
        <v>0.5</v>
      </c>
      <c r="AR56" s="106">
        <f t="shared" ref="AR56" si="224">AR57/(SUM(AR55,AR57,AR59))</f>
        <v>0.5</v>
      </c>
      <c r="AS56" s="106">
        <f t="shared" ref="AS56" si="225">AS57/(SUM(AS55,AS57,AS59))</f>
        <v>0.5714285714285714</v>
      </c>
      <c r="AT56" s="106">
        <f t="shared" ref="AT56" si="226">AT57/(SUM(AT55,AT57,AT59))</f>
        <v>0.9</v>
      </c>
      <c r="AU56" s="106">
        <f t="shared" ref="AU56" si="227">AU57/(SUM(AU55,AU57,AU59))</f>
        <v>0.72727272727272729</v>
      </c>
      <c r="AV56" s="106">
        <f t="shared" ref="AV56" si="228">AV57/(SUM(AV55,AV57,AV59))</f>
        <v>0.66666666666666663</v>
      </c>
      <c r="AW56" s="106">
        <f t="shared" ref="AW56" si="229">AW57/(SUM(AW55,AW57,AW59))</f>
        <v>0.91666666666666663</v>
      </c>
      <c r="AX56" s="106">
        <f t="shared" ref="AX56" si="230">AX57/(SUM(AX55,AX57,AX59))</f>
        <v>0.69230769230769229</v>
      </c>
      <c r="AY56" s="106">
        <f t="shared" ref="AY56" si="231">AY57/(SUM(AY55,AY57,AY59))</f>
        <v>0.84615384615384615</v>
      </c>
      <c r="AZ56" s="106">
        <f t="shared" ref="AZ56" si="232">AZ57/(SUM(AZ55,AZ57,AZ59))</f>
        <v>0.3</v>
      </c>
      <c r="BA56" s="106">
        <f t="shared" ref="BA56" si="233">BA57/(SUM(BA55,BA57,BA59))</f>
        <v>0.9285714285714286</v>
      </c>
      <c r="BB56" s="106">
        <f t="shared" ref="BB56" si="234">BB57/(SUM(BB55,BB57,BB59))</f>
        <v>0.77777777777777779</v>
      </c>
      <c r="BC56" s="106">
        <f t="shared" ref="BC56" si="235">BC57/(SUM(BC55,BC57,BC59))</f>
        <v>0.84615384615384615</v>
      </c>
      <c r="BD56" s="106">
        <f t="shared" ref="BD56" si="236">BD57/(SUM(BD55,BD57,BD59))</f>
        <v>0.7142857142857143</v>
      </c>
      <c r="BE56" s="106">
        <f t="shared" ref="BE56" si="237">BE57/(SUM(BE55,BE57,BE59))</f>
        <v>0.8571428571428571</v>
      </c>
      <c r="BF56" s="106">
        <f t="shared" ref="BF56" si="238">BF57/(SUM(BF55,BF57,BF59))</f>
        <v>0.7142857142857143</v>
      </c>
      <c r="BG56" s="106">
        <f t="shared" ref="BG56" si="239">BG57/(SUM(BG55,BG57,BG59))</f>
        <v>0.9</v>
      </c>
      <c r="BH56" s="106">
        <f t="shared" ref="BH56" si="240">BH57/(SUM(BH55,BH57,BH59))</f>
        <v>0.83333333333333337</v>
      </c>
      <c r="BI56" s="106">
        <f t="shared" ref="BI56" si="241">BI57/(SUM(BI55,BI57,BI59))</f>
        <v>0.33333333333333331</v>
      </c>
      <c r="BJ56" s="106" t="e">
        <f t="shared" ref="BJ56" si="242">BJ57/(SUM(BJ55,BJ57,BJ59))</f>
        <v>#DIV/0!</v>
      </c>
      <c r="BK56" s="107" t="e">
        <f t="shared" ref="BK56:CA56" si="243">BK57/(SUM(BK55,BK57,BK59))</f>
        <v>#DIV/0!</v>
      </c>
      <c r="BL56" s="107" t="e">
        <f t="shared" si="243"/>
        <v>#DIV/0!</v>
      </c>
      <c r="BM56" s="107" t="e">
        <f t="shared" si="243"/>
        <v>#DIV/0!</v>
      </c>
      <c r="BN56" s="107" t="e">
        <f t="shared" si="243"/>
        <v>#DIV/0!</v>
      </c>
      <c r="BO56" s="107" t="e">
        <f t="shared" si="243"/>
        <v>#DIV/0!</v>
      </c>
      <c r="BP56" s="107" t="e">
        <f t="shared" si="243"/>
        <v>#DIV/0!</v>
      </c>
      <c r="BQ56" s="107" t="e">
        <f t="shared" si="243"/>
        <v>#DIV/0!</v>
      </c>
      <c r="BR56" s="107" t="e">
        <f t="shared" si="243"/>
        <v>#DIV/0!</v>
      </c>
      <c r="BS56" s="107" t="e">
        <f t="shared" si="243"/>
        <v>#DIV/0!</v>
      </c>
      <c r="BT56" s="107" t="e">
        <f t="shared" si="243"/>
        <v>#DIV/0!</v>
      </c>
      <c r="BU56" s="107" t="e">
        <f t="shared" si="243"/>
        <v>#DIV/0!</v>
      </c>
      <c r="BV56" s="107" t="e">
        <f t="shared" si="243"/>
        <v>#DIV/0!</v>
      </c>
      <c r="BW56" s="107" t="e">
        <f t="shared" si="243"/>
        <v>#DIV/0!</v>
      </c>
      <c r="BX56" s="107" t="e">
        <f t="shared" si="243"/>
        <v>#DIV/0!</v>
      </c>
      <c r="BY56" s="107" t="e">
        <f t="shared" si="243"/>
        <v>#DIV/0!</v>
      </c>
      <c r="BZ56" s="107" t="e">
        <f t="shared" si="243"/>
        <v>#DIV/0!</v>
      </c>
      <c r="CA56" s="107" t="e">
        <f t="shared" si="243"/>
        <v>#DIV/0!</v>
      </c>
    </row>
    <row r="57" spans="1:79" s="89" customFormat="1">
      <c r="A57" s="11" t="s">
        <v>26</v>
      </c>
      <c r="B57" s="108">
        <v>3</v>
      </c>
      <c r="C57" s="108">
        <v>3</v>
      </c>
      <c r="D57" s="108">
        <v>3</v>
      </c>
      <c r="E57" s="108">
        <v>3</v>
      </c>
      <c r="F57" s="108">
        <v>2</v>
      </c>
      <c r="G57" s="108">
        <v>4</v>
      </c>
      <c r="H57" s="108">
        <v>3</v>
      </c>
      <c r="I57" s="108">
        <v>2</v>
      </c>
      <c r="J57" s="108">
        <v>3</v>
      </c>
      <c r="K57" s="108">
        <v>3</v>
      </c>
      <c r="L57" s="108">
        <v>4</v>
      </c>
      <c r="M57" s="108">
        <v>1</v>
      </c>
      <c r="N57" s="108">
        <v>3</v>
      </c>
      <c r="O57" s="108">
        <v>2</v>
      </c>
      <c r="P57" s="108">
        <v>1</v>
      </c>
      <c r="Q57" s="108">
        <v>3</v>
      </c>
      <c r="R57" s="108">
        <v>2</v>
      </c>
      <c r="S57" s="108">
        <v>4</v>
      </c>
      <c r="T57" s="108">
        <v>5</v>
      </c>
      <c r="U57" s="108">
        <v>2</v>
      </c>
      <c r="V57" s="108">
        <v>2</v>
      </c>
      <c r="W57" s="108">
        <v>0</v>
      </c>
      <c r="X57" s="108">
        <v>2</v>
      </c>
      <c r="Y57" s="108">
        <v>2</v>
      </c>
      <c r="Z57" s="108">
        <v>5</v>
      </c>
      <c r="AA57" s="108">
        <v>5</v>
      </c>
      <c r="AB57" s="108">
        <v>1</v>
      </c>
      <c r="AC57" s="108">
        <v>5</v>
      </c>
      <c r="AD57" s="108">
        <v>1</v>
      </c>
      <c r="AE57" s="108">
        <v>1</v>
      </c>
      <c r="AF57" s="108">
        <v>2</v>
      </c>
      <c r="AG57" s="108">
        <v>3</v>
      </c>
      <c r="AH57" s="108">
        <v>3</v>
      </c>
      <c r="AI57" s="108">
        <v>4</v>
      </c>
      <c r="AJ57" s="108">
        <v>5</v>
      </c>
      <c r="AK57" s="108">
        <v>6</v>
      </c>
      <c r="AL57" s="108">
        <v>5</v>
      </c>
      <c r="AM57" s="108">
        <v>5</v>
      </c>
      <c r="AN57" s="108">
        <v>7</v>
      </c>
      <c r="AO57" s="108">
        <v>10</v>
      </c>
      <c r="AP57" s="108">
        <v>9</v>
      </c>
      <c r="AQ57" s="108">
        <v>6</v>
      </c>
      <c r="AR57" s="108">
        <v>6</v>
      </c>
      <c r="AS57" s="108">
        <v>8</v>
      </c>
      <c r="AT57" s="108">
        <v>9</v>
      </c>
      <c r="AU57" s="108">
        <v>8</v>
      </c>
      <c r="AV57" s="108">
        <v>8</v>
      </c>
      <c r="AW57" s="108">
        <v>11</v>
      </c>
      <c r="AX57" s="108">
        <v>9</v>
      </c>
      <c r="AY57" s="108">
        <v>11</v>
      </c>
      <c r="AZ57" s="108">
        <v>3</v>
      </c>
      <c r="BA57" s="108">
        <v>13</v>
      </c>
      <c r="BB57" s="108">
        <v>7</v>
      </c>
      <c r="BC57" s="108">
        <v>11</v>
      </c>
      <c r="BD57" s="108">
        <v>10</v>
      </c>
      <c r="BE57" s="108">
        <v>12</v>
      </c>
      <c r="BF57" s="108">
        <v>10</v>
      </c>
      <c r="BG57" s="108">
        <v>9</v>
      </c>
      <c r="BH57" s="108">
        <v>10</v>
      </c>
      <c r="BI57" s="108">
        <v>4</v>
      </c>
      <c r="BJ57" s="108"/>
      <c r="BK57" s="197"/>
    </row>
    <row r="58" spans="1:79" s="2" customFormat="1">
      <c r="A58" s="11" t="s">
        <v>27</v>
      </c>
      <c r="B58" s="106">
        <f>B59/(SUM(B59,B57,B55))</f>
        <v>0.2857142857142857</v>
      </c>
      <c r="C58" s="106">
        <f t="shared" ref="C58:N58" si="244">C59/(SUM(C59,C57,C55))</f>
        <v>7.1428571428571425E-2</v>
      </c>
      <c r="D58" s="106">
        <f t="shared" si="244"/>
        <v>0.2857142857142857</v>
      </c>
      <c r="E58" s="106">
        <f t="shared" si="244"/>
        <v>0.2</v>
      </c>
      <c r="F58" s="106">
        <f t="shared" si="244"/>
        <v>0.75</v>
      </c>
      <c r="G58" s="106">
        <f t="shared" si="244"/>
        <v>0.16666666666666666</v>
      </c>
      <c r="H58" s="106">
        <f t="shared" si="244"/>
        <v>0.25</v>
      </c>
      <c r="I58" s="106">
        <f t="shared" si="244"/>
        <v>0.375</v>
      </c>
      <c r="J58" s="106">
        <f t="shared" si="244"/>
        <v>0.25</v>
      </c>
      <c r="K58" s="106">
        <f t="shared" si="244"/>
        <v>0.33333333333333331</v>
      </c>
      <c r="L58" s="106">
        <f t="shared" si="244"/>
        <v>0.2</v>
      </c>
      <c r="M58" s="106">
        <f t="shared" si="244"/>
        <v>0</v>
      </c>
      <c r="N58" s="106">
        <f t="shared" si="244"/>
        <v>0.36363636363636365</v>
      </c>
      <c r="O58" s="106">
        <f t="shared" ref="O58:BZ58" si="245">O59/(SUM(O55,O57,O59))</f>
        <v>0.16666666666666666</v>
      </c>
      <c r="P58" s="106">
        <f t="shared" si="245"/>
        <v>0.1</v>
      </c>
      <c r="Q58" s="106">
        <f t="shared" si="245"/>
        <v>0.18181818181818182</v>
      </c>
      <c r="R58" s="106">
        <f t="shared" si="245"/>
        <v>0.45454545454545453</v>
      </c>
      <c r="S58" s="106">
        <f t="shared" si="245"/>
        <v>0.18181818181818182</v>
      </c>
      <c r="T58" s="106">
        <f t="shared" si="245"/>
        <v>0.25</v>
      </c>
      <c r="U58" s="106">
        <f t="shared" si="245"/>
        <v>0</v>
      </c>
      <c r="V58" s="106">
        <f t="shared" si="245"/>
        <v>0.41666666666666669</v>
      </c>
      <c r="W58" s="106">
        <f t="shared" si="245"/>
        <v>0.25</v>
      </c>
      <c r="X58" s="106">
        <f t="shared" si="245"/>
        <v>0.58333333333333337</v>
      </c>
      <c r="Y58" s="106">
        <f t="shared" si="245"/>
        <v>0.36363636363636365</v>
      </c>
      <c r="Z58" s="106">
        <f t="shared" si="245"/>
        <v>0.27272727272727271</v>
      </c>
      <c r="AA58" s="106">
        <f t="shared" si="245"/>
        <v>0.41666666666666669</v>
      </c>
      <c r="AB58" s="106">
        <f t="shared" si="245"/>
        <v>0.125</v>
      </c>
      <c r="AC58" s="106">
        <f t="shared" si="245"/>
        <v>0.22222222222222221</v>
      </c>
      <c r="AD58" s="106">
        <f t="shared" si="245"/>
        <v>0.1111111111111111</v>
      </c>
      <c r="AE58" s="106">
        <f t="shared" si="245"/>
        <v>0.1</v>
      </c>
      <c r="AF58" s="106">
        <f t="shared" si="245"/>
        <v>0.33333333333333331</v>
      </c>
      <c r="AG58" s="106">
        <f t="shared" si="245"/>
        <v>0.23076923076923078</v>
      </c>
      <c r="AH58" s="106">
        <f t="shared" si="245"/>
        <v>0</v>
      </c>
      <c r="AI58" s="106">
        <f t="shared" si="245"/>
        <v>0.54545454545454541</v>
      </c>
      <c r="AJ58" s="106">
        <f t="shared" si="245"/>
        <v>0.38461538461538464</v>
      </c>
      <c r="AK58" s="106">
        <f t="shared" si="245"/>
        <v>0.22222222222222221</v>
      </c>
      <c r="AL58" s="106">
        <f t="shared" si="245"/>
        <v>0.15384615384615385</v>
      </c>
      <c r="AM58" s="106">
        <f t="shared" si="245"/>
        <v>0.35714285714285715</v>
      </c>
      <c r="AN58" s="106">
        <f t="shared" si="245"/>
        <v>0</v>
      </c>
      <c r="AO58" s="106">
        <f t="shared" si="245"/>
        <v>9.0909090909090912E-2</v>
      </c>
      <c r="AP58" s="106">
        <f t="shared" si="245"/>
        <v>0.14285714285714285</v>
      </c>
      <c r="AQ58" s="106">
        <f t="shared" si="245"/>
        <v>0.33333333333333331</v>
      </c>
      <c r="AR58" s="106">
        <f t="shared" si="245"/>
        <v>0.25</v>
      </c>
      <c r="AS58" s="106">
        <f t="shared" si="245"/>
        <v>0.21428571428571427</v>
      </c>
      <c r="AT58" s="106">
        <f t="shared" si="245"/>
        <v>0</v>
      </c>
      <c r="AU58" s="106">
        <f t="shared" si="245"/>
        <v>0.27272727272727271</v>
      </c>
      <c r="AV58" s="106">
        <f t="shared" si="245"/>
        <v>0.16666666666666666</v>
      </c>
      <c r="AW58" s="106">
        <f t="shared" si="245"/>
        <v>8.3333333333333329E-2</v>
      </c>
      <c r="AX58" s="106">
        <f t="shared" si="245"/>
        <v>7.6923076923076927E-2</v>
      </c>
      <c r="AY58" s="106">
        <f t="shared" si="245"/>
        <v>7.6923076923076927E-2</v>
      </c>
      <c r="AZ58" s="106">
        <f t="shared" si="245"/>
        <v>0.6</v>
      </c>
      <c r="BA58" s="106">
        <f t="shared" si="245"/>
        <v>7.1428571428571425E-2</v>
      </c>
      <c r="BB58" s="106">
        <f t="shared" si="245"/>
        <v>0.1111111111111111</v>
      </c>
      <c r="BC58" s="106">
        <f t="shared" si="245"/>
        <v>0</v>
      </c>
      <c r="BD58" s="106">
        <f t="shared" si="245"/>
        <v>0</v>
      </c>
      <c r="BE58" s="106">
        <f t="shared" si="245"/>
        <v>0.14285714285714285</v>
      </c>
      <c r="BF58" s="106">
        <f t="shared" si="245"/>
        <v>7.1428571428571425E-2</v>
      </c>
      <c r="BG58" s="106">
        <f t="shared" si="245"/>
        <v>0</v>
      </c>
      <c r="BH58" s="106">
        <f t="shared" si="245"/>
        <v>8.3333333333333329E-2</v>
      </c>
      <c r="BI58" s="106">
        <f t="shared" si="245"/>
        <v>0.33333333333333331</v>
      </c>
      <c r="BJ58" s="106" t="e">
        <f t="shared" si="245"/>
        <v>#DIV/0!</v>
      </c>
      <c r="BK58" s="107" t="e">
        <f t="shared" si="245"/>
        <v>#DIV/0!</v>
      </c>
      <c r="BL58" s="107" t="e">
        <f t="shared" si="245"/>
        <v>#DIV/0!</v>
      </c>
      <c r="BM58" s="107" t="e">
        <f t="shared" si="245"/>
        <v>#DIV/0!</v>
      </c>
      <c r="BN58" s="107" t="e">
        <f t="shared" si="245"/>
        <v>#DIV/0!</v>
      </c>
      <c r="BO58" s="107" t="e">
        <f t="shared" si="245"/>
        <v>#DIV/0!</v>
      </c>
      <c r="BP58" s="107" t="e">
        <f t="shared" si="245"/>
        <v>#DIV/0!</v>
      </c>
      <c r="BQ58" s="107" t="e">
        <f t="shared" si="245"/>
        <v>#DIV/0!</v>
      </c>
      <c r="BR58" s="107" t="e">
        <f t="shared" si="245"/>
        <v>#DIV/0!</v>
      </c>
      <c r="BS58" s="107" t="e">
        <f t="shared" si="245"/>
        <v>#DIV/0!</v>
      </c>
      <c r="BT58" s="107" t="e">
        <f t="shared" si="245"/>
        <v>#DIV/0!</v>
      </c>
      <c r="BU58" s="107" t="e">
        <f t="shared" si="245"/>
        <v>#DIV/0!</v>
      </c>
      <c r="BV58" s="107" t="e">
        <f t="shared" si="245"/>
        <v>#DIV/0!</v>
      </c>
      <c r="BW58" s="107" t="e">
        <f t="shared" si="245"/>
        <v>#DIV/0!</v>
      </c>
      <c r="BX58" s="107" t="e">
        <f t="shared" si="245"/>
        <v>#DIV/0!</v>
      </c>
      <c r="BY58" s="107" t="e">
        <f t="shared" si="245"/>
        <v>#DIV/0!</v>
      </c>
      <c r="BZ58" s="107" t="e">
        <f t="shared" si="245"/>
        <v>#DIV/0!</v>
      </c>
      <c r="CA58" s="107" t="e">
        <f t="shared" ref="CA58" si="246">CA59/(SUM(CA55,CA57,CA59))</f>
        <v>#DIV/0!</v>
      </c>
    </row>
    <row r="59" spans="1:79" s="87" customFormat="1" ht="19.5" thickBot="1">
      <c r="A59" s="12" t="s">
        <v>28</v>
      </c>
      <c r="B59" s="118">
        <v>4</v>
      </c>
      <c r="C59" s="118">
        <v>1</v>
      </c>
      <c r="D59" s="118">
        <v>4</v>
      </c>
      <c r="E59" s="118">
        <v>2</v>
      </c>
      <c r="F59" s="118">
        <v>9</v>
      </c>
      <c r="G59" s="118">
        <v>2</v>
      </c>
      <c r="H59" s="118">
        <v>3</v>
      </c>
      <c r="I59" s="118">
        <v>3</v>
      </c>
      <c r="J59" s="118">
        <v>3</v>
      </c>
      <c r="K59" s="118">
        <v>4</v>
      </c>
      <c r="L59" s="118">
        <v>2</v>
      </c>
      <c r="M59" s="118">
        <v>0</v>
      </c>
      <c r="N59" s="119">
        <v>4</v>
      </c>
      <c r="O59" s="118">
        <v>2</v>
      </c>
      <c r="P59" s="118">
        <v>1</v>
      </c>
      <c r="Q59" s="118">
        <v>2</v>
      </c>
      <c r="R59" s="118">
        <v>5</v>
      </c>
      <c r="S59" s="118">
        <v>2</v>
      </c>
      <c r="T59" s="118">
        <v>3</v>
      </c>
      <c r="U59" s="118">
        <v>0</v>
      </c>
      <c r="V59" s="118">
        <v>5</v>
      </c>
      <c r="W59" s="118">
        <v>3</v>
      </c>
      <c r="X59" s="118">
        <v>7</v>
      </c>
      <c r="Y59" s="118">
        <v>4</v>
      </c>
      <c r="Z59" s="118">
        <v>3</v>
      </c>
      <c r="AA59" s="118">
        <v>5</v>
      </c>
      <c r="AB59" s="119">
        <v>1</v>
      </c>
      <c r="AC59" s="119">
        <v>2</v>
      </c>
      <c r="AD59" s="119">
        <v>1</v>
      </c>
      <c r="AE59" s="119">
        <v>1</v>
      </c>
      <c r="AF59" s="119">
        <v>4</v>
      </c>
      <c r="AG59" s="119">
        <v>3</v>
      </c>
      <c r="AH59" s="119">
        <v>0</v>
      </c>
      <c r="AI59" s="119">
        <v>6</v>
      </c>
      <c r="AJ59" s="119">
        <v>5</v>
      </c>
      <c r="AK59" s="119">
        <v>2</v>
      </c>
      <c r="AL59" s="119">
        <v>2</v>
      </c>
      <c r="AM59" s="119">
        <v>5</v>
      </c>
      <c r="AN59" s="119">
        <v>0</v>
      </c>
      <c r="AO59" s="119">
        <v>1</v>
      </c>
      <c r="AP59" s="119">
        <v>2</v>
      </c>
      <c r="AQ59" s="119">
        <v>4</v>
      </c>
      <c r="AR59" s="119">
        <v>3</v>
      </c>
      <c r="AS59" s="119">
        <v>3</v>
      </c>
      <c r="AT59" s="119">
        <v>0</v>
      </c>
      <c r="AU59" s="119">
        <v>3</v>
      </c>
      <c r="AV59" s="119">
        <v>2</v>
      </c>
      <c r="AW59" s="119">
        <v>1</v>
      </c>
      <c r="AX59" s="119">
        <v>1</v>
      </c>
      <c r="AY59" s="119">
        <v>1</v>
      </c>
      <c r="AZ59" s="119">
        <v>6</v>
      </c>
      <c r="BA59" s="119">
        <v>1</v>
      </c>
      <c r="BB59" s="119">
        <v>1</v>
      </c>
      <c r="BC59" s="119">
        <v>0</v>
      </c>
      <c r="BD59" s="119">
        <v>0</v>
      </c>
      <c r="BE59" s="119">
        <v>2</v>
      </c>
      <c r="BF59" s="119">
        <v>1</v>
      </c>
      <c r="BG59" s="119">
        <v>0</v>
      </c>
      <c r="BH59" s="119">
        <v>1</v>
      </c>
      <c r="BI59" s="119">
        <v>4</v>
      </c>
      <c r="BJ59" s="119"/>
      <c r="BK59" s="193"/>
    </row>
    <row r="60" spans="1:79" s="66" customFormat="1" ht="19.5" thickBot="1">
      <c r="A60" s="6"/>
      <c r="B60" s="120"/>
      <c r="C60" s="120"/>
      <c r="D60" s="120"/>
      <c r="E60" s="120"/>
      <c r="F60" s="121"/>
      <c r="G60" s="121"/>
      <c r="H60" s="121"/>
      <c r="I60" s="121"/>
      <c r="J60" s="120"/>
      <c r="K60" s="120"/>
      <c r="L60" s="120"/>
      <c r="M60" s="120"/>
      <c r="N60" s="120"/>
      <c r="O60" s="121"/>
      <c r="P60" s="121"/>
      <c r="Q60" s="121"/>
      <c r="R60" s="121"/>
      <c r="S60" s="121"/>
      <c r="T60" s="121"/>
      <c r="U60" s="121"/>
      <c r="V60" s="121"/>
      <c r="W60" s="120"/>
      <c r="X60" s="120"/>
      <c r="Y60" s="120"/>
      <c r="Z60" s="120"/>
      <c r="AA60" s="120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</row>
    <row r="61" spans="1:79" s="14" customFormat="1" ht="19.5" thickBot="1">
      <c r="A61" s="13" t="s">
        <v>47</v>
      </c>
      <c r="B61" s="102"/>
      <c r="C61" s="102"/>
      <c r="D61" s="102"/>
      <c r="E61" s="102"/>
      <c r="F61" s="103"/>
      <c r="G61" s="103"/>
      <c r="H61" s="103"/>
      <c r="I61" s="103"/>
      <c r="J61" s="102"/>
      <c r="K61" s="102"/>
      <c r="L61" s="102"/>
      <c r="M61" s="102"/>
      <c r="N61" s="102"/>
      <c r="O61" s="103"/>
      <c r="P61" s="103"/>
      <c r="Q61" s="103"/>
      <c r="R61" s="103"/>
      <c r="S61" s="103"/>
      <c r="T61" s="103"/>
      <c r="U61" s="103"/>
      <c r="V61" s="103"/>
      <c r="W61" s="102"/>
      <c r="X61" s="102"/>
      <c r="Y61" s="102"/>
      <c r="Z61" s="102"/>
      <c r="AA61" s="102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4"/>
    </row>
    <row r="62" spans="1:79" s="19" customFormat="1">
      <c r="A62" s="224" t="s">
        <v>20</v>
      </c>
      <c r="B62" s="230">
        <v>130</v>
      </c>
      <c r="C62" s="230">
        <v>130</v>
      </c>
      <c r="D62" s="230">
        <v>130</v>
      </c>
      <c r="E62" s="230">
        <v>130</v>
      </c>
      <c r="F62" s="230">
        <v>130</v>
      </c>
      <c r="G62" s="230">
        <v>130</v>
      </c>
      <c r="H62" s="230">
        <v>130</v>
      </c>
      <c r="I62" s="230">
        <v>130</v>
      </c>
      <c r="J62" s="230">
        <v>130</v>
      </c>
      <c r="K62" s="230">
        <v>130</v>
      </c>
      <c r="L62" s="230">
        <v>130</v>
      </c>
      <c r="M62" s="230">
        <v>130</v>
      </c>
      <c r="N62" s="230">
        <v>130</v>
      </c>
      <c r="O62" s="230">
        <v>130</v>
      </c>
      <c r="P62" s="230">
        <v>130</v>
      </c>
      <c r="Q62" s="230">
        <v>130</v>
      </c>
      <c r="R62" s="230">
        <v>130</v>
      </c>
      <c r="S62" s="230">
        <v>130</v>
      </c>
      <c r="T62" s="230">
        <v>130</v>
      </c>
      <c r="U62" s="230">
        <v>130</v>
      </c>
      <c r="V62" s="230">
        <v>130</v>
      </c>
      <c r="W62" s="230">
        <v>130</v>
      </c>
      <c r="X62" s="230">
        <v>130</v>
      </c>
      <c r="Y62" s="230">
        <v>130</v>
      </c>
      <c r="Z62" s="230">
        <v>130</v>
      </c>
      <c r="AA62" s="230">
        <v>130</v>
      </c>
      <c r="AB62" s="230">
        <v>130</v>
      </c>
      <c r="AC62" s="230">
        <v>130</v>
      </c>
      <c r="AD62" s="230">
        <v>130</v>
      </c>
      <c r="AE62" s="230">
        <v>130</v>
      </c>
      <c r="AF62" s="230">
        <v>130</v>
      </c>
      <c r="AG62" s="230">
        <v>130</v>
      </c>
      <c r="AH62" s="230">
        <v>130</v>
      </c>
      <c r="AI62" s="230">
        <v>130</v>
      </c>
      <c r="AJ62" s="230">
        <v>130</v>
      </c>
      <c r="AK62" s="230">
        <v>130</v>
      </c>
      <c r="AL62" s="230">
        <v>130</v>
      </c>
      <c r="AM62" s="230">
        <v>130</v>
      </c>
      <c r="AN62" s="230">
        <v>130</v>
      </c>
      <c r="AO62" s="230">
        <v>130</v>
      </c>
      <c r="AP62" s="230">
        <v>130</v>
      </c>
      <c r="AQ62" s="230">
        <v>130</v>
      </c>
      <c r="AR62" s="230">
        <v>130</v>
      </c>
      <c r="AS62" s="230">
        <v>130</v>
      </c>
      <c r="AT62" s="230">
        <v>130</v>
      </c>
      <c r="AU62" s="230">
        <v>130</v>
      </c>
      <c r="AV62" s="230">
        <v>130</v>
      </c>
      <c r="AW62" s="230">
        <v>130</v>
      </c>
      <c r="AX62" s="230">
        <v>130</v>
      </c>
      <c r="AY62" s="230">
        <v>130</v>
      </c>
      <c r="AZ62" s="230">
        <v>130</v>
      </c>
      <c r="BA62" s="230">
        <v>130</v>
      </c>
      <c r="BB62" s="230">
        <v>130</v>
      </c>
      <c r="BC62" s="230">
        <v>130</v>
      </c>
      <c r="BD62" s="230">
        <v>130</v>
      </c>
      <c r="BE62" s="230">
        <v>130</v>
      </c>
      <c r="BF62" s="230">
        <v>130</v>
      </c>
      <c r="BG62" s="230">
        <v>130</v>
      </c>
      <c r="BH62" s="230">
        <v>130</v>
      </c>
      <c r="BI62" s="230">
        <v>130</v>
      </c>
      <c r="BJ62" s="230">
        <v>130</v>
      </c>
      <c r="BK62" s="230">
        <v>130</v>
      </c>
      <c r="BL62" s="230">
        <v>130</v>
      </c>
      <c r="BM62" s="230">
        <v>130</v>
      </c>
      <c r="BN62" s="230">
        <v>130</v>
      </c>
      <c r="BO62" s="230">
        <v>130</v>
      </c>
      <c r="BP62" s="230">
        <v>130</v>
      </c>
      <c r="BQ62" s="230">
        <v>130</v>
      </c>
      <c r="BR62" s="230">
        <v>130</v>
      </c>
      <c r="BS62" s="230">
        <v>130</v>
      </c>
      <c r="BT62" s="230">
        <v>130</v>
      </c>
      <c r="BU62" s="230">
        <v>130</v>
      </c>
      <c r="BV62" s="230">
        <v>130</v>
      </c>
      <c r="BW62" s="230">
        <v>130</v>
      </c>
      <c r="BX62" s="230">
        <v>130</v>
      </c>
      <c r="BY62" s="230">
        <v>130</v>
      </c>
      <c r="BZ62" s="230">
        <v>130</v>
      </c>
      <c r="CA62" s="230">
        <v>130</v>
      </c>
    </row>
    <row r="63" spans="1:79" s="19" customFormat="1">
      <c r="A63" s="15" t="s">
        <v>22</v>
      </c>
      <c r="B63" s="20">
        <v>118</v>
      </c>
      <c r="C63" s="20">
        <v>118</v>
      </c>
      <c r="D63" s="20">
        <v>118</v>
      </c>
      <c r="E63" s="20">
        <v>118</v>
      </c>
      <c r="F63" s="20">
        <v>118</v>
      </c>
      <c r="G63" s="20">
        <v>118</v>
      </c>
      <c r="H63" s="20">
        <v>118</v>
      </c>
      <c r="I63" s="20">
        <v>118</v>
      </c>
      <c r="J63" s="20">
        <v>118</v>
      </c>
      <c r="K63" s="20">
        <v>118</v>
      </c>
      <c r="L63" s="20">
        <v>118</v>
      </c>
      <c r="M63" s="20">
        <v>118</v>
      </c>
      <c r="N63" s="20">
        <v>118</v>
      </c>
      <c r="O63" s="20">
        <v>118</v>
      </c>
      <c r="P63" s="20">
        <v>118</v>
      </c>
      <c r="Q63" s="20">
        <v>118</v>
      </c>
      <c r="R63" s="20">
        <v>118</v>
      </c>
      <c r="S63" s="20">
        <v>118</v>
      </c>
      <c r="T63" s="20">
        <v>118</v>
      </c>
      <c r="U63" s="20">
        <v>118</v>
      </c>
      <c r="V63" s="20">
        <v>118</v>
      </c>
      <c r="W63" s="20">
        <v>118</v>
      </c>
      <c r="X63" s="20">
        <v>118</v>
      </c>
      <c r="Y63" s="20">
        <v>118</v>
      </c>
      <c r="Z63" s="20">
        <v>118</v>
      </c>
      <c r="AA63" s="20">
        <v>118</v>
      </c>
      <c r="AB63" s="20">
        <v>118</v>
      </c>
      <c r="AC63" s="20">
        <v>118</v>
      </c>
      <c r="AD63" s="20">
        <v>118</v>
      </c>
      <c r="AE63" s="20">
        <v>118</v>
      </c>
      <c r="AF63" s="20">
        <v>118</v>
      </c>
      <c r="AG63" s="20">
        <v>118</v>
      </c>
      <c r="AH63" s="20">
        <v>118</v>
      </c>
      <c r="AI63" s="20">
        <v>118</v>
      </c>
      <c r="AJ63" s="20">
        <v>118</v>
      </c>
      <c r="AK63" s="20">
        <v>118</v>
      </c>
      <c r="AL63" s="20">
        <v>118</v>
      </c>
      <c r="AM63" s="20">
        <v>118</v>
      </c>
      <c r="AN63" s="20">
        <v>118</v>
      </c>
      <c r="AO63" s="20">
        <v>118</v>
      </c>
      <c r="AP63" s="20">
        <v>118</v>
      </c>
      <c r="AQ63" s="20">
        <v>118</v>
      </c>
      <c r="AR63" s="20">
        <v>118</v>
      </c>
      <c r="AS63" s="20">
        <v>118</v>
      </c>
      <c r="AT63" s="20">
        <v>118</v>
      </c>
      <c r="AU63" s="20">
        <v>118</v>
      </c>
      <c r="AV63" s="20">
        <v>118</v>
      </c>
      <c r="AW63" s="20">
        <v>118</v>
      </c>
      <c r="AX63" s="20">
        <v>118</v>
      </c>
      <c r="AY63" s="20">
        <v>118</v>
      </c>
      <c r="AZ63" s="20">
        <v>118</v>
      </c>
      <c r="BA63" s="20">
        <v>118</v>
      </c>
      <c r="BB63" s="20">
        <v>118</v>
      </c>
      <c r="BC63" s="20">
        <v>118</v>
      </c>
      <c r="BD63" s="20">
        <v>118</v>
      </c>
      <c r="BE63" s="20">
        <v>118</v>
      </c>
      <c r="BF63" s="20">
        <v>118</v>
      </c>
      <c r="BG63" s="20">
        <v>118</v>
      </c>
      <c r="BH63" s="20">
        <v>118</v>
      </c>
      <c r="BI63" s="20">
        <v>118</v>
      </c>
      <c r="BJ63" s="20">
        <v>118</v>
      </c>
      <c r="BK63" s="23">
        <v>118</v>
      </c>
      <c r="BL63" s="23">
        <v>118</v>
      </c>
      <c r="BM63" s="23">
        <v>118</v>
      </c>
      <c r="BN63" s="23">
        <v>118</v>
      </c>
      <c r="BO63" s="23">
        <v>118</v>
      </c>
      <c r="BP63" s="23">
        <v>118</v>
      </c>
      <c r="BQ63" s="23">
        <v>118</v>
      </c>
      <c r="BR63" s="23">
        <v>118</v>
      </c>
      <c r="BS63" s="23">
        <v>118</v>
      </c>
      <c r="BT63" s="23">
        <v>118</v>
      </c>
      <c r="BU63" s="23">
        <v>118</v>
      </c>
      <c r="BV63" s="23">
        <v>118</v>
      </c>
      <c r="BW63" s="23">
        <v>118</v>
      </c>
      <c r="BX63" s="23">
        <v>118</v>
      </c>
      <c r="BY63" s="23">
        <v>118</v>
      </c>
      <c r="BZ63" s="23">
        <v>118</v>
      </c>
      <c r="CA63" s="23">
        <v>118</v>
      </c>
    </row>
    <row r="64" spans="1:79" s="19" customFormat="1">
      <c r="A64" s="15" t="s">
        <v>21</v>
      </c>
      <c r="B64" s="20">
        <v>125</v>
      </c>
      <c r="C64" s="20">
        <v>125</v>
      </c>
      <c r="D64" s="20">
        <v>125</v>
      </c>
      <c r="E64" s="20">
        <v>125</v>
      </c>
      <c r="F64" s="20">
        <v>125</v>
      </c>
      <c r="G64" s="20">
        <v>125</v>
      </c>
      <c r="H64" s="20">
        <v>125</v>
      </c>
      <c r="I64" s="20">
        <v>125</v>
      </c>
      <c r="J64" s="20">
        <v>125</v>
      </c>
      <c r="K64" s="20">
        <v>125</v>
      </c>
      <c r="L64" s="20">
        <v>125</v>
      </c>
      <c r="M64" s="20">
        <v>125</v>
      </c>
      <c r="N64" s="20">
        <v>125</v>
      </c>
      <c r="O64" s="20">
        <v>125</v>
      </c>
      <c r="P64" s="20">
        <v>125</v>
      </c>
      <c r="Q64" s="20">
        <v>125</v>
      </c>
      <c r="R64" s="20">
        <v>125</v>
      </c>
      <c r="S64" s="20">
        <v>125</v>
      </c>
      <c r="T64" s="20">
        <v>125</v>
      </c>
      <c r="U64" s="20">
        <v>125</v>
      </c>
      <c r="V64" s="20">
        <v>125</v>
      </c>
      <c r="W64" s="20">
        <v>125</v>
      </c>
      <c r="X64" s="20">
        <v>125</v>
      </c>
      <c r="Y64" s="20">
        <v>125</v>
      </c>
      <c r="Z64" s="20">
        <v>125</v>
      </c>
      <c r="AA64" s="20">
        <v>125</v>
      </c>
      <c r="AB64" s="20">
        <v>125</v>
      </c>
      <c r="AC64" s="20">
        <v>125</v>
      </c>
      <c r="AD64" s="20">
        <v>125</v>
      </c>
      <c r="AE64" s="20">
        <v>125</v>
      </c>
      <c r="AF64" s="20">
        <v>125</v>
      </c>
      <c r="AG64" s="20">
        <v>125</v>
      </c>
      <c r="AH64" s="20">
        <v>125</v>
      </c>
      <c r="AI64" s="20">
        <v>125</v>
      </c>
      <c r="AJ64" s="20">
        <v>125</v>
      </c>
      <c r="AK64" s="20">
        <v>125</v>
      </c>
      <c r="AL64" s="20">
        <v>125</v>
      </c>
      <c r="AM64" s="20">
        <v>125</v>
      </c>
      <c r="AN64" s="20">
        <v>125</v>
      </c>
      <c r="AO64" s="20">
        <v>139</v>
      </c>
      <c r="AP64" s="20">
        <v>139</v>
      </c>
      <c r="AQ64" s="20">
        <v>139</v>
      </c>
      <c r="AR64" s="20">
        <v>139</v>
      </c>
      <c r="AS64" s="20">
        <v>139</v>
      </c>
      <c r="AT64" s="20">
        <v>139</v>
      </c>
      <c r="AU64" s="20">
        <v>139</v>
      </c>
      <c r="AV64" s="20">
        <v>139</v>
      </c>
      <c r="AW64" s="20">
        <v>139</v>
      </c>
      <c r="AX64" s="20">
        <v>139</v>
      </c>
      <c r="AY64" s="20">
        <v>139</v>
      </c>
      <c r="AZ64" s="20">
        <v>139</v>
      </c>
      <c r="BA64" s="20">
        <v>139</v>
      </c>
      <c r="BB64" s="20">
        <v>139</v>
      </c>
      <c r="BC64" s="20">
        <v>139</v>
      </c>
      <c r="BD64" s="20">
        <v>139</v>
      </c>
      <c r="BE64" s="20">
        <v>139</v>
      </c>
      <c r="BF64" s="20">
        <v>139</v>
      </c>
      <c r="BG64" s="20">
        <v>139</v>
      </c>
      <c r="BH64" s="20">
        <v>139</v>
      </c>
      <c r="BI64" s="20">
        <v>139</v>
      </c>
      <c r="BJ64" s="20">
        <v>139</v>
      </c>
      <c r="BK64" s="20">
        <v>139</v>
      </c>
      <c r="BL64" s="20">
        <v>139</v>
      </c>
      <c r="BM64" s="20">
        <v>139</v>
      </c>
      <c r="BN64" s="20">
        <v>139</v>
      </c>
      <c r="BO64" s="20">
        <v>139</v>
      </c>
      <c r="BP64" s="20">
        <v>139</v>
      </c>
      <c r="BQ64" s="20">
        <v>139</v>
      </c>
      <c r="BR64" s="20">
        <v>139</v>
      </c>
      <c r="BS64" s="20">
        <v>139</v>
      </c>
      <c r="BT64" s="20">
        <v>139</v>
      </c>
      <c r="BU64" s="20">
        <v>139</v>
      </c>
      <c r="BV64" s="20">
        <v>139</v>
      </c>
      <c r="BW64" s="20">
        <v>139</v>
      </c>
      <c r="BX64" s="20">
        <v>139</v>
      </c>
      <c r="BY64" s="20">
        <v>139</v>
      </c>
      <c r="BZ64" s="20">
        <v>139</v>
      </c>
      <c r="CA64" s="20">
        <v>139</v>
      </c>
    </row>
    <row r="65" spans="1:79" s="72" customFormat="1">
      <c r="A65" s="11" t="s">
        <v>36</v>
      </c>
      <c r="B65" s="122">
        <v>118.7</v>
      </c>
      <c r="C65" s="122">
        <v>117.6</v>
      </c>
      <c r="D65" s="122">
        <v>116.2</v>
      </c>
      <c r="E65" s="122">
        <v>118</v>
      </c>
      <c r="F65" s="122">
        <v>121.6</v>
      </c>
      <c r="G65" s="122">
        <v>115.1</v>
      </c>
      <c r="H65" s="122">
        <v>114.1</v>
      </c>
      <c r="I65" s="122">
        <v>118.3</v>
      </c>
      <c r="J65" s="122">
        <v>120.8</v>
      </c>
      <c r="K65" s="122">
        <v>120</v>
      </c>
      <c r="L65" s="122">
        <v>119.9</v>
      </c>
      <c r="M65" s="122">
        <v>124.5</v>
      </c>
      <c r="N65" s="122">
        <v>127.1</v>
      </c>
      <c r="O65" s="122">
        <v>130.9</v>
      </c>
      <c r="P65" s="122">
        <v>122.5</v>
      </c>
      <c r="Q65" s="122">
        <v>120.3</v>
      </c>
      <c r="R65" s="122">
        <v>126.6</v>
      </c>
      <c r="S65" s="122">
        <v>125.7</v>
      </c>
      <c r="T65" s="122">
        <v>125.7</v>
      </c>
      <c r="U65" s="122">
        <v>126.1</v>
      </c>
      <c r="V65" s="122">
        <v>116.6</v>
      </c>
      <c r="W65" s="122">
        <v>125.4</v>
      </c>
      <c r="X65" s="122">
        <v>119.3</v>
      </c>
      <c r="Y65" s="122">
        <v>123.9</v>
      </c>
      <c r="Z65" s="122">
        <v>123.5</v>
      </c>
      <c r="AA65" s="122">
        <v>126.4</v>
      </c>
      <c r="AB65" s="141">
        <v>124.3</v>
      </c>
      <c r="AC65" s="141">
        <v>124.7</v>
      </c>
      <c r="AD65" s="141">
        <v>120.3</v>
      </c>
      <c r="AE65" s="141">
        <v>127.8</v>
      </c>
      <c r="AF65" s="141">
        <v>121.9</v>
      </c>
      <c r="AG65" s="141">
        <v>129.30000000000001</v>
      </c>
      <c r="AH65" s="141">
        <v>123.8</v>
      </c>
      <c r="AI65" s="141">
        <v>123.7</v>
      </c>
      <c r="AJ65" s="141">
        <v>131.19999999999999</v>
      </c>
      <c r="AK65" s="141">
        <v>118.9</v>
      </c>
      <c r="AL65" s="141">
        <v>129.69999999999999</v>
      </c>
      <c r="AM65" s="141">
        <v>118.5</v>
      </c>
      <c r="AN65" s="141">
        <v>120.5</v>
      </c>
      <c r="AO65" s="141">
        <v>127</v>
      </c>
      <c r="AP65" s="141">
        <v>131.1</v>
      </c>
      <c r="AQ65" s="141">
        <v>127.2</v>
      </c>
      <c r="AR65" s="141">
        <v>135.9</v>
      </c>
      <c r="AS65" s="141">
        <v>137.1</v>
      </c>
      <c r="AT65" s="141">
        <v>133.30000000000001</v>
      </c>
      <c r="AU65" s="141">
        <v>128.19999999999999</v>
      </c>
      <c r="AV65" s="141">
        <v>130.6</v>
      </c>
      <c r="AW65" s="141">
        <v>130.80000000000001</v>
      </c>
      <c r="AX65" s="141">
        <v>129.4</v>
      </c>
      <c r="AY65" s="141">
        <v>132.19999999999999</v>
      </c>
      <c r="AZ65" s="141">
        <v>136.1</v>
      </c>
      <c r="BA65" s="141">
        <v>134.1</v>
      </c>
      <c r="BB65" s="141">
        <v>131.19999999999999</v>
      </c>
      <c r="BC65" s="141">
        <v>128.9</v>
      </c>
      <c r="BD65" s="141">
        <v>132.4</v>
      </c>
      <c r="BE65" s="141">
        <v>129.80000000000001</v>
      </c>
      <c r="BF65" s="141">
        <v>134.30000000000001</v>
      </c>
      <c r="BG65" s="141">
        <v>130.19999999999999</v>
      </c>
      <c r="BH65" s="141">
        <v>126</v>
      </c>
      <c r="BI65" s="141">
        <v>136.6</v>
      </c>
      <c r="BJ65" s="141"/>
      <c r="BK65" s="187"/>
    </row>
    <row r="66" spans="1:79" s="72" customFormat="1">
      <c r="A66" s="11" t="s">
        <v>41</v>
      </c>
      <c r="B66" s="122">
        <v>113.2</v>
      </c>
      <c r="C66" s="122">
        <v>112.9</v>
      </c>
      <c r="D66" s="122">
        <v>110</v>
      </c>
      <c r="E66" s="122">
        <v>109</v>
      </c>
      <c r="F66" s="122">
        <v>114.2</v>
      </c>
      <c r="G66" s="122">
        <v>106.1</v>
      </c>
      <c r="H66" s="122">
        <v>109.3</v>
      </c>
      <c r="I66" s="122">
        <v>111.8</v>
      </c>
      <c r="J66" s="122">
        <v>110</v>
      </c>
      <c r="K66" s="122">
        <v>107</v>
      </c>
      <c r="L66" s="122">
        <v>111.4</v>
      </c>
      <c r="M66" s="122">
        <v>112</v>
      </c>
      <c r="N66" s="122">
        <v>115.3</v>
      </c>
      <c r="O66" s="122"/>
      <c r="P66" s="122">
        <v>110.8</v>
      </c>
      <c r="Q66" s="122">
        <v>110.8</v>
      </c>
      <c r="R66" s="122">
        <v>112.5</v>
      </c>
      <c r="S66" s="122">
        <v>110.5</v>
      </c>
      <c r="T66" s="122">
        <v>112</v>
      </c>
      <c r="U66" s="122">
        <v>115.7</v>
      </c>
      <c r="V66" s="122">
        <v>110.3</v>
      </c>
      <c r="W66" s="122">
        <v>112.5</v>
      </c>
      <c r="X66" s="122">
        <v>106</v>
      </c>
      <c r="Y66" s="122">
        <v>116</v>
      </c>
      <c r="Z66" s="122">
        <v>108.5</v>
      </c>
      <c r="AA66" s="122">
        <v>117</v>
      </c>
      <c r="AB66" s="141">
        <v>116</v>
      </c>
      <c r="AC66" s="141">
        <v>116.5</v>
      </c>
      <c r="AD66" s="141">
        <v>108.7</v>
      </c>
      <c r="AE66" s="141">
        <v>113</v>
      </c>
      <c r="AF66" s="141">
        <v>110.8</v>
      </c>
      <c r="AG66" s="141"/>
      <c r="AH66" s="141">
        <v>114.5</v>
      </c>
      <c r="AI66" s="141">
        <v>113</v>
      </c>
      <c r="AJ66" s="141"/>
      <c r="AK66" s="141">
        <v>110</v>
      </c>
      <c r="AL66" s="141"/>
      <c r="AM66" s="141">
        <v>107.7</v>
      </c>
      <c r="AN66" s="141">
        <v>110</v>
      </c>
      <c r="AO66" s="141">
        <v>113</v>
      </c>
      <c r="AP66" s="141"/>
      <c r="AQ66" s="141"/>
      <c r="AR66" s="141"/>
      <c r="AS66" s="141"/>
      <c r="AT66" s="141"/>
      <c r="AU66" s="141"/>
      <c r="AV66" s="141">
        <v>115</v>
      </c>
      <c r="AW66" s="141"/>
      <c r="AX66" s="141">
        <v>98</v>
      </c>
      <c r="AY66" s="141"/>
      <c r="AZ66" s="141"/>
      <c r="BA66" s="141"/>
      <c r="BB66" s="141"/>
      <c r="BC66" s="141">
        <v>117</v>
      </c>
      <c r="BD66" s="141"/>
      <c r="BE66" s="141">
        <v>112</v>
      </c>
      <c r="BF66" s="141"/>
      <c r="BG66" s="141">
        <v>114</v>
      </c>
      <c r="BH66" s="141">
        <v>116</v>
      </c>
      <c r="BI66" s="141">
        <v>110</v>
      </c>
      <c r="BJ66" s="141"/>
      <c r="BK66" s="187"/>
    </row>
    <row r="67" spans="1:79" s="72" customFormat="1">
      <c r="A67" s="11" t="s">
        <v>42</v>
      </c>
      <c r="B67" s="122">
        <v>126.5</v>
      </c>
      <c r="C67" s="122">
        <v>132</v>
      </c>
      <c r="D67" s="122">
        <v>127</v>
      </c>
      <c r="E67" s="122">
        <v>129</v>
      </c>
      <c r="F67" s="122">
        <v>131</v>
      </c>
      <c r="G67" s="122">
        <v>132.5</v>
      </c>
      <c r="H67" s="122"/>
      <c r="I67" s="122">
        <v>129</v>
      </c>
      <c r="J67" s="122">
        <v>133</v>
      </c>
      <c r="K67" s="122">
        <v>133</v>
      </c>
      <c r="L67" s="122">
        <v>126</v>
      </c>
      <c r="M67" s="122">
        <v>129.4</v>
      </c>
      <c r="N67" s="122">
        <v>133.30000000000001</v>
      </c>
      <c r="O67" s="122">
        <v>135.80000000000001</v>
      </c>
      <c r="P67" s="122">
        <v>132.19999999999999</v>
      </c>
      <c r="Q67" s="122">
        <v>132.5</v>
      </c>
      <c r="R67" s="122">
        <v>133.19999999999999</v>
      </c>
      <c r="S67" s="122">
        <v>133.69999999999999</v>
      </c>
      <c r="T67" s="122">
        <v>131.6</v>
      </c>
      <c r="U67" s="122">
        <v>132.30000000000001</v>
      </c>
      <c r="V67" s="122"/>
      <c r="W67" s="122">
        <v>132.69999999999999</v>
      </c>
      <c r="X67" s="122">
        <v>135.69999999999999</v>
      </c>
      <c r="Y67" s="122">
        <v>131.30000000000001</v>
      </c>
      <c r="Z67" s="122">
        <v>130.6</v>
      </c>
      <c r="AA67" s="122">
        <v>129.6</v>
      </c>
      <c r="AB67" s="141">
        <v>130.4</v>
      </c>
      <c r="AC67" s="141">
        <v>135</v>
      </c>
      <c r="AD67" s="141">
        <v>127.8</v>
      </c>
      <c r="AE67" s="141">
        <v>133.4</v>
      </c>
      <c r="AF67" s="141">
        <v>134.5</v>
      </c>
      <c r="AG67" s="141">
        <v>131.4</v>
      </c>
      <c r="AH67" s="141">
        <v>133</v>
      </c>
      <c r="AI67" s="141">
        <v>131.6</v>
      </c>
      <c r="AJ67" s="141">
        <v>133.19999999999999</v>
      </c>
      <c r="AK67" s="141">
        <v>138</v>
      </c>
      <c r="AL67" s="141">
        <v>133.5</v>
      </c>
      <c r="AM67" s="141">
        <v>130</v>
      </c>
      <c r="AN67" s="141">
        <v>129.30000000000001</v>
      </c>
      <c r="AO67" s="141"/>
      <c r="AP67" s="141">
        <v>144.69999999999999</v>
      </c>
      <c r="AQ67" s="141"/>
      <c r="AR67" s="141">
        <v>146.30000000000001</v>
      </c>
      <c r="AS67" s="141">
        <v>144.30000000000001</v>
      </c>
      <c r="AT67" s="141">
        <v>142</v>
      </c>
      <c r="AU67" s="141"/>
      <c r="AV67" s="141">
        <v>140.5</v>
      </c>
      <c r="AW67" s="141">
        <v>140</v>
      </c>
      <c r="AX67" s="141">
        <v>149</v>
      </c>
      <c r="AY67" s="141">
        <v>140</v>
      </c>
      <c r="AZ67" s="141">
        <v>145.5</v>
      </c>
      <c r="BA67" s="141">
        <v>147</v>
      </c>
      <c r="BB67" s="141">
        <v>140</v>
      </c>
      <c r="BC67" s="141"/>
      <c r="BD67" s="141">
        <v>141</v>
      </c>
      <c r="BE67" s="141">
        <v>143</v>
      </c>
      <c r="BF67" s="141">
        <v>141.30000000000001</v>
      </c>
      <c r="BG67" s="141">
        <v>141</v>
      </c>
      <c r="BH67" s="141"/>
      <c r="BI67" s="141">
        <v>145</v>
      </c>
      <c r="BJ67" s="141"/>
      <c r="BK67" s="187"/>
    </row>
    <row r="68" spans="1:79" s="19" customFormat="1">
      <c r="A68" s="15" t="s">
        <v>48</v>
      </c>
      <c r="B68" s="21"/>
      <c r="C68" s="21"/>
      <c r="D68" s="21"/>
      <c r="E68" s="21"/>
      <c r="F68" s="21"/>
      <c r="G68" s="21"/>
      <c r="H68" s="21"/>
      <c r="I68" s="21"/>
      <c r="J68" s="21"/>
      <c r="K68" s="55">
        <v>0.89600000000000002</v>
      </c>
      <c r="L68" s="55">
        <v>0.89600000000000002</v>
      </c>
      <c r="M68" s="55">
        <v>0.89600000000000002</v>
      </c>
      <c r="N68" s="55">
        <v>0.89600000000000002</v>
      </c>
      <c r="O68" s="55">
        <v>0.89600000000000002</v>
      </c>
      <c r="P68" s="55">
        <v>0.89600000000000002</v>
      </c>
      <c r="Q68" s="55">
        <v>0.89600000000000002</v>
      </c>
      <c r="R68" s="55">
        <v>0.89600000000000002</v>
      </c>
      <c r="S68" s="55">
        <v>0.89600000000000002</v>
      </c>
      <c r="T68" s="55">
        <v>0.89600000000000002</v>
      </c>
      <c r="U68" s="55">
        <v>0.89600000000000002</v>
      </c>
      <c r="V68" s="55">
        <v>0.89600000000000002</v>
      </c>
      <c r="W68" s="55">
        <v>0.89600000000000002</v>
      </c>
      <c r="X68" s="55">
        <v>0.89600000000000002</v>
      </c>
      <c r="Y68" s="55">
        <v>0.89600000000000002</v>
      </c>
      <c r="Z68" s="55">
        <v>0.89600000000000002</v>
      </c>
      <c r="AA68" s="55">
        <v>0.89600000000000002</v>
      </c>
      <c r="AB68" s="55">
        <v>0.89600000000000002</v>
      </c>
      <c r="AC68" s="55">
        <v>0.89600000000000002</v>
      </c>
      <c r="AD68" s="55">
        <v>0.89600000000000002</v>
      </c>
      <c r="AE68" s="55">
        <v>0.89600000000000002</v>
      </c>
      <c r="AF68" s="55">
        <v>0.89600000000000002</v>
      </c>
      <c r="AG68" s="55">
        <v>0.89600000000000002</v>
      </c>
      <c r="AH68" s="55">
        <v>0.89600000000000002</v>
      </c>
      <c r="AI68" s="55">
        <v>0.89600000000000002</v>
      </c>
      <c r="AJ68" s="55">
        <v>0.89600000000000002</v>
      </c>
      <c r="AK68" s="55">
        <v>0.89600000000000002</v>
      </c>
      <c r="AL68" s="55">
        <v>0.89600000000000002</v>
      </c>
      <c r="AM68" s="55">
        <v>0.89600000000000002</v>
      </c>
      <c r="AN68" s="55">
        <v>0.89600000000000002</v>
      </c>
      <c r="AO68" s="55">
        <v>0.89600000000000002</v>
      </c>
      <c r="AP68" s="55">
        <v>0.89600000000000002</v>
      </c>
      <c r="AQ68" s="55">
        <v>0.89600000000000002</v>
      </c>
      <c r="AR68" s="55">
        <v>0.89600000000000002</v>
      </c>
      <c r="AS68" s="55">
        <v>0.89600000000000002</v>
      </c>
      <c r="AT68" s="55">
        <v>0.89600000000000002</v>
      </c>
      <c r="AU68" s="55">
        <v>0.89600000000000002</v>
      </c>
      <c r="AV68" s="55">
        <v>0.89600000000000002</v>
      </c>
      <c r="AW68" s="55">
        <v>0.89600000000000002</v>
      </c>
      <c r="AX68" s="55">
        <v>0.89600000000000002</v>
      </c>
      <c r="AY68" s="55">
        <v>0.89600000000000002</v>
      </c>
      <c r="AZ68" s="55">
        <v>0.89600000000000002</v>
      </c>
      <c r="BA68" s="55">
        <v>0.89600000000000002</v>
      </c>
      <c r="BB68" s="55">
        <v>0.89600000000000002</v>
      </c>
      <c r="BC68" s="55">
        <v>0.89600000000000002</v>
      </c>
      <c r="BD68" s="55">
        <v>0.89600000000000002</v>
      </c>
      <c r="BE68" s="55">
        <v>0.89600000000000002</v>
      </c>
      <c r="BF68" s="55">
        <v>0.89600000000000002</v>
      </c>
      <c r="BG68" s="55">
        <v>0.89600000000000002</v>
      </c>
      <c r="BH68" s="55">
        <v>0.89600000000000002</v>
      </c>
      <c r="BI68" s="55">
        <v>0.89600000000000002</v>
      </c>
      <c r="BJ68" s="55">
        <v>0.89600000000000002</v>
      </c>
      <c r="BK68" s="176">
        <v>0.89600000000000002</v>
      </c>
      <c r="BL68" s="176">
        <v>0.89600000000000002</v>
      </c>
      <c r="BM68" s="176">
        <v>0.89600000000000002</v>
      </c>
      <c r="BN68" s="176">
        <v>0.89600000000000002</v>
      </c>
      <c r="BO68" s="176">
        <v>0.89600000000000002</v>
      </c>
      <c r="BP68" s="176">
        <v>0.89600000000000002</v>
      </c>
      <c r="BQ68" s="176">
        <v>0.89600000000000002</v>
      </c>
      <c r="BR68" s="176">
        <v>0.89600000000000002</v>
      </c>
      <c r="BS68" s="176">
        <v>0.89600000000000002</v>
      </c>
      <c r="BT68" s="176">
        <v>0.89600000000000002</v>
      </c>
      <c r="BU68" s="176">
        <v>0.89600000000000002</v>
      </c>
      <c r="BV68" s="176">
        <v>0.89600000000000002</v>
      </c>
      <c r="BW68" s="176">
        <v>0.89600000000000002</v>
      </c>
      <c r="BX68" s="176">
        <v>0.89600000000000002</v>
      </c>
      <c r="BY68" s="176">
        <v>0.89600000000000002</v>
      </c>
      <c r="BZ68" s="176">
        <v>0.89600000000000002</v>
      </c>
      <c r="CA68" s="176">
        <v>0.89600000000000002</v>
      </c>
    </row>
    <row r="69" spans="1:79" s="19" customFormat="1">
      <c r="A69" s="15" t="s">
        <v>49</v>
      </c>
      <c r="B69" s="21"/>
      <c r="C69" s="21"/>
      <c r="D69" s="21"/>
      <c r="E69" s="21"/>
      <c r="F69" s="21"/>
      <c r="G69" s="21"/>
      <c r="H69" s="21"/>
      <c r="I69" s="21"/>
      <c r="J69" s="21"/>
      <c r="K69" s="55">
        <f t="shared" ref="K69:AE69" si="247">(K65-B47)/63</f>
        <v>0.87936507936507946</v>
      </c>
      <c r="L69" s="55">
        <f t="shared" si="247"/>
        <v>0.95238095238095244</v>
      </c>
      <c r="M69" s="55">
        <f t="shared" si="247"/>
        <v>0.99365079365079367</v>
      </c>
      <c r="N69" s="55">
        <f t="shared" si="247"/>
        <v>1.0253968253968253</v>
      </c>
      <c r="O69" s="55">
        <f t="shared" si="247"/>
        <v>0.97777777777777797</v>
      </c>
      <c r="P69" s="55">
        <f t="shared" si="247"/>
        <v>0.96190476190476193</v>
      </c>
      <c r="Q69" s="55">
        <f t="shared" si="247"/>
        <v>0.89206349206349211</v>
      </c>
      <c r="R69" s="55">
        <f t="shared" si="247"/>
        <v>0.99682539682539673</v>
      </c>
      <c r="S69" s="55">
        <f t="shared" si="247"/>
        <v>0.97619047619047616</v>
      </c>
      <c r="T69" s="55">
        <f t="shared" si="247"/>
        <v>0.97142857142857142</v>
      </c>
      <c r="U69" s="55">
        <f t="shared" si="247"/>
        <v>0.98571428571428565</v>
      </c>
      <c r="V69" s="55">
        <f t="shared" si="247"/>
        <v>0.9365079365079364</v>
      </c>
      <c r="W69" s="55">
        <f t="shared" si="247"/>
        <v>0.94285714285714295</v>
      </c>
      <c r="X69" s="55">
        <f t="shared" si="247"/>
        <v>0.98412698412698407</v>
      </c>
      <c r="Y69" s="55">
        <f t="shared" si="247"/>
        <v>0.97777777777777797</v>
      </c>
      <c r="Z69" s="55">
        <f t="shared" ref="Z69" si="248">(Z65-Q47)/63</f>
        <v>0.96349206349206351</v>
      </c>
      <c r="AA69" s="55">
        <f t="shared" ref="AA69" si="249">(AA65-R47)/63</f>
        <v>0.95396825396825413</v>
      </c>
      <c r="AB69" s="55">
        <f t="shared" si="247"/>
        <v>0.95396825396825391</v>
      </c>
      <c r="AC69" s="55">
        <f t="shared" si="247"/>
        <v>0.95079365079365086</v>
      </c>
      <c r="AD69" s="55">
        <f t="shared" si="247"/>
        <v>0.97619047619047616</v>
      </c>
      <c r="AE69" s="55">
        <f t="shared" si="247"/>
        <v>1.0126984126984127</v>
      </c>
      <c r="AF69" s="55">
        <f>(AF65-W47)/63</f>
        <v>0.97142857142857142</v>
      </c>
      <c r="AG69" s="55">
        <f t="shared" ref="AG69:AH69" si="250">(AG65-X47)/63</f>
        <v>0.9825396825396826</v>
      </c>
      <c r="AH69" s="55">
        <f t="shared" si="250"/>
        <v>0.94126984126984126</v>
      </c>
      <c r="AI69" s="55">
        <v>0.93799999999999994</v>
      </c>
      <c r="AJ69" s="21">
        <v>1</v>
      </c>
      <c r="AK69" s="55">
        <v>0.91300000000000003</v>
      </c>
      <c r="AL69" s="55">
        <v>1.0069999999999999</v>
      </c>
      <c r="AM69" s="55">
        <v>0.92900000000000005</v>
      </c>
      <c r="AN69" s="55">
        <v>0.99199999999999999</v>
      </c>
      <c r="AO69" s="55">
        <v>1.0049999999999999</v>
      </c>
      <c r="AP69" s="55">
        <v>1.075</v>
      </c>
      <c r="AQ69" s="55">
        <v>1.048</v>
      </c>
      <c r="AR69" s="55">
        <v>1.0940000000000001</v>
      </c>
      <c r="AS69" s="55">
        <v>1.127</v>
      </c>
      <c r="AT69" s="55">
        <v>1.071</v>
      </c>
      <c r="AU69" s="55">
        <v>1.0129999999999999</v>
      </c>
      <c r="AV69" s="55">
        <v>1.024</v>
      </c>
      <c r="AW69" s="55">
        <v>1.0780000000000001</v>
      </c>
      <c r="AX69" s="55">
        <v>1.02</v>
      </c>
      <c r="AY69" s="55">
        <v>1.042</v>
      </c>
      <c r="AZ69" s="55">
        <v>1.095</v>
      </c>
      <c r="BA69" s="55">
        <v>1.083</v>
      </c>
      <c r="BB69" s="55">
        <v>1.0429999999999999</v>
      </c>
      <c r="BC69" s="55">
        <v>1.0249999999999999</v>
      </c>
      <c r="BD69" s="55">
        <v>1.006</v>
      </c>
      <c r="BE69" s="55">
        <v>1.0289999999999999</v>
      </c>
      <c r="BF69" s="55">
        <v>1.0569999999999999</v>
      </c>
      <c r="BG69" s="55">
        <v>1.0489999999999999</v>
      </c>
      <c r="BH69" s="55">
        <v>0.97799999999999998</v>
      </c>
      <c r="BI69" s="55">
        <v>1.0329999999999999</v>
      </c>
      <c r="BJ69" s="21">
        <f t="shared" ref="BJ69:BK69" si="251">(BJ65-BA47)/63</f>
        <v>-1.0365079365079364</v>
      </c>
      <c r="BK69" s="177">
        <f t="shared" si="251"/>
        <v>-1.0158730158730158</v>
      </c>
    </row>
    <row r="70" spans="1:79" s="72" customFormat="1">
      <c r="A70" s="163" t="s">
        <v>50</v>
      </c>
      <c r="B70" s="81"/>
      <c r="C70" s="81"/>
      <c r="D70" s="81"/>
      <c r="E70" s="81"/>
      <c r="F70" s="81"/>
      <c r="G70" s="81"/>
      <c r="H70" s="81"/>
      <c r="I70" s="81"/>
      <c r="J70" s="81"/>
      <c r="K70" s="202">
        <v>0.80400000000000005</v>
      </c>
      <c r="L70" s="202">
        <v>0.873</v>
      </c>
      <c r="M70" s="202"/>
      <c r="N70" s="202">
        <v>0.88900000000000001</v>
      </c>
      <c r="O70" s="202">
        <v>0.84099999999999997</v>
      </c>
      <c r="P70" s="202">
        <v>0.79400000000000004</v>
      </c>
      <c r="Q70" s="202">
        <v>0.82099999999999995</v>
      </c>
      <c r="R70" s="202"/>
      <c r="S70" s="202">
        <v>0.86199999999999999</v>
      </c>
      <c r="T70" s="202">
        <v>0.86499999999999999</v>
      </c>
      <c r="U70" s="202">
        <v>0.873</v>
      </c>
      <c r="V70" s="202">
        <v>0.83599999999999997</v>
      </c>
      <c r="W70" s="202">
        <v>0.83299999999999996</v>
      </c>
      <c r="X70" s="202">
        <v>0.82499999999999996</v>
      </c>
      <c r="Y70" s="202">
        <v>0.86499999999999999</v>
      </c>
      <c r="Z70" s="202">
        <v>0.83599999999999997</v>
      </c>
      <c r="AA70" s="202">
        <v>0.873</v>
      </c>
      <c r="AB70" s="202">
        <v>0.88900000000000001</v>
      </c>
      <c r="AC70" s="202">
        <v>0.86799999999999999</v>
      </c>
      <c r="AD70" s="202">
        <v>0.873</v>
      </c>
      <c r="AE70" s="202"/>
      <c r="AF70" s="202">
        <v>0.86299999999999999</v>
      </c>
      <c r="AG70" s="202">
        <v>0.88900000000000001</v>
      </c>
      <c r="AH70" s="202">
        <v>0.84099999999999997</v>
      </c>
      <c r="AI70" s="202">
        <v>0.86899999999999999</v>
      </c>
      <c r="AJ70" s="202">
        <v>0.873</v>
      </c>
      <c r="AK70" s="202">
        <v>0.84499999999999997</v>
      </c>
      <c r="AL70" s="81"/>
      <c r="AM70" s="202">
        <v>0.873</v>
      </c>
      <c r="AN70" s="202">
        <v>0.83299999999999996</v>
      </c>
      <c r="AO70" s="81"/>
      <c r="AP70" s="81"/>
      <c r="AQ70" s="81"/>
      <c r="AR70" s="81"/>
      <c r="AS70" s="81"/>
      <c r="AT70" s="81"/>
      <c r="AU70" s="81"/>
      <c r="AV70" s="202">
        <v>0.88900000000000001</v>
      </c>
      <c r="AW70" s="81"/>
      <c r="AX70" s="202">
        <v>0.57099999999999995</v>
      </c>
      <c r="AY70" s="202"/>
      <c r="AZ70" s="81"/>
      <c r="BA70" s="81"/>
      <c r="BB70" s="81"/>
      <c r="BC70" s="202">
        <v>0.88900000000000001</v>
      </c>
      <c r="BD70" s="202">
        <v>0.85699999999999998</v>
      </c>
      <c r="BE70" s="202"/>
      <c r="BF70" s="81"/>
      <c r="BG70" s="202">
        <v>0.88900000000000001</v>
      </c>
      <c r="BH70" s="202">
        <v>0.878</v>
      </c>
      <c r="BI70" s="202">
        <v>0.79400000000000004</v>
      </c>
      <c r="BJ70" s="81">
        <f t="shared" ref="BJ70:BK70" si="252">(BJ66-BA48)/63</f>
        <v>0</v>
      </c>
      <c r="BK70" s="82">
        <f t="shared" si="252"/>
        <v>-0.88888888888888884</v>
      </c>
    </row>
    <row r="71" spans="1:79" s="72" customFormat="1">
      <c r="A71" s="163" t="s">
        <v>51</v>
      </c>
      <c r="B71" s="81"/>
      <c r="C71" s="81"/>
      <c r="D71" s="81"/>
      <c r="E71" s="81"/>
      <c r="F71" s="81"/>
      <c r="G71" s="81"/>
      <c r="H71" s="81"/>
      <c r="I71" s="81"/>
      <c r="J71" s="81"/>
      <c r="K71" s="202">
        <v>0.93700000000000006</v>
      </c>
      <c r="L71" s="202">
        <v>0.98099999999999998</v>
      </c>
      <c r="M71" s="202">
        <v>0.99</v>
      </c>
      <c r="N71" s="202">
        <v>1.0409999999999999</v>
      </c>
      <c r="O71" s="202">
        <v>1.0229999999999999</v>
      </c>
      <c r="P71" s="202">
        <v>0.995</v>
      </c>
      <c r="Q71" s="202">
        <v>0.99399999999999999</v>
      </c>
      <c r="R71" s="202">
        <v>0.998</v>
      </c>
      <c r="S71" s="202">
        <v>1.014</v>
      </c>
      <c r="T71" s="202">
        <v>0.99199999999999999</v>
      </c>
      <c r="U71" s="202">
        <v>1.014</v>
      </c>
      <c r="V71" s="202">
        <v>0.97499999999999998</v>
      </c>
      <c r="W71" s="202">
        <v>1.0049999999999999</v>
      </c>
      <c r="X71" s="202">
        <v>0.98899999999999999</v>
      </c>
      <c r="Y71" s="202">
        <v>1.006</v>
      </c>
      <c r="Z71" s="202">
        <v>1.01</v>
      </c>
      <c r="AA71" s="202">
        <v>0.96199999999999997</v>
      </c>
      <c r="AB71" s="202">
        <v>0.96199999999999997</v>
      </c>
      <c r="AC71" s="202">
        <v>0.98599999999999999</v>
      </c>
      <c r="AD71" s="202">
        <v>0.998</v>
      </c>
      <c r="AE71" s="202">
        <v>1.0129999999999999</v>
      </c>
      <c r="AF71" s="202">
        <v>1.05</v>
      </c>
      <c r="AG71" s="81">
        <v>1</v>
      </c>
      <c r="AH71" s="202">
        <v>0.95099999999999996</v>
      </c>
      <c r="AI71" s="202">
        <v>0.97699999999999998</v>
      </c>
      <c r="AJ71" s="202">
        <v>1.0129999999999999</v>
      </c>
      <c r="AK71" s="202">
        <v>0.98</v>
      </c>
      <c r="AL71" s="202">
        <v>1.0069999999999999</v>
      </c>
      <c r="AM71" s="202">
        <v>0.96199999999999997</v>
      </c>
      <c r="AN71" s="202">
        <v>1.0449999999999999</v>
      </c>
      <c r="AO71" s="202">
        <v>1.0049999999999999</v>
      </c>
      <c r="AP71" s="202">
        <v>1.075</v>
      </c>
      <c r="AQ71" s="202">
        <v>1.048</v>
      </c>
      <c r="AR71" s="202">
        <v>1.0940000000000001</v>
      </c>
      <c r="AS71" s="202">
        <v>1.127</v>
      </c>
      <c r="AT71" s="202">
        <v>1.071</v>
      </c>
      <c r="AU71" s="202">
        <v>1.0129999999999999</v>
      </c>
      <c r="AV71" s="202">
        <v>1.034</v>
      </c>
      <c r="AW71" s="202">
        <v>1.0780000000000001</v>
      </c>
      <c r="AX71" s="202">
        <v>1.0649999999999999</v>
      </c>
      <c r="AY71" s="202">
        <v>1.042</v>
      </c>
      <c r="AZ71" s="202">
        <v>1.095</v>
      </c>
      <c r="BA71" s="202">
        <v>1.083</v>
      </c>
      <c r="BB71" s="202">
        <v>1.0429999999999999</v>
      </c>
      <c r="BC71" s="202">
        <v>1.0409999999999999</v>
      </c>
      <c r="BD71" s="202">
        <v>1.0209999999999999</v>
      </c>
      <c r="BE71" s="202">
        <v>1.0289999999999999</v>
      </c>
      <c r="BF71" s="202">
        <v>1.0569999999999999</v>
      </c>
      <c r="BG71" s="202">
        <v>1.0620000000000001</v>
      </c>
      <c r="BH71" s="202">
        <v>1.008</v>
      </c>
      <c r="BI71" s="202">
        <v>1.06</v>
      </c>
      <c r="BJ71" s="81">
        <f t="shared" ref="BJ71:BK71" si="253">(BJ67-BA49)/63</f>
        <v>-1.1428571428571428</v>
      </c>
      <c r="BK71" s="82">
        <f t="shared" si="253"/>
        <v>-1.1428571428571428</v>
      </c>
    </row>
    <row r="72" spans="1:79">
      <c r="A72" s="11" t="s">
        <v>23</v>
      </c>
      <c r="B72" s="106">
        <f>B73/(SUM(B73,B75,B77))</f>
        <v>0.5</v>
      </c>
      <c r="C72" s="106">
        <f t="shared" ref="C72:BB72" si="254">C73/(SUM(C73,C75,C77))</f>
        <v>0.5714285714285714</v>
      </c>
      <c r="D72" s="106">
        <f t="shared" si="254"/>
        <v>0.41666666666666669</v>
      </c>
      <c r="E72" s="106">
        <f t="shared" si="254"/>
        <v>0.35714285714285715</v>
      </c>
      <c r="F72" s="106">
        <f t="shared" si="254"/>
        <v>0.53846153846153844</v>
      </c>
      <c r="G72" s="106">
        <f t="shared" si="254"/>
        <v>0.38461538461538464</v>
      </c>
      <c r="H72" s="106">
        <f t="shared" si="254"/>
        <v>0.61538461538461542</v>
      </c>
      <c r="I72" s="106">
        <f t="shared" si="254"/>
        <v>0.41666666666666669</v>
      </c>
      <c r="J72" s="106">
        <f t="shared" si="254"/>
        <v>0.22222222222222221</v>
      </c>
      <c r="K72" s="106">
        <f t="shared" si="254"/>
        <v>0.2857142857142857</v>
      </c>
      <c r="L72" s="106">
        <f t="shared" si="254"/>
        <v>0.38461538461538464</v>
      </c>
      <c r="M72" s="106">
        <f t="shared" si="254"/>
        <v>0.15384615384615385</v>
      </c>
      <c r="N72" s="106">
        <f t="shared" si="254"/>
        <v>0.3</v>
      </c>
      <c r="O72" s="106">
        <f t="shared" si="254"/>
        <v>0</v>
      </c>
      <c r="P72" s="106">
        <f t="shared" si="254"/>
        <v>0.4</v>
      </c>
      <c r="Q72" s="106">
        <f t="shared" si="254"/>
        <v>0.41666666666666669</v>
      </c>
      <c r="R72" s="106">
        <f t="shared" si="254"/>
        <v>0.25</v>
      </c>
      <c r="S72" s="106">
        <f t="shared" si="254"/>
        <v>0.16666666666666666</v>
      </c>
      <c r="T72" s="106">
        <f t="shared" si="254"/>
        <v>0.25</v>
      </c>
      <c r="U72" s="106">
        <f t="shared" si="254"/>
        <v>0.3</v>
      </c>
      <c r="V72" s="106">
        <f t="shared" si="254"/>
        <v>0.3</v>
      </c>
      <c r="W72" s="106">
        <f t="shared" si="254"/>
        <v>0.36363636363636365</v>
      </c>
      <c r="X72" s="106">
        <f t="shared" si="254"/>
        <v>0.36363636363636365</v>
      </c>
      <c r="Y72" s="106">
        <f t="shared" si="254"/>
        <v>0.1</v>
      </c>
      <c r="Z72" s="106">
        <f t="shared" si="254"/>
        <v>0.18181818181818182</v>
      </c>
      <c r="AA72" s="106">
        <f t="shared" si="254"/>
        <v>9.0909090909090912E-2</v>
      </c>
      <c r="AB72" s="106">
        <f t="shared" si="254"/>
        <v>0.33333333333333331</v>
      </c>
      <c r="AC72" s="106">
        <f t="shared" si="254"/>
        <v>0.18181818181818182</v>
      </c>
      <c r="AD72" s="106">
        <f t="shared" si="254"/>
        <v>0.27272727272727271</v>
      </c>
      <c r="AE72" s="106">
        <f t="shared" si="254"/>
        <v>8.3333333333333329E-2</v>
      </c>
      <c r="AF72" s="106">
        <f t="shared" si="254"/>
        <v>0.41666666666666669</v>
      </c>
      <c r="AG72" s="106">
        <f t="shared" si="254"/>
        <v>0</v>
      </c>
      <c r="AH72" s="106">
        <f t="shared" si="254"/>
        <v>0.18181818181818182</v>
      </c>
      <c r="AI72" s="106">
        <f t="shared" si="254"/>
        <v>0.18181818181818182</v>
      </c>
      <c r="AJ72" s="106">
        <f t="shared" si="254"/>
        <v>0</v>
      </c>
      <c r="AK72" s="106">
        <f t="shared" si="254"/>
        <v>0.2857142857142857</v>
      </c>
      <c r="AL72" s="106">
        <f t="shared" si="254"/>
        <v>0</v>
      </c>
      <c r="AM72" s="106">
        <f t="shared" si="254"/>
        <v>0.375</v>
      </c>
      <c r="AN72" s="106">
        <f t="shared" si="254"/>
        <v>0.375</v>
      </c>
      <c r="AO72" s="106">
        <f t="shared" si="254"/>
        <v>8.3333333333333329E-2</v>
      </c>
      <c r="AP72" s="106">
        <f t="shared" si="254"/>
        <v>0</v>
      </c>
      <c r="AQ72" s="106">
        <f t="shared" si="254"/>
        <v>0</v>
      </c>
      <c r="AR72" s="106">
        <f t="shared" si="254"/>
        <v>0</v>
      </c>
      <c r="AS72" s="106">
        <f t="shared" si="254"/>
        <v>0</v>
      </c>
      <c r="AT72" s="106">
        <f t="shared" si="254"/>
        <v>0</v>
      </c>
      <c r="AU72" s="106">
        <f t="shared" si="254"/>
        <v>0</v>
      </c>
      <c r="AV72" s="106">
        <f t="shared" si="254"/>
        <v>7.1428571428571425E-2</v>
      </c>
      <c r="AW72" s="106">
        <f t="shared" si="254"/>
        <v>0</v>
      </c>
      <c r="AX72" s="106">
        <f t="shared" si="254"/>
        <v>9.0909090909090912E-2</v>
      </c>
      <c r="AY72" s="106">
        <f t="shared" si="254"/>
        <v>0</v>
      </c>
      <c r="AZ72" s="106">
        <f t="shared" si="254"/>
        <v>0</v>
      </c>
      <c r="BA72" s="106">
        <f t="shared" si="254"/>
        <v>0</v>
      </c>
      <c r="BB72" s="106">
        <f t="shared" si="254"/>
        <v>0</v>
      </c>
      <c r="BC72" s="106">
        <f t="shared" ref="BC72:CA72" si="255">BC73/(SUM(BC73,BC75,BC77))</f>
        <v>0.1</v>
      </c>
      <c r="BD72" s="106">
        <f t="shared" si="255"/>
        <v>0</v>
      </c>
      <c r="BE72" s="106">
        <f t="shared" si="255"/>
        <v>8.3333333333333329E-2</v>
      </c>
      <c r="BF72" s="106">
        <f t="shared" si="255"/>
        <v>0</v>
      </c>
      <c r="BG72" s="106">
        <f t="shared" si="255"/>
        <v>7.6923076923076927E-2</v>
      </c>
      <c r="BH72" s="106">
        <f t="shared" si="255"/>
        <v>0.15384615384615385</v>
      </c>
      <c r="BI72" s="106">
        <f t="shared" si="255"/>
        <v>0.1</v>
      </c>
      <c r="BJ72" s="106" t="e">
        <f t="shared" si="255"/>
        <v>#DIV/0!</v>
      </c>
      <c r="BK72" s="107" t="e">
        <f t="shared" si="255"/>
        <v>#DIV/0!</v>
      </c>
      <c r="BL72" s="107" t="e">
        <f t="shared" si="255"/>
        <v>#DIV/0!</v>
      </c>
      <c r="BM72" s="107" t="e">
        <f t="shared" si="255"/>
        <v>#DIV/0!</v>
      </c>
      <c r="BN72" s="107" t="e">
        <f t="shared" si="255"/>
        <v>#DIV/0!</v>
      </c>
      <c r="BO72" s="107" t="e">
        <f t="shared" si="255"/>
        <v>#DIV/0!</v>
      </c>
      <c r="BP72" s="107" t="e">
        <f t="shared" si="255"/>
        <v>#DIV/0!</v>
      </c>
      <c r="BQ72" s="107" t="e">
        <f t="shared" si="255"/>
        <v>#DIV/0!</v>
      </c>
      <c r="BR72" s="107" t="e">
        <f t="shared" si="255"/>
        <v>#DIV/0!</v>
      </c>
      <c r="BS72" s="107" t="e">
        <f t="shared" si="255"/>
        <v>#DIV/0!</v>
      </c>
      <c r="BT72" s="107" t="e">
        <f t="shared" si="255"/>
        <v>#DIV/0!</v>
      </c>
      <c r="BU72" s="107" t="e">
        <f t="shared" si="255"/>
        <v>#DIV/0!</v>
      </c>
      <c r="BV72" s="107" t="e">
        <f t="shared" si="255"/>
        <v>#DIV/0!</v>
      </c>
      <c r="BW72" s="107" t="e">
        <f t="shared" si="255"/>
        <v>#DIV/0!</v>
      </c>
      <c r="BX72" s="107" t="e">
        <f t="shared" si="255"/>
        <v>#DIV/0!</v>
      </c>
      <c r="BY72" s="107" t="e">
        <f t="shared" si="255"/>
        <v>#DIV/0!</v>
      </c>
      <c r="BZ72" s="107" t="e">
        <f t="shared" si="255"/>
        <v>#DIV/0!</v>
      </c>
      <c r="CA72" s="107" t="e">
        <f t="shared" si="255"/>
        <v>#DIV/0!</v>
      </c>
    </row>
    <row r="73" spans="1:79" s="89" customFormat="1">
      <c r="A73" s="11" t="s">
        <v>39</v>
      </c>
      <c r="B73" s="108">
        <v>7</v>
      </c>
      <c r="C73" s="108">
        <v>8</v>
      </c>
      <c r="D73" s="108">
        <v>5</v>
      </c>
      <c r="E73" s="108">
        <v>5</v>
      </c>
      <c r="F73" s="108">
        <v>7</v>
      </c>
      <c r="G73" s="108">
        <v>5</v>
      </c>
      <c r="H73" s="108">
        <v>8</v>
      </c>
      <c r="I73" s="108">
        <v>5</v>
      </c>
      <c r="J73" s="108">
        <v>2</v>
      </c>
      <c r="K73" s="108">
        <v>4</v>
      </c>
      <c r="L73" s="108">
        <v>5</v>
      </c>
      <c r="M73" s="108">
        <v>2</v>
      </c>
      <c r="N73" s="108">
        <v>3</v>
      </c>
      <c r="O73" s="108"/>
      <c r="P73" s="108">
        <v>4</v>
      </c>
      <c r="Q73" s="108">
        <v>5</v>
      </c>
      <c r="R73" s="108">
        <v>2</v>
      </c>
      <c r="S73" s="108">
        <v>2</v>
      </c>
      <c r="T73" s="108">
        <v>3</v>
      </c>
      <c r="U73" s="108">
        <v>3</v>
      </c>
      <c r="V73" s="108">
        <v>3</v>
      </c>
      <c r="W73" s="108">
        <v>4</v>
      </c>
      <c r="X73" s="108">
        <v>4</v>
      </c>
      <c r="Y73" s="108">
        <v>1</v>
      </c>
      <c r="Z73" s="108">
        <v>2</v>
      </c>
      <c r="AA73" s="108">
        <v>1</v>
      </c>
      <c r="AB73" s="108">
        <v>3</v>
      </c>
      <c r="AC73" s="108">
        <v>2</v>
      </c>
      <c r="AD73" s="108">
        <v>3</v>
      </c>
      <c r="AE73" s="108">
        <v>1</v>
      </c>
      <c r="AF73" s="108">
        <v>5</v>
      </c>
      <c r="AG73" s="108">
        <v>0</v>
      </c>
      <c r="AH73" s="108">
        <v>2</v>
      </c>
      <c r="AI73" s="108">
        <v>2</v>
      </c>
      <c r="AJ73" s="108">
        <v>0</v>
      </c>
      <c r="AK73" s="108">
        <v>2</v>
      </c>
      <c r="AL73" s="108">
        <v>0</v>
      </c>
      <c r="AM73" s="108">
        <v>3</v>
      </c>
      <c r="AN73" s="108">
        <v>3</v>
      </c>
      <c r="AO73" s="108">
        <v>1</v>
      </c>
      <c r="AP73" s="108">
        <v>0</v>
      </c>
      <c r="AQ73" s="108">
        <v>0</v>
      </c>
      <c r="AR73" s="108">
        <v>0</v>
      </c>
      <c r="AS73" s="108">
        <v>0</v>
      </c>
      <c r="AT73" s="108">
        <v>0</v>
      </c>
      <c r="AU73" s="108">
        <v>0</v>
      </c>
      <c r="AV73" s="108">
        <v>1</v>
      </c>
      <c r="AW73" s="108">
        <v>0</v>
      </c>
      <c r="AX73" s="108">
        <v>1</v>
      </c>
      <c r="AY73" s="108">
        <v>0</v>
      </c>
      <c r="AZ73" s="108">
        <v>0</v>
      </c>
      <c r="BA73" s="108">
        <v>0</v>
      </c>
      <c r="BB73" s="108">
        <v>0</v>
      </c>
      <c r="BC73" s="108">
        <v>1</v>
      </c>
      <c r="BD73" s="108">
        <v>0</v>
      </c>
      <c r="BE73" s="108">
        <v>1</v>
      </c>
      <c r="BF73" s="108">
        <v>0</v>
      </c>
      <c r="BG73" s="108">
        <v>1</v>
      </c>
      <c r="BH73" s="108">
        <v>2</v>
      </c>
      <c r="BI73" s="108">
        <v>1</v>
      </c>
      <c r="BJ73" s="108"/>
      <c r="BK73" s="197"/>
    </row>
    <row r="74" spans="1:79">
      <c r="A74" s="11" t="s">
        <v>25</v>
      </c>
      <c r="B74" s="106">
        <f>B75/(SUM(B73,B75,B77))</f>
        <v>0.42857142857142855</v>
      </c>
      <c r="C74" s="106">
        <f t="shared" ref="C74:F74" si="256">C75/(SUM(C73,C75,C77))</f>
        <v>0.2857142857142857</v>
      </c>
      <c r="D74" s="106">
        <f t="shared" si="256"/>
        <v>0.33333333333333331</v>
      </c>
      <c r="E74" s="106">
        <f t="shared" si="256"/>
        <v>0.35714285714285715</v>
      </c>
      <c r="F74" s="106">
        <f t="shared" si="256"/>
        <v>0.30769230769230771</v>
      </c>
      <c r="G74" s="106">
        <f t="shared" ref="G74" si="257">G75/(SUM(G73,G75,G77))</f>
        <v>0.30769230769230771</v>
      </c>
      <c r="H74" s="106">
        <f t="shared" ref="H74" si="258">H75/(SUM(H73,H75,H77))</f>
        <v>0.38461538461538464</v>
      </c>
      <c r="I74" s="106">
        <f t="shared" ref="I74" si="259">I75/(SUM(I73,I75,I77))</f>
        <v>0.41666666666666669</v>
      </c>
      <c r="J74" s="106">
        <f t="shared" ref="J74" si="260">J75/(SUM(J73,J75,J77))</f>
        <v>0.66666666666666663</v>
      </c>
      <c r="K74" s="106">
        <f t="shared" ref="K74" si="261">K75/(SUM(K73,K75,K77))</f>
        <v>0.42857142857142855</v>
      </c>
      <c r="L74" s="106">
        <f t="shared" ref="L74" si="262">L75/(SUM(L73,L75,L77))</f>
        <v>0.30769230769230771</v>
      </c>
      <c r="M74" s="106">
        <f t="shared" ref="M74" si="263">M75/(SUM(M73,M75,M77))</f>
        <v>0.30769230769230771</v>
      </c>
      <c r="N74" s="106">
        <f t="shared" ref="N74" si="264">N75/(SUM(N73,N75,N77))</f>
        <v>0.1</v>
      </c>
      <c r="O74" s="106">
        <f t="shared" ref="O74" si="265">O75/(SUM(O73,O75,O77))</f>
        <v>0.27272727272727271</v>
      </c>
      <c r="P74" s="106">
        <f t="shared" ref="P74" si="266">P75/(SUM(P73,P75,P77))</f>
        <v>0.1</v>
      </c>
      <c r="Q74" s="106">
        <f t="shared" ref="Q74" si="267">Q75/(SUM(Q73,Q75,Q77))</f>
        <v>0.33333333333333331</v>
      </c>
      <c r="R74" s="106">
        <f t="shared" ref="R74" si="268">R75/(SUM(R73,R75,R77))</f>
        <v>0.125</v>
      </c>
      <c r="S74" s="106">
        <f t="shared" ref="S74" si="269">S75/(SUM(S73,S75,S77))</f>
        <v>0.33333333333333331</v>
      </c>
      <c r="T74" s="106">
        <f t="shared" ref="T74" si="270">T75/(SUM(T73,T75,T77))</f>
        <v>8.3333333333333329E-2</v>
      </c>
      <c r="U74" s="106">
        <f t="shared" ref="U74" si="271">U75/(SUM(U73,U75,U77))</f>
        <v>0.1</v>
      </c>
      <c r="V74" s="106">
        <f t="shared" ref="V74" si="272">V75/(SUM(V73,V75,V77))</f>
        <v>0.7</v>
      </c>
      <c r="W74" s="106">
        <f t="shared" ref="W74" si="273">W75/(SUM(W73,W75,W77))</f>
        <v>0</v>
      </c>
      <c r="X74" s="106">
        <f t="shared" ref="X74" si="274">X75/(SUM(X73,X75,X77))</f>
        <v>0.36363636363636365</v>
      </c>
      <c r="Y74" s="106">
        <f t="shared" ref="Y74" si="275">Y75/(SUM(Y73,Y75,Y77))</f>
        <v>0.6</v>
      </c>
      <c r="Z74" s="106">
        <f t="shared" ref="Z74" si="276">Z75/(SUM(Z73,Z75,Z77))</f>
        <v>0.36363636363636365</v>
      </c>
      <c r="AA74" s="106">
        <f t="shared" ref="AA74" si="277">AA75/(SUM(AA73,AA75,AA77))</f>
        <v>0.27272727272727271</v>
      </c>
      <c r="AB74" s="106">
        <f t="shared" ref="AB74" si="278">AB75/(SUM(AB73,AB75,AB77))</f>
        <v>0.1111111111111111</v>
      </c>
      <c r="AC74" s="106">
        <f t="shared" ref="AC74" si="279">AC75/(SUM(AC73,AC75,AC77))</f>
        <v>0.54545454545454541</v>
      </c>
      <c r="AD74" s="106">
        <f t="shared" ref="AD74" si="280">AD75/(SUM(AD73,AD75,AD77))</f>
        <v>0.36363636363636365</v>
      </c>
      <c r="AE74" s="106">
        <f t="shared" ref="AE74" si="281">AE75/(SUM(AE73,AE75,AE77))</f>
        <v>0.33333333333333331</v>
      </c>
      <c r="AF74" s="106">
        <f t="shared" ref="AF74" si="282">AF75/(SUM(AF73,AF75,AF77))</f>
        <v>0.25</v>
      </c>
      <c r="AG74" s="106">
        <f t="shared" ref="AG74" si="283">AG75/(SUM(AG73,AG75,AG77))</f>
        <v>0.25</v>
      </c>
      <c r="AH74" s="106">
        <f t="shared" ref="AH74" si="284">AH75/(SUM(AH73,AH75,AH77))</f>
        <v>0.54545454545454541</v>
      </c>
      <c r="AI74" s="106">
        <f t="shared" ref="AI74" si="285">AI75/(SUM(AI73,AI75,AI77))</f>
        <v>0.36363636363636365</v>
      </c>
      <c r="AJ74" s="106">
        <f t="shared" ref="AJ74" si="286">AJ75/(SUM(AJ73,AJ75,AJ77))</f>
        <v>0.18181818181818182</v>
      </c>
      <c r="AK74" s="106">
        <f t="shared" ref="AK74" si="287">AK75/(SUM(AK73,AK75,AK77))</f>
        <v>0.5714285714285714</v>
      </c>
      <c r="AL74" s="106">
        <f t="shared" ref="AL74" si="288">AL75/(SUM(AL73,AL75,AL77))</f>
        <v>0.33333333333333331</v>
      </c>
      <c r="AM74" s="106">
        <f t="shared" ref="AM74" si="289">AM75/(SUM(AM73,AM75,AM77))</f>
        <v>0.375</v>
      </c>
      <c r="AN74" s="106">
        <f t="shared" ref="AN74" si="290">AN75/(SUM(AN73,AN75,AN77))</f>
        <v>0.25</v>
      </c>
      <c r="AO74" s="106">
        <f t="shared" ref="AO74" si="291">AO75/(SUM(AO73,AO75,AO77))</f>
        <v>0.91666666666666663</v>
      </c>
      <c r="AP74" s="106">
        <f t="shared" ref="AP74" si="292">AP75/(SUM(AP73,AP75,AP77))</f>
        <v>0.75</v>
      </c>
      <c r="AQ74" s="106">
        <f t="shared" ref="AQ74" si="293">AQ75/(SUM(AQ73,AQ75,AQ77))</f>
        <v>1</v>
      </c>
      <c r="AR74" s="106">
        <f t="shared" ref="AR74" si="294">AR75/(SUM(AR73,AR75,AR77))</f>
        <v>0.72727272727272729</v>
      </c>
      <c r="AS74" s="106">
        <f t="shared" ref="AS74" si="295">AS75/(SUM(AS73,AS75,AS77))</f>
        <v>0.69230769230769229</v>
      </c>
      <c r="AT74" s="106">
        <f t="shared" ref="AT74" si="296">AT75/(SUM(AT73,AT75,AT77))</f>
        <v>0.88888888888888884</v>
      </c>
      <c r="AU74" s="106">
        <f t="shared" ref="AU74" si="297">AU75/(SUM(AU73,AU75,AU77))</f>
        <v>1</v>
      </c>
      <c r="AV74" s="106">
        <f t="shared" ref="AV74" si="298">AV75/(SUM(AV73,AV75,AV77))</f>
        <v>0.7857142857142857</v>
      </c>
      <c r="AW74" s="106">
        <f t="shared" ref="AW74" si="299">AW75/(SUM(AW73,AW75,AW77))</f>
        <v>0.91666666666666663</v>
      </c>
      <c r="AX74" s="106">
        <f t="shared" ref="AX74" si="300">AX75/(SUM(AX73,AX75,AX77))</f>
        <v>0.81818181818181823</v>
      </c>
      <c r="AY74" s="106">
        <f t="shared" ref="AY74" si="301">AY75/(SUM(AY73,AY75,AY77))</f>
        <v>0.84615384615384615</v>
      </c>
      <c r="AZ74" s="106">
        <f t="shared" ref="AZ74" si="302">AZ75/(SUM(AZ73,AZ75,AZ77))</f>
        <v>0.66666666666666663</v>
      </c>
      <c r="BA74" s="106">
        <f t="shared" ref="BA74" si="303">BA75/(SUM(BA73,BA75,BA77))</f>
        <v>0.83333333333333337</v>
      </c>
      <c r="BB74" s="106">
        <f t="shared" ref="BB74" si="304">BB75/(SUM(BB73,BB75,BB77))</f>
        <v>0.8666666666666667</v>
      </c>
      <c r="BC74" s="106">
        <f t="shared" ref="BC74" si="305">BC75/(SUM(BC73,BC75,BC77))</f>
        <v>0.9</v>
      </c>
      <c r="BD74" s="106">
        <f t="shared" ref="BD74" si="306">BD75/(SUM(BD73,BD75,BD77))</f>
        <v>0.81818181818181823</v>
      </c>
      <c r="BE74" s="106">
        <f t="shared" ref="BE74" si="307">BE75/(SUM(BE73,BE75,BE77))</f>
        <v>0.83333333333333337</v>
      </c>
      <c r="BF74" s="106">
        <f t="shared" ref="BF74" si="308">BF75/(SUM(BF73,BF75,BF77))</f>
        <v>0.66666666666666663</v>
      </c>
      <c r="BG74" s="106">
        <f t="shared" ref="BG74" si="309">BG75/(SUM(BG73,BG75,BG77))</f>
        <v>0.76923076923076927</v>
      </c>
      <c r="BH74" s="106">
        <f t="shared" ref="BH74" si="310">BH75/(SUM(BH73,BH75,BH77))</f>
        <v>0.84615384615384615</v>
      </c>
      <c r="BI74" s="106">
        <f t="shared" ref="BI74" si="311">BI75/(SUM(BI73,BI75,BI77))</f>
        <v>0.5</v>
      </c>
      <c r="BJ74" s="106" t="e">
        <f t="shared" ref="BJ74" si="312">BJ75/(SUM(BJ73,BJ75,BJ77))</f>
        <v>#DIV/0!</v>
      </c>
      <c r="BK74" s="107" t="e">
        <f t="shared" ref="BK74:CA74" si="313">BK75/(SUM(BK73,BK75,BK77))</f>
        <v>#DIV/0!</v>
      </c>
      <c r="BL74" s="107" t="e">
        <f t="shared" si="313"/>
        <v>#DIV/0!</v>
      </c>
      <c r="BM74" s="107" t="e">
        <f t="shared" si="313"/>
        <v>#DIV/0!</v>
      </c>
      <c r="BN74" s="107" t="e">
        <f t="shared" si="313"/>
        <v>#DIV/0!</v>
      </c>
      <c r="BO74" s="107" t="e">
        <f t="shared" si="313"/>
        <v>#DIV/0!</v>
      </c>
      <c r="BP74" s="107" t="e">
        <f t="shared" si="313"/>
        <v>#DIV/0!</v>
      </c>
      <c r="BQ74" s="107" t="e">
        <f t="shared" si="313"/>
        <v>#DIV/0!</v>
      </c>
      <c r="BR74" s="107" t="e">
        <f t="shared" si="313"/>
        <v>#DIV/0!</v>
      </c>
      <c r="BS74" s="107" t="e">
        <f t="shared" si="313"/>
        <v>#DIV/0!</v>
      </c>
      <c r="BT74" s="107" t="e">
        <f t="shared" si="313"/>
        <v>#DIV/0!</v>
      </c>
      <c r="BU74" s="107" t="e">
        <f t="shared" si="313"/>
        <v>#DIV/0!</v>
      </c>
      <c r="BV74" s="107" t="e">
        <f t="shared" si="313"/>
        <v>#DIV/0!</v>
      </c>
      <c r="BW74" s="107" t="e">
        <f t="shared" si="313"/>
        <v>#DIV/0!</v>
      </c>
      <c r="BX74" s="107" t="e">
        <f t="shared" si="313"/>
        <v>#DIV/0!</v>
      </c>
      <c r="BY74" s="107" t="e">
        <f t="shared" si="313"/>
        <v>#DIV/0!</v>
      </c>
      <c r="BZ74" s="107" t="e">
        <f t="shared" si="313"/>
        <v>#DIV/0!</v>
      </c>
      <c r="CA74" s="107" t="e">
        <f t="shared" si="313"/>
        <v>#DIV/0!</v>
      </c>
    </row>
    <row r="75" spans="1:79" s="89" customFormat="1">
      <c r="A75" s="11" t="s">
        <v>26</v>
      </c>
      <c r="B75" s="108">
        <v>6</v>
      </c>
      <c r="C75" s="108">
        <v>4</v>
      </c>
      <c r="D75" s="108">
        <v>4</v>
      </c>
      <c r="E75" s="108">
        <v>5</v>
      </c>
      <c r="F75" s="108">
        <v>4</v>
      </c>
      <c r="G75" s="108">
        <v>4</v>
      </c>
      <c r="H75" s="108">
        <v>5</v>
      </c>
      <c r="I75" s="108">
        <v>5</v>
      </c>
      <c r="J75" s="108">
        <v>6</v>
      </c>
      <c r="K75" s="108">
        <v>6</v>
      </c>
      <c r="L75" s="108">
        <v>4</v>
      </c>
      <c r="M75" s="108">
        <v>4</v>
      </c>
      <c r="N75" s="108">
        <v>1</v>
      </c>
      <c r="O75" s="108">
        <v>3</v>
      </c>
      <c r="P75" s="108">
        <v>1</v>
      </c>
      <c r="Q75" s="108">
        <v>4</v>
      </c>
      <c r="R75" s="108">
        <v>1</v>
      </c>
      <c r="S75" s="108">
        <v>4</v>
      </c>
      <c r="T75" s="108">
        <v>1</v>
      </c>
      <c r="U75" s="108">
        <v>1</v>
      </c>
      <c r="V75" s="108">
        <v>7</v>
      </c>
      <c r="W75" s="108"/>
      <c r="X75" s="108">
        <v>4</v>
      </c>
      <c r="Y75" s="108">
        <v>6</v>
      </c>
      <c r="Z75" s="108">
        <v>4</v>
      </c>
      <c r="AA75" s="108">
        <v>3</v>
      </c>
      <c r="AB75" s="108">
        <v>1</v>
      </c>
      <c r="AC75" s="108">
        <v>6</v>
      </c>
      <c r="AD75" s="108">
        <v>4</v>
      </c>
      <c r="AE75" s="108">
        <v>4</v>
      </c>
      <c r="AF75" s="108">
        <v>3</v>
      </c>
      <c r="AG75" s="108">
        <v>3</v>
      </c>
      <c r="AH75" s="108">
        <v>6</v>
      </c>
      <c r="AI75" s="108">
        <v>4</v>
      </c>
      <c r="AJ75" s="108">
        <v>2</v>
      </c>
      <c r="AK75" s="108">
        <v>4</v>
      </c>
      <c r="AL75" s="108">
        <v>3</v>
      </c>
      <c r="AM75" s="108">
        <v>3</v>
      </c>
      <c r="AN75" s="108">
        <v>2</v>
      </c>
      <c r="AO75" s="108">
        <v>11</v>
      </c>
      <c r="AP75" s="108">
        <v>9</v>
      </c>
      <c r="AQ75" s="108">
        <v>11</v>
      </c>
      <c r="AR75" s="108">
        <v>8</v>
      </c>
      <c r="AS75" s="108">
        <v>9</v>
      </c>
      <c r="AT75" s="108">
        <v>8</v>
      </c>
      <c r="AU75" s="108">
        <v>13</v>
      </c>
      <c r="AV75" s="108">
        <v>11</v>
      </c>
      <c r="AW75" s="108">
        <v>11</v>
      </c>
      <c r="AX75" s="108">
        <v>9</v>
      </c>
      <c r="AY75" s="108">
        <v>11</v>
      </c>
      <c r="AZ75" s="108">
        <v>8</v>
      </c>
      <c r="BA75" s="108">
        <v>10</v>
      </c>
      <c r="BB75" s="108">
        <v>13</v>
      </c>
      <c r="BC75" s="108">
        <v>9</v>
      </c>
      <c r="BD75" s="108">
        <v>9</v>
      </c>
      <c r="BE75" s="108">
        <v>10</v>
      </c>
      <c r="BF75" s="108">
        <v>8</v>
      </c>
      <c r="BG75" s="108">
        <v>10</v>
      </c>
      <c r="BH75" s="108">
        <v>11</v>
      </c>
      <c r="BI75" s="108">
        <v>5</v>
      </c>
      <c r="BJ75" s="108"/>
      <c r="BK75" s="197"/>
    </row>
    <row r="76" spans="1:79">
      <c r="A76" s="11" t="s">
        <v>27</v>
      </c>
      <c r="B76" s="106">
        <f>B77/(SUM(B77,B75,B73))</f>
        <v>7.1428571428571425E-2</v>
      </c>
      <c r="C76" s="106">
        <f t="shared" ref="C76:I76" si="314">C77/(SUM(C77,C75,C73))</f>
        <v>0.14285714285714285</v>
      </c>
      <c r="D76" s="106">
        <f t="shared" si="314"/>
        <v>0.25</v>
      </c>
      <c r="E76" s="106">
        <f t="shared" si="314"/>
        <v>0.2857142857142857</v>
      </c>
      <c r="F76" s="106">
        <f t="shared" si="314"/>
        <v>0.15384615384615385</v>
      </c>
      <c r="G76" s="106">
        <f t="shared" si="314"/>
        <v>0.30769230769230771</v>
      </c>
      <c r="H76" s="106">
        <f t="shared" si="314"/>
        <v>0</v>
      </c>
      <c r="I76" s="106">
        <f t="shared" si="314"/>
        <v>0.16666666666666666</v>
      </c>
      <c r="J76" s="106">
        <f t="shared" ref="J76" si="315">J77/(SUM(J77,J75,J73))</f>
        <v>0.1111111111111111</v>
      </c>
      <c r="K76" s="106">
        <f t="shared" ref="K76" si="316">K77/(SUM(K77,K75,K73))</f>
        <v>0.2857142857142857</v>
      </c>
      <c r="L76" s="106">
        <f t="shared" ref="L76" si="317">L77/(SUM(L77,L75,L73))</f>
        <v>0.30769230769230771</v>
      </c>
      <c r="M76" s="106">
        <f t="shared" ref="M76" si="318">M77/(SUM(M77,M75,M73))</f>
        <v>0.53846153846153844</v>
      </c>
      <c r="N76" s="106">
        <f t="shared" ref="N76" si="319">N77/(SUM(N77,N75,N73))</f>
        <v>0.6</v>
      </c>
      <c r="O76" s="106">
        <f t="shared" ref="O76" si="320">O77/(SUM(O77,O75,O73))</f>
        <v>0.72727272727272729</v>
      </c>
      <c r="P76" s="106">
        <f t="shared" ref="P76" si="321">P77/(SUM(P77,P75,P73))</f>
        <v>0.5</v>
      </c>
      <c r="Q76" s="106">
        <f t="shared" ref="Q76" si="322">Q77/(SUM(Q77,Q75,Q73))</f>
        <v>0.25</v>
      </c>
      <c r="R76" s="106">
        <f t="shared" ref="R76" si="323">R77/(SUM(R77,R75,R73))</f>
        <v>0.625</v>
      </c>
      <c r="S76" s="106">
        <f t="shared" ref="S76" si="324">S77/(SUM(S77,S75,S73))</f>
        <v>0.5</v>
      </c>
      <c r="T76" s="106">
        <f t="shared" ref="T76" si="325">T77/(SUM(T77,T75,T73))</f>
        <v>0.66666666666666663</v>
      </c>
      <c r="U76" s="106">
        <f t="shared" ref="U76:V76" si="326">U77/(SUM(U77,U75,U73))</f>
        <v>0.6</v>
      </c>
      <c r="V76" s="106">
        <f t="shared" si="326"/>
        <v>0</v>
      </c>
      <c r="W76" s="106">
        <f t="shared" ref="W76" si="327">W77/(SUM(W77,W75,W73))</f>
        <v>0.63636363636363635</v>
      </c>
      <c r="X76" s="106">
        <f t="shared" ref="X76" si="328">X77/(SUM(X77,X75,X73))</f>
        <v>0.27272727272727271</v>
      </c>
      <c r="Y76" s="106">
        <f t="shared" ref="Y76" si="329">Y77/(SUM(Y77,Y75,Y73))</f>
        <v>0.3</v>
      </c>
      <c r="Z76" s="106">
        <f t="shared" ref="Z76" si="330">Z77/(SUM(Z77,Z75,Z73))</f>
        <v>0.45454545454545453</v>
      </c>
      <c r="AA76" s="106">
        <f t="shared" ref="AA76" si="331">AA77/(SUM(AA77,AA75,AA73))</f>
        <v>0.63636363636363635</v>
      </c>
      <c r="AB76" s="106">
        <f t="shared" ref="AB76" si="332">AB77/(SUM(AB77,AB75,AB73))</f>
        <v>0.55555555555555558</v>
      </c>
      <c r="AC76" s="106">
        <f t="shared" ref="AC76" si="333">AC77/(SUM(AC77,AC75,AC73))</f>
        <v>0.27272727272727271</v>
      </c>
      <c r="AD76" s="106">
        <f t="shared" ref="AD76" si="334">AD77/(SUM(AD77,AD75,AD73))</f>
        <v>0.36363636363636365</v>
      </c>
      <c r="AE76" s="106">
        <f t="shared" ref="AE76" si="335">AE77/(SUM(AE77,AE75,AE73))</f>
        <v>0.58333333333333337</v>
      </c>
      <c r="AF76" s="106">
        <f t="shared" ref="AF76" si="336">AF77/(SUM(AF77,AF75,AF73))</f>
        <v>0.33333333333333331</v>
      </c>
      <c r="AG76" s="106">
        <f t="shared" ref="AG76" si="337">AG77/(SUM(AG77,AG75,AG73))</f>
        <v>0.75</v>
      </c>
      <c r="AH76" s="106">
        <f t="shared" ref="AH76:AI76" si="338">AH77/(SUM(AH77,AH75,AH73))</f>
        <v>0.27272727272727271</v>
      </c>
      <c r="AI76" s="106">
        <f t="shared" si="338"/>
        <v>0.45454545454545453</v>
      </c>
      <c r="AJ76" s="106">
        <f t="shared" ref="AJ76" si="339">AJ77/(SUM(AJ77,AJ75,AJ73))</f>
        <v>0.81818181818181823</v>
      </c>
      <c r="AK76" s="106">
        <f t="shared" ref="AK76" si="340">AK77/(SUM(AK77,AK75,AK73))</f>
        <v>0.14285714285714285</v>
      </c>
      <c r="AL76" s="106">
        <f t="shared" ref="AL76" si="341">AL77/(SUM(AL77,AL75,AL73))</f>
        <v>0.66666666666666663</v>
      </c>
      <c r="AM76" s="106">
        <f t="shared" ref="AM76" si="342">AM77/(SUM(AM77,AM75,AM73))</f>
        <v>0.25</v>
      </c>
      <c r="AN76" s="106">
        <f t="shared" ref="AN76" si="343">AN77/(SUM(AN77,AN75,AN73))</f>
        <v>0.375</v>
      </c>
      <c r="AO76" s="106">
        <f t="shared" ref="AO76" si="344">AO77/(SUM(AO77,AO75,AO73))</f>
        <v>0</v>
      </c>
      <c r="AP76" s="106">
        <f t="shared" ref="AP76" si="345">AP77/(SUM(AP77,AP75,AP73))</f>
        <v>0.25</v>
      </c>
      <c r="AQ76" s="106">
        <f t="shared" ref="AQ76" si="346">AQ77/(SUM(AQ77,AQ75,AQ73))</f>
        <v>0</v>
      </c>
      <c r="AR76" s="106">
        <f t="shared" ref="AR76" si="347">AR77/(SUM(AR77,AR75,AR73))</f>
        <v>0.27272727272727271</v>
      </c>
      <c r="AS76" s="106">
        <f t="shared" ref="AS76" si="348">AS77/(SUM(AS77,AS75,AS73))</f>
        <v>0.30769230769230771</v>
      </c>
      <c r="AT76" s="106">
        <f t="shared" ref="AT76" si="349">AT77/(SUM(AT77,AT75,AT73))</f>
        <v>0.1111111111111111</v>
      </c>
      <c r="AU76" s="106">
        <f t="shared" ref="AU76:AV76" si="350">AU77/(SUM(AU77,AU75,AU73))</f>
        <v>0</v>
      </c>
      <c r="AV76" s="106">
        <f t="shared" si="350"/>
        <v>0.14285714285714285</v>
      </c>
      <c r="AW76" s="106">
        <f t="shared" ref="AW76" si="351">AW77/(SUM(AW77,AW75,AW73))</f>
        <v>8.3333333333333329E-2</v>
      </c>
      <c r="AX76" s="106">
        <f t="shared" ref="AX76" si="352">AX77/(SUM(AX77,AX75,AX73))</f>
        <v>9.0909090909090912E-2</v>
      </c>
      <c r="AY76" s="106">
        <f t="shared" ref="AY76" si="353">AY77/(SUM(AY77,AY75,AY73))</f>
        <v>0.15384615384615385</v>
      </c>
      <c r="AZ76" s="106">
        <f t="shared" ref="AZ76" si="354">AZ77/(SUM(AZ77,AZ75,AZ73))</f>
        <v>0.33333333333333331</v>
      </c>
      <c r="BA76" s="106">
        <f t="shared" ref="BA76" si="355">BA77/(SUM(BA77,BA75,BA73))</f>
        <v>0.16666666666666666</v>
      </c>
      <c r="BB76" s="106">
        <f t="shared" ref="BB76" si="356">BB77/(SUM(BB77,BB75,BB73))</f>
        <v>0.13333333333333333</v>
      </c>
      <c r="BC76" s="106">
        <f t="shared" ref="BC76" si="357">BC77/(SUM(BC77,BC75,BC73))</f>
        <v>0</v>
      </c>
      <c r="BD76" s="106">
        <f t="shared" ref="BD76" si="358">BD77/(SUM(BD77,BD75,BD73))</f>
        <v>0.18181818181818182</v>
      </c>
      <c r="BE76" s="106">
        <f t="shared" ref="BE76" si="359">BE77/(SUM(BE77,BE75,BE73))</f>
        <v>8.3333333333333329E-2</v>
      </c>
      <c r="BF76" s="106">
        <f t="shared" ref="BF76" si="360">BF77/(SUM(BF77,BF75,BF73))</f>
        <v>0.33333333333333331</v>
      </c>
      <c r="BG76" s="106">
        <f t="shared" ref="BG76" si="361">BG77/(SUM(BG77,BG75,BG73))</f>
        <v>0.15384615384615385</v>
      </c>
      <c r="BH76" s="106">
        <f t="shared" ref="BH76:BI76" si="362">BH77/(SUM(BH77,BH75,BH73))</f>
        <v>0</v>
      </c>
      <c r="BI76" s="106">
        <f t="shared" si="362"/>
        <v>0.4</v>
      </c>
      <c r="BJ76" s="106" t="e">
        <f t="shared" ref="BJ76" si="363">BJ77/(SUM(BJ77,BJ75,BJ73))</f>
        <v>#DIV/0!</v>
      </c>
      <c r="BK76" s="107" t="e">
        <f t="shared" ref="BK76:CA76" si="364">BK77/(SUM(BK77,BK75,BK73))</f>
        <v>#DIV/0!</v>
      </c>
      <c r="BL76" s="107" t="e">
        <f t="shared" si="364"/>
        <v>#DIV/0!</v>
      </c>
      <c r="BM76" s="107" t="e">
        <f t="shared" si="364"/>
        <v>#DIV/0!</v>
      </c>
      <c r="BN76" s="107" t="e">
        <f t="shared" si="364"/>
        <v>#DIV/0!</v>
      </c>
      <c r="BO76" s="107" t="e">
        <f t="shared" si="364"/>
        <v>#DIV/0!</v>
      </c>
      <c r="BP76" s="107" t="e">
        <f t="shared" si="364"/>
        <v>#DIV/0!</v>
      </c>
      <c r="BQ76" s="107" t="e">
        <f t="shared" si="364"/>
        <v>#DIV/0!</v>
      </c>
      <c r="BR76" s="107" t="e">
        <f t="shared" si="364"/>
        <v>#DIV/0!</v>
      </c>
      <c r="BS76" s="107" t="e">
        <f t="shared" si="364"/>
        <v>#DIV/0!</v>
      </c>
      <c r="BT76" s="107" t="e">
        <f t="shared" si="364"/>
        <v>#DIV/0!</v>
      </c>
      <c r="BU76" s="107" t="e">
        <f t="shared" si="364"/>
        <v>#DIV/0!</v>
      </c>
      <c r="BV76" s="107" t="e">
        <f t="shared" si="364"/>
        <v>#DIV/0!</v>
      </c>
      <c r="BW76" s="107" t="e">
        <f t="shared" si="364"/>
        <v>#DIV/0!</v>
      </c>
      <c r="BX76" s="107" t="e">
        <f t="shared" si="364"/>
        <v>#DIV/0!</v>
      </c>
      <c r="BY76" s="107" t="e">
        <f t="shared" si="364"/>
        <v>#DIV/0!</v>
      </c>
      <c r="BZ76" s="107" t="e">
        <f t="shared" si="364"/>
        <v>#DIV/0!</v>
      </c>
      <c r="CA76" s="107" t="e">
        <f t="shared" si="364"/>
        <v>#DIV/0!</v>
      </c>
    </row>
    <row r="77" spans="1:79" s="90" customFormat="1" ht="19.5" thickBot="1">
      <c r="A77" s="12" t="s">
        <v>28</v>
      </c>
      <c r="B77" s="123">
        <v>1</v>
      </c>
      <c r="C77" s="123">
        <v>2</v>
      </c>
      <c r="D77" s="123">
        <v>3</v>
      </c>
      <c r="E77" s="123">
        <v>4</v>
      </c>
      <c r="F77" s="123">
        <v>2</v>
      </c>
      <c r="G77" s="123">
        <v>4</v>
      </c>
      <c r="H77" s="123"/>
      <c r="I77" s="123">
        <v>2</v>
      </c>
      <c r="J77" s="123">
        <v>1</v>
      </c>
      <c r="K77" s="123">
        <v>4</v>
      </c>
      <c r="L77" s="123">
        <v>4</v>
      </c>
      <c r="M77" s="123">
        <v>7</v>
      </c>
      <c r="N77" s="123">
        <v>6</v>
      </c>
      <c r="O77" s="123">
        <v>8</v>
      </c>
      <c r="P77" s="123">
        <v>5</v>
      </c>
      <c r="Q77" s="123">
        <v>3</v>
      </c>
      <c r="R77" s="123">
        <v>5</v>
      </c>
      <c r="S77" s="123">
        <v>6</v>
      </c>
      <c r="T77" s="123">
        <v>8</v>
      </c>
      <c r="U77" s="123">
        <v>6</v>
      </c>
      <c r="V77" s="123"/>
      <c r="W77" s="123">
        <v>7</v>
      </c>
      <c r="X77" s="123">
        <v>3</v>
      </c>
      <c r="Y77" s="123">
        <v>3</v>
      </c>
      <c r="Z77" s="123">
        <v>5</v>
      </c>
      <c r="AA77" s="123">
        <v>7</v>
      </c>
      <c r="AB77" s="123">
        <v>5</v>
      </c>
      <c r="AC77" s="123">
        <v>3</v>
      </c>
      <c r="AD77" s="123">
        <v>4</v>
      </c>
      <c r="AE77" s="123">
        <v>7</v>
      </c>
      <c r="AF77" s="123">
        <v>4</v>
      </c>
      <c r="AG77" s="123">
        <v>9</v>
      </c>
      <c r="AH77" s="123">
        <v>3</v>
      </c>
      <c r="AI77" s="123">
        <v>5</v>
      </c>
      <c r="AJ77" s="123">
        <v>9</v>
      </c>
      <c r="AK77" s="123">
        <v>1</v>
      </c>
      <c r="AL77" s="123">
        <v>6</v>
      </c>
      <c r="AM77" s="123">
        <v>2</v>
      </c>
      <c r="AN77" s="123">
        <v>3</v>
      </c>
      <c r="AO77" s="123">
        <v>0</v>
      </c>
      <c r="AP77" s="123">
        <v>3</v>
      </c>
      <c r="AQ77" s="123">
        <v>0</v>
      </c>
      <c r="AR77" s="123">
        <v>3</v>
      </c>
      <c r="AS77" s="123">
        <v>4</v>
      </c>
      <c r="AT77" s="123">
        <v>1</v>
      </c>
      <c r="AU77" s="123">
        <v>0</v>
      </c>
      <c r="AV77" s="123">
        <v>2</v>
      </c>
      <c r="AW77" s="123">
        <v>1</v>
      </c>
      <c r="AX77" s="123">
        <v>1</v>
      </c>
      <c r="AY77" s="123">
        <v>2</v>
      </c>
      <c r="AZ77" s="123">
        <v>4</v>
      </c>
      <c r="BA77" s="123">
        <v>2</v>
      </c>
      <c r="BB77" s="123">
        <v>2</v>
      </c>
      <c r="BC77" s="123">
        <v>0</v>
      </c>
      <c r="BD77" s="123">
        <v>2</v>
      </c>
      <c r="BE77" s="123">
        <v>1</v>
      </c>
      <c r="BF77" s="123">
        <v>4</v>
      </c>
      <c r="BG77" s="123">
        <v>2</v>
      </c>
      <c r="BH77" s="123">
        <v>0</v>
      </c>
      <c r="BI77" s="123">
        <v>4</v>
      </c>
      <c r="BJ77" s="123"/>
      <c r="BK77" s="211"/>
    </row>
    <row r="78" spans="1:79" ht="19.5" thickBot="1">
      <c r="A78" s="6"/>
      <c r="B78" s="3"/>
      <c r="C78" s="3"/>
      <c r="D78" s="3"/>
      <c r="E78" s="3"/>
      <c r="F78" s="114"/>
      <c r="G78" s="114"/>
      <c r="H78" s="114"/>
      <c r="I78" s="114"/>
      <c r="J78" s="3"/>
      <c r="K78" s="3"/>
      <c r="L78" s="3"/>
      <c r="M78" s="3"/>
      <c r="N78" s="3"/>
      <c r="O78" s="114"/>
      <c r="P78" s="114"/>
      <c r="Q78" s="114"/>
      <c r="R78" s="114"/>
      <c r="S78" s="114"/>
      <c r="T78" s="114"/>
      <c r="U78" s="114"/>
      <c r="V78" s="114"/>
      <c r="W78" s="3"/>
      <c r="X78" s="3"/>
      <c r="Y78" s="3"/>
      <c r="Z78" s="3"/>
      <c r="AA78" s="3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</row>
    <row r="79" spans="1:79" s="14" customFormat="1" ht="24" thickBot="1">
      <c r="A79" s="159" t="s">
        <v>3</v>
      </c>
      <c r="B79" s="102"/>
      <c r="C79" s="102"/>
      <c r="D79" s="102"/>
      <c r="E79" s="102"/>
      <c r="F79" s="103"/>
      <c r="G79" s="103"/>
      <c r="H79" s="103"/>
      <c r="I79" s="103"/>
      <c r="J79" s="102"/>
      <c r="K79" s="102"/>
      <c r="L79" s="102"/>
      <c r="M79" s="102"/>
      <c r="N79" s="102"/>
      <c r="O79" s="103"/>
      <c r="P79" s="103"/>
      <c r="Q79" s="103"/>
      <c r="R79" s="103"/>
      <c r="S79" s="103"/>
      <c r="T79" s="103"/>
      <c r="U79" s="103"/>
      <c r="V79" s="103"/>
      <c r="W79" s="102"/>
      <c r="X79" s="102"/>
      <c r="Y79" s="102"/>
      <c r="Z79" s="102"/>
      <c r="AA79" s="102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4"/>
    </row>
    <row r="80" spans="1:79" s="247" customFormat="1" ht="19.5" thickBot="1">
      <c r="A80" s="224" t="s">
        <v>20</v>
      </c>
      <c r="B80" s="227">
        <v>150</v>
      </c>
      <c r="C80" s="227">
        <v>150</v>
      </c>
      <c r="D80" s="227">
        <v>150</v>
      </c>
      <c r="E80" s="227">
        <v>150</v>
      </c>
      <c r="F80" s="227">
        <v>150</v>
      </c>
      <c r="G80" s="227">
        <v>150</v>
      </c>
      <c r="H80" s="227">
        <v>150</v>
      </c>
      <c r="I80" s="227">
        <v>150</v>
      </c>
      <c r="J80" s="227">
        <v>150</v>
      </c>
      <c r="K80" s="227">
        <v>150</v>
      </c>
      <c r="L80" s="227">
        <v>150</v>
      </c>
      <c r="M80" s="227">
        <v>150</v>
      </c>
      <c r="N80" s="227">
        <v>150</v>
      </c>
      <c r="O80" s="227">
        <v>150</v>
      </c>
      <c r="P80" s="227">
        <v>150</v>
      </c>
      <c r="Q80" s="227">
        <v>150</v>
      </c>
      <c r="R80" s="227">
        <v>150</v>
      </c>
      <c r="S80" s="227">
        <v>150</v>
      </c>
      <c r="T80" s="227">
        <v>150</v>
      </c>
      <c r="U80" s="227">
        <v>150</v>
      </c>
      <c r="V80" s="227">
        <v>150</v>
      </c>
      <c r="W80" s="227">
        <v>150</v>
      </c>
      <c r="X80" s="227">
        <v>150</v>
      </c>
      <c r="Y80" s="227">
        <v>150</v>
      </c>
      <c r="Z80" s="227">
        <v>150</v>
      </c>
      <c r="AA80" s="227">
        <v>150</v>
      </c>
      <c r="AB80" s="227">
        <v>150</v>
      </c>
      <c r="AC80" s="227">
        <v>150</v>
      </c>
      <c r="AD80" s="227">
        <v>150</v>
      </c>
      <c r="AE80" s="227">
        <v>150</v>
      </c>
      <c r="AF80" s="227">
        <v>150</v>
      </c>
      <c r="AG80" s="227">
        <v>150</v>
      </c>
      <c r="AH80" s="227">
        <v>150</v>
      </c>
      <c r="AI80" s="227">
        <v>150</v>
      </c>
      <c r="AJ80" s="227">
        <v>150</v>
      </c>
      <c r="AK80" s="227">
        <v>150</v>
      </c>
      <c r="AL80" s="227">
        <v>150</v>
      </c>
      <c r="AM80" s="227">
        <v>150</v>
      </c>
      <c r="AN80" s="227">
        <v>150</v>
      </c>
      <c r="AO80" s="227">
        <v>150</v>
      </c>
      <c r="AP80" s="227">
        <v>150</v>
      </c>
      <c r="AQ80" s="227">
        <v>150</v>
      </c>
      <c r="AR80" s="227">
        <v>150</v>
      </c>
      <c r="AS80" s="227">
        <v>150</v>
      </c>
      <c r="AT80" s="227">
        <v>150</v>
      </c>
      <c r="AU80" s="227">
        <v>150</v>
      </c>
      <c r="AV80" s="227">
        <v>150</v>
      </c>
      <c r="AW80" s="227">
        <v>150</v>
      </c>
      <c r="AX80" s="227">
        <v>150</v>
      </c>
      <c r="AY80" s="227">
        <v>150</v>
      </c>
      <c r="AZ80" s="227">
        <v>150</v>
      </c>
      <c r="BA80" s="227">
        <v>150</v>
      </c>
      <c r="BB80" s="227">
        <v>150</v>
      </c>
      <c r="BC80" s="227">
        <v>150</v>
      </c>
      <c r="BD80" s="227">
        <v>150</v>
      </c>
      <c r="BE80" s="227">
        <v>150</v>
      </c>
      <c r="BF80" s="227">
        <v>150</v>
      </c>
      <c r="BG80" s="227">
        <v>150</v>
      </c>
      <c r="BH80" s="227">
        <v>150</v>
      </c>
      <c r="BI80" s="227">
        <v>150</v>
      </c>
      <c r="BJ80" s="227">
        <v>150</v>
      </c>
      <c r="BK80" s="227">
        <v>150</v>
      </c>
      <c r="BL80" s="227">
        <v>150</v>
      </c>
      <c r="BM80" s="227">
        <v>150</v>
      </c>
      <c r="BN80" s="227">
        <v>150</v>
      </c>
      <c r="BO80" s="227">
        <v>150</v>
      </c>
      <c r="BP80" s="227">
        <v>150</v>
      </c>
      <c r="BQ80" s="227">
        <v>150</v>
      </c>
      <c r="BR80" s="227">
        <v>150</v>
      </c>
      <c r="BS80" s="227">
        <v>150</v>
      </c>
      <c r="BT80" s="227">
        <v>150</v>
      </c>
      <c r="BU80" s="227">
        <v>150</v>
      </c>
      <c r="BV80" s="227">
        <v>150</v>
      </c>
      <c r="BW80" s="227">
        <v>150</v>
      </c>
      <c r="BX80" s="227">
        <v>150</v>
      </c>
      <c r="BY80" s="227">
        <v>150</v>
      </c>
      <c r="BZ80" s="227">
        <v>150</v>
      </c>
      <c r="CA80" s="227">
        <v>150</v>
      </c>
    </row>
    <row r="81" spans="1:79" s="17" customFormat="1">
      <c r="A81" s="15" t="s">
        <v>22</v>
      </c>
      <c r="B81" s="20">
        <v>134</v>
      </c>
      <c r="C81" s="20">
        <v>134</v>
      </c>
      <c r="D81" s="20">
        <v>134</v>
      </c>
      <c r="E81" s="20">
        <v>134</v>
      </c>
      <c r="F81" s="20">
        <v>134</v>
      </c>
      <c r="G81" s="20">
        <v>134</v>
      </c>
      <c r="H81" s="20">
        <v>134</v>
      </c>
      <c r="I81" s="20">
        <v>134</v>
      </c>
      <c r="J81" s="20">
        <v>134</v>
      </c>
      <c r="K81" s="20">
        <v>134</v>
      </c>
      <c r="L81" s="20">
        <v>134</v>
      </c>
      <c r="M81" s="20">
        <v>134</v>
      </c>
      <c r="N81" s="20">
        <v>134</v>
      </c>
      <c r="O81" s="20">
        <v>134</v>
      </c>
      <c r="P81" s="20">
        <v>134</v>
      </c>
      <c r="Q81" s="20">
        <v>134</v>
      </c>
      <c r="R81" s="20">
        <v>134</v>
      </c>
      <c r="S81" s="20">
        <v>134</v>
      </c>
      <c r="T81" s="20">
        <v>134</v>
      </c>
      <c r="U81" s="20">
        <v>134</v>
      </c>
      <c r="V81" s="20">
        <v>134</v>
      </c>
      <c r="W81" s="20">
        <v>134</v>
      </c>
      <c r="X81" s="20">
        <v>134</v>
      </c>
      <c r="Y81" s="20">
        <v>134</v>
      </c>
      <c r="Z81" s="20">
        <v>134</v>
      </c>
      <c r="AA81" s="20">
        <v>134</v>
      </c>
      <c r="AB81" s="20">
        <v>134</v>
      </c>
      <c r="AC81" s="20">
        <v>134</v>
      </c>
      <c r="AD81" s="20">
        <v>134</v>
      </c>
      <c r="AE81" s="20">
        <v>134</v>
      </c>
      <c r="AF81" s="20">
        <v>134</v>
      </c>
      <c r="AG81" s="20">
        <v>134</v>
      </c>
      <c r="AH81" s="20">
        <v>134</v>
      </c>
      <c r="AI81" s="20">
        <v>134</v>
      </c>
      <c r="AJ81" s="20">
        <v>134</v>
      </c>
      <c r="AK81" s="20">
        <v>134</v>
      </c>
      <c r="AL81" s="20">
        <v>134</v>
      </c>
      <c r="AM81" s="20">
        <v>134</v>
      </c>
      <c r="AN81" s="20">
        <v>134</v>
      </c>
      <c r="AO81" s="20">
        <v>134</v>
      </c>
      <c r="AP81" s="20">
        <v>134</v>
      </c>
      <c r="AQ81" s="20">
        <v>134</v>
      </c>
      <c r="AR81" s="20">
        <v>134</v>
      </c>
      <c r="AS81" s="20">
        <v>134</v>
      </c>
      <c r="AT81" s="20">
        <v>134</v>
      </c>
      <c r="AU81" s="20">
        <v>134</v>
      </c>
      <c r="AV81" s="20">
        <v>135</v>
      </c>
      <c r="AW81" s="20">
        <v>135</v>
      </c>
      <c r="AX81" s="20">
        <v>135</v>
      </c>
      <c r="AY81" s="20">
        <v>135</v>
      </c>
      <c r="AZ81" s="20">
        <v>135</v>
      </c>
      <c r="BA81" s="20">
        <v>135</v>
      </c>
      <c r="BB81" s="20">
        <v>135</v>
      </c>
      <c r="BC81" s="20">
        <v>135</v>
      </c>
      <c r="BD81" s="20">
        <v>135</v>
      </c>
      <c r="BE81" s="20">
        <v>135</v>
      </c>
      <c r="BF81" s="20">
        <v>135</v>
      </c>
      <c r="BG81" s="20">
        <v>135</v>
      </c>
      <c r="BH81" s="20">
        <v>135</v>
      </c>
      <c r="BI81" s="20">
        <v>135</v>
      </c>
      <c r="BJ81" s="20">
        <v>135</v>
      </c>
      <c r="BK81" s="20">
        <v>135</v>
      </c>
      <c r="BL81" s="20">
        <v>135</v>
      </c>
      <c r="BM81" s="20">
        <v>135</v>
      </c>
      <c r="BN81" s="20">
        <v>135</v>
      </c>
      <c r="BO81" s="20">
        <v>135</v>
      </c>
      <c r="BP81" s="20">
        <v>135</v>
      </c>
      <c r="BQ81" s="20">
        <v>135</v>
      </c>
      <c r="BR81" s="20">
        <v>135</v>
      </c>
      <c r="BS81" s="20">
        <v>135</v>
      </c>
      <c r="BT81" s="20">
        <v>135</v>
      </c>
      <c r="BU81" s="20">
        <v>135</v>
      </c>
      <c r="BV81" s="20">
        <v>135</v>
      </c>
      <c r="BW81" s="20">
        <v>135</v>
      </c>
      <c r="BX81" s="20">
        <v>135</v>
      </c>
      <c r="BY81" s="20">
        <v>135</v>
      </c>
      <c r="BZ81" s="20">
        <v>135</v>
      </c>
      <c r="CA81" s="20">
        <v>135</v>
      </c>
    </row>
    <row r="82" spans="1:79" s="18" customFormat="1" ht="19.5" thickBot="1">
      <c r="A82" s="15" t="s">
        <v>21</v>
      </c>
      <c r="B82" s="20">
        <v>142</v>
      </c>
      <c r="C82" s="20">
        <v>142</v>
      </c>
      <c r="D82" s="20">
        <v>142</v>
      </c>
      <c r="E82" s="20">
        <v>142</v>
      </c>
      <c r="F82" s="20">
        <v>142</v>
      </c>
      <c r="G82" s="20">
        <v>142</v>
      </c>
      <c r="H82" s="20">
        <v>142</v>
      </c>
      <c r="I82" s="20">
        <v>142</v>
      </c>
      <c r="J82" s="20">
        <v>142</v>
      </c>
      <c r="K82" s="20">
        <v>142</v>
      </c>
      <c r="L82" s="20">
        <v>142</v>
      </c>
      <c r="M82" s="20">
        <v>142</v>
      </c>
      <c r="N82" s="20">
        <v>142</v>
      </c>
      <c r="O82" s="20">
        <v>142</v>
      </c>
      <c r="P82" s="20">
        <v>142</v>
      </c>
      <c r="Q82" s="20">
        <v>142</v>
      </c>
      <c r="R82" s="20">
        <v>142</v>
      </c>
      <c r="S82" s="20">
        <v>142</v>
      </c>
      <c r="T82" s="20">
        <v>142</v>
      </c>
      <c r="U82" s="20">
        <v>142</v>
      </c>
      <c r="V82" s="20">
        <v>142</v>
      </c>
      <c r="W82" s="20">
        <v>142</v>
      </c>
      <c r="X82" s="20">
        <v>142</v>
      </c>
      <c r="Y82" s="20">
        <v>142</v>
      </c>
      <c r="Z82" s="20">
        <v>142</v>
      </c>
      <c r="AA82" s="20">
        <v>142</v>
      </c>
      <c r="AB82" s="20">
        <v>142</v>
      </c>
      <c r="AC82" s="20">
        <v>142</v>
      </c>
      <c r="AD82" s="20">
        <v>142</v>
      </c>
      <c r="AE82" s="20">
        <v>142</v>
      </c>
      <c r="AF82" s="20">
        <v>142</v>
      </c>
      <c r="AG82" s="20">
        <v>142</v>
      </c>
      <c r="AH82" s="20">
        <v>142</v>
      </c>
      <c r="AI82" s="20">
        <v>142</v>
      </c>
      <c r="AJ82" s="20">
        <v>142</v>
      </c>
      <c r="AK82" s="20">
        <v>142</v>
      </c>
      <c r="AL82" s="20">
        <v>142</v>
      </c>
      <c r="AM82" s="20">
        <v>142</v>
      </c>
      <c r="AN82" s="20">
        <v>142</v>
      </c>
      <c r="AO82" s="20">
        <v>142</v>
      </c>
      <c r="AP82" s="20">
        <v>142</v>
      </c>
      <c r="AQ82" s="20">
        <v>142</v>
      </c>
      <c r="AR82" s="20">
        <v>142</v>
      </c>
      <c r="AS82" s="20">
        <v>142</v>
      </c>
      <c r="AT82" s="20">
        <v>142</v>
      </c>
      <c r="AU82" s="20">
        <v>142</v>
      </c>
      <c r="AV82" s="20">
        <v>159</v>
      </c>
      <c r="AW82" s="20">
        <v>159</v>
      </c>
      <c r="AX82" s="20">
        <v>159</v>
      </c>
      <c r="AY82" s="20">
        <v>159</v>
      </c>
      <c r="AZ82" s="20">
        <v>159</v>
      </c>
      <c r="BA82" s="20">
        <v>159</v>
      </c>
      <c r="BB82" s="20">
        <v>159</v>
      </c>
      <c r="BC82" s="20">
        <v>159</v>
      </c>
      <c r="BD82" s="20">
        <v>159</v>
      </c>
      <c r="BE82" s="20">
        <v>159</v>
      </c>
      <c r="BF82" s="20">
        <v>159</v>
      </c>
      <c r="BG82" s="20">
        <v>159</v>
      </c>
      <c r="BH82" s="20">
        <v>159</v>
      </c>
      <c r="BI82" s="20">
        <v>159</v>
      </c>
      <c r="BJ82" s="20">
        <v>159</v>
      </c>
      <c r="BK82" s="20">
        <v>159</v>
      </c>
      <c r="BL82" s="20">
        <v>159</v>
      </c>
      <c r="BM82" s="20">
        <v>159</v>
      </c>
      <c r="BN82" s="20">
        <v>159</v>
      </c>
      <c r="BO82" s="20">
        <v>159</v>
      </c>
      <c r="BP82" s="20">
        <v>159</v>
      </c>
      <c r="BQ82" s="20">
        <v>159</v>
      </c>
      <c r="BR82" s="20">
        <v>159</v>
      </c>
      <c r="BS82" s="20">
        <v>159</v>
      </c>
      <c r="BT82" s="20">
        <v>159</v>
      </c>
      <c r="BU82" s="20">
        <v>159</v>
      </c>
      <c r="BV82" s="20">
        <v>159</v>
      </c>
      <c r="BW82" s="20">
        <v>159</v>
      </c>
      <c r="BX82" s="20">
        <v>159</v>
      </c>
      <c r="BY82" s="20">
        <v>159</v>
      </c>
      <c r="BZ82" s="20">
        <v>159</v>
      </c>
      <c r="CA82" s="20">
        <v>159</v>
      </c>
    </row>
    <row r="83" spans="1:79" s="75" customFormat="1">
      <c r="A83" s="22" t="s">
        <v>36</v>
      </c>
      <c r="B83" s="122">
        <v>140</v>
      </c>
      <c r="C83" s="122">
        <v>141</v>
      </c>
      <c r="D83" s="122">
        <v>136.5</v>
      </c>
      <c r="E83" s="122">
        <v>136.5</v>
      </c>
      <c r="F83" s="122">
        <v>135.1</v>
      </c>
      <c r="G83" s="122">
        <v>137.30000000000001</v>
      </c>
      <c r="H83" s="122">
        <v>139</v>
      </c>
      <c r="I83" s="122">
        <v>131.80000000000001</v>
      </c>
      <c r="J83" s="122">
        <v>138.80000000000001</v>
      </c>
      <c r="K83" s="122">
        <v>133.4</v>
      </c>
      <c r="L83" s="122">
        <v>138.30000000000001</v>
      </c>
      <c r="M83" s="122">
        <v>137.1</v>
      </c>
      <c r="N83" s="122">
        <v>140.4</v>
      </c>
      <c r="O83" s="122">
        <v>138.4</v>
      </c>
      <c r="P83" s="122">
        <v>145.69999999999999</v>
      </c>
      <c r="Q83" s="122">
        <v>145.6</v>
      </c>
      <c r="R83" s="122">
        <v>149.69999999999999</v>
      </c>
      <c r="S83" s="122">
        <v>141.80000000000001</v>
      </c>
      <c r="T83" s="122">
        <v>139.4</v>
      </c>
      <c r="U83" s="122">
        <v>143.4</v>
      </c>
      <c r="V83" s="122">
        <v>140.4</v>
      </c>
      <c r="W83" s="122">
        <v>139.80000000000001</v>
      </c>
      <c r="X83" s="122">
        <v>142.5</v>
      </c>
      <c r="Y83" s="122">
        <v>131.5</v>
      </c>
      <c r="Z83" s="122">
        <v>142.5</v>
      </c>
      <c r="AA83" s="122">
        <v>134.5</v>
      </c>
      <c r="AB83" s="122">
        <v>140</v>
      </c>
      <c r="AC83" s="122">
        <v>144.6</v>
      </c>
      <c r="AD83" s="122">
        <v>142.1</v>
      </c>
      <c r="AE83" s="122">
        <v>144.9</v>
      </c>
      <c r="AF83" s="122">
        <v>142.19999999999999</v>
      </c>
      <c r="AG83" s="122">
        <v>138.6</v>
      </c>
      <c r="AH83" s="122">
        <v>141.30000000000001</v>
      </c>
      <c r="AI83" s="122">
        <v>139.1</v>
      </c>
      <c r="AJ83" s="122">
        <v>144.19999999999999</v>
      </c>
      <c r="AK83" s="122">
        <v>137.1</v>
      </c>
      <c r="AL83" s="122">
        <v>146.5</v>
      </c>
      <c r="AM83" s="122">
        <v>153.9</v>
      </c>
      <c r="AN83" s="122">
        <v>148.4</v>
      </c>
      <c r="AO83" s="122">
        <v>157</v>
      </c>
      <c r="AP83" s="122">
        <v>142.30000000000001</v>
      </c>
      <c r="AQ83" s="122">
        <v>144.4</v>
      </c>
      <c r="AR83" s="122">
        <v>151.30000000000001</v>
      </c>
      <c r="AS83" s="122">
        <v>155.6</v>
      </c>
      <c r="AT83" s="122">
        <v>150</v>
      </c>
      <c r="AU83" s="122">
        <v>163.69999999999999</v>
      </c>
      <c r="AV83" s="122">
        <v>158.69999999999999</v>
      </c>
      <c r="AW83" s="122">
        <v>154.69999999999999</v>
      </c>
      <c r="AX83" s="122">
        <v>144.4</v>
      </c>
      <c r="AY83" s="122">
        <v>150.9</v>
      </c>
      <c r="AZ83" s="122">
        <v>152.6</v>
      </c>
      <c r="BA83" s="122">
        <v>151.69999999999999</v>
      </c>
      <c r="BB83" s="122">
        <v>154.1</v>
      </c>
      <c r="BC83" s="122">
        <v>157.6</v>
      </c>
      <c r="BD83" s="122">
        <v>151.19999999999999</v>
      </c>
      <c r="BE83" s="122">
        <v>152.1</v>
      </c>
      <c r="BF83" s="122">
        <v>146.30000000000001</v>
      </c>
      <c r="BG83" s="122">
        <v>153.5</v>
      </c>
      <c r="BH83" s="122">
        <v>152.1</v>
      </c>
      <c r="BI83" s="122">
        <v>152.9</v>
      </c>
      <c r="BJ83" s="122"/>
      <c r="BK83" s="195"/>
    </row>
    <row r="84" spans="1:79" s="75" customFormat="1">
      <c r="A84" s="11" t="s">
        <v>41</v>
      </c>
      <c r="B84" s="122">
        <v>130</v>
      </c>
      <c r="C84" s="122"/>
      <c r="D84" s="122">
        <v>129.69999999999999</v>
      </c>
      <c r="E84" s="122">
        <v>130.4</v>
      </c>
      <c r="F84" s="122">
        <v>127.8</v>
      </c>
      <c r="G84" s="122">
        <v>128.80000000000001</v>
      </c>
      <c r="H84" s="122">
        <v>130</v>
      </c>
      <c r="I84" s="122">
        <v>122.9</v>
      </c>
      <c r="J84" s="122">
        <v>125.5</v>
      </c>
      <c r="K84" s="122">
        <v>127.6</v>
      </c>
      <c r="L84" s="122">
        <v>125</v>
      </c>
      <c r="M84" s="122">
        <v>125.5</v>
      </c>
      <c r="N84" s="122">
        <v>120</v>
      </c>
      <c r="O84" s="122">
        <v>128</v>
      </c>
      <c r="P84" s="122">
        <v>128</v>
      </c>
      <c r="Q84" s="122">
        <v>129</v>
      </c>
      <c r="R84" s="122"/>
      <c r="S84" s="122">
        <v>124.3</v>
      </c>
      <c r="T84" s="122">
        <v>128</v>
      </c>
      <c r="U84" s="122">
        <v>127.5</v>
      </c>
      <c r="V84" s="122">
        <v>127.5</v>
      </c>
      <c r="W84" s="122">
        <v>125.5</v>
      </c>
      <c r="X84" s="122">
        <v>127</v>
      </c>
      <c r="Y84" s="122">
        <v>126.8</v>
      </c>
      <c r="Z84" s="122">
        <v>133.5</v>
      </c>
      <c r="AA84" s="122">
        <v>118.5</v>
      </c>
      <c r="AB84" s="122">
        <v>129</v>
      </c>
      <c r="AC84" s="122">
        <v>131</v>
      </c>
      <c r="AD84" s="122">
        <v>131</v>
      </c>
      <c r="AE84" s="122">
        <v>132</v>
      </c>
      <c r="AF84" s="122">
        <v>133</v>
      </c>
      <c r="AG84" s="122">
        <v>126.3</v>
      </c>
      <c r="AH84" s="122">
        <v>126</v>
      </c>
      <c r="AI84" s="122">
        <v>125</v>
      </c>
      <c r="AJ84" s="122">
        <v>131</v>
      </c>
      <c r="AK84" s="122">
        <v>130.30000000000001</v>
      </c>
      <c r="AL84" s="122">
        <v>125</v>
      </c>
      <c r="AM84" s="122"/>
      <c r="AN84" s="122">
        <v>129</v>
      </c>
      <c r="AO84" s="122"/>
      <c r="AP84" s="122">
        <v>130.5</v>
      </c>
      <c r="AQ84" s="122">
        <v>129.5</v>
      </c>
      <c r="AR84" s="122"/>
      <c r="AS84" s="122"/>
      <c r="AT84" s="122"/>
      <c r="AU84" s="122"/>
      <c r="AV84" s="122"/>
      <c r="AW84" s="122">
        <v>143</v>
      </c>
      <c r="AX84" s="122">
        <v>140.80000000000001</v>
      </c>
      <c r="AY84" s="122">
        <v>139</v>
      </c>
      <c r="AZ84" s="122"/>
      <c r="BA84" s="122">
        <v>129</v>
      </c>
      <c r="BB84" s="122"/>
      <c r="BC84" s="122"/>
      <c r="BD84" s="122"/>
      <c r="BE84" s="122"/>
      <c r="BF84" s="122">
        <v>133</v>
      </c>
      <c r="BG84" s="122"/>
      <c r="BH84" s="122">
        <v>134</v>
      </c>
      <c r="BI84" s="122"/>
      <c r="BJ84" s="122"/>
      <c r="BK84" s="195"/>
    </row>
    <row r="85" spans="1:79" s="75" customFormat="1">
      <c r="A85" s="11" t="s">
        <v>42</v>
      </c>
      <c r="B85" s="122">
        <v>152</v>
      </c>
      <c r="C85" s="122">
        <v>145.69999999999999</v>
      </c>
      <c r="D85" s="122">
        <v>143</v>
      </c>
      <c r="E85" s="122">
        <v>152</v>
      </c>
      <c r="F85" s="122">
        <v>146.19999999999999</v>
      </c>
      <c r="G85" s="122">
        <v>146.80000000000001</v>
      </c>
      <c r="H85" s="122">
        <v>144.30000000000001</v>
      </c>
      <c r="I85" s="122">
        <v>147.69999999999999</v>
      </c>
      <c r="J85" s="122">
        <v>147.19999999999999</v>
      </c>
      <c r="K85" s="122">
        <v>146.5</v>
      </c>
      <c r="L85" s="122">
        <v>146.69999999999999</v>
      </c>
      <c r="M85" s="122">
        <v>151</v>
      </c>
      <c r="N85" s="122">
        <v>152.30000000000001</v>
      </c>
      <c r="O85" s="122">
        <v>147.19999999999999</v>
      </c>
      <c r="P85" s="122">
        <v>150.30000000000001</v>
      </c>
      <c r="Q85" s="122">
        <v>153.19999999999999</v>
      </c>
      <c r="R85" s="122">
        <v>157.4</v>
      </c>
      <c r="S85" s="122">
        <v>150.69999999999999</v>
      </c>
      <c r="T85" s="122">
        <v>151.80000000000001</v>
      </c>
      <c r="U85" s="122">
        <v>152.80000000000001</v>
      </c>
      <c r="V85" s="122">
        <v>149.69999999999999</v>
      </c>
      <c r="W85" s="122">
        <v>147.4</v>
      </c>
      <c r="X85" s="122">
        <v>150.80000000000001</v>
      </c>
      <c r="Y85" s="122"/>
      <c r="Z85" s="122">
        <v>151.4</v>
      </c>
      <c r="AA85" s="122">
        <v>152.30000000000001</v>
      </c>
      <c r="AB85" s="122">
        <v>147.80000000000001</v>
      </c>
      <c r="AC85" s="122">
        <v>149.30000000000001</v>
      </c>
      <c r="AD85" s="122">
        <v>147.80000000000001</v>
      </c>
      <c r="AE85" s="122">
        <v>150.6</v>
      </c>
      <c r="AF85" s="122">
        <v>150</v>
      </c>
      <c r="AG85" s="122">
        <v>147.19999999999999</v>
      </c>
      <c r="AH85" s="122">
        <v>146.30000000000001</v>
      </c>
      <c r="AI85" s="122">
        <v>148.4</v>
      </c>
      <c r="AJ85" s="122">
        <v>146.9</v>
      </c>
      <c r="AK85" s="122">
        <v>149.5</v>
      </c>
      <c r="AL85" s="122">
        <v>153.6</v>
      </c>
      <c r="AM85" s="122">
        <v>153.9</v>
      </c>
      <c r="AN85" s="122">
        <v>151.1</v>
      </c>
      <c r="AO85" s="122">
        <v>157</v>
      </c>
      <c r="AP85" s="122">
        <v>148.4</v>
      </c>
      <c r="AQ85" s="122">
        <v>152.4</v>
      </c>
      <c r="AR85" s="122">
        <v>153.6</v>
      </c>
      <c r="AS85" s="122">
        <v>157.1</v>
      </c>
      <c r="AT85" s="122">
        <v>155.1</v>
      </c>
      <c r="AU85" s="122">
        <v>164.8</v>
      </c>
      <c r="AV85" s="122">
        <v>161.6</v>
      </c>
      <c r="AW85" s="122">
        <v>163</v>
      </c>
      <c r="AX85" s="122"/>
      <c r="AY85" s="122">
        <v>158.4</v>
      </c>
      <c r="AZ85" s="122">
        <v>160.69999999999999</v>
      </c>
      <c r="BA85" s="122">
        <v>164.5</v>
      </c>
      <c r="BB85" s="122">
        <v>164</v>
      </c>
      <c r="BC85" s="122">
        <v>163.69999999999999</v>
      </c>
      <c r="BD85" s="122">
        <v>169</v>
      </c>
      <c r="BE85" s="122">
        <v>171</v>
      </c>
      <c r="BF85" s="122">
        <v>160</v>
      </c>
      <c r="BG85" s="122">
        <v>163.69999999999999</v>
      </c>
      <c r="BH85" s="122">
        <v>167</v>
      </c>
      <c r="BI85" s="122">
        <v>163.69999999999999</v>
      </c>
      <c r="BJ85" s="122"/>
      <c r="BK85" s="195"/>
    </row>
    <row r="86" spans="1:79" s="162" customFormat="1">
      <c r="A86" s="163" t="s">
        <v>48</v>
      </c>
      <c r="B86" s="86"/>
      <c r="C86" s="86"/>
      <c r="D86" s="164">
        <v>0.76</v>
      </c>
      <c r="E86" s="164">
        <v>0.76</v>
      </c>
      <c r="F86" s="164">
        <v>0.76</v>
      </c>
      <c r="G86" s="164">
        <v>0.76</v>
      </c>
      <c r="H86" s="164">
        <v>0.76</v>
      </c>
      <c r="I86" s="164">
        <v>0.76</v>
      </c>
      <c r="J86" s="164">
        <v>0.76</v>
      </c>
      <c r="K86" s="164">
        <v>0.76</v>
      </c>
      <c r="L86" s="164">
        <v>0.76</v>
      </c>
      <c r="M86" s="164">
        <v>0.76</v>
      </c>
      <c r="N86" s="164">
        <v>0.76</v>
      </c>
      <c r="O86" s="164">
        <v>0.76</v>
      </c>
      <c r="P86" s="164">
        <v>0.76</v>
      </c>
      <c r="Q86" s="164">
        <v>0.76</v>
      </c>
      <c r="R86" s="164">
        <v>0.76</v>
      </c>
      <c r="S86" s="164">
        <v>0.76</v>
      </c>
      <c r="T86" s="164">
        <v>0.76</v>
      </c>
      <c r="U86" s="164">
        <v>0.76</v>
      </c>
      <c r="V86" s="164">
        <v>0.76</v>
      </c>
      <c r="W86" s="164">
        <v>0.76</v>
      </c>
      <c r="X86" s="164">
        <v>0.76</v>
      </c>
      <c r="Y86" s="164">
        <v>0.76</v>
      </c>
      <c r="Z86" s="164">
        <v>0.76</v>
      </c>
      <c r="AA86" s="164">
        <v>0.76</v>
      </c>
      <c r="AB86" s="164">
        <v>0.76</v>
      </c>
      <c r="AC86" s="164">
        <v>0.76</v>
      </c>
      <c r="AD86" s="164">
        <v>0.76</v>
      </c>
      <c r="AE86" s="164">
        <v>0.76</v>
      </c>
      <c r="AF86" s="164">
        <v>0.76</v>
      </c>
      <c r="AG86" s="164">
        <v>0.76</v>
      </c>
      <c r="AH86" s="164">
        <v>0.76</v>
      </c>
      <c r="AI86" s="164">
        <v>0.76</v>
      </c>
      <c r="AJ86" s="164">
        <v>0.76</v>
      </c>
      <c r="AK86" s="164">
        <v>0.76</v>
      </c>
      <c r="AL86" s="164">
        <v>0.76</v>
      </c>
      <c r="AM86" s="164">
        <v>0.76</v>
      </c>
      <c r="AN86" s="164">
        <v>0.76</v>
      </c>
      <c r="AO86" s="164">
        <v>0.76</v>
      </c>
      <c r="AP86" s="164">
        <v>0.76</v>
      </c>
      <c r="AQ86" s="164">
        <v>0.76</v>
      </c>
      <c r="AR86" s="164">
        <v>0.76</v>
      </c>
      <c r="AS86" s="164">
        <v>0.76</v>
      </c>
      <c r="AT86" s="164">
        <v>0.76</v>
      </c>
      <c r="AU86" s="164">
        <v>0.76</v>
      </c>
      <c r="AV86" s="164">
        <v>0.76</v>
      </c>
      <c r="AW86" s="164">
        <v>0.76</v>
      </c>
      <c r="AX86" s="164">
        <v>0.76</v>
      </c>
      <c r="AY86" s="164">
        <v>0.76</v>
      </c>
      <c r="AZ86" s="164">
        <v>0.76</v>
      </c>
      <c r="BA86" s="164">
        <v>0.76</v>
      </c>
      <c r="BB86" s="164">
        <v>0.76</v>
      </c>
      <c r="BC86" s="164">
        <v>0.76</v>
      </c>
      <c r="BD86" s="164">
        <v>0.76</v>
      </c>
      <c r="BE86" s="164">
        <v>0.76</v>
      </c>
      <c r="BF86" s="164">
        <v>0.76</v>
      </c>
      <c r="BG86" s="164">
        <v>0.76</v>
      </c>
      <c r="BH86" s="164">
        <v>0.76</v>
      </c>
      <c r="BI86" s="164">
        <v>0.76</v>
      </c>
      <c r="BJ86" s="164">
        <v>0.76</v>
      </c>
      <c r="BK86" s="178">
        <v>0.76</v>
      </c>
      <c r="BL86" s="178">
        <v>0.76</v>
      </c>
      <c r="BM86" s="178">
        <v>0.76</v>
      </c>
      <c r="BN86" s="178">
        <v>0.76</v>
      </c>
      <c r="BO86" s="178">
        <v>0.76</v>
      </c>
      <c r="BP86" s="178">
        <v>0.76</v>
      </c>
      <c r="BQ86" s="178">
        <v>0.76</v>
      </c>
      <c r="BR86" s="178">
        <v>0.76</v>
      </c>
      <c r="BS86" s="178">
        <v>0.76</v>
      </c>
      <c r="BT86" s="178">
        <v>0.76</v>
      </c>
      <c r="BU86" s="178">
        <v>0.76</v>
      </c>
      <c r="BV86" s="178">
        <v>0.76</v>
      </c>
      <c r="BW86" s="178">
        <v>0.76</v>
      </c>
      <c r="BX86" s="178">
        <v>0.76</v>
      </c>
      <c r="BY86" s="178">
        <v>0.76</v>
      </c>
      <c r="BZ86" s="178">
        <v>0.76</v>
      </c>
      <c r="CA86" s="178">
        <v>0.76</v>
      </c>
    </row>
    <row r="87" spans="1:79" s="161" customFormat="1">
      <c r="A87" s="163" t="s">
        <v>52</v>
      </c>
      <c r="B87" s="160"/>
      <c r="C87" s="160"/>
      <c r="D87" s="160"/>
      <c r="E87" s="160">
        <f t="shared" ref="E87:AE87" si="365">(E83-B65)/21</f>
        <v>0.84761904761904749</v>
      </c>
      <c r="F87" s="160">
        <f t="shared" si="365"/>
        <v>0.83333333333333337</v>
      </c>
      <c r="G87" s="160">
        <f t="shared" si="365"/>
        <v>1.0047619047619052</v>
      </c>
      <c r="H87" s="160">
        <f t="shared" si="365"/>
        <v>1</v>
      </c>
      <c r="I87" s="160">
        <f t="shared" si="365"/>
        <v>0.48571428571428654</v>
      </c>
      <c r="J87" s="160">
        <f t="shared" si="365"/>
        <v>1.1285714285714294</v>
      </c>
      <c r="K87" s="160">
        <f t="shared" si="365"/>
        <v>0.91904761904761956</v>
      </c>
      <c r="L87" s="160">
        <f t="shared" si="365"/>
        <v>0.95238095238095311</v>
      </c>
      <c r="M87" s="160">
        <f t="shared" si="365"/>
        <v>0.7761904761904761</v>
      </c>
      <c r="N87" s="160">
        <f t="shared" si="365"/>
        <v>0.97142857142857175</v>
      </c>
      <c r="O87" s="160">
        <f t="shared" si="365"/>
        <v>0.88095238095238093</v>
      </c>
      <c r="P87" s="160">
        <f t="shared" si="365"/>
        <v>1.009523809523809</v>
      </c>
      <c r="Q87" s="160">
        <f t="shared" si="365"/>
        <v>0.88095238095238093</v>
      </c>
      <c r="R87" s="160">
        <f t="shared" si="365"/>
        <v>0.89523809523809439</v>
      </c>
      <c r="S87" s="160">
        <f t="shared" si="365"/>
        <v>0.91904761904761956</v>
      </c>
      <c r="T87" s="160">
        <f t="shared" si="365"/>
        <v>0.90952380952380996</v>
      </c>
      <c r="U87" s="160">
        <f t="shared" si="365"/>
        <v>0.80000000000000049</v>
      </c>
      <c r="V87" s="160">
        <f t="shared" si="365"/>
        <v>0.70000000000000018</v>
      </c>
      <c r="W87" s="160">
        <f t="shared" si="365"/>
        <v>0.67142857142857182</v>
      </c>
      <c r="X87" s="160">
        <f t="shared" si="365"/>
        <v>0.78095238095238118</v>
      </c>
      <c r="Y87" s="160">
        <f t="shared" si="365"/>
        <v>0.70952380952380978</v>
      </c>
      <c r="Z87" s="160">
        <f t="shared" si="365"/>
        <v>0.81428571428571406</v>
      </c>
      <c r="AA87" s="160">
        <f t="shared" si="365"/>
        <v>0.7238095238095239</v>
      </c>
      <c r="AB87" s="160">
        <f t="shared" si="365"/>
        <v>0.76666666666666639</v>
      </c>
      <c r="AC87" s="160">
        <f t="shared" si="365"/>
        <v>1.0047619047619045</v>
      </c>
      <c r="AD87" s="160">
        <f t="shared" si="365"/>
        <v>0.74761904761904707</v>
      </c>
      <c r="AE87" s="160">
        <f t="shared" si="365"/>
        <v>0.98095238095238135</v>
      </c>
      <c r="AF87" s="160">
        <f>(AF83-AC65)/21</f>
        <v>0.8333333333333327</v>
      </c>
      <c r="AG87" s="160">
        <f t="shared" ref="AG87:AI87" si="366">(AG83-AD65)/21</f>
        <v>0.87142857142857133</v>
      </c>
      <c r="AH87" s="160">
        <f t="shared" si="366"/>
        <v>0.64285714285714357</v>
      </c>
      <c r="AI87" s="160">
        <f t="shared" si="366"/>
        <v>0.81904761904761847</v>
      </c>
      <c r="AJ87" s="160">
        <v>0.71</v>
      </c>
      <c r="AK87" s="160">
        <v>0.63200000000000001</v>
      </c>
      <c r="AL87" s="160">
        <v>1.087</v>
      </c>
      <c r="AM87" s="160">
        <v>1.0820000000000001</v>
      </c>
      <c r="AN87" s="160">
        <v>1.405</v>
      </c>
      <c r="AO87" s="160">
        <v>1.302</v>
      </c>
      <c r="AP87" s="160">
        <v>1.131</v>
      </c>
      <c r="AQ87" s="160">
        <v>1.137</v>
      </c>
      <c r="AR87" s="160">
        <v>1.155</v>
      </c>
      <c r="AS87" s="160">
        <v>1.167</v>
      </c>
      <c r="AT87" s="160">
        <v>1.087</v>
      </c>
      <c r="AU87" s="160">
        <v>1.325</v>
      </c>
      <c r="AV87" s="160">
        <v>1.0289999999999999</v>
      </c>
      <c r="AW87" s="160">
        <v>1.0169999999999999</v>
      </c>
      <c r="AX87" s="160">
        <v>0.748</v>
      </c>
      <c r="AY87" s="160">
        <v>0.96899999999999997</v>
      </c>
      <c r="AZ87" s="160">
        <v>1.04</v>
      </c>
      <c r="BA87" s="160">
        <v>1.171</v>
      </c>
      <c r="BB87" s="160">
        <v>1.044</v>
      </c>
      <c r="BC87" s="160">
        <v>1.024</v>
      </c>
      <c r="BD87" s="160">
        <v>0.81299999999999994</v>
      </c>
      <c r="BE87" s="160">
        <v>0.99299999999999999</v>
      </c>
      <c r="BF87" s="160">
        <v>0.82899999999999996</v>
      </c>
      <c r="BG87" s="160">
        <v>1.004</v>
      </c>
      <c r="BH87" s="160">
        <v>1</v>
      </c>
      <c r="BI87" s="160">
        <v>0.88500000000000001</v>
      </c>
      <c r="BJ87" s="160"/>
      <c r="BK87" s="179"/>
    </row>
    <row r="88" spans="1:79" s="75" customFormat="1">
      <c r="A88" s="163" t="s">
        <v>53</v>
      </c>
      <c r="B88" s="122">
        <v>0.57099999999999995</v>
      </c>
      <c r="C88" s="122">
        <v>0.68700000000000006</v>
      </c>
      <c r="D88" s="122">
        <v>0.67900000000000005</v>
      </c>
      <c r="E88" s="122">
        <v>0.69</v>
      </c>
      <c r="F88" s="122">
        <v>0.71399999999999997</v>
      </c>
      <c r="G88" s="122">
        <v>0.66700000000000004</v>
      </c>
      <c r="H88" s="122">
        <v>0.68300000000000005</v>
      </c>
      <c r="I88" s="122">
        <v>0.69</v>
      </c>
      <c r="J88" s="122">
        <v>0.66700000000000004</v>
      </c>
      <c r="K88" s="122">
        <v>0.71399999999999997</v>
      </c>
      <c r="L88" s="122">
        <v>0.71399999999999997</v>
      </c>
      <c r="M88" s="122">
        <v>0.68300000000000005</v>
      </c>
      <c r="N88" s="122">
        <v>0.64300000000000002</v>
      </c>
      <c r="O88" s="122">
        <v>0.55600000000000005</v>
      </c>
      <c r="P88" s="122"/>
      <c r="Q88" s="122">
        <v>0.66700000000000004</v>
      </c>
      <c r="R88" s="122">
        <v>0.61899999999999999</v>
      </c>
      <c r="S88" s="122">
        <v>0.59499999999999997</v>
      </c>
      <c r="T88" s="122">
        <v>0.68300000000000005</v>
      </c>
      <c r="U88" s="122">
        <v>0.71399999999999997</v>
      </c>
      <c r="V88" s="122">
        <v>0.55600000000000005</v>
      </c>
      <c r="W88" s="122">
        <v>0.59299999999999997</v>
      </c>
      <c r="X88" s="122">
        <v>0.6</v>
      </c>
      <c r="Y88" s="122">
        <v>0.56200000000000006</v>
      </c>
      <c r="Z88" s="122">
        <v>0.59499999999999997</v>
      </c>
      <c r="AA88" s="122">
        <v>0.59499999999999997</v>
      </c>
      <c r="AB88" s="122">
        <v>0.64800000000000002</v>
      </c>
      <c r="AC88" s="122"/>
      <c r="AD88" s="122">
        <v>0.59</v>
      </c>
      <c r="AE88" s="122">
        <v>0.57099999999999995</v>
      </c>
      <c r="AF88" s="122">
        <v>0.64300000000000002</v>
      </c>
      <c r="AG88" s="122">
        <v>0.71399999999999997</v>
      </c>
      <c r="AH88" s="122">
        <v>0.61</v>
      </c>
      <c r="AI88" s="122">
        <v>0.63100000000000001</v>
      </c>
      <c r="AJ88" s="122">
        <v>0.57799999999999996</v>
      </c>
      <c r="AK88" s="122">
        <v>0.61899999999999999</v>
      </c>
      <c r="AL88" s="122"/>
      <c r="AM88" s="122">
        <v>0.66700000000000004</v>
      </c>
      <c r="AN88" s="122"/>
      <c r="AO88" s="122"/>
      <c r="AP88" s="122"/>
      <c r="AQ88" s="122"/>
      <c r="AR88" s="122"/>
      <c r="AS88" s="122"/>
      <c r="AT88" s="122"/>
      <c r="AU88" s="122"/>
      <c r="AV88" s="122">
        <v>0.66700000000000004</v>
      </c>
      <c r="AW88" s="122">
        <v>0.69</v>
      </c>
      <c r="AX88" s="122">
        <v>0.63100000000000001</v>
      </c>
      <c r="AY88" s="122"/>
      <c r="AZ88" s="122"/>
      <c r="BA88" s="122"/>
      <c r="BB88" s="122"/>
      <c r="BC88" s="122"/>
      <c r="BD88" s="122">
        <v>0.67900000000000005</v>
      </c>
      <c r="BE88" s="122">
        <v>0.64300000000000002</v>
      </c>
      <c r="BF88" s="122">
        <v>0.71399999999999997</v>
      </c>
      <c r="BG88" s="122"/>
      <c r="BH88" s="122">
        <v>0.69799999999999995</v>
      </c>
      <c r="BI88" s="122">
        <v>0.69</v>
      </c>
      <c r="BJ88" s="122"/>
      <c r="BK88" s="195"/>
    </row>
    <row r="89" spans="1:79" s="75" customFormat="1">
      <c r="A89" s="163" t="s">
        <v>54</v>
      </c>
      <c r="B89" s="122">
        <v>0.873</v>
      </c>
      <c r="C89" s="122">
        <v>0.86399999999999999</v>
      </c>
      <c r="D89" s="122">
        <v>0.92600000000000005</v>
      </c>
      <c r="E89" s="122">
        <v>0.94799999999999995</v>
      </c>
      <c r="F89" s="122">
        <v>0.93300000000000005</v>
      </c>
      <c r="G89" s="122">
        <v>0.93899999999999995</v>
      </c>
      <c r="H89" s="122">
        <v>0.86599999999999999</v>
      </c>
      <c r="I89" s="122">
        <v>0.84699999999999998</v>
      </c>
      <c r="J89" s="122">
        <v>0.92900000000000005</v>
      </c>
      <c r="K89" s="122">
        <v>0.93700000000000006</v>
      </c>
      <c r="L89" s="122">
        <v>1</v>
      </c>
      <c r="M89" s="122">
        <v>0.82499999999999996</v>
      </c>
      <c r="N89" s="122">
        <v>1.028</v>
      </c>
      <c r="O89" s="122">
        <v>0.97599999999999998</v>
      </c>
      <c r="P89" s="122">
        <v>1.0069999999999999</v>
      </c>
      <c r="Q89" s="122">
        <v>0.97299999999999998</v>
      </c>
      <c r="R89" s="122">
        <v>0.94799999999999995</v>
      </c>
      <c r="S89" s="122">
        <v>1.129</v>
      </c>
      <c r="T89" s="122">
        <v>0.98399999999999999</v>
      </c>
      <c r="U89" s="122">
        <v>0.82499999999999996</v>
      </c>
      <c r="V89" s="122">
        <v>0.84899999999999998</v>
      </c>
      <c r="W89" s="122">
        <v>0.90500000000000003</v>
      </c>
      <c r="X89" s="122">
        <v>0.96199999999999997</v>
      </c>
      <c r="Y89" s="122">
        <v>0.85699999999999998</v>
      </c>
      <c r="Z89" s="122">
        <v>0.86799999999999999</v>
      </c>
      <c r="AA89" s="122">
        <v>0.80300000000000005</v>
      </c>
      <c r="AB89" s="122">
        <v>0.88600000000000001</v>
      </c>
      <c r="AC89" s="122">
        <v>1.0089999999999999</v>
      </c>
      <c r="AD89" s="122">
        <v>0.88100000000000001</v>
      </c>
      <c r="AE89" s="122">
        <v>1.03</v>
      </c>
      <c r="AF89" s="122">
        <v>0.873</v>
      </c>
      <c r="AG89" s="122">
        <v>0.92900000000000005</v>
      </c>
      <c r="AH89" s="122">
        <v>0.78600000000000003</v>
      </c>
      <c r="AI89" s="122">
        <v>0.91100000000000003</v>
      </c>
      <c r="AJ89" s="122">
        <v>0.89500000000000002</v>
      </c>
      <c r="AK89" s="122">
        <v>0.76200000000000001</v>
      </c>
      <c r="AL89" s="122">
        <v>1.0900000000000001</v>
      </c>
      <c r="AM89" s="122">
        <v>1.1240000000000001</v>
      </c>
      <c r="AN89" s="122">
        <v>1.405</v>
      </c>
      <c r="AO89" s="122">
        <v>1.302</v>
      </c>
      <c r="AP89" s="122">
        <v>1.131</v>
      </c>
      <c r="AQ89" s="122">
        <v>1.137</v>
      </c>
      <c r="AR89" s="122">
        <v>1.155</v>
      </c>
      <c r="AS89" s="122">
        <v>1.167</v>
      </c>
      <c r="AT89" s="122">
        <v>1.087</v>
      </c>
      <c r="AU89" s="122">
        <v>1.325</v>
      </c>
      <c r="AV89" s="122">
        <v>1.095</v>
      </c>
      <c r="AW89" s="122">
        <v>1.109</v>
      </c>
      <c r="AX89" s="122">
        <v>0.83099999999999996</v>
      </c>
      <c r="AY89" s="122">
        <v>0.97299999999999998</v>
      </c>
      <c r="AZ89" s="122">
        <v>1.04</v>
      </c>
      <c r="BA89" s="122">
        <v>1.171</v>
      </c>
      <c r="BB89" s="122">
        <v>1.044</v>
      </c>
      <c r="BC89" s="122">
        <v>1.024</v>
      </c>
      <c r="BD89" s="122">
        <v>0.88100000000000001</v>
      </c>
      <c r="BE89" s="122">
        <v>1.052</v>
      </c>
      <c r="BF89" s="122">
        <v>0.878</v>
      </c>
      <c r="BG89" s="122">
        <v>1.004</v>
      </c>
      <c r="BH89" s="122">
        <v>1.133</v>
      </c>
      <c r="BI89" s="122">
        <v>0.92400000000000004</v>
      </c>
      <c r="BJ89" s="122"/>
      <c r="BK89" s="195"/>
    </row>
    <row r="90" spans="1:79" s="2" customFormat="1">
      <c r="A90" s="11" t="s">
        <v>23</v>
      </c>
      <c r="B90" s="106">
        <f>B91/(SUM(B91,B93,B95))</f>
        <v>0.2857142857142857</v>
      </c>
      <c r="C90" s="106">
        <f t="shared" ref="C90:X90" si="367">C91/(SUM(C91,C93,C95))</f>
        <v>0</v>
      </c>
      <c r="D90" s="106">
        <f t="shared" si="367"/>
        <v>0.23076923076923078</v>
      </c>
      <c r="E90" s="106">
        <f t="shared" si="367"/>
        <v>0.38461538461538464</v>
      </c>
      <c r="F90" s="106">
        <f t="shared" si="367"/>
        <v>0.5714285714285714</v>
      </c>
      <c r="G90" s="106">
        <f t="shared" si="367"/>
        <v>0.41666666666666669</v>
      </c>
      <c r="H90" s="106">
        <f t="shared" si="367"/>
        <v>0.21428571428571427</v>
      </c>
      <c r="I90" s="106">
        <f t="shared" si="367"/>
        <v>0.53846153846153844</v>
      </c>
      <c r="J90" s="106">
        <f t="shared" si="367"/>
        <v>0.23076923076923078</v>
      </c>
      <c r="K90" s="106">
        <f t="shared" si="367"/>
        <v>0.61538461538461542</v>
      </c>
      <c r="L90" s="106">
        <f t="shared" si="367"/>
        <v>8.3333333333333329E-2</v>
      </c>
      <c r="M90" s="106">
        <f t="shared" si="367"/>
        <v>0.22222222222222221</v>
      </c>
      <c r="N90" s="106">
        <f t="shared" si="367"/>
        <v>0.21428571428571427</v>
      </c>
      <c r="O90" s="106">
        <f t="shared" si="367"/>
        <v>0.30769230769230771</v>
      </c>
      <c r="P90" s="106">
        <f t="shared" si="367"/>
        <v>7.6923076923076927E-2</v>
      </c>
      <c r="Q90" s="106">
        <f t="shared" si="367"/>
        <v>0.2</v>
      </c>
      <c r="R90" s="106">
        <f t="shared" si="367"/>
        <v>0</v>
      </c>
      <c r="S90" s="106">
        <f t="shared" si="367"/>
        <v>0.25</v>
      </c>
      <c r="T90" s="106">
        <f t="shared" si="367"/>
        <v>0.41666666666666669</v>
      </c>
      <c r="U90" s="106">
        <f t="shared" si="367"/>
        <v>0.25</v>
      </c>
      <c r="V90" s="106">
        <f t="shared" si="367"/>
        <v>0.33333333333333331</v>
      </c>
      <c r="W90" s="106">
        <f t="shared" si="367"/>
        <v>0.16666666666666666</v>
      </c>
      <c r="X90" s="106">
        <f t="shared" si="367"/>
        <v>0.1</v>
      </c>
      <c r="Y90" s="106">
        <f t="shared" ref="Y90" si="368">Y91/(SUM(Y91,Y93,Y95))</f>
        <v>0.61538461538461542</v>
      </c>
      <c r="Z90" s="106">
        <f t="shared" ref="Z90" si="369">Z91/(SUM(Z91,Z93,Z95))</f>
        <v>0.36363636363636365</v>
      </c>
      <c r="AA90" s="106">
        <f t="shared" ref="AA90" si="370">AA91/(SUM(AA91,AA93,AA95))</f>
        <v>0.36363636363636365</v>
      </c>
      <c r="AB90" s="106">
        <f t="shared" ref="AB90" si="371">AB91/(SUM(AB91,AB93,AB95))</f>
        <v>0.2</v>
      </c>
      <c r="AC90" s="106">
        <f t="shared" ref="AC90" si="372">AC91/(SUM(AC91,AC93,AC95))</f>
        <v>0.18181818181818182</v>
      </c>
      <c r="AD90" s="106">
        <f t="shared" ref="AD90" si="373">AD91/(SUM(AD91,AD93,AD95))</f>
        <v>0.18181818181818182</v>
      </c>
      <c r="AE90" s="106">
        <f t="shared" ref="AE90" si="374">AE91/(SUM(AE91,AE93,AE95))</f>
        <v>0.1111111111111111</v>
      </c>
      <c r="AF90" s="106">
        <f t="shared" ref="AF90" si="375">AF91/(SUM(AF91,AF93,AF95))</f>
        <v>9.0909090909090912E-2</v>
      </c>
      <c r="AG90" s="106">
        <f t="shared" ref="AG90" si="376">AG91/(SUM(AG91,AG93,AG95))</f>
        <v>0.3</v>
      </c>
      <c r="AH90" s="106">
        <f t="shared" ref="AH90" si="377">AH91/(SUM(AH91,AH93,AH95))</f>
        <v>8.3333333333333329E-2</v>
      </c>
      <c r="AI90" s="106">
        <f t="shared" ref="AI90" si="378">AI91/(SUM(AI91,AI93,AI95))</f>
        <v>0.25</v>
      </c>
      <c r="AJ90" s="106">
        <f t="shared" ref="AJ90" si="379">AJ91/(SUM(AJ91,AJ93,AJ95))</f>
        <v>8.3333333333333329E-2</v>
      </c>
      <c r="AK90" s="106">
        <f t="shared" ref="AK90" si="380">AK91/(SUM(AK91,AK93,AK95))</f>
        <v>0.27272727272727271</v>
      </c>
      <c r="AL90" s="106">
        <f t="shared" ref="AL90" si="381">AL91/(SUM(AL91,AL93,AL95))</f>
        <v>9.0909090909090912E-2</v>
      </c>
      <c r="AM90" s="106">
        <f t="shared" ref="AM90" si="382">AM91/(SUM(AM91,AM93,AM95))</f>
        <v>0</v>
      </c>
      <c r="AN90" s="106">
        <f t="shared" ref="AN90" si="383">AN91/(SUM(AN91,AN93,AN95))</f>
        <v>0.125</v>
      </c>
      <c r="AO90" s="106">
        <f t="shared" ref="AO90" si="384">AO91/(SUM(AO91,AO93,AO95))</f>
        <v>0</v>
      </c>
      <c r="AP90" s="106">
        <f t="shared" ref="AP90" si="385">AP91/(SUM(AP91,AP93,AP95))</f>
        <v>0.25</v>
      </c>
      <c r="AQ90" s="106">
        <f t="shared" ref="AQ90" si="386">AQ91/(SUM(AQ91,AQ93,AQ95))</f>
        <v>0.25</v>
      </c>
      <c r="AR90" s="106">
        <f t="shared" ref="AR90" si="387">AR91/(SUM(AR91,AR93,AR95))</f>
        <v>0</v>
      </c>
      <c r="AS90" s="106">
        <f t="shared" ref="AS90" si="388">AS91/(SUM(AS91,AS93,AS95))</f>
        <v>0</v>
      </c>
      <c r="AT90" s="106">
        <f t="shared" ref="AT90" si="389">AT91/(SUM(AT91,AT93,AT95))</f>
        <v>0</v>
      </c>
      <c r="AU90" s="106">
        <f t="shared" ref="AU90" si="390">AU91/(SUM(AU91,AU93,AU95))</f>
        <v>0</v>
      </c>
      <c r="AV90" s="106">
        <f t="shared" ref="AV90" si="391">AV91/(SUM(AV91,AV93,AV95))</f>
        <v>0</v>
      </c>
      <c r="AW90" s="106">
        <f t="shared" ref="AW90" si="392">AW91/(SUM(AW91,AW93,AW95))</f>
        <v>0.1111111111111111</v>
      </c>
      <c r="AX90" s="106">
        <f t="shared" ref="AX90" si="393">AX91/(SUM(AX91,AX93,AX95))</f>
        <v>0.23076923076923078</v>
      </c>
      <c r="AY90" s="106">
        <f t="shared" ref="AY90" si="394">AY91/(SUM(AY91,AY93,AY95))</f>
        <v>7.1428571428571425E-2</v>
      </c>
      <c r="AZ90" s="106">
        <f t="shared" ref="AZ90" si="395">AZ91/(SUM(AZ91,AZ93,AZ95))</f>
        <v>0</v>
      </c>
      <c r="BA90" s="106">
        <f t="shared" ref="BA90" si="396">BA91/(SUM(BA91,BA93,BA95))</f>
        <v>0.18181818181818182</v>
      </c>
      <c r="BB90" s="106">
        <f t="shared" ref="BB90" si="397">BB91/(SUM(BB91,BB93,BB95))</f>
        <v>0</v>
      </c>
      <c r="BC90" s="106">
        <f t="shared" ref="BC90" si="398">BC91/(SUM(BC91,BC93,BC95))</f>
        <v>0</v>
      </c>
      <c r="BD90" s="106">
        <f t="shared" ref="BD90" si="399">BD91/(SUM(BD91,BD93,BD95))</f>
        <v>0</v>
      </c>
      <c r="BE90" s="106">
        <f t="shared" ref="BE90" si="400">BE91/(SUM(BE91,BE93,BE95))</f>
        <v>0</v>
      </c>
      <c r="BF90" s="106">
        <f t="shared" ref="BF90" si="401">BF91/(SUM(BF91,BF93,BF95))</f>
        <v>0.1</v>
      </c>
      <c r="BG90" s="106">
        <f t="shared" ref="BG90" si="402">BG91/(SUM(BG91,BG93,BG95))</f>
        <v>0</v>
      </c>
      <c r="BH90" s="106">
        <f t="shared" ref="BH90" si="403">BH91/(SUM(BH91,BH93,BH95))</f>
        <v>8.3333333333333329E-2</v>
      </c>
      <c r="BI90" s="106">
        <f t="shared" ref="BI90" si="404">BI91/(SUM(BI91,BI93,BI95))</f>
        <v>0</v>
      </c>
      <c r="BJ90" s="106" t="e">
        <f t="shared" ref="BJ90" si="405">BJ91/(SUM(BJ91,BJ93,BJ95))</f>
        <v>#DIV/0!</v>
      </c>
      <c r="BK90" s="107" t="e">
        <f t="shared" ref="BK90:CA90" si="406">BK91/(SUM(BK91,BK93,BK95))</f>
        <v>#DIV/0!</v>
      </c>
      <c r="BL90" s="107" t="e">
        <f t="shared" si="406"/>
        <v>#DIV/0!</v>
      </c>
      <c r="BM90" s="107" t="e">
        <f t="shared" si="406"/>
        <v>#DIV/0!</v>
      </c>
      <c r="BN90" s="107" t="e">
        <f t="shared" si="406"/>
        <v>#DIV/0!</v>
      </c>
      <c r="BO90" s="107" t="e">
        <f t="shared" si="406"/>
        <v>#DIV/0!</v>
      </c>
      <c r="BP90" s="107" t="e">
        <f t="shared" si="406"/>
        <v>#DIV/0!</v>
      </c>
      <c r="BQ90" s="107" t="e">
        <f t="shared" si="406"/>
        <v>#DIV/0!</v>
      </c>
      <c r="BR90" s="107" t="e">
        <f t="shared" si="406"/>
        <v>#DIV/0!</v>
      </c>
      <c r="BS90" s="107" t="e">
        <f t="shared" si="406"/>
        <v>#DIV/0!</v>
      </c>
      <c r="BT90" s="107" t="e">
        <f t="shared" si="406"/>
        <v>#DIV/0!</v>
      </c>
      <c r="BU90" s="107" t="e">
        <f t="shared" si="406"/>
        <v>#DIV/0!</v>
      </c>
      <c r="BV90" s="107" t="e">
        <f t="shared" si="406"/>
        <v>#DIV/0!</v>
      </c>
      <c r="BW90" s="107" t="e">
        <f t="shared" si="406"/>
        <v>#DIV/0!</v>
      </c>
      <c r="BX90" s="107" t="e">
        <f t="shared" si="406"/>
        <v>#DIV/0!</v>
      </c>
      <c r="BY90" s="107" t="e">
        <f t="shared" si="406"/>
        <v>#DIV/0!</v>
      </c>
      <c r="BZ90" s="107" t="e">
        <f t="shared" si="406"/>
        <v>#DIV/0!</v>
      </c>
      <c r="CA90" s="107" t="e">
        <f t="shared" si="406"/>
        <v>#DIV/0!</v>
      </c>
    </row>
    <row r="91" spans="1:79" s="89" customFormat="1">
      <c r="A91" s="22" t="s">
        <v>39</v>
      </c>
      <c r="B91" s="108">
        <v>2</v>
      </c>
      <c r="C91" s="108"/>
      <c r="D91" s="108">
        <v>3</v>
      </c>
      <c r="E91" s="108">
        <v>5</v>
      </c>
      <c r="F91" s="108">
        <v>8</v>
      </c>
      <c r="G91" s="108">
        <v>5</v>
      </c>
      <c r="H91" s="108">
        <v>3</v>
      </c>
      <c r="I91" s="108">
        <v>7</v>
      </c>
      <c r="J91" s="108">
        <v>3</v>
      </c>
      <c r="K91" s="108">
        <v>8</v>
      </c>
      <c r="L91" s="108">
        <v>1</v>
      </c>
      <c r="M91" s="108">
        <v>2</v>
      </c>
      <c r="N91" s="108">
        <v>3</v>
      </c>
      <c r="O91" s="108">
        <v>4</v>
      </c>
      <c r="P91" s="108">
        <v>1</v>
      </c>
      <c r="Q91" s="108">
        <v>2</v>
      </c>
      <c r="R91" s="108"/>
      <c r="S91" s="108">
        <v>3</v>
      </c>
      <c r="T91" s="108">
        <v>5</v>
      </c>
      <c r="U91" s="108">
        <v>2</v>
      </c>
      <c r="V91" s="108">
        <v>4</v>
      </c>
      <c r="W91" s="108">
        <v>2</v>
      </c>
      <c r="X91" s="108">
        <v>1</v>
      </c>
      <c r="Y91" s="108">
        <v>8</v>
      </c>
      <c r="Z91" s="108">
        <v>4</v>
      </c>
      <c r="AA91" s="108">
        <v>4</v>
      </c>
      <c r="AB91" s="108">
        <v>2</v>
      </c>
      <c r="AC91" s="108">
        <v>2</v>
      </c>
      <c r="AD91" s="108">
        <v>2</v>
      </c>
      <c r="AE91" s="108">
        <v>1</v>
      </c>
      <c r="AF91" s="108">
        <v>1</v>
      </c>
      <c r="AG91" s="108">
        <v>3</v>
      </c>
      <c r="AH91" s="108">
        <v>1</v>
      </c>
      <c r="AI91" s="108">
        <v>3</v>
      </c>
      <c r="AJ91" s="108">
        <v>1</v>
      </c>
      <c r="AK91" s="108">
        <v>3</v>
      </c>
      <c r="AL91" s="108">
        <v>1</v>
      </c>
      <c r="AM91" s="108">
        <v>0</v>
      </c>
      <c r="AN91" s="108">
        <v>1</v>
      </c>
      <c r="AO91" s="108">
        <v>0</v>
      </c>
      <c r="AP91" s="108">
        <v>2</v>
      </c>
      <c r="AQ91" s="108">
        <v>2</v>
      </c>
      <c r="AR91" s="108">
        <v>0</v>
      </c>
      <c r="AS91" s="108">
        <v>0</v>
      </c>
      <c r="AT91" s="108">
        <v>0</v>
      </c>
      <c r="AU91" s="108">
        <v>0</v>
      </c>
      <c r="AV91" s="108">
        <v>0</v>
      </c>
      <c r="AW91" s="108">
        <v>1</v>
      </c>
      <c r="AX91" s="108">
        <v>3</v>
      </c>
      <c r="AY91" s="108">
        <v>1</v>
      </c>
      <c r="AZ91" s="108">
        <v>0</v>
      </c>
      <c r="BA91" s="108">
        <v>2</v>
      </c>
      <c r="BB91" s="108">
        <v>0</v>
      </c>
      <c r="BC91" s="108">
        <v>0</v>
      </c>
      <c r="BD91" s="108">
        <v>0</v>
      </c>
      <c r="BE91" s="108">
        <v>0</v>
      </c>
      <c r="BF91" s="108">
        <v>1</v>
      </c>
      <c r="BG91" s="108">
        <v>0</v>
      </c>
      <c r="BH91" s="108">
        <v>1</v>
      </c>
      <c r="BI91" s="108">
        <v>0</v>
      </c>
      <c r="BJ91" s="108"/>
      <c r="BK91" s="197"/>
    </row>
    <row r="92" spans="1:79" s="2" customFormat="1">
      <c r="A92" s="11" t="s">
        <v>25</v>
      </c>
      <c r="B92" s="106">
        <f>B93/(SUM(B91,B93,B95))</f>
        <v>0.2857142857142857</v>
      </c>
      <c r="C92" s="106">
        <f t="shared" ref="C92:BB92" si="407">C93/(SUM(C91,C93,C95))</f>
        <v>0.5</v>
      </c>
      <c r="D92" s="106">
        <f t="shared" si="407"/>
        <v>0.53846153846153844</v>
      </c>
      <c r="E92" s="106">
        <f t="shared" si="407"/>
        <v>0.53846153846153844</v>
      </c>
      <c r="F92" s="106">
        <f t="shared" si="407"/>
        <v>7.1428571428571425E-2</v>
      </c>
      <c r="G92" s="106">
        <f t="shared" si="407"/>
        <v>0.25</v>
      </c>
      <c r="H92" s="106">
        <f t="shared" si="407"/>
        <v>0.42857142857142855</v>
      </c>
      <c r="I92" s="106">
        <f t="shared" si="407"/>
        <v>0.23076923076923078</v>
      </c>
      <c r="J92" s="106">
        <f t="shared" si="407"/>
        <v>0.38461538461538464</v>
      </c>
      <c r="K92" s="106">
        <f t="shared" si="407"/>
        <v>0.15384615384615385</v>
      </c>
      <c r="L92" s="106">
        <f t="shared" si="407"/>
        <v>0.66666666666666663</v>
      </c>
      <c r="M92" s="106">
        <f t="shared" si="407"/>
        <v>0.66666666666666663</v>
      </c>
      <c r="N92" s="106">
        <f t="shared" si="407"/>
        <v>0.35714285714285715</v>
      </c>
      <c r="O92" s="106">
        <f t="shared" si="407"/>
        <v>0.30769230769230771</v>
      </c>
      <c r="P92" s="106">
        <f t="shared" si="407"/>
        <v>0.23076923076923078</v>
      </c>
      <c r="Q92" s="106">
        <f t="shared" si="407"/>
        <v>0.2</v>
      </c>
      <c r="R92" s="106">
        <f t="shared" si="407"/>
        <v>0.41666666666666669</v>
      </c>
      <c r="S92" s="106">
        <f t="shared" si="407"/>
        <v>0.16666666666666666</v>
      </c>
      <c r="T92" s="106">
        <f t="shared" si="407"/>
        <v>0.16666666666666666</v>
      </c>
      <c r="U92" s="106">
        <f t="shared" si="407"/>
        <v>0.25</v>
      </c>
      <c r="V92" s="106">
        <f t="shared" si="407"/>
        <v>0.16666666666666666</v>
      </c>
      <c r="W92" s="106">
        <f t="shared" si="407"/>
        <v>0.41666666666666669</v>
      </c>
      <c r="X92" s="106">
        <f t="shared" si="407"/>
        <v>0.5</v>
      </c>
      <c r="Y92" s="106">
        <f t="shared" si="407"/>
        <v>0.38461538461538464</v>
      </c>
      <c r="Z92" s="106">
        <f t="shared" si="407"/>
        <v>0.18181818181818182</v>
      </c>
      <c r="AA92" s="106">
        <f t="shared" si="407"/>
        <v>0.36363636363636365</v>
      </c>
      <c r="AB92" s="106">
        <f t="shared" si="407"/>
        <v>0.4</v>
      </c>
      <c r="AC92" s="106">
        <f t="shared" si="407"/>
        <v>0.18181818181818182</v>
      </c>
      <c r="AD92" s="106">
        <f t="shared" si="407"/>
        <v>0.27272727272727271</v>
      </c>
      <c r="AE92" s="106">
        <f t="shared" si="407"/>
        <v>0.33333333333333331</v>
      </c>
      <c r="AF92" s="106">
        <f t="shared" si="407"/>
        <v>0.54545454545454541</v>
      </c>
      <c r="AG92" s="106">
        <f t="shared" si="407"/>
        <v>0.2</v>
      </c>
      <c r="AH92" s="106">
        <f t="shared" si="407"/>
        <v>0.33333333333333331</v>
      </c>
      <c r="AI92" s="106">
        <f t="shared" si="407"/>
        <v>0.33333333333333331</v>
      </c>
      <c r="AJ92" s="106">
        <f t="shared" si="407"/>
        <v>0.16666666666666666</v>
      </c>
      <c r="AK92" s="106">
        <f t="shared" si="407"/>
        <v>0.54545454545454541</v>
      </c>
      <c r="AL92" s="106">
        <f t="shared" si="407"/>
        <v>0.27272727272727271</v>
      </c>
      <c r="AM92" s="106">
        <f t="shared" si="407"/>
        <v>0</v>
      </c>
      <c r="AN92" s="106">
        <f t="shared" si="407"/>
        <v>0</v>
      </c>
      <c r="AO92" s="106">
        <f t="shared" si="407"/>
        <v>0</v>
      </c>
      <c r="AP92" s="106">
        <f t="shared" si="407"/>
        <v>0.125</v>
      </c>
      <c r="AQ92" s="106">
        <f t="shared" si="407"/>
        <v>0.125</v>
      </c>
      <c r="AR92" s="106">
        <f t="shared" si="407"/>
        <v>0.16666666666666666</v>
      </c>
      <c r="AS92" s="106">
        <f t="shared" si="407"/>
        <v>8.3333333333333329E-2</v>
      </c>
      <c r="AT92" s="106">
        <f t="shared" si="407"/>
        <v>0.36363636363636365</v>
      </c>
      <c r="AU92" s="106">
        <f t="shared" si="407"/>
        <v>9.0909090909090912E-2</v>
      </c>
      <c r="AV92" s="106">
        <f t="shared" si="407"/>
        <v>0.30769230769230771</v>
      </c>
      <c r="AW92" s="106">
        <f t="shared" si="407"/>
        <v>0.55555555555555558</v>
      </c>
      <c r="AX92" s="106">
        <f t="shared" si="407"/>
        <v>0.76923076923076927</v>
      </c>
      <c r="AY92" s="106">
        <f t="shared" si="407"/>
        <v>0.5714285714285714</v>
      </c>
      <c r="AZ92" s="106">
        <f t="shared" si="407"/>
        <v>0.75</v>
      </c>
      <c r="BA92" s="106">
        <f t="shared" si="407"/>
        <v>0.63636363636363635</v>
      </c>
      <c r="BB92" s="106">
        <f t="shared" si="407"/>
        <v>0.84615384615384615</v>
      </c>
      <c r="BC92" s="106">
        <f t="shared" ref="BC92:CA92" si="408">BC93/(SUM(BC91,BC93,BC95))</f>
        <v>0.5</v>
      </c>
      <c r="BD92" s="106">
        <f t="shared" si="408"/>
        <v>0.91666666666666663</v>
      </c>
      <c r="BE92" s="106">
        <f t="shared" si="408"/>
        <v>0.9285714285714286</v>
      </c>
      <c r="BF92" s="106">
        <f t="shared" si="408"/>
        <v>0.8</v>
      </c>
      <c r="BG92" s="106">
        <f t="shared" si="408"/>
        <v>0.72727272727272729</v>
      </c>
      <c r="BH92" s="106">
        <f t="shared" si="408"/>
        <v>0.58333333333333337</v>
      </c>
      <c r="BI92" s="106">
        <f t="shared" si="408"/>
        <v>0.75</v>
      </c>
      <c r="BJ92" s="106" t="e">
        <f t="shared" si="408"/>
        <v>#DIV/0!</v>
      </c>
      <c r="BK92" s="107" t="e">
        <f t="shared" si="408"/>
        <v>#DIV/0!</v>
      </c>
      <c r="BL92" s="107" t="e">
        <f t="shared" si="408"/>
        <v>#DIV/0!</v>
      </c>
      <c r="BM92" s="107" t="e">
        <f t="shared" si="408"/>
        <v>#DIV/0!</v>
      </c>
      <c r="BN92" s="107" t="e">
        <f t="shared" si="408"/>
        <v>#DIV/0!</v>
      </c>
      <c r="BO92" s="107" t="e">
        <f t="shared" si="408"/>
        <v>#DIV/0!</v>
      </c>
      <c r="BP92" s="107" t="e">
        <f t="shared" si="408"/>
        <v>#DIV/0!</v>
      </c>
      <c r="BQ92" s="107" t="e">
        <f t="shared" si="408"/>
        <v>#DIV/0!</v>
      </c>
      <c r="BR92" s="107" t="e">
        <f t="shared" si="408"/>
        <v>#DIV/0!</v>
      </c>
      <c r="BS92" s="107" t="e">
        <f t="shared" si="408"/>
        <v>#DIV/0!</v>
      </c>
      <c r="BT92" s="107" t="e">
        <f t="shared" si="408"/>
        <v>#DIV/0!</v>
      </c>
      <c r="BU92" s="107" t="e">
        <f t="shared" si="408"/>
        <v>#DIV/0!</v>
      </c>
      <c r="BV92" s="107" t="e">
        <f t="shared" si="408"/>
        <v>#DIV/0!</v>
      </c>
      <c r="BW92" s="107" t="e">
        <f t="shared" si="408"/>
        <v>#DIV/0!</v>
      </c>
      <c r="BX92" s="107" t="e">
        <f t="shared" si="408"/>
        <v>#DIV/0!</v>
      </c>
      <c r="BY92" s="107" t="e">
        <f t="shared" si="408"/>
        <v>#DIV/0!</v>
      </c>
      <c r="BZ92" s="107" t="e">
        <f t="shared" si="408"/>
        <v>#DIV/0!</v>
      </c>
      <c r="CA92" s="107" t="e">
        <f t="shared" si="408"/>
        <v>#DIV/0!</v>
      </c>
    </row>
    <row r="93" spans="1:79" s="89" customFormat="1">
      <c r="A93" s="22" t="s">
        <v>26</v>
      </c>
      <c r="B93" s="108">
        <v>2</v>
      </c>
      <c r="C93" s="108">
        <v>7</v>
      </c>
      <c r="D93" s="108">
        <v>7</v>
      </c>
      <c r="E93" s="108">
        <v>7</v>
      </c>
      <c r="F93" s="108">
        <v>1</v>
      </c>
      <c r="G93" s="108">
        <v>3</v>
      </c>
      <c r="H93" s="108">
        <v>6</v>
      </c>
      <c r="I93" s="108">
        <v>3</v>
      </c>
      <c r="J93" s="108">
        <v>5</v>
      </c>
      <c r="K93" s="108">
        <v>2</v>
      </c>
      <c r="L93" s="108">
        <v>8</v>
      </c>
      <c r="M93" s="108">
        <v>6</v>
      </c>
      <c r="N93" s="108">
        <v>5</v>
      </c>
      <c r="O93" s="108">
        <v>4</v>
      </c>
      <c r="P93" s="108">
        <v>3</v>
      </c>
      <c r="Q93" s="108">
        <v>2</v>
      </c>
      <c r="R93" s="108">
        <v>5</v>
      </c>
      <c r="S93" s="108">
        <v>2</v>
      </c>
      <c r="T93" s="108">
        <v>2</v>
      </c>
      <c r="U93" s="108">
        <v>2</v>
      </c>
      <c r="V93" s="108">
        <v>2</v>
      </c>
      <c r="W93" s="108">
        <v>5</v>
      </c>
      <c r="X93" s="108">
        <v>5</v>
      </c>
      <c r="Y93" s="108">
        <v>5</v>
      </c>
      <c r="Z93" s="108">
        <v>2</v>
      </c>
      <c r="AA93" s="108">
        <v>4</v>
      </c>
      <c r="AB93" s="108">
        <v>4</v>
      </c>
      <c r="AC93" s="108">
        <v>2</v>
      </c>
      <c r="AD93" s="108">
        <v>3</v>
      </c>
      <c r="AE93" s="108">
        <v>3</v>
      </c>
      <c r="AF93" s="108">
        <v>6</v>
      </c>
      <c r="AG93" s="108">
        <v>2</v>
      </c>
      <c r="AH93" s="108">
        <v>4</v>
      </c>
      <c r="AI93" s="108">
        <v>4</v>
      </c>
      <c r="AJ93" s="108">
        <v>2</v>
      </c>
      <c r="AK93" s="108">
        <v>6</v>
      </c>
      <c r="AL93" s="108">
        <v>3</v>
      </c>
      <c r="AM93" s="108">
        <v>0</v>
      </c>
      <c r="AN93" s="108"/>
      <c r="AO93" s="108">
        <v>0</v>
      </c>
      <c r="AP93" s="108">
        <v>1</v>
      </c>
      <c r="AQ93" s="108">
        <v>1</v>
      </c>
      <c r="AR93" s="108">
        <v>2</v>
      </c>
      <c r="AS93" s="108">
        <v>1</v>
      </c>
      <c r="AT93" s="108">
        <v>4</v>
      </c>
      <c r="AU93" s="108">
        <v>1</v>
      </c>
      <c r="AV93" s="108">
        <v>4</v>
      </c>
      <c r="AW93" s="108">
        <v>5</v>
      </c>
      <c r="AX93" s="108">
        <v>10</v>
      </c>
      <c r="AY93" s="108">
        <v>8</v>
      </c>
      <c r="AZ93" s="108">
        <v>9</v>
      </c>
      <c r="BA93" s="108">
        <v>7</v>
      </c>
      <c r="BB93" s="108">
        <v>11</v>
      </c>
      <c r="BC93" s="108">
        <v>6</v>
      </c>
      <c r="BD93" s="108">
        <v>11</v>
      </c>
      <c r="BE93" s="108">
        <v>13</v>
      </c>
      <c r="BF93" s="108">
        <v>8</v>
      </c>
      <c r="BG93" s="108">
        <v>8</v>
      </c>
      <c r="BH93" s="108">
        <v>7</v>
      </c>
      <c r="BI93" s="108">
        <v>9</v>
      </c>
      <c r="BJ93" s="108"/>
      <c r="BK93" s="197"/>
    </row>
    <row r="94" spans="1:79" s="2" customFormat="1">
      <c r="A94" s="11" t="s">
        <v>27</v>
      </c>
      <c r="B94" s="106">
        <f>B95/(SUM(B91,B93,B95))</f>
        <v>0.42857142857142855</v>
      </c>
      <c r="C94" s="106">
        <f t="shared" ref="C94:BB94" si="409">C95/(SUM(C91,C93,C95))</f>
        <v>0.5</v>
      </c>
      <c r="D94" s="106">
        <f t="shared" si="409"/>
        <v>0.23076923076923078</v>
      </c>
      <c r="E94" s="106">
        <f t="shared" si="409"/>
        <v>7.6923076923076927E-2</v>
      </c>
      <c r="F94" s="106">
        <f t="shared" si="409"/>
        <v>0.35714285714285715</v>
      </c>
      <c r="G94" s="106">
        <f t="shared" si="409"/>
        <v>0.33333333333333331</v>
      </c>
      <c r="H94" s="106">
        <f t="shared" si="409"/>
        <v>0.35714285714285715</v>
      </c>
      <c r="I94" s="106">
        <f t="shared" si="409"/>
        <v>0.23076923076923078</v>
      </c>
      <c r="J94" s="106">
        <f t="shared" si="409"/>
        <v>0.38461538461538464</v>
      </c>
      <c r="K94" s="106">
        <f t="shared" si="409"/>
        <v>0.23076923076923078</v>
      </c>
      <c r="L94" s="106">
        <f t="shared" si="409"/>
        <v>0.25</v>
      </c>
      <c r="M94" s="106">
        <f t="shared" si="409"/>
        <v>0.1111111111111111</v>
      </c>
      <c r="N94" s="106">
        <f t="shared" si="409"/>
        <v>0.42857142857142855</v>
      </c>
      <c r="O94" s="106">
        <f t="shared" si="409"/>
        <v>0.38461538461538464</v>
      </c>
      <c r="P94" s="106">
        <f t="shared" si="409"/>
        <v>0.69230769230769229</v>
      </c>
      <c r="Q94" s="106">
        <f t="shared" si="409"/>
        <v>0.6</v>
      </c>
      <c r="R94" s="106">
        <f t="shared" si="409"/>
        <v>0.58333333333333337</v>
      </c>
      <c r="S94" s="106">
        <f t="shared" si="409"/>
        <v>0.58333333333333337</v>
      </c>
      <c r="T94" s="106">
        <f t="shared" si="409"/>
        <v>0.41666666666666669</v>
      </c>
      <c r="U94" s="106">
        <f t="shared" si="409"/>
        <v>0.5</v>
      </c>
      <c r="V94" s="106">
        <f t="shared" si="409"/>
        <v>0.5</v>
      </c>
      <c r="W94" s="106">
        <f t="shared" si="409"/>
        <v>0.41666666666666669</v>
      </c>
      <c r="X94" s="106">
        <f t="shared" si="409"/>
        <v>0.4</v>
      </c>
      <c r="Y94" s="106">
        <f t="shared" si="409"/>
        <v>0</v>
      </c>
      <c r="Z94" s="106">
        <f t="shared" si="409"/>
        <v>0.45454545454545453</v>
      </c>
      <c r="AA94" s="106">
        <f t="shared" si="409"/>
        <v>0.27272727272727271</v>
      </c>
      <c r="AB94" s="106">
        <f t="shared" si="409"/>
        <v>0.4</v>
      </c>
      <c r="AC94" s="106">
        <f t="shared" si="409"/>
        <v>0.63636363636363635</v>
      </c>
      <c r="AD94" s="106">
        <f t="shared" si="409"/>
        <v>0.54545454545454541</v>
      </c>
      <c r="AE94" s="106">
        <f t="shared" si="409"/>
        <v>0.55555555555555558</v>
      </c>
      <c r="AF94" s="106">
        <f t="shared" si="409"/>
        <v>0.36363636363636365</v>
      </c>
      <c r="AG94" s="106">
        <f t="shared" si="409"/>
        <v>0.5</v>
      </c>
      <c r="AH94" s="106">
        <f t="shared" si="409"/>
        <v>0.58333333333333337</v>
      </c>
      <c r="AI94" s="106">
        <f t="shared" si="409"/>
        <v>0.41666666666666669</v>
      </c>
      <c r="AJ94" s="106">
        <f t="shared" si="409"/>
        <v>0.75</v>
      </c>
      <c r="AK94" s="106">
        <f t="shared" si="409"/>
        <v>0.18181818181818182</v>
      </c>
      <c r="AL94" s="106">
        <f t="shared" si="409"/>
        <v>0.63636363636363635</v>
      </c>
      <c r="AM94" s="106">
        <f t="shared" si="409"/>
        <v>1</v>
      </c>
      <c r="AN94" s="106">
        <f t="shared" si="409"/>
        <v>0.875</v>
      </c>
      <c r="AO94" s="106">
        <f t="shared" si="409"/>
        <v>1</v>
      </c>
      <c r="AP94" s="106">
        <f t="shared" si="409"/>
        <v>0.625</v>
      </c>
      <c r="AQ94" s="106">
        <f t="shared" si="409"/>
        <v>0.625</v>
      </c>
      <c r="AR94" s="106">
        <f t="shared" si="409"/>
        <v>0.83333333333333337</v>
      </c>
      <c r="AS94" s="106">
        <f t="shared" si="409"/>
        <v>0.91666666666666663</v>
      </c>
      <c r="AT94" s="106">
        <f t="shared" si="409"/>
        <v>0.63636363636363635</v>
      </c>
      <c r="AU94" s="106">
        <f t="shared" si="409"/>
        <v>0.90909090909090906</v>
      </c>
      <c r="AV94" s="106">
        <f t="shared" si="409"/>
        <v>0.69230769230769229</v>
      </c>
      <c r="AW94" s="106">
        <f t="shared" si="409"/>
        <v>0.33333333333333331</v>
      </c>
      <c r="AX94" s="106">
        <f t="shared" si="409"/>
        <v>0</v>
      </c>
      <c r="AY94" s="106">
        <f t="shared" si="409"/>
        <v>0.35714285714285715</v>
      </c>
      <c r="AZ94" s="106">
        <f t="shared" si="409"/>
        <v>0.25</v>
      </c>
      <c r="BA94" s="106">
        <f t="shared" si="409"/>
        <v>0.18181818181818182</v>
      </c>
      <c r="BB94" s="106">
        <f t="shared" si="409"/>
        <v>0.15384615384615385</v>
      </c>
      <c r="BC94" s="106">
        <f t="shared" ref="BC94:CA94" si="410">BC95/(SUM(BC91,BC93,BC95))</f>
        <v>0.5</v>
      </c>
      <c r="BD94" s="106">
        <f t="shared" si="410"/>
        <v>8.3333333333333329E-2</v>
      </c>
      <c r="BE94" s="106">
        <f t="shared" si="410"/>
        <v>7.1428571428571425E-2</v>
      </c>
      <c r="BF94" s="106">
        <f t="shared" si="410"/>
        <v>0.1</v>
      </c>
      <c r="BG94" s="106">
        <f t="shared" si="410"/>
        <v>0.27272727272727271</v>
      </c>
      <c r="BH94" s="106">
        <f t="shared" si="410"/>
        <v>0.33333333333333331</v>
      </c>
      <c r="BI94" s="106">
        <f t="shared" si="410"/>
        <v>0.25</v>
      </c>
      <c r="BJ94" s="106" t="e">
        <f t="shared" si="410"/>
        <v>#DIV/0!</v>
      </c>
      <c r="BK94" s="107" t="e">
        <f t="shared" si="410"/>
        <v>#DIV/0!</v>
      </c>
      <c r="BL94" s="107" t="e">
        <f t="shared" si="410"/>
        <v>#DIV/0!</v>
      </c>
      <c r="BM94" s="107" t="e">
        <f t="shared" si="410"/>
        <v>#DIV/0!</v>
      </c>
      <c r="BN94" s="107" t="e">
        <f t="shared" si="410"/>
        <v>#DIV/0!</v>
      </c>
      <c r="BO94" s="107" t="e">
        <f t="shared" si="410"/>
        <v>#DIV/0!</v>
      </c>
      <c r="BP94" s="107" t="e">
        <f t="shared" si="410"/>
        <v>#DIV/0!</v>
      </c>
      <c r="BQ94" s="107" t="e">
        <f t="shared" si="410"/>
        <v>#DIV/0!</v>
      </c>
      <c r="BR94" s="107" t="e">
        <f t="shared" si="410"/>
        <v>#DIV/0!</v>
      </c>
      <c r="BS94" s="107" t="e">
        <f t="shared" si="410"/>
        <v>#DIV/0!</v>
      </c>
      <c r="BT94" s="107" t="e">
        <f t="shared" si="410"/>
        <v>#DIV/0!</v>
      </c>
      <c r="BU94" s="107" t="e">
        <f t="shared" si="410"/>
        <v>#DIV/0!</v>
      </c>
      <c r="BV94" s="107" t="e">
        <f t="shared" si="410"/>
        <v>#DIV/0!</v>
      </c>
      <c r="BW94" s="107" t="e">
        <f t="shared" si="410"/>
        <v>#DIV/0!</v>
      </c>
      <c r="BX94" s="107" t="e">
        <f t="shared" si="410"/>
        <v>#DIV/0!</v>
      </c>
      <c r="BY94" s="107" t="e">
        <f t="shared" si="410"/>
        <v>#DIV/0!</v>
      </c>
      <c r="BZ94" s="107" t="e">
        <f t="shared" si="410"/>
        <v>#DIV/0!</v>
      </c>
      <c r="CA94" s="107" t="e">
        <f t="shared" si="410"/>
        <v>#DIV/0!</v>
      </c>
    </row>
    <row r="95" spans="1:79" s="89" customFormat="1">
      <c r="A95" s="22" t="s">
        <v>28</v>
      </c>
      <c r="B95" s="108">
        <v>3</v>
      </c>
      <c r="C95" s="108">
        <v>7</v>
      </c>
      <c r="D95" s="108">
        <v>3</v>
      </c>
      <c r="E95" s="108">
        <v>1</v>
      </c>
      <c r="F95" s="108">
        <v>5</v>
      </c>
      <c r="G95" s="108">
        <v>4</v>
      </c>
      <c r="H95" s="108">
        <v>5</v>
      </c>
      <c r="I95" s="108">
        <v>3</v>
      </c>
      <c r="J95" s="108">
        <v>5</v>
      </c>
      <c r="K95" s="108">
        <v>3</v>
      </c>
      <c r="L95" s="108">
        <v>3</v>
      </c>
      <c r="M95" s="108">
        <v>1</v>
      </c>
      <c r="N95" s="108">
        <v>6</v>
      </c>
      <c r="O95" s="108">
        <v>5</v>
      </c>
      <c r="P95" s="108">
        <v>9</v>
      </c>
      <c r="Q95" s="108">
        <v>6</v>
      </c>
      <c r="R95" s="108">
        <v>7</v>
      </c>
      <c r="S95" s="108">
        <v>7</v>
      </c>
      <c r="T95" s="108">
        <v>5</v>
      </c>
      <c r="U95" s="108">
        <v>4</v>
      </c>
      <c r="V95" s="108">
        <v>6</v>
      </c>
      <c r="W95" s="108">
        <v>5</v>
      </c>
      <c r="X95" s="108">
        <v>4</v>
      </c>
      <c r="Y95" s="108"/>
      <c r="Z95" s="108">
        <v>5</v>
      </c>
      <c r="AA95" s="108">
        <v>3</v>
      </c>
      <c r="AB95" s="108">
        <v>4</v>
      </c>
      <c r="AC95" s="108">
        <v>7</v>
      </c>
      <c r="AD95" s="108">
        <v>6</v>
      </c>
      <c r="AE95" s="108">
        <v>5</v>
      </c>
      <c r="AF95" s="108">
        <v>4</v>
      </c>
      <c r="AG95" s="108">
        <v>5</v>
      </c>
      <c r="AH95" s="108">
        <v>7</v>
      </c>
      <c r="AI95" s="108">
        <v>5</v>
      </c>
      <c r="AJ95" s="108">
        <v>9</v>
      </c>
      <c r="AK95" s="108">
        <v>2</v>
      </c>
      <c r="AL95" s="108">
        <v>7</v>
      </c>
      <c r="AM95" s="108">
        <v>11</v>
      </c>
      <c r="AN95" s="108">
        <v>7</v>
      </c>
      <c r="AO95" s="108">
        <v>9</v>
      </c>
      <c r="AP95" s="108">
        <v>5</v>
      </c>
      <c r="AQ95" s="108">
        <v>5</v>
      </c>
      <c r="AR95" s="108">
        <v>10</v>
      </c>
      <c r="AS95" s="108">
        <v>11</v>
      </c>
      <c r="AT95" s="108">
        <v>7</v>
      </c>
      <c r="AU95" s="108">
        <v>10</v>
      </c>
      <c r="AV95" s="108">
        <v>9</v>
      </c>
      <c r="AW95" s="108">
        <v>3</v>
      </c>
      <c r="AX95" s="108">
        <v>0</v>
      </c>
      <c r="AY95" s="108">
        <v>5</v>
      </c>
      <c r="AZ95" s="108">
        <v>3</v>
      </c>
      <c r="BA95" s="108">
        <v>2</v>
      </c>
      <c r="BB95" s="108">
        <v>2</v>
      </c>
      <c r="BC95" s="108">
        <v>6</v>
      </c>
      <c r="BD95" s="108">
        <v>1</v>
      </c>
      <c r="BE95" s="108">
        <v>1</v>
      </c>
      <c r="BF95" s="108">
        <v>1</v>
      </c>
      <c r="BG95" s="108">
        <v>3</v>
      </c>
      <c r="BH95" s="108">
        <v>4</v>
      </c>
      <c r="BI95" s="108">
        <v>3</v>
      </c>
      <c r="BJ95" s="108"/>
      <c r="BK95" s="197"/>
    </row>
    <row r="96" spans="1:79" s="73" customFormat="1" ht="19.5" thickBot="1">
      <c r="A96" s="32" t="s">
        <v>55</v>
      </c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>
        <v>0.91700000000000004</v>
      </c>
      <c r="Z96" s="124">
        <v>1</v>
      </c>
      <c r="AA96" s="124">
        <v>0.91659999999999997</v>
      </c>
      <c r="AB96" s="124">
        <v>0.8</v>
      </c>
      <c r="AC96" s="124">
        <v>0.90900000000000003</v>
      </c>
      <c r="AD96" s="124">
        <v>0.81799999999999995</v>
      </c>
      <c r="AE96" s="124">
        <v>0.77700000000000002</v>
      </c>
      <c r="AF96" s="124">
        <v>0.90900000000000003</v>
      </c>
      <c r="AG96" s="124">
        <v>1</v>
      </c>
      <c r="AH96" s="124">
        <v>0.88900000000000001</v>
      </c>
      <c r="AI96" s="124">
        <v>1</v>
      </c>
      <c r="AJ96" s="124">
        <v>0.9</v>
      </c>
      <c r="AK96" s="124">
        <v>0.82</v>
      </c>
      <c r="AL96" s="124">
        <v>1</v>
      </c>
      <c r="AM96" s="124">
        <v>1</v>
      </c>
      <c r="AN96" s="124">
        <v>1</v>
      </c>
      <c r="AO96" s="124">
        <v>1</v>
      </c>
      <c r="AP96" s="124">
        <v>1</v>
      </c>
      <c r="AQ96" s="124">
        <v>0.88900000000000001</v>
      </c>
      <c r="AR96" s="124">
        <v>1</v>
      </c>
      <c r="AS96" s="124">
        <v>0.91700000000000004</v>
      </c>
      <c r="AT96" s="124">
        <v>1</v>
      </c>
      <c r="AU96" s="124">
        <v>1</v>
      </c>
      <c r="AV96" s="124">
        <v>0.84599999999999997</v>
      </c>
      <c r="AW96" s="124">
        <v>0.92300000000000004</v>
      </c>
      <c r="AX96" s="124">
        <v>1</v>
      </c>
      <c r="AY96" s="124">
        <v>1</v>
      </c>
      <c r="AZ96" s="124">
        <v>0.91600000000000004</v>
      </c>
      <c r="BA96" s="124">
        <v>1</v>
      </c>
      <c r="BB96" s="124">
        <v>1</v>
      </c>
      <c r="BC96" s="124">
        <v>0.92</v>
      </c>
      <c r="BD96" s="124">
        <v>0.92</v>
      </c>
      <c r="BE96" s="124">
        <v>1</v>
      </c>
      <c r="BF96" s="124">
        <v>1</v>
      </c>
      <c r="BG96" s="124">
        <v>0.81799999999999995</v>
      </c>
      <c r="BH96" s="124">
        <v>0.81799999999999995</v>
      </c>
      <c r="BI96" s="124">
        <v>0.91700000000000004</v>
      </c>
      <c r="BJ96" s="124"/>
      <c r="BK96" s="212"/>
    </row>
    <row r="97" spans="1:79" ht="19.5" thickBot="1">
      <c r="A97" s="6"/>
      <c r="B97" s="3"/>
      <c r="C97" s="3"/>
      <c r="D97" s="3"/>
      <c r="E97" s="3"/>
      <c r="F97" s="114"/>
      <c r="G97" s="114"/>
      <c r="H97" s="114"/>
      <c r="I97" s="114"/>
      <c r="J97" s="3"/>
      <c r="K97" s="3"/>
      <c r="L97" s="3"/>
      <c r="M97" s="3"/>
      <c r="N97" s="3"/>
      <c r="O97" s="114"/>
      <c r="P97" s="114"/>
      <c r="Q97" s="114"/>
      <c r="R97" s="114"/>
      <c r="S97" s="114" t="s">
        <v>56</v>
      </c>
      <c r="T97" s="114"/>
      <c r="U97" s="114"/>
      <c r="V97" s="114"/>
      <c r="W97" s="3"/>
      <c r="X97" s="3"/>
      <c r="Y97" s="3"/>
      <c r="Z97" s="3"/>
      <c r="AA97" s="3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  <c r="AZ97" s="114"/>
      <c r="BA97" s="114"/>
      <c r="BB97" s="114"/>
      <c r="BC97" s="114"/>
      <c r="BD97" s="114"/>
      <c r="BE97" s="114"/>
      <c r="BF97" s="114"/>
      <c r="BG97" s="114"/>
      <c r="BH97" s="114"/>
      <c r="BI97" s="114"/>
      <c r="BJ97" s="114"/>
      <c r="BK97" s="114"/>
    </row>
    <row r="98" spans="1:79" s="14" customFormat="1" ht="24" thickBot="1">
      <c r="A98" s="159" t="s">
        <v>57</v>
      </c>
      <c r="B98" s="102"/>
      <c r="C98" s="102"/>
      <c r="D98" s="102"/>
      <c r="E98" s="102"/>
      <c r="F98" s="103"/>
      <c r="G98" s="103"/>
      <c r="H98" s="103"/>
      <c r="I98" s="103"/>
      <c r="J98" s="102"/>
      <c r="K98" s="102"/>
      <c r="L98" s="102"/>
      <c r="M98" s="102"/>
      <c r="N98" s="102"/>
      <c r="O98" s="103"/>
      <c r="P98" s="103"/>
      <c r="Q98" s="103"/>
      <c r="R98" s="103"/>
      <c r="S98" s="103"/>
      <c r="T98" s="103"/>
      <c r="U98" s="103"/>
      <c r="V98" s="103"/>
      <c r="W98" s="102"/>
      <c r="X98" s="102"/>
      <c r="Y98" s="102"/>
      <c r="Z98" s="102"/>
      <c r="AA98" s="102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4"/>
    </row>
    <row r="99" spans="1:79" s="246" customFormat="1" ht="21.75" thickBot="1">
      <c r="A99" s="248" t="s">
        <v>20</v>
      </c>
      <c r="B99" s="245">
        <v>175</v>
      </c>
      <c r="C99" s="245">
        <v>175</v>
      </c>
      <c r="D99" s="245">
        <v>175</v>
      </c>
      <c r="E99" s="245">
        <v>175</v>
      </c>
      <c r="F99" s="245">
        <v>175</v>
      </c>
      <c r="G99" s="245">
        <v>175</v>
      </c>
      <c r="H99" s="245">
        <v>175</v>
      </c>
      <c r="I99" s="245">
        <v>175</v>
      </c>
      <c r="J99" s="245">
        <v>175</v>
      </c>
      <c r="K99" s="245">
        <v>175</v>
      </c>
      <c r="L99" s="245">
        <v>175</v>
      </c>
      <c r="M99" s="245">
        <v>175</v>
      </c>
      <c r="N99" s="245">
        <v>175</v>
      </c>
      <c r="O99" s="245">
        <v>175</v>
      </c>
      <c r="P99" s="245">
        <v>175</v>
      </c>
      <c r="Q99" s="245">
        <v>175</v>
      </c>
      <c r="R99" s="245">
        <v>175</v>
      </c>
      <c r="S99" s="245">
        <v>175</v>
      </c>
      <c r="T99" s="245">
        <v>175</v>
      </c>
      <c r="U99" s="245">
        <v>175</v>
      </c>
      <c r="V99" s="245">
        <v>175</v>
      </c>
      <c r="W99" s="245">
        <v>175</v>
      </c>
      <c r="X99" s="245">
        <v>175</v>
      </c>
      <c r="Y99" s="245">
        <v>175</v>
      </c>
      <c r="Z99" s="245">
        <v>175</v>
      </c>
      <c r="AA99" s="245">
        <v>175</v>
      </c>
      <c r="AB99" s="245">
        <v>175</v>
      </c>
      <c r="AC99" s="245">
        <v>175</v>
      </c>
      <c r="AD99" s="245">
        <v>175</v>
      </c>
      <c r="AE99" s="245">
        <v>175</v>
      </c>
      <c r="AF99" s="245">
        <v>175</v>
      </c>
      <c r="AG99" s="245">
        <v>175</v>
      </c>
      <c r="AH99" s="245">
        <v>175</v>
      </c>
      <c r="AI99" s="245">
        <v>175</v>
      </c>
      <c r="AJ99" s="245">
        <v>175</v>
      </c>
      <c r="AK99" s="245">
        <v>175</v>
      </c>
      <c r="AL99" s="245">
        <v>175</v>
      </c>
      <c r="AM99" s="245">
        <v>175</v>
      </c>
      <c r="AN99" s="245">
        <v>175</v>
      </c>
      <c r="AO99" s="245">
        <v>175</v>
      </c>
      <c r="AP99" s="245">
        <v>175</v>
      </c>
      <c r="AQ99" s="245">
        <v>175</v>
      </c>
      <c r="AR99" s="245">
        <v>175</v>
      </c>
      <c r="AS99" s="245">
        <v>175</v>
      </c>
      <c r="AT99" s="245">
        <v>175</v>
      </c>
      <c r="AU99" s="245">
        <v>175</v>
      </c>
      <c r="AV99" s="245">
        <v>175</v>
      </c>
      <c r="AW99" s="245">
        <v>175</v>
      </c>
      <c r="AX99" s="245">
        <v>175</v>
      </c>
      <c r="AY99" s="245">
        <v>175</v>
      </c>
      <c r="AZ99" s="245">
        <v>175</v>
      </c>
      <c r="BA99" s="245">
        <v>175</v>
      </c>
      <c r="BB99" s="245">
        <v>175</v>
      </c>
      <c r="BC99" s="245">
        <v>175</v>
      </c>
      <c r="BD99" s="245">
        <v>175</v>
      </c>
      <c r="BE99" s="245">
        <v>175</v>
      </c>
      <c r="BF99" s="245">
        <v>175</v>
      </c>
      <c r="BG99" s="245">
        <v>175</v>
      </c>
      <c r="BH99" s="245">
        <v>175</v>
      </c>
      <c r="BI99" s="245">
        <v>175</v>
      </c>
      <c r="BJ99" s="245">
        <v>175</v>
      </c>
      <c r="BK99" s="245">
        <v>175</v>
      </c>
      <c r="BL99" s="245">
        <v>175</v>
      </c>
      <c r="BM99" s="245">
        <v>175</v>
      </c>
      <c r="BN99" s="245">
        <v>175</v>
      </c>
      <c r="BO99" s="245">
        <v>175</v>
      </c>
      <c r="BP99" s="245">
        <v>175</v>
      </c>
      <c r="BQ99" s="245">
        <v>175</v>
      </c>
      <c r="BR99" s="245">
        <v>175</v>
      </c>
      <c r="BS99" s="245">
        <v>175</v>
      </c>
      <c r="BT99" s="245">
        <v>175</v>
      </c>
      <c r="BU99" s="245">
        <v>175</v>
      </c>
      <c r="BV99" s="245">
        <v>175</v>
      </c>
      <c r="BW99" s="245">
        <v>175</v>
      </c>
      <c r="BX99" s="245">
        <v>175</v>
      </c>
      <c r="BY99" s="245">
        <v>175</v>
      </c>
      <c r="BZ99" s="245">
        <v>175</v>
      </c>
      <c r="CA99" s="245">
        <v>175</v>
      </c>
    </row>
    <row r="100" spans="1:79" s="17" customFormat="1">
      <c r="A100" s="15" t="s">
        <v>22</v>
      </c>
      <c r="B100" s="20">
        <v>155</v>
      </c>
      <c r="C100" s="20">
        <v>155</v>
      </c>
      <c r="D100" s="20">
        <v>155</v>
      </c>
      <c r="E100" s="20">
        <v>155</v>
      </c>
      <c r="F100" s="20">
        <v>155</v>
      </c>
      <c r="G100" s="20">
        <v>155</v>
      </c>
      <c r="H100" s="20">
        <v>155</v>
      </c>
      <c r="I100" s="20">
        <v>155</v>
      </c>
      <c r="J100" s="20">
        <v>155</v>
      </c>
      <c r="K100" s="20">
        <v>155</v>
      </c>
      <c r="L100" s="20">
        <v>155</v>
      </c>
      <c r="M100" s="20">
        <v>155</v>
      </c>
      <c r="N100" s="20">
        <v>155</v>
      </c>
      <c r="O100" s="20">
        <v>155</v>
      </c>
      <c r="P100" s="20">
        <v>155</v>
      </c>
      <c r="Q100" s="20">
        <v>155</v>
      </c>
      <c r="R100" s="20">
        <v>155</v>
      </c>
      <c r="S100" s="20">
        <v>155</v>
      </c>
      <c r="T100" s="20">
        <v>155</v>
      </c>
      <c r="U100" s="20">
        <v>155</v>
      </c>
      <c r="V100" s="20">
        <v>155</v>
      </c>
      <c r="W100" s="20">
        <v>155</v>
      </c>
      <c r="X100" s="20">
        <v>155</v>
      </c>
      <c r="Y100" s="20">
        <v>155</v>
      </c>
      <c r="Z100" s="20">
        <v>155</v>
      </c>
      <c r="AA100" s="20">
        <v>155</v>
      </c>
      <c r="AB100" s="20">
        <v>155</v>
      </c>
      <c r="AC100" s="20">
        <v>155</v>
      </c>
      <c r="AD100" s="20">
        <v>155</v>
      </c>
      <c r="AE100" s="20">
        <v>155</v>
      </c>
      <c r="AF100" s="20">
        <v>155</v>
      </c>
      <c r="AG100" s="20">
        <v>155</v>
      </c>
      <c r="AH100" s="20">
        <v>155</v>
      </c>
      <c r="AI100" s="20">
        <v>155</v>
      </c>
      <c r="AJ100" s="20">
        <v>157</v>
      </c>
      <c r="AK100" s="20">
        <v>157</v>
      </c>
      <c r="AL100" s="20">
        <v>157</v>
      </c>
      <c r="AM100" s="20">
        <v>157</v>
      </c>
      <c r="AN100" s="20">
        <v>157</v>
      </c>
      <c r="AO100" s="20">
        <v>157</v>
      </c>
      <c r="AP100" s="20">
        <v>157</v>
      </c>
      <c r="AQ100" s="20">
        <v>157</v>
      </c>
      <c r="AR100" s="20">
        <v>157</v>
      </c>
      <c r="AS100" s="20">
        <v>157</v>
      </c>
      <c r="AT100" s="20">
        <v>157</v>
      </c>
      <c r="AU100" s="20">
        <v>157</v>
      </c>
      <c r="AV100" s="20">
        <v>157</v>
      </c>
      <c r="AW100" s="20">
        <v>157</v>
      </c>
      <c r="AX100" s="20">
        <v>157</v>
      </c>
      <c r="AY100" s="20">
        <v>157</v>
      </c>
      <c r="AZ100" s="20">
        <v>157</v>
      </c>
      <c r="BA100" s="20">
        <v>157</v>
      </c>
      <c r="BB100" s="20">
        <v>157</v>
      </c>
      <c r="BC100" s="20">
        <v>157</v>
      </c>
      <c r="BD100" s="20">
        <v>157</v>
      </c>
      <c r="BE100" s="20">
        <v>157</v>
      </c>
      <c r="BF100" s="20">
        <v>157</v>
      </c>
      <c r="BG100" s="20">
        <v>157</v>
      </c>
      <c r="BH100" s="20">
        <v>157</v>
      </c>
      <c r="BI100" s="20">
        <v>157</v>
      </c>
      <c r="BJ100" s="20">
        <v>157</v>
      </c>
      <c r="BK100" s="20">
        <v>157</v>
      </c>
      <c r="BL100" s="20">
        <v>157</v>
      </c>
      <c r="BM100" s="20">
        <v>157</v>
      </c>
      <c r="BN100" s="20">
        <v>157</v>
      </c>
      <c r="BO100" s="20">
        <v>157</v>
      </c>
      <c r="BP100" s="20">
        <v>157</v>
      </c>
      <c r="BQ100" s="20">
        <v>157</v>
      </c>
      <c r="BR100" s="20">
        <v>157</v>
      </c>
      <c r="BS100" s="20">
        <v>157</v>
      </c>
      <c r="BT100" s="20">
        <v>157</v>
      </c>
      <c r="BU100" s="20">
        <v>157</v>
      </c>
      <c r="BV100" s="20">
        <v>157</v>
      </c>
      <c r="BW100" s="20">
        <v>157</v>
      </c>
      <c r="BX100" s="20">
        <v>157</v>
      </c>
      <c r="BY100" s="20">
        <v>157</v>
      </c>
      <c r="BZ100" s="20">
        <v>157</v>
      </c>
      <c r="CA100" s="20">
        <v>157</v>
      </c>
    </row>
    <row r="101" spans="1:79" s="18" customFormat="1" ht="19.5" thickBot="1">
      <c r="A101" s="15" t="s">
        <v>21</v>
      </c>
      <c r="B101" s="20">
        <v>172</v>
      </c>
      <c r="C101" s="20">
        <v>172</v>
      </c>
      <c r="D101" s="20">
        <v>172</v>
      </c>
      <c r="E101" s="20">
        <v>172</v>
      </c>
      <c r="F101" s="20">
        <v>172</v>
      </c>
      <c r="G101" s="20">
        <v>172</v>
      </c>
      <c r="H101" s="20">
        <v>172</v>
      </c>
      <c r="I101" s="20">
        <v>172</v>
      </c>
      <c r="J101" s="20">
        <v>172</v>
      </c>
      <c r="K101" s="20">
        <v>172</v>
      </c>
      <c r="L101" s="20">
        <v>172</v>
      </c>
      <c r="M101" s="20">
        <v>172</v>
      </c>
      <c r="N101" s="20">
        <v>172</v>
      </c>
      <c r="O101" s="20">
        <v>172</v>
      </c>
      <c r="P101" s="20">
        <v>172</v>
      </c>
      <c r="Q101" s="20">
        <v>172</v>
      </c>
      <c r="R101" s="20">
        <v>172</v>
      </c>
      <c r="S101" s="20">
        <v>172</v>
      </c>
      <c r="T101" s="20">
        <v>172</v>
      </c>
      <c r="U101" s="20">
        <v>172</v>
      </c>
      <c r="V101" s="20">
        <v>172</v>
      </c>
      <c r="W101" s="20">
        <v>172</v>
      </c>
      <c r="X101" s="20">
        <v>172</v>
      </c>
      <c r="Y101" s="20">
        <v>172</v>
      </c>
      <c r="Z101" s="20">
        <v>172</v>
      </c>
      <c r="AA101" s="20">
        <v>172</v>
      </c>
      <c r="AB101" s="20">
        <v>172</v>
      </c>
      <c r="AC101" s="20">
        <v>172</v>
      </c>
      <c r="AD101" s="20">
        <v>172</v>
      </c>
      <c r="AE101" s="20">
        <v>172</v>
      </c>
      <c r="AF101" s="20">
        <v>172</v>
      </c>
      <c r="AG101" s="20">
        <v>172</v>
      </c>
      <c r="AH101" s="20">
        <v>172</v>
      </c>
      <c r="AI101" s="20">
        <v>172</v>
      </c>
      <c r="AJ101" s="20">
        <v>187</v>
      </c>
      <c r="AK101" s="20">
        <v>187</v>
      </c>
      <c r="AL101" s="20">
        <v>187</v>
      </c>
      <c r="AM101" s="20">
        <v>187</v>
      </c>
      <c r="AN101" s="20">
        <v>187</v>
      </c>
      <c r="AO101" s="20">
        <v>187</v>
      </c>
      <c r="AP101" s="20">
        <v>187</v>
      </c>
      <c r="AQ101" s="20">
        <v>187</v>
      </c>
      <c r="AR101" s="20">
        <v>187</v>
      </c>
      <c r="AS101" s="20">
        <v>187</v>
      </c>
      <c r="AT101" s="20">
        <v>187</v>
      </c>
      <c r="AU101" s="20">
        <v>187</v>
      </c>
      <c r="AV101" s="20">
        <v>187</v>
      </c>
      <c r="AW101" s="20">
        <v>187</v>
      </c>
      <c r="AX101" s="20">
        <v>187</v>
      </c>
      <c r="AY101" s="20">
        <v>187</v>
      </c>
      <c r="AZ101" s="20">
        <v>187</v>
      </c>
      <c r="BA101" s="20">
        <v>187</v>
      </c>
      <c r="BB101" s="20">
        <v>187</v>
      </c>
      <c r="BC101" s="20">
        <v>187</v>
      </c>
      <c r="BD101" s="20">
        <v>187</v>
      </c>
      <c r="BE101" s="20">
        <v>187</v>
      </c>
      <c r="BF101" s="20">
        <v>187</v>
      </c>
      <c r="BG101" s="20">
        <v>187</v>
      </c>
      <c r="BH101" s="20">
        <v>187</v>
      </c>
      <c r="BI101" s="20">
        <v>187</v>
      </c>
      <c r="BJ101" s="20">
        <v>187</v>
      </c>
      <c r="BK101" s="20">
        <v>187</v>
      </c>
      <c r="BL101" s="20">
        <v>187</v>
      </c>
      <c r="BM101" s="20">
        <v>187</v>
      </c>
      <c r="BN101" s="20">
        <v>187</v>
      </c>
      <c r="BO101" s="20">
        <v>187</v>
      </c>
      <c r="BP101" s="20">
        <v>187</v>
      </c>
      <c r="BQ101" s="20">
        <v>187</v>
      </c>
      <c r="BR101" s="20">
        <v>187</v>
      </c>
      <c r="BS101" s="20">
        <v>187</v>
      </c>
      <c r="BT101" s="20">
        <v>187</v>
      </c>
      <c r="BU101" s="20">
        <v>187</v>
      </c>
      <c r="BV101" s="20">
        <v>187</v>
      </c>
      <c r="BW101" s="20">
        <v>187</v>
      </c>
      <c r="BX101" s="20">
        <v>187</v>
      </c>
      <c r="BY101" s="20">
        <v>187</v>
      </c>
      <c r="BZ101" s="20">
        <v>187</v>
      </c>
      <c r="CA101" s="20">
        <v>187</v>
      </c>
    </row>
    <row r="102" spans="1:79" s="19" customFormat="1">
      <c r="A102" s="59" t="s">
        <v>58</v>
      </c>
      <c r="B102" s="198">
        <v>1</v>
      </c>
      <c r="C102" s="198">
        <v>0</v>
      </c>
      <c r="D102" s="198">
        <v>3</v>
      </c>
      <c r="E102" s="198">
        <v>0</v>
      </c>
      <c r="F102" s="198">
        <v>0</v>
      </c>
      <c r="G102" s="198">
        <v>0</v>
      </c>
      <c r="H102" s="198">
        <v>0</v>
      </c>
      <c r="I102" s="198">
        <v>0</v>
      </c>
      <c r="J102" s="198">
        <v>1</v>
      </c>
      <c r="K102" s="198">
        <v>0</v>
      </c>
      <c r="L102" s="198">
        <v>2</v>
      </c>
      <c r="M102" s="198">
        <v>1</v>
      </c>
      <c r="N102" s="198">
        <v>0</v>
      </c>
      <c r="O102" s="198">
        <v>0</v>
      </c>
      <c r="P102" s="198">
        <v>1</v>
      </c>
      <c r="Q102" s="198">
        <v>0</v>
      </c>
      <c r="R102" s="198">
        <v>0</v>
      </c>
      <c r="S102" s="198">
        <v>1</v>
      </c>
      <c r="T102" s="198">
        <v>1</v>
      </c>
      <c r="U102" s="198">
        <v>0</v>
      </c>
      <c r="V102" s="198">
        <v>0</v>
      </c>
      <c r="W102" s="198">
        <v>0</v>
      </c>
      <c r="X102" s="198">
        <v>2</v>
      </c>
      <c r="Y102" s="198">
        <v>0</v>
      </c>
      <c r="Z102" s="198">
        <v>2</v>
      </c>
      <c r="AA102" s="198">
        <v>0</v>
      </c>
      <c r="AB102" s="198">
        <v>0</v>
      </c>
      <c r="AC102" s="198">
        <v>2</v>
      </c>
      <c r="AD102" s="198">
        <v>1</v>
      </c>
      <c r="AE102" s="198">
        <v>0</v>
      </c>
      <c r="AF102" s="198">
        <v>0</v>
      </c>
      <c r="AG102" s="198">
        <v>1</v>
      </c>
      <c r="AH102" s="198">
        <v>2</v>
      </c>
      <c r="AI102" s="198">
        <v>1</v>
      </c>
      <c r="AJ102" s="198">
        <v>0</v>
      </c>
      <c r="AK102" s="198">
        <v>1</v>
      </c>
      <c r="AL102" s="198">
        <v>1</v>
      </c>
      <c r="AM102" s="198">
        <v>0</v>
      </c>
      <c r="AN102" s="198">
        <v>0</v>
      </c>
      <c r="AO102" s="198">
        <v>2</v>
      </c>
      <c r="AP102" s="198">
        <v>0</v>
      </c>
      <c r="AQ102" s="198">
        <v>0</v>
      </c>
      <c r="AR102" s="198">
        <v>0</v>
      </c>
      <c r="AS102" s="198">
        <v>0</v>
      </c>
      <c r="AT102" s="198">
        <v>0</v>
      </c>
      <c r="AU102" s="198">
        <v>4</v>
      </c>
      <c r="AV102" s="198">
        <v>0</v>
      </c>
      <c r="AW102" s="198">
        <v>1</v>
      </c>
      <c r="AX102" s="198">
        <v>0</v>
      </c>
      <c r="AY102" s="198">
        <v>0</v>
      </c>
      <c r="AZ102" s="198">
        <v>0</v>
      </c>
      <c r="BA102" s="198">
        <v>0</v>
      </c>
      <c r="BB102" s="198">
        <v>3</v>
      </c>
      <c r="BC102" s="198">
        <v>2</v>
      </c>
      <c r="BD102" s="198">
        <v>2</v>
      </c>
      <c r="BE102" s="198">
        <v>2</v>
      </c>
      <c r="BF102" s="198">
        <v>1</v>
      </c>
      <c r="BG102" s="198">
        <v>1</v>
      </c>
      <c r="BH102" s="198">
        <v>1</v>
      </c>
      <c r="BI102" s="198"/>
      <c r="BJ102" s="198"/>
      <c r="BK102" s="199"/>
    </row>
    <row r="103" spans="1:79" s="19" customFormat="1">
      <c r="A103" s="59" t="s">
        <v>59</v>
      </c>
      <c r="B103" s="198">
        <v>8</v>
      </c>
      <c r="C103" s="198">
        <v>8</v>
      </c>
      <c r="D103" s="198">
        <v>5</v>
      </c>
      <c r="E103" s="198">
        <v>7</v>
      </c>
      <c r="F103" s="198">
        <v>3</v>
      </c>
      <c r="G103" s="198">
        <v>10</v>
      </c>
      <c r="H103" s="198">
        <v>8</v>
      </c>
      <c r="I103" s="198">
        <v>17</v>
      </c>
      <c r="J103" s="198">
        <v>7</v>
      </c>
      <c r="K103" s="198">
        <v>11</v>
      </c>
      <c r="L103" s="198">
        <v>8</v>
      </c>
      <c r="M103" s="198">
        <v>7</v>
      </c>
      <c r="N103" s="198">
        <v>8</v>
      </c>
      <c r="O103" s="198">
        <v>7</v>
      </c>
      <c r="P103" s="198">
        <v>10</v>
      </c>
      <c r="Q103" s="198">
        <v>8</v>
      </c>
      <c r="R103" s="198">
        <v>8</v>
      </c>
      <c r="S103" s="198">
        <v>10</v>
      </c>
      <c r="T103" s="198">
        <v>13</v>
      </c>
      <c r="U103" s="198">
        <v>10</v>
      </c>
      <c r="V103" s="198">
        <v>7</v>
      </c>
      <c r="W103" s="198">
        <v>12</v>
      </c>
      <c r="X103" s="198">
        <v>8</v>
      </c>
      <c r="Y103" s="198">
        <v>4</v>
      </c>
      <c r="Z103" s="198">
        <v>5</v>
      </c>
      <c r="AA103" s="198">
        <v>10</v>
      </c>
      <c r="AB103" s="198">
        <v>6</v>
      </c>
      <c r="AC103" s="198">
        <v>6</v>
      </c>
      <c r="AD103" s="198">
        <v>8</v>
      </c>
      <c r="AE103" s="198">
        <v>4</v>
      </c>
      <c r="AF103" s="198">
        <v>4</v>
      </c>
      <c r="AG103" s="198">
        <v>10</v>
      </c>
      <c r="AH103" s="198">
        <v>11</v>
      </c>
      <c r="AI103" s="198">
        <v>6</v>
      </c>
      <c r="AJ103" s="198">
        <v>10</v>
      </c>
      <c r="AK103" s="198">
        <v>8</v>
      </c>
      <c r="AL103" s="198">
        <v>9</v>
      </c>
      <c r="AM103" s="198">
        <v>6</v>
      </c>
      <c r="AN103" s="198">
        <v>9</v>
      </c>
      <c r="AO103" s="198">
        <v>8</v>
      </c>
      <c r="AP103" s="198">
        <v>7</v>
      </c>
      <c r="AQ103" s="198">
        <v>7</v>
      </c>
      <c r="AR103" s="198">
        <v>9</v>
      </c>
      <c r="AS103" s="198">
        <v>11</v>
      </c>
      <c r="AT103" s="198">
        <v>4</v>
      </c>
      <c r="AU103" s="198">
        <v>4</v>
      </c>
      <c r="AV103" s="198">
        <v>12</v>
      </c>
      <c r="AW103" s="198">
        <v>2</v>
      </c>
      <c r="AX103" s="198">
        <v>12</v>
      </c>
      <c r="AY103" s="198">
        <v>9</v>
      </c>
      <c r="AZ103" s="198">
        <v>11</v>
      </c>
      <c r="BA103" s="198">
        <v>7</v>
      </c>
      <c r="BB103" s="198">
        <v>6</v>
      </c>
      <c r="BC103" s="198">
        <v>10</v>
      </c>
      <c r="BD103" s="198">
        <v>6</v>
      </c>
      <c r="BE103" s="198">
        <v>14</v>
      </c>
      <c r="BF103" s="198">
        <v>5</v>
      </c>
      <c r="BG103" s="198">
        <v>13</v>
      </c>
      <c r="BH103" s="198">
        <v>4</v>
      </c>
      <c r="BI103" s="198"/>
      <c r="BJ103" s="198"/>
      <c r="BK103" s="199"/>
    </row>
    <row r="104" spans="1:79" s="19" customFormat="1">
      <c r="A104" s="59" t="s">
        <v>60</v>
      </c>
      <c r="B104" s="198">
        <v>1</v>
      </c>
      <c r="C104" s="198">
        <v>0</v>
      </c>
      <c r="D104" s="198">
        <v>1</v>
      </c>
      <c r="E104" s="198">
        <v>1</v>
      </c>
      <c r="F104" s="198">
        <v>0</v>
      </c>
      <c r="G104" s="198">
        <v>4</v>
      </c>
      <c r="H104" s="198">
        <v>2</v>
      </c>
      <c r="I104" s="198">
        <v>2</v>
      </c>
      <c r="J104" s="198">
        <v>2</v>
      </c>
      <c r="K104" s="198">
        <v>2</v>
      </c>
      <c r="L104" s="198">
        <v>0</v>
      </c>
      <c r="M104" s="198">
        <v>5</v>
      </c>
      <c r="N104" s="198">
        <v>3</v>
      </c>
      <c r="O104" s="198">
        <v>4</v>
      </c>
      <c r="P104" s="198">
        <v>3</v>
      </c>
      <c r="Q104" s="198">
        <v>3</v>
      </c>
      <c r="R104" s="198">
        <v>4</v>
      </c>
      <c r="S104" s="198">
        <v>2</v>
      </c>
      <c r="T104" s="198">
        <v>4</v>
      </c>
      <c r="U104" s="198">
        <v>6</v>
      </c>
      <c r="V104" s="198">
        <v>1</v>
      </c>
      <c r="W104" s="198">
        <v>0</v>
      </c>
      <c r="X104" s="198">
        <v>0</v>
      </c>
      <c r="Y104" s="198">
        <v>2</v>
      </c>
      <c r="Z104" s="198">
        <v>3</v>
      </c>
      <c r="AA104" s="198">
        <v>4</v>
      </c>
      <c r="AB104" s="198">
        <v>2</v>
      </c>
      <c r="AC104" s="198">
        <v>2</v>
      </c>
      <c r="AD104" s="198">
        <v>3</v>
      </c>
      <c r="AE104" s="198">
        <v>4</v>
      </c>
      <c r="AF104" s="198">
        <v>4</v>
      </c>
      <c r="AG104" s="198">
        <v>2</v>
      </c>
      <c r="AH104" s="198">
        <v>0</v>
      </c>
      <c r="AI104" s="198">
        <v>1</v>
      </c>
      <c r="AJ104" s="198">
        <v>3</v>
      </c>
      <c r="AK104" s="198">
        <v>2</v>
      </c>
      <c r="AL104" s="198">
        <v>0</v>
      </c>
      <c r="AM104" s="198">
        <v>3</v>
      </c>
      <c r="AN104" s="198">
        <v>3</v>
      </c>
      <c r="AO104" s="198">
        <v>2</v>
      </c>
      <c r="AP104" s="198">
        <v>3</v>
      </c>
      <c r="AQ104" s="198">
        <v>6</v>
      </c>
      <c r="AR104" s="198">
        <v>1</v>
      </c>
      <c r="AS104" s="198">
        <v>2</v>
      </c>
      <c r="AT104" s="198">
        <v>0</v>
      </c>
      <c r="AU104" s="198">
        <v>0</v>
      </c>
      <c r="AV104" s="198">
        <v>1</v>
      </c>
      <c r="AW104" s="198">
        <v>6</v>
      </c>
      <c r="AX104" s="198">
        <v>0</v>
      </c>
      <c r="AY104" s="198">
        <v>2</v>
      </c>
      <c r="AZ104" s="198">
        <v>1</v>
      </c>
      <c r="BA104" s="198">
        <v>0</v>
      </c>
      <c r="BB104" s="198">
        <v>4</v>
      </c>
      <c r="BC104" s="198">
        <v>2</v>
      </c>
      <c r="BD104" s="198">
        <v>3</v>
      </c>
      <c r="BE104" s="198">
        <v>5</v>
      </c>
      <c r="BF104" s="198">
        <v>1</v>
      </c>
      <c r="BG104" s="198">
        <v>0</v>
      </c>
      <c r="BH104" s="198">
        <v>1</v>
      </c>
      <c r="BI104" s="198"/>
      <c r="BJ104" s="198"/>
      <c r="BK104" s="199"/>
    </row>
    <row r="105" spans="1:79" s="75" customFormat="1">
      <c r="A105" s="67" t="s">
        <v>36</v>
      </c>
      <c r="B105" s="115">
        <v>164.8</v>
      </c>
      <c r="C105" s="115">
        <v>160.6</v>
      </c>
      <c r="D105" s="115">
        <v>161.69999999999999</v>
      </c>
      <c r="E105" s="115">
        <v>167.6</v>
      </c>
      <c r="F105" s="115">
        <v>154.30000000000001</v>
      </c>
      <c r="G105" s="115">
        <v>158.5</v>
      </c>
      <c r="H105" s="115">
        <v>162.30000000000001</v>
      </c>
      <c r="I105" s="115">
        <v>158.30000000000001</v>
      </c>
      <c r="J105" s="115">
        <v>163.4</v>
      </c>
      <c r="K105" s="115">
        <v>160</v>
      </c>
      <c r="L105" s="115">
        <v>161</v>
      </c>
      <c r="M105" s="115">
        <v>167.5</v>
      </c>
      <c r="N105" s="115">
        <v>167.5</v>
      </c>
      <c r="O105" s="115">
        <v>161</v>
      </c>
      <c r="P105" s="115">
        <v>163.1</v>
      </c>
      <c r="Q105" s="115">
        <v>161.1</v>
      </c>
      <c r="R105" s="115">
        <v>162.9</v>
      </c>
      <c r="S105" s="115">
        <v>163.6</v>
      </c>
      <c r="T105" s="115">
        <v>164.8</v>
      </c>
      <c r="U105" s="115">
        <v>162.80000000000001</v>
      </c>
      <c r="V105" s="115">
        <v>163.6</v>
      </c>
      <c r="W105" s="115">
        <v>163.80000000000001</v>
      </c>
      <c r="X105" s="115">
        <v>157.4</v>
      </c>
      <c r="Y105" s="115">
        <v>158.30000000000001</v>
      </c>
      <c r="Z105" s="115">
        <v>159.9</v>
      </c>
      <c r="AA105" s="115">
        <v>157.1</v>
      </c>
      <c r="AB105" s="115">
        <v>159</v>
      </c>
      <c r="AC105" s="115">
        <v>159.19999999999999</v>
      </c>
      <c r="AD105" s="115">
        <v>157.19999999999999</v>
      </c>
      <c r="AE105" s="115">
        <v>166.1</v>
      </c>
      <c r="AF105" s="115">
        <v>154.30000000000001</v>
      </c>
      <c r="AG105" s="115">
        <v>154.5</v>
      </c>
      <c r="AH105" s="115">
        <v>159</v>
      </c>
      <c r="AI105" s="115">
        <v>159.4</v>
      </c>
      <c r="AJ105" s="115">
        <v>162.5</v>
      </c>
      <c r="AK105" s="115">
        <v>155.5</v>
      </c>
      <c r="AL105" s="115">
        <v>159.19999999999999</v>
      </c>
      <c r="AM105" s="115">
        <v>167.1</v>
      </c>
      <c r="AN105" s="115">
        <v>173.2</v>
      </c>
      <c r="AO105" s="115">
        <v>173.5</v>
      </c>
      <c r="AP105" s="115">
        <v>174</v>
      </c>
      <c r="AQ105" s="115">
        <v>174.1</v>
      </c>
      <c r="AR105" s="115">
        <v>168.5</v>
      </c>
      <c r="AS105" s="115">
        <v>173.5</v>
      </c>
      <c r="AT105" s="115">
        <v>168</v>
      </c>
      <c r="AU105" s="115">
        <v>165.9</v>
      </c>
      <c r="AV105" s="115">
        <v>172.8</v>
      </c>
      <c r="AW105" s="115">
        <v>174.2</v>
      </c>
      <c r="AX105" s="115">
        <v>173.8</v>
      </c>
      <c r="AY105" s="115">
        <v>183.5</v>
      </c>
      <c r="AZ105" s="115">
        <v>181.3</v>
      </c>
      <c r="BA105" s="115">
        <v>166.7</v>
      </c>
      <c r="BB105" s="115">
        <v>178.7</v>
      </c>
      <c r="BC105" s="115">
        <v>170.5</v>
      </c>
      <c r="BD105" s="115">
        <v>169.6</v>
      </c>
      <c r="BE105" s="115">
        <v>178.8</v>
      </c>
      <c r="BF105" s="115">
        <v>173.1</v>
      </c>
      <c r="BG105" s="115">
        <v>179.6</v>
      </c>
      <c r="BH105" s="115">
        <v>176</v>
      </c>
      <c r="BI105" s="115"/>
      <c r="BJ105" s="115"/>
      <c r="BK105" s="213"/>
    </row>
    <row r="106" spans="1:79" s="75" customFormat="1">
      <c r="A106" s="158" t="s">
        <v>41</v>
      </c>
      <c r="B106" s="115">
        <v>152</v>
      </c>
      <c r="C106" s="115">
        <v>152</v>
      </c>
      <c r="D106" s="115">
        <v>151</v>
      </c>
      <c r="E106" s="115">
        <v>163.19999999999999</v>
      </c>
      <c r="F106" s="115">
        <v>154</v>
      </c>
      <c r="G106" s="115">
        <v>152.80000000000001</v>
      </c>
      <c r="H106" s="115">
        <v>149</v>
      </c>
      <c r="I106" s="115">
        <v>151</v>
      </c>
      <c r="J106" s="115">
        <v>151.30000000000001</v>
      </c>
      <c r="K106" s="115">
        <v>153.30000000000001</v>
      </c>
      <c r="L106" s="115">
        <v>154</v>
      </c>
      <c r="M106" s="115">
        <v>153.5</v>
      </c>
      <c r="N106" s="115"/>
      <c r="O106" s="115">
        <v>150.69999999999999</v>
      </c>
      <c r="P106" s="115">
        <v>151.5</v>
      </c>
      <c r="Q106" s="115">
        <v>151.69999999999999</v>
      </c>
      <c r="R106" s="115">
        <v>153.5</v>
      </c>
      <c r="S106" s="115">
        <v>151</v>
      </c>
      <c r="T106" s="115">
        <v>152.5</v>
      </c>
      <c r="U106" s="115">
        <v>151.69999999999999</v>
      </c>
      <c r="V106" s="115">
        <v>151</v>
      </c>
      <c r="W106" s="115">
        <v>151</v>
      </c>
      <c r="X106" s="115">
        <v>152.30000000000001</v>
      </c>
      <c r="Y106" s="115">
        <v>154</v>
      </c>
      <c r="Z106" s="115">
        <v>151</v>
      </c>
      <c r="AA106" s="115">
        <v>151</v>
      </c>
      <c r="AB106" s="115">
        <v>153</v>
      </c>
      <c r="AC106" s="115">
        <v>152</v>
      </c>
      <c r="AD106" s="115">
        <v>152.19999999999999</v>
      </c>
      <c r="AE106" s="115"/>
      <c r="AF106" s="115">
        <v>153.19999999999999</v>
      </c>
      <c r="AG106" s="115">
        <v>150.69999999999999</v>
      </c>
      <c r="AH106" s="115">
        <v>151.80000000000001</v>
      </c>
      <c r="AI106" s="115">
        <v>151.69999999999999</v>
      </c>
      <c r="AJ106" s="115">
        <v>152.4</v>
      </c>
      <c r="AK106" s="115">
        <v>153.69999999999999</v>
      </c>
      <c r="AL106" s="115">
        <v>154</v>
      </c>
      <c r="AM106" s="115">
        <v>154</v>
      </c>
      <c r="AN106" s="115">
        <v>155</v>
      </c>
      <c r="AO106" s="115"/>
      <c r="AP106" s="115"/>
      <c r="AQ106" s="115"/>
      <c r="AR106" s="115">
        <v>156</v>
      </c>
      <c r="AS106" s="115"/>
      <c r="AT106" s="115"/>
      <c r="AU106" s="115">
        <v>155</v>
      </c>
      <c r="AV106" s="115"/>
      <c r="AW106" s="115"/>
      <c r="AX106" s="115"/>
      <c r="AY106" s="115"/>
      <c r="AZ106" s="115"/>
      <c r="BA106" s="115"/>
      <c r="BB106" s="115"/>
      <c r="BC106" s="115">
        <v>155</v>
      </c>
      <c r="BD106" s="115"/>
      <c r="BE106" s="115"/>
      <c r="BF106" s="115"/>
      <c r="BG106" s="115"/>
      <c r="BH106" s="115"/>
      <c r="BI106" s="115"/>
      <c r="BJ106" s="115"/>
      <c r="BK106" s="214"/>
    </row>
    <row r="107" spans="1:79" s="75" customFormat="1">
      <c r="A107" s="158" t="s">
        <v>61</v>
      </c>
      <c r="B107" s="115">
        <v>1</v>
      </c>
      <c r="C107" s="115">
        <v>2</v>
      </c>
      <c r="D107" s="115">
        <v>3</v>
      </c>
      <c r="E107" s="115">
        <v>0</v>
      </c>
      <c r="F107" s="115">
        <v>2</v>
      </c>
      <c r="G107" s="115">
        <v>4</v>
      </c>
      <c r="H107" s="115">
        <v>1</v>
      </c>
      <c r="I107" s="115">
        <v>8</v>
      </c>
      <c r="J107" s="115">
        <v>3</v>
      </c>
      <c r="K107" s="115">
        <v>4</v>
      </c>
      <c r="L107" s="115">
        <v>1</v>
      </c>
      <c r="M107" s="115">
        <v>2</v>
      </c>
      <c r="N107" s="115">
        <v>0</v>
      </c>
      <c r="O107" s="115">
        <v>3</v>
      </c>
      <c r="P107" s="115">
        <v>4</v>
      </c>
      <c r="Q107" s="115">
        <v>3</v>
      </c>
      <c r="R107" s="115">
        <v>2</v>
      </c>
      <c r="S107" s="115">
        <v>1</v>
      </c>
      <c r="T107" s="115">
        <v>2</v>
      </c>
      <c r="U107" s="115">
        <v>3</v>
      </c>
      <c r="V107" s="115">
        <v>1</v>
      </c>
      <c r="W107" s="115">
        <v>3</v>
      </c>
      <c r="X107" s="115">
        <v>4</v>
      </c>
      <c r="Y107" s="115">
        <v>1</v>
      </c>
      <c r="Z107" s="115">
        <v>3</v>
      </c>
      <c r="AA107" s="115">
        <v>6</v>
      </c>
      <c r="AB107" s="115">
        <v>3</v>
      </c>
      <c r="AC107" s="115">
        <v>3</v>
      </c>
      <c r="AD107" s="115">
        <v>5</v>
      </c>
      <c r="AE107" s="115">
        <v>0</v>
      </c>
      <c r="AF107" s="115">
        <v>5</v>
      </c>
      <c r="AG107" s="115">
        <v>7</v>
      </c>
      <c r="AH107" s="115">
        <v>4</v>
      </c>
      <c r="AI107" s="115">
        <v>3</v>
      </c>
      <c r="AJ107" s="115">
        <v>5</v>
      </c>
      <c r="AK107" s="115">
        <v>7</v>
      </c>
      <c r="AL107" s="115">
        <v>4</v>
      </c>
      <c r="AM107" s="115">
        <v>1</v>
      </c>
      <c r="AN107" s="115">
        <v>1</v>
      </c>
      <c r="AO107" s="115">
        <v>0</v>
      </c>
      <c r="AP107" s="115">
        <v>1</v>
      </c>
      <c r="AQ107" s="115">
        <v>0</v>
      </c>
      <c r="AR107" s="115">
        <v>1</v>
      </c>
      <c r="AS107" s="115">
        <v>0</v>
      </c>
      <c r="AT107" s="115">
        <v>0</v>
      </c>
      <c r="AU107" s="115">
        <v>1</v>
      </c>
      <c r="AV107" s="115">
        <v>0</v>
      </c>
      <c r="AW107" s="115">
        <v>0</v>
      </c>
      <c r="AX107" s="115">
        <v>0</v>
      </c>
      <c r="AY107" s="115">
        <v>0</v>
      </c>
      <c r="AZ107" s="115">
        <v>0</v>
      </c>
      <c r="BA107" s="115">
        <v>0</v>
      </c>
      <c r="BB107" s="115">
        <v>0</v>
      </c>
      <c r="BC107" s="115">
        <v>1</v>
      </c>
      <c r="BD107" s="115">
        <v>0</v>
      </c>
      <c r="BE107" s="115">
        <v>0</v>
      </c>
      <c r="BF107" s="115">
        <v>0</v>
      </c>
      <c r="BG107" s="115">
        <v>0</v>
      </c>
      <c r="BH107" s="115">
        <v>0</v>
      </c>
      <c r="BI107" s="115"/>
      <c r="BJ107" s="115"/>
      <c r="BK107" s="214"/>
    </row>
    <row r="108" spans="1:79" s="75" customFormat="1">
      <c r="A108" s="200" t="s">
        <v>62</v>
      </c>
      <c r="B108" s="115">
        <v>160.19999999999999</v>
      </c>
      <c r="C108" s="115">
        <v>161.6</v>
      </c>
      <c r="D108" s="115">
        <v>163.5</v>
      </c>
      <c r="E108" s="115">
        <v>163.19999999999999</v>
      </c>
      <c r="F108" s="115">
        <v>154.30000000000001</v>
      </c>
      <c r="G108" s="115">
        <v>160.80000000000001</v>
      </c>
      <c r="H108" s="115">
        <v>163.80000000000001</v>
      </c>
      <c r="I108" s="115">
        <v>162.4</v>
      </c>
      <c r="J108" s="115">
        <v>163.4</v>
      </c>
      <c r="K108" s="115">
        <v>161.4</v>
      </c>
      <c r="L108" s="115">
        <v>161.80000000000001</v>
      </c>
      <c r="M108" s="115">
        <v>164.1</v>
      </c>
      <c r="N108" s="115">
        <v>165.6</v>
      </c>
      <c r="O108" s="115">
        <v>162</v>
      </c>
      <c r="P108" s="115">
        <v>159.69999999999999</v>
      </c>
      <c r="Q108" s="115">
        <v>164.6</v>
      </c>
      <c r="R108" s="115">
        <v>164.8</v>
      </c>
      <c r="S108" s="115">
        <v>161.69999999999999</v>
      </c>
      <c r="T108" s="115">
        <v>163.9</v>
      </c>
      <c r="U108" s="115">
        <v>161.30000000000001</v>
      </c>
      <c r="V108" s="115">
        <v>160.19999999999999</v>
      </c>
      <c r="W108" s="115">
        <v>165.5</v>
      </c>
      <c r="X108" s="115">
        <v>160.80000000000001</v>
      </c>
      <c r="Y108" s="115">
        <v>159.19999999999999</v>
      </c>
      <c r="Z108" s="115">
        <v>163.69999999999999</v>
      </c>
      <c r="AA108" s="115">
        <v>160</v>
      </c>
      <c r="AB108" s="115">
        <v>159.9</v>
      </c>
      <c r="AC108" s="115">
        <v>159.19999999999999</v>
      </c>
      <c r="AD108" s="115">
        <v>160.69999999999999</v>
      </c>
      <c r="AE108" s="115">
        <v>163.4</v>
      </c>
      <c r="AF108" s="115">
        <v>156</v>
      </c>
      <c r="AG108" s="115">
        <v>159</v>
      </c>
      <c r="AH108" s="115">
        <v>162.19999999999999</v>
      </c>
      <c r="AI108" s="115">
        <v>157.69999999999999</v>
      </c>
      <c r="AJ108" s="115">
        <v>168.9</v>
      </c>
      <c r="AK108" s="115">
        <v>158.80000000000001</v>
      </c>
      <c r="AL108" s="115">
        <v>162.69999999999999</v>
      </c>
      <c r="AM108" s="115">
        <v>168.8</v>
      </c>
      <c r="AN108" s="115">
        <v>174.8</v>
      </c>
      <c r="AO108" s="115">
        <v>171.7</v>
      </c>
      <c r="AP108" s="115">
        <v>172.5</v>
      </c>
      <c r="AQ108" s="115">
        <v>170</v>
      </c>
      <c r="AR108" s="115">
        <v>171.7</v>
      </c>
      <c r="AS108" s="115">
        <v>173.5</v>
      </c>
      <c r="AT108" s="115">
        <v>168</v>
      </c>
      <c r="AU108" s="115">
        <v>167.4</v>
      </c>
      <c r="AV108" s="115">
        <v>172.8</v>
      </c>
      <c r="AW108" s="115">
        <v>172.1</v>
      </c>
      <c r="AX108" s="115">
        <v>173.8</v>
      </c>
      <c r="AY108" s="115">
        <v>176.7</v>
      </c>
      <c r="AZ108" s="115">
        <v>179.1</v>
      </c>
      <c r="BA108" s="115">
        <v>166.7</v>
      </c>
      <c r="BB108" s="115">
        <v>175.7</v>
      </c>
      <c r="BC108" s="115">
        <v>170.3</v>
      </c>
      <c r="BD108" s="115">
        <v>167.6</v>
      </c>
      <c r="BE108" s="115">
        <v>176.6</v>
      </c>
      <c r="BF108" s="115">
        <v>173.1</v>
      </c>
      <c r="BG108" s="115">
        <v>176.8</v>
      </c>
      <c r="BH108" s="115">
        <v>176</v>
      </c>
      <c r="BI108" s="115"/>
      <c r="BJ108" s="115"/>
      <c r="BK108" s="214"/>
    </row>
    <row r="109" spans="1:79" s="75" customFormat="1">
      <c r="A109" s="201" t="s">
        <v>63</v>
      </c>
      <c r="B109" s="115">
        <v>6</v>
      </c>
      <c r="C109" s="115">
        <v>5</v>
      </c>
      <c r="D109" s="115">
        <v>4</v>
      </c>
      <c r="E109" s="115">
        <v>6</v>
      </c>
      <c r="F109" s="115">
        <v>1</v>
      </c>
      <c r="G109" s="115">
        <v>10</v>
      </c>
      <c r="H109" s="115">
        <v>9</v>
      </c>
      <c r="I109" s="115">
        <v>10</v>
      </c>
      <c r="J109" s="115">
        <v>5</v>
      </c>
      <c r="K109" s="115">
        <v>8</v>
      </c>
      <c r="L109" s="115">
        <v>9</v>
      </c>
      <c r="M109" s="115">
        <v>7</v>
      </c>
      <c r="N109" s="115">
        <v>9</v>
      </c>
      <c r="O109" s="115">
        <v>7</v>
      </c>
      <c r="P109" s="115">
        <v>6</v>
      </c>
      <c r="Q109" s="115">
        <v>8</v>
      </c>
      <c r="R109" s="115">
        <v>10</v>
      </c>
      <c r="S109" s="115">
        <v>10</v>
      </c>
      <c r="T109" s="115">
        <v>13</v>
      </c>
      <c r="U109" s="115">
        <v>10</v>
      </c>
      <c r="V109" s="115">
        <v>5</v>
      </c>
      <c r="W109" s="115">
        <v>8</v>
      </c>
      <c r="X109" s="115">
        <v>6</v>
      </c>
      <c r="Y109" s="115">
        <v>5</v>
      </c>
      <c r="Z109" s="115">
        <v>7</v>
      </c>
      <c r="AA109" s="115">
        <v>7</v>
      </c>
      <c r="AB109" s="115">
        <v>4</v>
      </c>
      <c r="AC109" s="115">
        <v>6</v>
      </c>
      <c r="AD109" s="115">
        <v>7</v>
      </c>
      <c r="AE109" s="115">
        <v>7</v>
      </c>
      <c r="AF109" s="115">
        <v>3</v>
      </c>
      <c r="AG109" s="115">
        <v>6</v>
      </c>
      <c r="AH109" s="115">
        <v>9</v>
      </c>
      <c r="AI109" s="115">
        <v>3</v>
      </c>
      <c r="AJ109" s="115">
        <v>8</v>
      </c>
      <c r="AK109" s="115">
        <v>4</v>
      </c>
      <c r="AL109" s="115">
        <v>6</v>
      </c>
      <c r="AM109" s="115">
        <v>8</v>
      </c>
      <c r="AN109" s="115">
        <v>11</v>
      </c>
      <c r="AO109" s="115">
        <v>11</v>
      </c>
      <c r="AP109" s="115">
        <v>10</v>
      </c>
      <c r="AQ109" s="115">
        <v>11</v>
      </c>
      <c r="AR109" s="115">
        <v>9</v>
      </c>
      <c r="AS109" s="115">
        <v>13</v>
      </c>
      <c r="AT109" s="115">
        <v>4</v>
      </c>
      <c r="AU109" s="115">
        <v>7</v>
      </c>
      <c r="AV109" s="115">
        <v>13</v>
      </c>
      <c r="AW109" s="115">
        <v>8</v>
      </c>
      <c r="AX109" s="115">
        <v>12</v>
      </c>
      <c r="AY109" s="115">
        <v>6</v>
      </c>
      <c r="AZ109" s="115">
        <v>10</v>
      </c>
      <c r="BA109" s="115">
        <v>7</v>
      </c>
      <c r="BB109" s="115">
        <v>11</v>
      </c>
      <c r="BC109" s="115">
        <v>12</v>
      </c>
      <c r="BD109" s="115">
        <v>10</v>
      </c>
      <c r="BE109" s="115">
        <v>18</v>
      </c>
      <c r="BF109" s="115">
        <v>7</v>
      </c>
      <c r="BG109" s="115">
        <v>11</v>
      </c>
      <c r="BH109" s="115">
        <v>6</v>
      </c>
      <c r="BI109" s="115"/>
      <c r="BJ109" s="115"/>
      <c r="BK109" s="214"/>
    </row>
    <row r="110" spans="1:79" s="75" customFormat="1">
      <c r="A110" s="158" t="s">
        <v>42</v>
      </c>
      <c r="B110" s="115">
        <v>178.3</v>
      </c>
      <c r="C110" s="115">
        <v>173</v>
      </c>
      <c r="D110" s="115">
        <v>174</v>
      </c>
      <c r="E110" s="115">
        <v>181</v>
      </c>
      <c r="F110" s="115"/>
      <c r="G110" s="115"/>
      <c r="H110" s="115"/>
      <c r="I110" s="115">
        <v>176</v>
      </c>
      <c r="J110" s="115">
        <v>181.5</v>
      </c>
      <c r="K110" s="115">
        <v>176</v>
      </c>
      <c r="L110" s="115"/>
      <c r="M110" s="115">
        <v>180.3</v>
      </c>
      <c r="N110" s="115">
        <v>176</v>
      </c>
      <c r="O110" s="115">
        <v>185</v>
      </c>
      <c r="P110" s="115">
        <v>179.8</v>
      </c>
      <c r="Q110" s="115"/>
      <c r="R110" s="115"/>
      <c r="S110" s="115">
        <v>179.5</v>
      </c>
      <c r="T110" s="115">
        <v>175</v>
      </c>
      <c r="U110" s="115">
        <v>178.7</v>
      </c>
      <c r="V110" s="115">
        <v>178.5</v>
      </c>
      <c r="W110" s="115">
        <v>189</v>
      </c>
      <c r="X110" s="115"/>
      <c r="Y110" s="115"/>
      <c r="Z110" s="115"/>
      <c r="AA110" s="115">
        <v>174</v>
      </c>
      <c r="AB110" s="115">
        <v>175</v>
      </c>
      <c r="AC110" s="115">
        <v>181</v>
      </c>
      <c r="AD110" s="115"/>
      <c r="AE110" s="115">
        <v>185</v>
      </c>
      <c r="AF110" s="115"/>
      <c r="AG110" s="115"/>
      <c r="AH110" s="115"/>
      <c r="AI110" s="115">
        <v>173.5</v>
      </c>
      <c r="AJ110" s="115"/>
      <c r="AK110" s="115"/>
      <c r="AL110" s="115"/>
      <c r="AM110" s="115"/>
      <c r="AN110" s="115"/>
      <c r="AO110" s="115">
        <v>193</v>
      </c>
      <c r="AP110" s="115">
        <v>189</v>
      </c>
      <c r="AQ110" s="115">
        <v>196.5</v>
      </c>
      <c r="AR110" s="115"/>
      <c r="AS110" s="115"/>
      <c r="AT110" s="115"/>
      <c r="AU110" s="115"/>
      <c r="AV110" s="115"/>
      <c r="AW110" s="115">
        <v>191</v>
      </c>
      <c r="AX110" s="115"/>
      <c r="AY110" s="115">
        <v>191.8</v>
      </c>
      <c r="AZ110" s="115">
        <v>192</v>
      </c>
      <c r="BA110" s="115"/>
      <c r="BB110" s="115">
        <v>195</v>
      </c>
      <c r="BC110" s="115">
        <v>188</v>
      </c>
      <c r="BD110" s="115">
        <v>190</v>
      </c>
      <c r="BE110" s="115">
        <v>192</v>
      </c>
      <c r="BF110" s="115"/>
      <c r="BG110" s="115">
        <v>189.7</v>
      </c>
      <c r="BH110" s="115"/>
      <c r="BI110" s="115"/>
      <c r="BJ110" s="115"/>
      <c r="BK110" s="214"/>
    </row>
    <row r="111" spans="1:79" s="75" customFormat="1">
      <c r="A111" s="158" t="s">
        <v>64</v>
      </c>
      <c r="B111" s="115">
        <v>3</v>
      </c>
      <c r="C111" s="115">
        <v>1</v>
      </c>
      <c r="D111" s="115">
        <v>2</v>
      </c>
      <c r="E111" s="115">
        <v>2</v>
      </c>
      <c r="F111" s="115">
        <v>0</v>
      </c>
      <c r="G111" s="115">
        <v>0</v>
      </c>
      <c r="H111" s="115">
        <v>0</v>
      </c>
      <c r="I111" s="115">
        <v>1</v>
      </c>
      <c r="J111" s="115">
        <v>2</v>
      </c>
      <c r="K111" s="115">
        <v>1</v>
      </c>
      <c r="L111" s="115">
        <v>0</v>
      </c>
      <c r="M111" s="115">
        <v>4</v>
      </c>
      <c r="N111" s="115">
        <v>2</v>
      </c>
      <c r="O111" s="115">
        <v>1</v>
      </c>
      <c r="P111" s="115">
        <v>4</v>
      </c>
      <c r="Q111" s="115">
        <v>0</v>
      </c>
      <c r="R111" s="115">
        <v>0</v>
      </c>
      <c r="S111" s="115">
        <v>2</v>
      </c>
      <c r="T111" s="115">
        <v>3</v>
      </c>
      <c r="U111" s="115">
        <v>3</v>
      </c>
      <c r="V111" s="115">
        <v>2</v>
      </c>
      <c r="W111" s="115">
        <v>1</v>
      </c>
      <c r="X111" s="115">
        <v>0</v>
      </c>
      <c r="Y111" s="115">
        <v>0</v>
      </c>
      <c r="Z111" s="115">
        <v>0</v>
      </c>
      <c r="AA111" s="115">
        <v>1</v>
      </c>
      <c r="AB111" s="115">
        <v>1</v>
      </c>
      <c r="AC111" s="115">
        <v>1</v>
      </c>
      <c r="AD111" s="115">
        <v>0</v>
      </c>
      <c r="AE111" s="115">
        <v>1</v>
      </c>
      <c r="AF111" s="115">
        <v>0</v>
      </c>
      <c r="AG111" s="115">
        <v>0</v>
      </c>
      <c r="AH111" s="115">
        <v>0</v>
      </c>
      <c r="AI111" s="115">
        <v>2</v>
      </c>
      <c r="AJ111" s="115">
        <v>0</v>
      </c>
      <c r="AK111" s="115">
        <v>0</v>
      </c>
      <c r="AL111" s="115">
        <v>0</v>
      </c>
      <c r="AM111" s="115">
        <v>0</v>
      </c>
      <c r="AN111" s="115">
        <v>0</v>
      </c>
      <c r="AO111" s="115">
        <v>1</v>
      </c>
      <c r="AP111" s="115">
        <v>1</v>
      </c>
      <c r="AQ111" s="115">
        <v>2</v>
      </c>
      <c r="AR111" s="115">
        <v>0</v>
      </c>
      <c r="AS111" s="115">
        <v>0</v>
      </c>
      <c r="AT111" s="115">
        <v>0</v>
      </c>
      <c r="AU111" s="115">
        <v>0</v>
      </c>
      <c r="AV111" s="115">
        <v>0</v>
      </c>
      <c r="AW111" s="115">
        <v>1</v>
      </c>
      <c r="AX111" s="115">
        <v>0</v>
      </c>
      <c r="AY111" s="115">
        <v>5</v>
      </c>
      <c r="AZ111" s="115">
        <v>2</v>
      </c>
      <c r="BA111" s="115">
        <v>0</v>
      </c>
      <c r="BB111" s="115">
        <v>2</v>
      </c>
      <c r="BC111" s="115">
        <v>1</v>
      </c>
      <c r="BD111" s="115">
        <v>1</v>
      </c>
      <c r="BE111" s="115">
        <v>3</v>
      </c>
      <c r="BF111" s="115">
        <v>0</v>
      </c>
      <c r="BG111" s="115">
        <v>3</v>
      </c>
      <c r="BH111" s="115">
        <v>0</v>
      </c>
      <c r="BI111" s="115"/>
      <c r="BJ111" s="115"/>
      <c r="BK111" s="214"/>
    </row>
    <row r="112" spans="1:79" s="162" customFormat="1">
      <c r="A112" s="86" t="s">
        <v>65</v>
      </c>
      <c r="B112" s="55">
        <v>0.76</v>
      </c>
      <c r="C112" s="55">
        <v>0.76</v>
      </c>
      <c r="D112" s="55">
        <v>0.76</v>
      </c>
      <c r="E112" s="55">
        <v>0.76</v>
      </c>
      <c r="F112" s="55">
        <v>0.76</v>
      </c>
      <c r="G112" s="55">
        <v>0.76</v>
      </c>
      <c r="H112" s="55">
        <v>0.76</v>
      </c>
      <c r="I112" s="55">
        <v>0.76</v>
      </c>
      <c r="J112" s="55">
        <v>0.76</v>
      </c>
      <c r="K112" s="55">
        <v>0.76</v>
      </c>
      <c r="L112" s="55">
        <v>0.76</v>
      </c>
      <c r="M112" s="55">
        <v>0.76</v>
      </c>
      <c r="N112" s="55">
        <v>0.76</v>
      </c>
      <c r="O112" s="55">
        <v>0.76</v>
      </c>
      <c r="P112" s="55">
        <v>0.76</v>
      </c>
      <c r="Q112" s="55">
        <v>0.76</v>
      </c>
      <c r="R112" s="55">
        <v>0.76</v>
      </c>
      <c r="S112" s="55">
        <v>0.76</v>
      </c>
      <c r="T112" s="55">
        <v>0.76</v>
      </c>
      <c r="U112" s="55">
        <v>0.76</v>
      </c>
      <c r="V112" s="55">
        <v>0.76</v>
      </c>
      <c r="W112" s="55">
        <v>0.76</v>
      </c>
      <c r="X112" s="55">
        <v>0.76</v>
      </c>
      <c r="Y112" s="55">
        <v>0.76</v>
      </c>
      <c r="Z112" s="55">
        <v>0.76</v>
      </c>
      <c r="AA112" s="55">
        <v>0.76</v>
      </c>
      <c r="AB112" s="55">
        <v>0.76</v>
      </c>
      <c r="AC112" s="55">
        <v>0.76</v>
      </c>
      <c r="AD112" s="55">
        <v>0.76</v>
      </c>
      <c r="AE112" s="55">
        <v>0.76</v>
      </c>
      <c r="AF112" s="55">
        <v>0.76</v>
      </c>
      <c r="AG112" s="55">
        <v>0.76</v>
      </c>
      <c r="AH112" s="55">
        <v>0.76</v>
      </c>
      <c r="AI112" s="55">
        <v>0.76</v>
      </c>
      <c r="AJ112" s="55">
        <v>0.76</v>
      </c>
      <c r="AK112" s="55">
        <v>0.76</v>
      </c>
      <c r="AL112" s="55">
        <v>0.76</v>
      </c>
      <c r="AM112" s="55">
        <v>0.76</v>
      </c>
      <c r="AN112" s="55">
        <v>0.76</v>
      </c>
      <c r="AO112" s="55">
        <v>0.76</v>
      </c>
      <c r="AP112" s="55">
        <v>0.76</v>
      </c>
      <c r="AQ112" s="55">
        <v>0.76</v>
      </c>
      <c r="AR112" s="55">
        <v>0.76</v>
      </c>
      <c r="AS112" s="55">
        <v>0.76</v>
      </c>
      <c r="AT112" s="55">
        <v>0.76</v>
      </c>
      <c r="AU112" s="55">
        <v>0.76</v>
      </c>
      <c r="AV112" s="55">
        <v>0.76</v>
      </c>
      <c r="AW112" s="55">
        <v>0.76</v>
      </c>
      <c r="AX112" s="55">
        <v>0.76</v>
      </c>
      <c r="AY112" s="55">
        <v>0.76</v>
      </c>
      <c r="AZ112" s="55">
        <v>0.76</v>
      </c>
      <c r="BA112" s="55">
        <v>0.76</v>
      </c>
      <c r="BB112" s="55">
        <v>0.76</v>
      </c>
      <c r="BC112" s="55">
        <v>0.76</v>
      </c>
      <c r="BD112" s="55">
        <v>0.76</v>
      </c>
      <c r="BE112" s="55">
        <v>0.76</v>
      </c>
      <c r="BF112" s="55">
        <v>0.76</v>
      </c>
      <c r="BG112" s="55">
        <v>0.76</v>
      </c>
      <c r="BH112" s="55">
        <v>0.76</v>
      </c>
      <c r="BI112" s="55">
        <v>0.76</v>
      </c>
      <c r="BJ112" s="55">
        <v>0.76</v>
      </c>
      <c r="BK112" s="55">
        <v>0.76</v>
      </c>
      <c r="BL112" s="55">
        <v>0.76</v>
      </c>
      <c r="BM112" s="55">
        <v>0.76</v>
      </c>
      <c r="BN112" s="55">
        <v>0.76</v>
      </c>
      <c r="BO112" s="55">
        <v>0.76</v>
      </c>
      <c r="BP112" s="55">
        <v>0.76</v>
      </c>
      <c r="BQ112" s="55">
        <v>0.76</v>
      </c>
      <c r="BR112" s="55">
        <v>0.76</v>
      </c>
      <c r="BS112" s="55">
        <v>0.76</v>
      </c>
      <c r="BT112" s="55">
        <v>0.76</v>
      </c>
      <c r="BU112" s="55">
        <v>0.76</v>
      </c>
      <c r="BV112" s="55">
        <v>0.76</v>
      </c>
      <c r="BW112" s="55">
        <v>0.76</v>
      </c>
      <c r="BX112" s="55">
        <v>0.76</v>
      </c>
      <c r="BY112" s="55">
        <v>0.76</v>
      </c>
      <c r="BZ112" s="55">
        <v>0.76</v>
      </c>
      <c r="CA112" s="55">
        <v>0.76</v>
      </c>
    </row>
    <row r="113" spans="1:79" s="75" customFormat="1">
      <c r="A113" s="165" t="s">
        <v>66</v>
      </c>
      <c r="B113" s="122">
        <v>0.85</v>
      </c>
      <c r="C113" s="122">
        <v>0.70299999999999996</v>
      </c>
      <c r="D113" s="122">
        <v>1.1120000000000001</v>
      </c>
      <c r="E113" s="122">
        <v>0.91600000000000004</v>
      </c>
      <c r="F113" s="122">
        <v>0.53600000000000003</v>
      </c>
      <c r="G113" s="122">
        <v>0.83499999999999996</v>
      </c>
      <c r="H113" s="122">
        <v>0.89900000000000002</v>
      </c>
      <c r="I113" s="122">
        <v>0.86899999999999999</v>
      </c>
      <c r="J113" s="122">
        <v>1.016</v>
      </c>
      <c r="K113" s="122">
        <v>0.84099999999999997</v>
      </c>
      <c r="L113" s="122">
        <v>1.02</v>
      </c>
      <c r="M113" s="122">
        <v>0.99399999999999999</v>
      </c>
      <c r="N113" s="122">
        <v>0.92100000000000004</v>
      </c>
      <c r="O113" s="122">
        <v>0.98599999999999999</v>
      </c>
      <c r="P113" s="122">
        <v>0.93</v>
      </c>
      <c r="Q113" s="122">
        <v>0.80900000000000005</v>
      </c>
      <c r="R113" s="122">
        <v>0.81399999999999995</v>
      </c>
      <c r="S113" s="122">
        <v>0.75800000000000001</v>
      </c>
      <c r="T113" s="122">
        <v>0.78900000000000003</v>
      </c>
      <c r="U113" s="122">
        <v>0.754</v>
      </c>
      <c r="V113" s="122">
        <v>0.71399999999999997</v>
      </c>
      <c r="W113" s="122">
        <v>0.50900000000000001</v>
      </c>
      <c r="X113" s="122">
        <v>0.59599999999999997</v>
      </c>
      <c r="Y113" s="122">
        <v>0.621</v>
      </c>
      <c r="Z113" s="122">
        <v>0.80200000000000005</v>
      </c>
      <c r="AA113" s="122">
        <v>0.66100000000000003</v>
      </c>
      <c r="AB113" s="122">
        <v>0.59199999999999997</v>
      </c>
      <c r="AC113" s="122">
        <v>0.88</v>
      </c>
      <c r="AD113" s="122">
        <v>0.70799999999999996</v>
      </c>
      <c r="AE113" s="122">
        <v>0.754</v>
      </c>
      <c r="AF113" s="122">
        <v>0.72799999999999998</v>
      </c>
      <c r="AG113" s="122">
        <v>0.61099999999999999</v>
      </c>
      <c r="AH113" s="122">
        <v>0.65</v>
      </c>
      <c r="AI113" s="122">
        <v>0.625</v>
      </c>
      <c r="AJ113" s="122">
        <v>0.79</v>
      </c>
      <c r="AK113" s="122">
        <v>0.501</v>
      </c>
      <c r="AL113" s="122">
        <v>0.67100000000000004</v>
      </c>
      <c r="AM113" s="122">
        <v>0.92100000000000004</v>
      </c>
      <c r="AN113" s="122">
        <v>1.0780000000000001</v>
      </c>
      <c r="AO113" s="122">
        <v>1.01</v>
      </c>
      <c r="AP113" s="122">
        <v>1.01</v>
      </c>
      <c r="AQ113" s="122">
        <v>0.96099999999999997</v>
      </c>
      <c r="AR113" s="122">
        <v>0.751</v>
      </c>
      <c r="AS113" s="122">
        <v>0.80400000000000005</v>
      </c>
      <c r="AT113" s="122">
        <v>0.92700000000000005</v>
      </c>
      <c r="AU113" s="122">
        <v>0.83</v>
      </c>
      <c r="AV113" s="122">
        <v>0.79900000000000004</v>
      </c>
      <c r="AW113" s="122">
        <v>0.90300000000000002</v>
      </c>
      <c r="AX113" s="122">
        <v>0.95799999999999996</v>
      </c>
      <c r="AY113" s="122">
        <v>0.88400000000000001</v>
      </c>
      <c r="AZ113" s="122">
        <v>0.85699999999999998</v>
      </c>
      <c r="BA113" s="122">
        <v>0.65800000000000003</v>
      </c>
      <c r="BB113" s="122">
        <v>1.2090000000000001</v>
      </c>
      <c r="BC113" s="122">
        <v>0.89600000000000002</v>
      </c>
      <c r="BD113" s="122">
        <v>0.82099999999999995</v>
      </c>
      <c r="BE113" s="122">
        <v>1.022</v>
      </c>
      <c r="BF113" s="122">
        <v>0.91700000000000004</v>
      </c>
      <c r="BG113" s="122">
        <v>1.0409999999999999</v>
      </c>
      <c r="BH113" s="122">
        <v>0.92</v>
      </c>
      <c r="BI113" s="122"/>
      <c r="BJ113" s="122"/>
      <c r="BK113" s="122"/>
    </row>
    <row r="114" spans="1:79" s="203" customFormat="1">
      <c r="A114" s="165" t="s">
        <v>67</v>
      </c>
      <c r="B114" s="202">
        <v>0.64200000000000002</v>
      </c>
      <c r="C114" s="202">
        <v>0.64200000000000002</v>
      </c>
      <c r="D114" s="202">
        <v>0.64200000000000002</v>
      </c>
      <c r="E114" s="202">
        <v>0.64200000000000002</v>
      </c>
      <c r="F114" s="202">
        <v>0.64200000000000002</v>
      </c>
      <c r="G114" s="202">
        <v>0.64200000000000002</v>
      </c>
      <c r="H114" s="202">
        <v>0.64200000000000002</v>
      </c>
      <c r="I114" s="202">
        <v>0.64200000000000002</v>
      </c>
      <c r="J114" s="202">
        <v>0.64200000000000002</v>
      </c>
      <c r="K114" s="202">
        <v>0.64200000000000002</v>
      </c>
      <c r="L114" s="202">
        <v>0.64200000000000002</v>
      </c>
      <c r="M114" s="202">
        <v>0.64200000000000002</v>
      </c>
      <c r="N114" s="202">
        <v>0.64200000000000002</v>
      </c>
      <c r="O114" s="202">
        <v>0.64200000000000002</v>
      </c>
      <c r="P114" s="202">
        <v>0.64200000000000002</v>
      </c>
      <c r="Q114" s="202">
        <v>0.64200000000000002</v>
      </c>
      <c r="R114" s="202">
        <v>0.64200000000000002</v>
      </c>
      <c r="S114" s="202">
        <v>0.64200000000000002</v>
      </c>
      <c r="T114" s="202">
        <v>0.64200000000000002</v>
      </c>
      <c r="U114" s="202">
        <v>0.64200000000000002</v>
      </c>
      <c r="V114" s="202">
        <v>0.64200000000000002</v>
      </c>
      <c r="W114" s="202">
        <v>0.64200000000000002</v>
      </c>
      <c r="X114" s="202">
        <v>0.64200000000000002</v>
      </c>
      <c r="Y114" s="202">
        <v>0.64200000000000002</v>
      </c>
      <c r="Z114" s="202">
        <v>0.64200000000000002</v>
      </c>
      <c r="AA114" s="202">
        <v>0.64200000000000002</v>
      </c>
      <c r="AB114" s="202">
        <v>0.64200000000000002</v>
      </c>
      <c r="AC114" s="202">
        <v>0.64200000000000002</v>
      </c>
      <c r="AD114" s="202">
        <v>0.64200000000000002</v>
      </c>
      <c r="AE114" s="202">
        <v>0.64200000000000002</v>
      </c>
      <c r="AF114" s="202">
        <v>0.64200000000000002</v>
      </c>
      <c r="AG114" s="202">
        <v>0.64200000000000002</v>
      </c>
      <c r="AH114" s="202">
        <v>0.64200000000000002</v>
      </c>
      <c r="AI114" s="202">
        <v>0.64200000000000002</v>
      </c>
      <c r="AJ114" s="202">
        <v>0.64200000000000002</v>
      </c>
      <c r="AK114" s="202">
        <v>0.64200000000000002</v>
      </c>
      <c r="AL114" s="202">
        <v>0.64200000000000002</v>
      </c>
      <c r="AM114" s="202">
        <v>0.64200000000000002</v>
      </c>
      <c r="AN114" s="202">
        <v>0.64200000000000002</v>
      </c>
      <c r="AO114" s="202">
        <v>0.64200000000000002</v>
      </c>
      <c r="AP114" s="202">
        <v>0.64200000000000002</v>
      </c>
      <c r="AQ114" s="202">
        <v>0.64200000000000002</v>
      </c>
      <c r="AR114" s="202">
        <v>0.64200000000000002</v>
      </c>
      <c r="AS114" s="202">
        <v>0.64200000000000002</v>
      </c>
      <c r="AT114" s="202">
        <v>0.64200000000000002</v>
      </c>
      <c r="AU114" s="202">
        <v>0.64200000000000002</v>
      </c>
      <c r="AV114" s="202">
        <v>0.64200000000000002</v>
      </c>
      <c r="AW114" s="202">
        <v>0.64200000000000002</v>
      </c>
      <c r="AX114" s="202">
        <v>0.64200000000000002</v>
      </c>
      <c r="AY114" s="202">
        <v>0.64200000000000002</v>
      </c>
      <c r="AZ114" s="202">
        <v>0.64200000000000002</v>
      </c>
      <c r="BA114" s="202">
        <v>0.64200000000000002</v>
      </c>
      <c r="BB114" s="202">
        <v>0.64200000000000002</v>
      </c>
      <c r="BC114" s="202">
        <v>0.64200000000000002</v>
      </c>
      <c r="BD114" s="202">
        <v>0.64200000000000002</v>
      </c>
      <c r="BE114" s="202">
        <v>0.64200000000000002</v>
      </c>
      <c r="BF114" s="202">
        <v>0.64200000000000002</v>
      </c>
      <c r="BG114" s="202">
        <v>0.64200000000000002</v>
      </c>
      <c r="BH114" s="202">
        <v>0.64200000000000002</v>
      </c>
      <c r="BI114" s="202">
        <v>0.64200000000000002</v>
      </c>
      <c r="BJ114" s="202">
        <v>0.64200000000000002</v>
      </c>
      <c r="BK114" s="202">
        <v>0.64200000000000002</v>
      </c>
      <c r="BL114" s="202">
        <v>0.64200000000000002</v>
      </c>
      <c r="BM114" s="202">
        <v>0.64200000000000002</v>
      </c>
      <c r="BN114" s="202">
        <v>0.64200000000000002</v>
      </c>
      <c r="BO114" s="202">
        <v>0.64200000000000002</v>
      </c>
      <c r="BP114" s="202">
        <v>0.64200000000000002</v>
      </c>
      <c r="BQ114" s="202">
        <v>0.64200000000000002</v>
      </c>
      <c r="BR114" s="202">
        <v>0.64200000000000002</v>
      </c>
      <c r="BS114" s="202">
        <v>0.64200000000000002</v>
      </c>
      <c r="BT114" s="202">
        <v>0.64200000000000002</v>
      </c>
      <c r="BU114" s="202">
        <v>0.64200000000000002</v>
      </c>
      <c r="BV114" s="202">
        <v>0.64200000000000002</v>
      </c>
      <c r="BW114" s="202">
        <v>0.64200000000000002</v>
      </c>
      <c r="BX114" s="202">
        <v>0.64200000000000002</v>
      </c>
      <c r="BY114" s="202">
        <v>0.64200000000000002</v>
      </c>
      <c r="BZ114" s="202">
        <v>0.64200000000000002</v>
      </c>
      <c r="CA114" s="202">
        <v>0.64200000000000002</v>
      </c>
    </row>
    <row r="115" spans="1:79" s="75" customFormat="1">
      <c r="A115" s="165" t="s">
        <v>68</v>
      </c>
      <c r="B115" s="122">
        <v>0.58699999999999997</v>
      </c>
      <c r="C115" s="122">
        <v>0.55300000000000005</v>
      </c>
      <c r="D115" s="122">
        <v>0.54800000000000004</v>
      </c>
      <c r="E115" s="122"/>
      <c r="F115" s="122">
        <v>0.47</v>
      </c>
      <c r="G115" s="122">
        <v>0.63200000000000001</v>
      </c>
      <c r="H115" s="122">
        <v>0.51400000000000001</v>
      </c>
      <c r="I115" s="122">
        <v>0.56599999999999995</v>
      </c>
      <c r="J115" s="122">
        <v>0.63600000000000001</v>
      </c>
      <c r="K115" s="122">
        <v>0.53600000000000003</v>
      </c>
      <c r="L115" s="122"/>
      <c r="M115" s="122"/>
      <c r="N115" s="122"/>
      <c r="O115" s="122">
        <v>0.63300000000000001</v>
      </c>
      <c r="P115" s="122">
        <v>0.55000000000000004</v>
      </c>
      <c r="Q115" s="122">
        <v>0.57299999999999995</v>
      </c>
      <c r="R115" s="122">
        <v>0.437</v>
      </c>
      <c r="S115" s="122">
        <v>0.496</v>
      </c>
      <c r="T115" s="122">
        <v>0.51100000000000001</v>
      </c>
      <c r="U115" s="122">
        <v>0.54500000000000004</v>
      </c>
      <c r="V115" s="122">
        <v>0.432</v>
      </c>
      <c r="W115" s="122">
        <v>0.35399999999999998</v>
      </c>
      <c r="X115" s="122">
        <v>0.38200000000000001</v>
      </c>
      <c r="Y115" s="122">
        <v>0.47699999999999998</v>
      </c>
      <c r="Z115" s="122">
        <v>0.496</v>
      </c>
      <c r="AA115" s="122">
        <v>0.45600000000000002</v>
      </c>
      <c r="AB115" s="122">
        <v>0.56000000000000005</v>
      </c>
      <c r="AC115" s="122"/>
      <c r="AD115" s="122">
        <v>0.52700000000000002</v>
      </c>
      <c r="AE115" s="122">
        <v>0.60699999999999998</v>
      </c>
      <c r="AF115" s="122">
        <v>0.56799999999999995</v>
      </c>
      <c r="AG115" s="122">
        <v>0.505</v>
      </c>
      <c r="AH115" s="122">
        <v>0.44900000000000001</v>
      </c>
      <c r="AI115" s="122">
        <v>0.499</v>
      </c>
      <c r="AJ115" s="122">
        <v>0.56200000000000006</v>
      </c>
      <c r="AK115" s="122">
        <v>0.41199999999999998</v>
      </c>
      <c r="AL115" s="122">
        <v>0.48399999999999999</v>
      </c>
      <c r="AM115" s="122">
        <v>0.49</v>
      </c>
      <c r="AN115" s="122"/>
      <c r="AO115" s="122">
        <v>0.54</v>
      </c>
      <c r="AP115" s="122">
        <v>0.56000000000000005</v>
      </c>
      <c r="AQ115" s="122"/>
      <c r="AR115" s="122">
        <v>0.58699999999999997</v>
      </c>
      <c r="AS115" s="122">
        <v>0.502</v>
      </c>
      <c r="AT115" s="122"/>
      <c r="AU115" s="122">
        <v>0.64</v>
      </c>
      <c r="AV115" s="122">
        <v>0.49399999999999999</v>
      </c>
      <c r="AW115" s="122"/>
      <c r="AX115" s="122">
        <v>0.57399999999999995</v>
      </c>
      <c r="AY115" s="122">
        <v>0.64100000000000001</v>
      </c>
      <c r="AZ115" s="122">
        <v>0.53200000000000003</v>
      </c>
      <c r="BA115" s="122">
        <v>0.44700000000000001</v>
      </c>
      <c r="BB115" s="122">
        <v>0.61399999999999999</v>
      </c>
      <c r="BC115" s="122"/>
      <c r="BD115" s="122">
        <v>0.53800000000000003</v>
      </c>
      <c r="BE115" s="122">
        <v>0.60599999999999998</v>
      </c>
      <c r="BF115" s="122"/>
      <c r="BG115" s="122">
        <v>0.60899999999999999</v>
      </c>
      <c r="BH115" s="122">
        <v>0.41799999999999998</v>
      </c>
      <c r="BI115" s="122"/>
      <c r="BJ115" s="122"/>
      <c r="BK115" s="122"/>
    </row>
    <row r="116" spans="1:79" s="203" customFormat="1">
      <c r="A116" s="165" t="s">
        <v>69</v>
      </c>
      <c r="B116" s="202">
        <v>0.67800000000000005</v>
      </c>
      <c r="C116" s="202">
        <v>0.67800000000000005</v>
      </c>
      <c r="D116" s="202">
        <v>0.67800000000000005</v>
      </c>
      <c r="E116" s="202">
        <v>0.67800000000000005</v>
      </c>
      <c r="F116" s="202">
        <v>0.67800000000000005</v>
      </c>
      <c r="G116" s="202">
        <v>0.67800000000000005</v>
      </c>
      <c r="H116" s="202">
        <v>0.67800000000000005</v>
      </c>
      <c r="I116" s="202">
        <v>0.67800000000000005</v>
      </c>
      <c r="J116" s="202">
        <v>0.67800000000000005</v>
      </c>
      <c r="K116" s="202">
        <v>0.67800000000000005</v>
      </c>
      <c r="L116" s="202">
        <v>0.67800000000000005</v>
      </c>
      <c r="M116" s="202">
        <v>0.67800000000000005</v>
      </c>
      <c r="N116" s="202">
        <v>0.67800000000000005</v>
      </c>
      <c r="O116" s="202">
        <v>0.67800000000000005</v>
      </c>
      <c r="P116" s="202">
        <v>0.67800000000000005</v>
      </c>
      <c r="Q116" s="202">
        <v>0.67800000000000005</v>
      </c>
      <c r="R116" s="202">
        <v>0.67800000000000005</v>
      </c>
      <c r="S116" s="202">
        <v>0.67800000000000005</v>
      </c>
      <c r="T116" s="202">
        <v>0.67800000000000005</v>
      </c>
      <c r="U116" s="202">
        <v>0.67800000000000005</v>
      </c>
      <c r="V116" s="202">
        <v>0.67800000000000005</v>
      </c>
      <c r="W116" s="202">
        <v>0.67800000000000005</v>
      </c>
      <c r="X116" s="202">
        <v>0.67800000000000005</v>
      </c>
      <c r="Y116" s="202">
        <v>0.67800000000000005</v>
      </c>
      <c r="Z116" s="202">
        <v>0.67800000000000005</v>
      </c>
      <c r="AA116" s="202">
        <v>0.67800000000000005</v>
      </c>
      <c r="AB116" s="202">
        <v>0.67800000000000005</v>
      </c>
      <c r="AC116" s="202">
        <v>0.67800000000000005</v>
      </c>
      <c r="AD116" s="202">
        <v>0.67800000000000005</v>
      </c>
      <c r="AE116" s="202">
        <v>0.67800000000000005</v>
      </c>
      <c r="AF116" s="202">
        <v>0.67800000000000005</v>
      </c>
      <c r="AG116" s="202">
        <v>0.67800000000000005</v>
      </c>
      <c r="AH116" s="202">
        <v>0.67800000000000005</v>
      </c>
      <c r="AI116" s="202">
        <v>0.67800000000000005</v>
      </c>
      <c r="AJ116" s="202">
        <v>0.67800000000000005</v>
      </c>
      <c r="AK116" s="202">
        <v>0.67800000000000005</v>
      </c>
      <c r="AL116" s="202">
        <v>0.67800000000000005</v>
      </c>
      <c r="AM116" s="202">
        <v>0.67800000000000005</v>
      </c>
      <c r="AN116" s="202">
        <v>0.67800000000000005</v>
      </c>
      <c r="AO116" s="202">
        <v>0.67800000000000005</v>
      </c>
      <c r="AP116" s="202">
        <v>0.67800000000000005</v>
      </c>
      <c r="AQ116" s="202">
        <v>0.67800000000000005</v>
      </c>
      <c r="AR116" s="202">
        <v>0.67800000000000005</v>
      </c>
      <c r="AS116" s="202">
        <v>0.67800000000000005</v>
      </c>
      <c r="AT116" s="202">
        <v>0.67800000000000005</v>
      </c>
      <c r="AU116" s="202">
        <v>0.67800000000000005</v>
      </c>
      <c r="AV116" s="202">
        <v>0.67800000000000005</v>
      </c>
      <c r="AW116" s="202">
        <v>0.67800000000000005</v>
      </c>
      <c r="AX116" s="202">
        <v>0.67800000000000005</v>
      </c>
      <c r="AY116" s="202">
        <v>0.67800000000000005</v>
      </c>
      <c r="AZ116" s="202">
        <v>0.67800000000000005</v>
      </c>
      <c r="BA116" s="202">
        <v>0.67800000000000005</v>
      </c>
      <c r="BB116" s="202">
        <v>0.67800000000000005</v>
      </c>
      <c r="BC116" s="202">
        <v>0.67800000000000005</v>
      </c>
      <c r="BD116" s="202">
        <v>0.67800000000000005</v>
      </c>
      <c r="BE116" s="202">
        <v>0.67800000000000005</v>
      </c>
      <c r="BF116" s="202">
        <v>0.67800000000000005</v>
      </c>
      <c r="BG116" s="202">
        <v>0.67800000000000005</v>
      </c>
      <c r="BH116" s="202">
        <v>0.67800000000000005</v>
      </c>
      <c r="BI116" s="202">
        <v>0.67800000000000005</v>
      </c>
      <c r="BJ116" s="202">
        <v>0.67800000000000005</v>
      </c>
      <c r="BK116" s="202">
        <v>0.67800000000000005</v>
      </c>
      <c r="BL116" s="202">
        <v>0.67800000000000005</v>
      </c>
      <c r="BM116" s="202">
        <v>0.67800000000000005</v>
      </c>
      <c r="BN116" s="202">
        <v>0.67800000000000005</v>
      </c>
      <c r="BO116" s="202">
        <v>0.67800000000000005</v>
      </c>
      <c r="BP116" s="202">
        <v>0.67800000000000005</v>
      </c>
      <c r="BQ116" s="202">
        <v>0.67800000000000005</v>
      </c>
      <c r="BR116" s="202">
        <v>0.67800000000000005</v>
      </c>
      <c r="BS116" s="202">
        <v>0.67800000000000005</v>
      </c>
      <c r="BT116" s="202">
        <v>0.67800000000000005</v>
      </c>
      <c r="BU116" s="202">
        <v>0.67800000000000005</v>
      </c>
      <c r="BV116" s="202">
        <v>0.67800000000000005</v>
      </c>
      <c r="BW116" s="202">
        <v>0.67800000000000005</v>
      </c>
      <c r="BX116" s="202">
        <v>0.67800000000000005</v>
      </c>
      <c r="BY116" s="202">
        <v>0.67800000000000005</v>
      </c>
      <c r="BZ116" s="202">
        <v>0.67800000000000005</v>
      </c>
      <c r="CA116" s="202">
        <v>0.67800000000000005</v>
      </c>
    </row>
    <row r="117" spans="1:79" s="75" customFormat="1">
      <c r="A117" s="165" t="s">
        <v>70</v>
      </c>
      <c r="B117" s="122">
        <v>0.91600000000000004</v>
      </c>
      <c r="C117" s="122">
        <v>0.79300000000000004</v>
      </c>
      <c r="D117" s="122">
        <v>1.1830000000000001</v>
      </c>
      <c r="E117" s="122">
        <v>0.91600000000000004</v>
      </c>
      <c r="F117" s="122"/>
      <c r="G117" s="122">
        <v>0.88900000000000001</v>
      </c>
      <c r="H117" s="122">
        <v>0.94199999999999995</v>
      </c>
      <c r="I117" s="122">
        <v>0.99399999999999999</v>
      </c>
      <c r="J117" s="122">
        <v>1.107</v>
      </c>
      <c r="K117" s="122">
        <v>1.0309999999999999</v>
      </c>
      <c r="L117" s="122">
        <v>1.02</v>
      </c>
      <c r="M117" s="122">
        <v>0.99399999999999999</v>
      </c>
      <c r="N117" s="122">
        <v>0.92100000000000004</v>
      </c>
      <c r="O117" s="122">
        <v>1.0209999999999999</v>
      </c>
      <c r="P117" s="122">
        <v>1.0720000000000001</v>
      </c>
      <c r="Q117" s="122">
        <v>0.88600000000000001</v>
      </c>
      <c r="R117" s="122">
        <v>0.84799999999999998</v>
      </c>
      <c r="S117" s="122">
        <v>0.84499999999999997</v>
      </c>
      <c r="T117" s="122">
        <v>0.873</v>
      </c>
      <c r="U117" s="122">
        <v>0.83699999999999997</v>
      </c>
      <c r="V117" s="122">
        <v>0.80800000000000005</v>
      </c>
      <c r="W117" s="122">
        <v>0.74399999999999999</v>
      </c>
      <c r="X117" s="122">
        <v>0.85099999999999998</v>
      </c>
      <c r="Y117" s="122">
        <v>0.82</v>
      </c>
      <c r="Z117" s="122">
        <v>1.109</v>
      </c>
      <c r="AA117" s="122">
        <v>0.80400000000000005</v>
      </c>
      <c r="AB117" s="122">
        <v>0.71399999999999997</v>
      </c>
      <c r="AC117" s="122">
        <v>0.93600000000000005</v>
      </c>
      <c r="AD117" s="122">
        <v>1.038</v>
      </c>
      <c r="AE117" s="122">
        <v>0.84299999999999997</v>
      </c>
      <c r="AF117" s="122">
        <v>0.79200000000000004</v>
      </c>
      <c r="AG117" s="122">
        <v>0.84799999999999998</v>
      </c>
      <c r="AH117" s="122">
        <v>0.79500000000000004</v>
      </c>
      <c r="AI117" s="122">
        <v>1.004</v>
      </c>
      <c r="AJ117" s="122">
        <v>0.88600000000000001</v>
      </c>
      <c r="AK117" s="122">
        <v>0.73799999999999999</v>
      </c>
      <c r="AL117" s="122">
        <v>0.86699999999999999</v>
      </c>
      <c r="AM117" s="122">
        <v>0.998</v>
      </c>
      <c r="AN117" s="122">
        <v>1.0780000000000001</v>
      </c>
      <c r="AO117" s="122">
        <v>1.115</v>
      </c>
      <c r="AP117" s="122">
        <v>1.0549999999999999</v>
      </c>
      <c r="AQ117" s="122">
        <v>0.96099999999999997</v>
      </c>
      <c r="AR117" s="122">
        <v>0.79200000000000004</v>
      </c>
      <c r="AS117" s="122">
        <v>0.91700000000000004</v>
      </c>
      <c r="AT117" s="122"/>
      <c r="AU117" s="122">
        <v>0.90300000000000002</v>
      </c>
      <c r="AV117" s="122">
        <v>0.97499999999999998</v>
      </c>
      <c r="AW117" s="122">
        <v>0.98399999999999999</v>
      </c>
      <c r="AX117" s="122">
        <v>1.0349999999999999</v>
      </c>
      <c r="AY117" s="122">
        <v>1.0589999999999999</v>
      </c>
      <c r="AZ117" s="122">
        <v>0.95099999999999996</v>
      </c>
      <c r="BA117" s="122">
        <v>0.86899999999999999</v>
      </c>
      <c r="BB117" s="122">
        <v>1.258</v>
      </c>
      <c r="BC117" s="122">
        <v>0.99199999999999999</v>
      </c>
      <c r="BD117" s="122">
        <v>1.1599999999999999</v>
      </c>
      <c r="BE117" s="122">
        <v>1.087</v>
      </c>
      <c r="BF117" s="122">
        <v>0.91700000000000004</v>
      </c>
      <c r="BG117" s="122">
        <v>1.075</v>
      </c>
      <c r="BH117" s="122">
        <v>1.0209999999999999</v>
      </c>
      <c r="BI117" s="122"/>
      <c r="BJ117" s="122"/>
      <c r="BK117" s="122"/>
    </row>
    <row r="118" spans="1:79" s="2" customFormat="1">
      <c r="A118" s="53" t="s">
        <v>23</v>
      </c>
      <c r="B118" s="116">
        <f>B119/(SUM(B119,B121,B123))</f>
        <v>0.1111111111111111</v>
      </c>
      <c r="C118" s="116">
        <f t="shared" ref="C118:BB118" si="411">C119/(SUM(C119,C121,C123))</f>
        <v>0.375</v>
      </c>
      <c r="D118" s="116">
        <f t="shared" si="411"/>
        <v>0.1111111111111111</v>
      </c>
      <c r="E118" s="116">
        <f t="shared" si="411"/>
        <v>0</v>
      </c>
      <c r="F118" s="116">
        <f t="shared" si="411"/>
        <v>0.66666666666666663</v>
      </c>
      <c r="G118" s="116">
        <f t="shared" si="411"/>
        <v>0.14285714285714285</v>
      </c>
      <c r="H118" s="116">
        <f t="shared" si="411"/>
        <v>0.1</v>
      </c>
      <c r="I118" s="116">
        <f t="shared" si="411"/>
        <v>0.21052631578947367</v>
      </c>
      <c r="J118" s="116">
        <f t="shared" si="411"/>
        <v>0.1</v>
      </c>
      <c r="K118" s="116">
        <f t="shared" si="411"/>
        <v>0.38461538461538464</v>
      </c>
      <c r="L118" s="116">
        <f t="shared" si="411"/>
        <v>0.1</v>
      </c>
      <c r="M118" s="116">
        <f t="shared" si="411"/>
        <v>0.15384615384615385</v>
      </c>
      <c r="N118" s="116">
        <f t="shared" si="411"/>
        <v>0</v>
      </c>
      <c r="O118" s="116">
        <f t="shared" si="411"/>
        <v>0.27272727272727271</v>
      </c>
      <c r="P118" s="116">
        <f t="shared" si="411"/>
        <v>0.2857142857142857</v>
      </c>
      <c r="Q118" s="116">
        <f t="shared" si="411"/>
        <v>0.27272727272727271</v>
      </c>
      <c r="R118" s="116">
        <f t="shared" si="411"/>
        <v>0.16666666666666666</v>
      </c>
      <c r="S118" s="116">
        <f t="shared" si="411"/>
        <v>0.15384615384615385</v>
      </c>
      <c r="T118" s="116">
        <f t="shared" si="411"/>
        <v>0.1111111111111111</v>
      </c>
      <c r="U118" s="116">
        <f t="shared" si="411"/>
        <v>0.1875</v>
      </c>
      <c r="V118" s="116">
        <f t="shared" si="411"/>
        <v>0</v>
      </c>
      <c r="W118" s="116">
        <f t="shared" si="411"/>
        <v>0.25</v>
      </c>
      <c r="X118" s="116">
        <f t="shared" si="411"/>
        <v>0.4</v>
      </c>
      <c r="Y118" s="116">
        <f t="shared" si="411"/>
        <v>0.16666666666666666</v>
      </c>
      <c r="Z118" s="116">
        <f t="shared" si="411"/>
        <v>0.3</v>
      </c>
      <c r="AA118" s="116">
        <f t="shared" si="411"/>
        <v>0.42857142857142855</v>
      </c>
      <c r="AB118" s="116">
        <f t="shared" si="411"/>
        <v>0.375</v>
      </c>
      <c r="AC118" s="116">
        <f t="shared" si="411"/>
        <v>0.3</v>
      </c>
      <c r="AD118" s="116">
        <f t="shared" si="411"/>
        <v>0.41666666666666669</v>
      </c>
      <c r="AE118" s="116">
        <f t="shared" si="411"/>
        <v>0</v>
      </c>
      <c r="AF118" s="116">
        <f t="shared" si="411"/>
        <v>0.625</v>
      </c>
      <c r="AG118" s="116">
        <f t="shared" si="411"/>
        <v>0.53846153846153844</v>
      </c>
      <c r="AH118" s="116">
        <f t="shared" si="411"/>
        <v>0.30769230769230771</v>
      </c>
      <c r="AI118" s="116">
        <f t="shared" si="411"/>
        <v>0.33333333333333331</v>
      </c>
      <c r="AJ118" s="116">
        <f t="shared" si="411"/>
        <v>0.38461538461538464</v>
      </c>
      <c r="AK118" s="116">
        <f t="shared" si="411"/>
        <v>0.63636363636363635</v>
      </c>
      <c r="AL118" s="116">
        <f t="shared" si="411"/>
        <v>0.4</v>
      </c>
      <c r="AM118" s="116">
        <f t="shared" si="411"/>
        <v>0.1111111111111111</v>
      </c>
      <c r="AN118" s="116">
        <f t="shared" si="411"/>
        <v>8.3333333333333329E-2</v>
      </c>
      <c r="AO118" s="116">
        <f t="shared" si="411"/>
        <v>0</v>
      </c>
      <c r="AP118" s="116">
        <f t="shared" si="411"/>
        <v>8.3333333333333329E-2</v>
      </c>
      <c r="AQ118" s="116">
        <f t="shared" si="411"/>
        <v>0</v>
      </c>
      <c r="AR118" s="116">
        <f t="shared" si="411"/>
        <v>0.1</v>
      </c>
      <c r="AS118" s="116">
        <f t="shared" si="411"/>
        <v>0</v>
      </c>
      <c r="AT118" s="116">
        <f t="shared" si="411"/>
        <v>0</v>
      </c>
      <c r="AU118" s="116">
        <f t="shared" si="411"/>
        <v>0.125</v>
      </c>
      <c r="AV118" s="116">
        <f t="shared" si="411"/>
        <v>0</v>
      </c>
      <c r="AW118" s="116">
        <f t="shared" si="411"/>
        <v>0</v>
      </c>
      <c r="AX118" s="116">
        <f t="shared" si="411"/>
        <v>0</v>
      </c>
      <c r="AY118" s="116">
        <f t="shared" si="411"/>
        <v>0</v>
      </c>
      <c r="AZ118" s="116">
        <f t="shared" si="411"/>
        <v>0</v>
      </c>
      <c r="BA118" s="116">
        <f t="shared" si="411"/>
        <v>0</v>
      </c>
      <c r="BB118" s="116">
        <f t="shared" si="411"/>
        <v>0</v>
      </c>
      <c r="BC118" s="116">
        <f t="shared" ref="BC118:CA118" si="412">BC119/(SUM(BC119,BC121,BC123))</f>
        <v>0</v>
      </c>
      <c r="BD118" s="116">
        <f t="shared" si="412"/>
        <v>0</v>
      </c>
      <c r="BE118" s="116">
        <f t="shared" si="412"/>
        <v>0</v>
      </c>
      <c r="BF118" s="116">
        <f t="shared" si="412"/>
        <v>0</v>
      </c>
      <c r="BG118" s="116">
        <f t="shared" si="412"/>
        <v>0</v>
      </c>
      <c r="BH118" s="116">
        <f t="shared" si="412"/>
        <v>0</v>
      </c>
      <c r="BI118" s="116" t="e">
        <f t="shared" si="412"/>
        <v>#DIV/0!</v>
      </c>
      <c r="BJ118" s="116" t="e">
        <f t="shared" si="412"/>
        <v>#DIV/0!</v>
      </c>
      <c r="BK118" s="117" t="e">
        <f t="shared" si="412"/>
        <v>#DIV/0!</v>
      </c>
      <c r="BL118" s="117" t="e">
        <f t="shared" si="412"/>
        <v>#DIV/0!</v>
      </c>
      <c r="BM118" s="117" t="e">
        <f t="shared" si="412"/>
        <v>#DIV/0!</v>
      </c>
      <c r="BN118" s="117" t="e">
        <f t="shared" si="412"/>
        <v>#DIV/0!</v>
      </c>
      <c r="BO118" s="117" t="e">
        <f t="shared" si="412"/>
        <v>#DIV/0!</v>
      </c>
      <c r="BP118" s="117" t="e">
        <f t="shared" si="412"/>
        <v>#DIV/0!</v>
      </c>
      <c r="BQ118" s="117" t="e">
        <f t="shared" si="412"/>
        <v>#DIV/0!</v>
      </c>
      <c r="BR118" s="117" t="e">
        <f t="shared" si="412"/>
        <v>#DIV/0!</v>
      </c>
      <c r="BS118" s="117" t="e">
        <f t="shared" si="412"/>
        <v>#DIV/0!</v>
      </c>
      <c r="BT118" s="117" t="e">
        <f t="shared" si="412"/>
        <v>#DIV/0!</v>
      </c>
      <c r="BU118" s="117" t="e">
        <f t="shared" si="412"/>
        <v>#DIV/0!</v>
      </c>
      <c r="BV118" s="117" t="e">
        <f t="shared" si="412"/>
        <v>#DIV/0!</v>
      </c>
      <c r="BW118" s="117" t="e">
        <f t="shared" si="412"/>
        <v>#DIV/0!</v>
      </c>
      <c r="BX118" s="117" t="e">
        <f t="shared" si="412"/>
        <v>#DIV/0!</v>
      </c>
      <c r="BY118" s="117" t="e">
        <f t="shared" si="412"/>
        <v>#DIV/0!</v>
      </c>
      <c r="BZ118" s="117" t="e">
        <f t="shared" si="412"/>
        <v>#DIV/0!</v>
      </c>
      <c r="CA118" s="117" t="e">
        <f t="shared" si="412"/>
        <v>#DIV/0!</v>
      </c>
    </row>
    <row r="119" spans="1:79" s="89" customFormat="1">
      <c r="A119" s="22" t="s">
        <v>39</v>
      </c>
      <c r="B119" s="108">
        <v>1</v>
      </c>
      <c r="C119" s="108">
        <v>3</v>
      </c>
      <c r="D119" s="108">
        <v>1</v>
      </c>
      <c r="E119" s="108">
        <v>0</v>
      </c>
      <c r="F119" s="108">
        <v>2</v>
      </c>
      <c r="G119" s="108">
        <v>2</v>
      </c>
      <c r="H119" s="108">
        <v>1</v>
      </c>
      <c r="I119" s="108">
        <v>4</v>
      </c>
      <c r="J119" s="108">
        <v>1</v>
      </c>
      <c r="K119" s="108">
        <v>5</v>
      </c>
      <c r="L119" s="108">
        <v>1</v>
      </c>
      <c r="M119" s="108">
        <v>2</v>
      </c>
      <c r="N119" s="108">
        <v>0</v>
      </c>
      <c r="O119" s="108">
        <v>3</v>
      </c>
      <c r="P119" s="108">
        <v>4</v>
      </c>
      <c r="Q119" s="108">
        <v>3</v>
      </c>
      <c r="R119" s="108">
        <v>2</v>
      </c>
      <c r="S119" s="108">
        <v>2</v>
      </c>
      <c r="T119" s="108">
        <v>2</v>
      </c>
      <c r="U119" s="108">
        <v>3</v>
      </c>
      <c r="V119" s="108">
        <v>0</v>
      </c>
      <c r="W119" s="108">
        <v>3</v>
      </c>
      <c r="X119" s="108">
        <v>4</v>
      </c>
      <c r="Y119" s="108">
        <v>1</v>
      </c>
      <c r="Z119" s="108">
        <v>3</v>
      </c>
      <c r="AA119" s="108">
        <v>6</v>
      </c>
      <c r="AB119" s="108">
        <v>3</v>
      </c>
      <c r="AC119" s="108">
        <v>3</v>
      </c>
      <c r="AD119" s="108">
        <v>5</v>
      </c>
      <c r="AE119" s="108">
        <v>0</v>
      </c>
      <c r="AF119" s="108">
        <v>5</v>
      </c>
      <c r="AG119" s="108">
        <v>7</v>
      </c>
      <c r="AH119" s="108">
        <v>4</v>
      </c>
      <c r="AI119" s="108">
        <v>3</v>
      </c>
      <c r="AJ119" s="108">
        <v>5</v>
      </c>
      <c r="AK119" s="108">
        <v>7</v>
      </c>
      <c r="AL119" s="108">
        <v>4</v>
      </c>
      <c r="AM119" s="108">
        <v>1</v>
      </c>
      <c r="AN119" s="108">
        <v>1</v>
      </c>
      <c r="AO119" s="108">
        <v>0</v>
      </c>
      <c r="AP119" s="108">
        <v>1</v>
      </c>
      <c r="AQ119" s="108">
        <v>0</v>
      </c>
      <c r="AR119" s="108">
        <v>1</v>
      </c>
      <c r="AS119" s="108">
        <v>0</v>
      </c>
      <c r="AT119" s="108">
        <v>0</v>
      </c>
      <c r="AU119" s="108">
        <v>1</v>
      </c>
      <c r="AV119" s="108">
        <v>0</v>
      </c>
      <c r="AW119" s="108">
        <v>0</v>
      </c>
      <c r="AX119" s="108">
        <v>0</v>
      </c>
      <c r="AY119" s="108">
        <v>0</v>
      </c>
      <c r="AZ119" s="108">
        <v>0</v>
      </c>
      <c r="BA119" s="108">
        <v>0</v>
      </c>
      <c r="BB119" s="108">
        <v>0</v>
      </c>
      <c r="BC119" s="108"/>
      <c r="BD119" s="108">
        <v>0</v>
      </c>
      <c r="BE119" s="108">
        <v>0</v>
      </c>
      <c r="BF119" s="108">
        <v>0</v>
      </c>
      <c r="BG119" s="108">
        <v>0</v>
      </c>
      <c r="BH119" s="108">
        <v>0</v>
      </c>
      <c r="BI119" s="108"/>
      <c r="BJ119" s="108"/>
      <c r="BK119" s="197"/>
    </row>
    <row r="120" spans="1:79" s="2" customFormat="1">
      <c r="A120" s="24" t="s">
        <v>25</v>
      </c>
      <c r="B120" s="106">
        <f>B121/(SUM(B119,B123,B121))</f>
        <v>0</v>
      </c>
      <c r="C120" s="106">
        <f t="shared" ref="C120:I120" si="413">C121/(SUM(C119,C123,C121))</f>
        <v>0</v>
      </c>
      <c r="D120" s="106">
        <f t="shared" si="413"/>
        <v>0</v>
      </c>
      <c r="E120" s="106">
        <f t="shared" si="413"/>
        <v>0</v>
      </c>
      <c r="F120" s="106">
        <f t="shared" si="413"/>
        <v>0.33333333333333331</v>
      </c>
      <c r="G120" s="106">
        <f t="shared" si="413"/>
        <v>7.1428571428571425E-2</v>
      </c>
      <c r="H120" s="106">
        <f t="shared" si="413"/>
        <v>0</v>
      </c>
      <c r="I120" s="106">
        <f t="shared" si="413"/>
        <v>0.10526315789473684</v>
      </c>
      <c r="J120" s="106">
        <f t="shared" ref="J120" si="414">J121/(SUM(J119,J123,J121))</f>
        <v>0.1</v>
      </c>
      <c r="K120" s="106">
        <f t="shared" ref="K120" si="415">K121/(SUM(K119,K123,K121))</f>
        <v>0</v>
      </c>
      <c r="L120" s="106">
        <f t="shared" ref="L120" si="416">L121/(SUM(L119,L123,L121))</f>
        <v>0.9</v>
      </c>
      <c r="M120" s="106">
        <f t="shared" ref="M120" si="417">M121/(SUM(M119,M123,M121))</f>
        <v>0.53846153846153844</v>
      </c>
      <c r="N120" s="106">
        <f t="shared" ref="N120" si="418">N121/(SUM(N119,N123,N121))</f>
        <v>0.81818181818181823</v>
      </c>
      <c r="O120" s="106">
        <f t="shared" ref="O120" si="419">O121/(SUM(O119,O123,O121))</f>
        <v>0.63636363636363635</v>
      </c>
      <c r="P120" s="106">
        <f t="shared" ref="P120" si="420">P121/(SUM(P119,P123,P121))</f>
        <v>0.42857142857142855</v>
      </c>
      <c r="Q120" s="106">
        <f t="shared" ref="Q120" si="421">Q121/(SUM(Q119,Q123,Q121))</f>
        <v>0.72727272727272729</v>
      </c>
      <c r="R120" s="106">
        <f t="shared" ref="R120" si="422">R121/(SUM(R119,R123,R121))</f>
        <v>0.83333333333333337</v>
      </c>
      <c r="S120" s="106">
        <f t="shared" ref="S120" si="423">S121/(SUM(S119,S123,S121))</f>
        <v>0.76923076923076927</v>
      </c>
      <c r="T120" s="106">
        <f t="shared" ref="T120" si="424">T121/(SUM(T119,T123,T121))</f>
        <v>0.72222222222222221</v>
      </c>
      <c r="U120" s="106">
        <f t="shared" ref="U120" si="425">U121/(SUM(U119,U123,U121))</f>
        <v>0.625</v>
      </c>
      <c r="V120" s="106">
        <f t="shared" ref="V120" si="426">V121/(SUM(V119,V123,V121))</f>
        <v>0.75</v>
      </c>
      <c r="W120" s="106">
        <f t="shared" ref="W120" si="427">W121/(SUM(W119,W123,W121))</f>
        <v>0.66666666666666663</v>
      </c>
      <c r="X120" s="106">
        <f t="shared" ref="X120" si="428">X121/(SUM(X119,X123,X121))</f>
        <v>0.6</v>
      </c>
      <c r="Y120" s="106">
        <f t="shared" ref="Y120" si="429">Y121/(SUM(Y119,Y123,Y121))</f>
        <v>0.83333333333333337</v>
      </c>
      <c r="Z120" s="106">
        <f t="shared" ref="Z120" si="430">Z121/(SUM(Z119,Z123,Z121))</f>
        <v>0.7</v>
      </c>
      <c r="AA120" s="106">
        <f t="shared" ref="AA120" si="431">AA121/(SUM(AA119,AA123,AA121))</f>
        <v>0.5</v>
      </c>
      <c r="AB120" s="106">
        <f t="shared" ref="AB120" si="432">AB121/(SUM(AB119,AB123,AB121))</f>
        <v>0.5</v>
      </c>
      <c r="AC120" s="106">
        <f t="shared" ref="AC120" si="433">AC121/(SUM(AC119,AC123,AC121))</f>
        <v>0.7</v>
      </c>
      <c r="AD120" s="106">
        <f t="shared" ref="AD120" si="434">AD121/(SUM(AD119,AD123,AD121))</f>
        <v>0.58333333333333337</v>
      </c>
      <c r="AE120" s="106">
        <f t="shared" ref="AE120" si="435">AE121/(SUM(AE119,AE123,AE121))</f>
        <v>0.875</v>
      </c>
      <c r="AF120" s="106">
        <f t="shared" ref="AF120" si="436">AF121/(SUM(AF119,AF123,AF121))</f>
        <v>0.375</v>
      </c>
      <c r="AG120" s="106">
        <f t="shared" ref="AG120" si="437">AG121/(SUM(AG119,AG123,AG121))</f>
        <v>0.46153846153846156</v>
      </c>
      <c r="AH120" s="106">
        <f t="shared" ref="AH120" si="438">AH121/(SUM(AH119,AH123,AH121))</f>
        <v>0.69230769230769229</v>
      </c>
      <c r="AI120" s="106">
        <f t="shared" ref="AI120" si="439">AI121/(SUM(AI119,AI123,AI121))</f>
        <v>0.44444444444444442</v>
      </c>
      <c r="AJ120" s="106">
        <f t="shared" ref="AJ120" si="440">AJ121/(SUM(AJ119,AJ123,AJ121))</f>
        <v>0.61538461538461542</v>
      </c>
      <c r="AK120" s="106">
        <f t="shared" ref="AK120" si="441">AK121/(SUM(AK119,AK123,AK121))</f>
        <v>0.36363636363636365</v>
      </c>
      <c r="AL120" s="106">
        <f t="shared" ref="AL120" si="442">AL121/(SUM(AL119,AL123,AL121))</f>
        <v>0.6</v>
      </c>
      <c r="AM120" s="106">
        <f t="shared" ref="AM120" si="443">AM121/(SUM(AM119,AM123,AM121))</f>
        <v>0.88888888888888884</v>
      </c>
      <c r="AN120" s="106">
        <f t="shared" ref="AN120" si="444">AN121/(SUM(AN119,AN123,AN121))</f>
        <v>0.91666666666666663</v>
      </c>
      <c r="AO120" s="106">
        <f t="shared" ref="AO120" si="445">AO121/(SUM(AO119,AO123,AO121))</f>
        <v>0.91666666666666663</v>
      </c>
      <c r="AP120" s="106">
        <f t="shared" ref="AP120" si="446">AP121/(SUM(AP119,AP123,AP121))</f>
        <v>0.83333333333333337</v>
      </c>
      <c r="AQ120" s="106">
        <f t="shared" ref="AQ120" si="447">AQ121/(SUM(AQ119,AQ123,AQ121))</f>
        <v>0.84615384615384615</v>
      </c>
      <c r="AR120" s="106">
        <f t="shared" ref="AR120" si="448">AR121/(SUM(AR119,AR123,AR121))</f>
        <v>0.9</v>
      </c>
      <c r="AS120" s="106">
        <f t="shared" ref="AS120" si="449">AS121/(SUM(AS119,AS123,AS121))</f>
        <v>1</v>
      </c>
      <c r="AT120" s="106">
        <f t="shared" ref="AT120" si="450">AT121/(SUM(AT119,AT123,AT121))</f>
        <v>1</v>
      </c>
      <c r="AU120" s="106">
        <f t="shared" ref="AU120" si="451">AU121/(SUM(AU119,AU123,AU121))</f>
        <v>0.875</v>
      </c>
      <c r="AV120" s="106">
        <f t="shared" ref="AV120" si="452">AV121/(SUM(AV119,AV123,AV121))</f>
        <v>1</v>
      </c>
      <c r="AW120" s="106">
        <f t="shared" ref="AW120" si="453">AW121/(SUM(AW119,AW123,AW121))</f>
        <v>0.88888888888888884</v>
      </c>
      <c r="AX120" s="106">
        <f t="shared" ref="AX120" si="454">AX121/(SUM(AX119,AX123,AX121))</f>
        <v>1</v>
      </c>
      <c r="AY120" s="106">
        <f t="shared" ref="AY120" si="455">AY121/(SUM(AY119,AY123,AY121))</f>
        <v>0.54545454545454541</v>
      </c>
      <c r="AZ120" s="106">
        <f t="shared" ref="AZ120" si="456">AZ121/(SUM(AZ119,AZ123,AZ121))</f>
        <v>0.83333333333333337</v>
      </c>
      <c r="BA120" s="106">
        <f t="shared" ref="BA120" si="457">BA121/(SUM(BA119,BA123,BA121))</f>
        <v>1</v>
      </c>
      <c r="BB120" s="106">
        <f t="shared" ref="BB120" si="458">BB121/(SUM(BB119,BB123,BB121))</f>
        <v>0.84615384615384615</v>
      </c>
      <c r="BC120" s="106">
        <f t="shared" ref="BC120" si="459">BC121/(SUM(BC119,BC123,BC121))</f>
        <v>0.9285714285714286</v>
      </c>
      <c r="BD120" s="106">
        <f t="shared" ref="BD120" si="460">BD121/(SUM(BD119,BD123,BD121))</f>
        <v>0.90909090909090906</v>
      </c>
      <c r="BE120" s="106">
        <f t="shared" ref="BE120" si="461">BE121/(SUM(BE119,BE123,BE121))</f>
        <v>0.8571428571428571</v>
      </c>
      <c r="BF120" s="106">
        <f t="shared" ref="BF120" si="462">BF121/(SUM(BF119,BF123,BF121))</f>
        <v>1</v>
      </c>
      <c r="BG120" s="106">
        <f t="shared" ref="BG120" si="463">BG121/(SUM(BG119,BG123,BG121))</f>
        <v>0.7857142857142857</v>
      </c>
      <c r="BH120" s="106">
        <f t="shared" ref="BH120" si="464">BH121/(SUM(BH119,BH123,BH121))</f>
        <v>1</v>
      </c>
      <c r="BI120" s="106" t="e">
        <f t="shared" ref="BI120" si="465">BI121/(SUM(BI119,BI123,BI121))</f>
        <v>#DIV/0!</v>
      </c>
      <c r="BJ120" s="106" t="e">
        <f t="shared" ref="BJ120" si="466">BJ121/(SUM(BJ119,BJ123,BJ121))</f>
        <v>#DIV/0!</v>
      </c>
      <c r="BK120" s="107" t="e">
        <f t="shared" ref="BK120:CA120" si="467">BK121/(SUM(BK119,BK123,BK121))</f>
        <v>#DIV/0!</v>
      </c>
      <c r="BL120" s="107" t="e">
        <f t="shared" si="467"/>
        <v>#DIV/0!</v>
      </c>
      <c r="BM120" s="107" t="e">
        <f t="shared" si="467"/>
        <v>#DIV/0!</v>
      </c>
      <c r="BN120" s="107" t="e">
        <f t="shared" si="467"/>
        <v>#DIV/0!</v>
      </c>
      <c r="BO120" s="107" t="e">
        <f t="shared" si="467"/>
        <v>#DIV/0!</v>
      </c>
      <c r="BP120" s="107" t="e">
        <f t="shared" si="467"/>
        <v>#DIV/0!</v>
      </c>
      <c r="BQ120" s="107" t="e">
        <f t="shared" si="467"/>
        <v>#DIV/0!</v>
      </c>
      <c r="BR120" s="107" t="e">
        <f t="shared" si="467"/>
        <v>#DIV/0!</v>
      </c>
      <c r="BS120" s="107" t="e">
        <f t="shared" si="467"/>
        <v>#DIV/0!</v>
      </c>
      <c r="BT120" s="107" t="e">
        <f t="shared" si="467"/>
        <v>#DIV/0!</v>
      </c>
      <c r="BU120" s="107" t="e">
        <f t="shared" si="467"/>
        <v>#DIV/0!</v>
      </c>
      <c r="BV120" s="107" t="e">
        <f t="shared" si="467"/>
        <v>#DIV/0!</v>
      </c>
      <c r="BW120" s="107" t="e">
        <f t="shared" si="467"/>
        <v>#DIV/0!</v>
      </c>
      <c r="BX120" s="107" t="e">
        <f t="shared" si="467"/>
        <v>#DIV/0!</v>
      </c>
      <c r="BY120" s="107" t="e">
        <f t="shared" si="467"/>
        <v>#DIV/0!</v>
      </c>
      <c r="BZ120" s="107" t="e">
        <f t="shared" si="467"/>
        <v>#DIV/0!</v>
      </c>
      <c r="CA120" s="107" t="e">
        <f t="shared" si="467"/>
        <v>#DIV/0!</v>
      </c>
    </row>
    <row r="121" spans="1:79" s="89" customFormat="1">
      <c r="A121" s="22" t="s">
        <v>26</v>
      </c>
      <c r="B121" s="108">
        <v>0</v>
      </c>
      <c r="C121" s="108">
        <v>0</v>
      </c>
      <c r="D121" s="108">
        <v>0</v>
      </c>
      <c r="E121" s="108">
        <v>0</v>
      </c>
      <c r="F121" s="108">
        <v>1</v>
      </c>
      <c r="G121" s="108">
        <v>1</v>
      </c>
      <c r="H121" s="108">
        <v>0</v>
      </c>
      <c r="I121" s="108">
        <v>2</v>
      </c>
      <c r="J121" s="108">
        <v>1</v>
      </c>
      <c r="K121" s="108">
        <v>0</v>
      </c>
      <c r="L121" s="108">
        <v>9</v>
      </c>
      <c r="M121" s="108">
        <v>7</v>
      </c>
      <c r="N121" s="108">
        <v>9</v>
      </c>
      <c r="O121" s="108">
        <v>7</v>
      </c>
      <c r="P121" s="108">
        <v>6</v>
      </c>
      <c r="Q121" s="108">
        <v>8</v>
      </c>
      <c r="R121" s="108">
        <v>10</v>
      </c>
      <c r="S121" s="108">
        <v>10</v>
      </c>
      <c r="T121" s="108">
        <v>13</v>
      </c>
      <c r="U121" s="108">
        <v>10</v>
      </c>
      <c r="V121" s="108">
        <v>6</v>
      </c>
      <c r="W121" s="108">
        <v>8</v>
      </c>
      <c r="X121" s="108">
        <v>6</v>
      </c>
      <c r="Y121" s="108">
        <v>5</v>
      </c>
      <c r="Z121" s="108">
        <v>7</v>
      </c>
      <c r="AA121" s="108">
        <v>7</v>
      </c>
      <c r="AB121" s="108">
        <v>4</v>
      </c>
      <c r="AC121" s="108">
        <v>7</v>
      </c>
      <c r="AD121" s="108">
        <v>7</v>
      </c>
      <c r="AE121" s="108">
        <v>7</v>
      </c>
      <c r="AF121" s="108">
        <v>3</v>
      </c>
      <c r="AG121" s="108">
        <v>6</v>
      </c>
      <c r="AH121" s="108">
        <v>9</v>
      </c>
      <c r="AI121" s="108">
        <v>4</v>
      </c>
      <c r="AJ121" s="108">
        <v>8</v>
      </c>
      <c r="AK121" s="108">
        <v>4</v>
      </c>
      <c r="AL121" s="108">
        <v>6</v>
      </c>
      <c r="AM121" s="108">
        <v>8</v>
      </c>
      <c r="AN121" s="108">
        <v>11</v>
      </c>
      <c r="AO121" s="108">
        <v>11</v>
      </c>
      <c r="AP121" s="108">
        <v>10</v>
      </c>
      <c r="AQ121" s="108">
        <v>11</v>
      </c>
      <c r="AR121" s="108">
        <v>9</v>
      </c>
      <c r="AS121" s="108">
        <v>13</v>
      </c>
      <c r="AT121" s="108">
        <v>4</v>
      </c>
      <c r="AU121" s="108">
        <v>7</v>
      </c>
      <c r="AV121" s="108">
        <v>13</v>
      </c>
      <c r="AW121" s="108">
        <v>8</v>
      </c>
      <c r="AX121" s="108">
        <v>12</v>
      </c>
      <c r="AY121" s="108">
        <v>6</v>
      </c>
      <c r="AZ121" s="108">
        <v>10</v>
      </c>
      <c r="BA121" s="108">
        <v>7</v>
      </c>
      <c r="BB121" s="108">
        <v>11</v>
      </c>
      <c r="BC121" s="108">
        <v>13</v>
      </c>
      <c r="BD121" s="108">
        <v>10</v>
      </c>
      <c r="BE121" s="108">
        <v>18</v>
      </c>
      <c r="BF121" s="108">
        <v>7</v>
      </c>
      <c r="BG121" s="108">
        <v>11</v>
      </c>
      <c r="BH121" s="108">
        <v>6</v>
      </c>
      <c r="BI121" s="108"/>
      <c r="BJ121" s="108"/>
      <c r="BK121" s="109"/>
    </row>
    <row r="122" spans="1:79" s="2" customFormat="1">
      <c r="A122" s="24" t="s">
        <v>27</v>
      </c>
      <c r="B122" s="106">
        <f>B123/(SUM(B123,B121,B119))</f>
        <v>0.88888888888888884</v>
      </c>
      <c r="C122" s="106">
        <f t="shared" ref="C122:BB122" si="468">C123/(SUM(C123,C121,C119))</f>
        <v>0.625</v>
      </c>
      <c r="D122" s="106">
        <f t="shared" si="468"/>
        <v>0.88888888888888884</v>
      </c>
      <c r="E122" s="106">
        <f t="shared" si="468"/>
        <v>1</v>
      </c>
      <c r="F122" s="106">
        <f t="shared" si="468"/>
        <v>0</v>
      </c>
      <c r="G122" s="106">
        <f t="shared" si="468"/>
        <v>0.7857142857142857</v>
      </c>
      <c r="H122" s="106">
        <f t="shared" si="468"/>
        <v>0.9</v>
      </c>
      <c r="I122" s="106">
        <f t="shared" si="468"/>
        <v>0.68421052631578949</v>
      </c>
      <c r="J122" s="106">
        <f t="shared" si="468"/>
        <v>0.8</v>
      </c>
      <c r="K122" s="106">
        <f t="shared" si="468"/>
        <v>0.61538461538461542</v>
      </c>
      <c r="L122" s="106">
        <f t="shared" si="468"/>
        <v>0</v>
      </c>
      <c r="M122" s="106">
        <f t="shared" si="468"/>
        <v>0.30769230769230771</v>
      </c>
      <c r="N122" s="106">
        <f t="shared" si="468"/>
        <v>0.18181818181818182</v>
      </c>
      <c r="O122" s="106">
        <f t="shared" si="468"/>
        <v>9.0909090909090912E-2</v>
      </c>
      <c r="P122" s="106">
        <f t="shared" si="468"/>
        <v>0.2857142857142857</v>
      </c>
      <c r="Q122" s="106">
        <f t="shared" si="468"/>
        <v>0</v>
      </c>
      <c r="R122" s="106">
        <f t="shared" si="468"/>
        <v>0</v>
      </c>
      <c r="S122" s="106">
        <f t="shared" si="468"/>
        <v>7.6923076923076927E-2</v>
      </c>
      <c r="T122" s="106">
        <f t="shared" si="468"/>
        <v>0.16666666666666666</v>
      </c>
      <c r="U122" s="106">
        <f t="shared" si="468"/>
        <v>0.1875</v>
      </c>
      <c r="V122" s="106">
        <f t="shared" si="468"/>
        <v>0.25</v>
      </c>
      <c r="W122" s="106">
        <f t="shared" si="468"/>
        <v>8.3333333333333329E-2</v>
      </c>
      <c r="X122" s="106">
        <f t="shared" si="468"/>
        <v>0</v>
      </c>
      <c r="Y122" s="106">
        <f t="shared" si="468"/>
        <v>0</v>
      </c>
      <c r="Z122" s="106">
        <f t="shared" si="468"/>
        <v>0</v>
      </c>
      <c r="AA122" s="106">
        <f t="shared" si="468"/>
        <v>7.1428571428571425E-2</v>
      </c>
      <c r="AB122" s="106">
        <f t="shared" si="468"/>
        <v>0.125</v>
      </c>
      <c r="AC122" s="106">
        <f t="shared" si="468"/>
        <v>0</v>
      </c>
      <c r="AD122" s="106">
        <f t="shared" si="468"/>
        <v>0</v>
      </c>
      <c r="AE122" s="106">
        <f t="shared" si="468"/>
        <v>0.125</v>
      </c>
      <c r="AF122" s="106">
        <f t="shared" si="468"/>
        <v>0</v>
      </c>
      <c r="AG122" s="106">
        <f t="shared" si="468"/>
        <v>0</v>
      </c>
      <c r="AH122" s="106">
        <f t="shared" si="468"/>
        <v>0</v>
      </c>
      <c r="AI122" s="106">
        <f t="shared" si="468"/>
        <v>0.22222222222222221</v>
      </c>
      <c r="AJ122" s="106">
        <f t="shared" si="468"/>
        <v>0</v>
      </c>
      <c r="AK122" s="106">
        <f t="shared" si="468"/>
        <v>0</v>
      </c>
      <c r="AL122" s="106">
        <f t="shared" si="468"/>
        <v>0</v>
      </c>
      <c r="AM122" s="106">
        <f t="shared" si="468"/>
        <v>0</v>
      </c>
      <c r="AN122" s="106">
        <f t="shared" si="468"/>
        <v>0</v>
      </c>
      <c r="AO122" s="106">
        <f t="shared" si="468"/>
        <v>8.3333333333333329E-2</v>
      </c>
      <c r="AP122" s="106">
        <f t="shared" si="468"/>
        <v>8.3333333333333329E-2</v>
      </c>
      <c r="AQ122" s="106">
        <f t="shared" si="468"/>
        <v>0.15384615384615385</v>
      </c>
      <c r="AR122" s="106">
        <f t="shared" si="468"/>
        <v>0</v>
      </c>
      <c r="AS122" s="106">
        <f t="shared" si="468"/>
        <v>0</v>
      </c>
      <c r="AT122" s="106">
        <f t="shared" si="468"/>
        <v>0</v>
      </c>
      <c r="AU122" s="106">
        <f t="shared" si="468"/>
        <v>0</v>
      </c>
      <c r="AV122" s="106">
        <f t="shared" si="468"/>
        <v>0</v>
      </c>
      <c r="AW122" s="106">
        <f t="shared" si="468"/>
        <v>0.1111111111111111</v>
      </c>
      <c r="AX122" s="106">
        <f t="shared" si="468"/>
        <v>0</v>
      </c>
      <c r="AY122" s="106">
        <f t="shared" si="468"/>
        <v>0.45454545454545453</v>
      </c>
      <c r="AZ122" s="106">
        <f t="shared" si="468"/>
        <v>0.16666666666666666</v>
      </c>
      <c r="BA122" s="106">
        <f t="shared" si="468"/>
        <v>0</v>
      </c>
      <c r="BB122" s="106">
        <f t="shared" si="468"/>
        <v>0.15384615384615385</v>
      </c>
      <c r="BC122" s="106">
        <f t="shared" ref="BC122:CA122" si="469">BC123/(SUM(BC123,BC121,BC119))</f>
        <v>7.1428571428571425E-2</v>
      </c>
      <c r="BD122" s="106">
        <f t="shared" si="469"/>
        <v>9.0909090909090912E-2</v>
      </c>
      <c r="BE122" s="106">
        <f t="shared" si="469"/>
        <v>0.14285714285714285</v>
      </c>
      <c r="BF122" s="106">
        <f t="shared" si="469"/>
        <v>0</v>
      </c>
      <c r="BG122" s="106">
        <f t="shared" si="469"/>
        <v>0.21428571428571427</v>
      </c>
      <c r="BH122" s="106">
        <f t="shared" si="469"/>
        <v>0</v>
      </c>
      <c r="BI122" s="106" t="e">
        <f t="shared" si="469"/>
        <v>#DIV/0!</v>
      </c>
      <c r="BJ122" s="106" t="e">
        <f t="shared" si="469"/>
        <v>#DIV/0!</v>
      </c>
      <c r="BK122" s="107" t="e">
        <f t="shared" si="469"/>
        <v>#DIV/0!</v>
      </c>
      <c r="BL122" s="107" t="e">
        <f t="shared" si="469"/>
        <v>#DIV/0!</v>
      </c>
      <c r="BM122" s="107" t="e">
        <f t="shared" si="469"/>
        <v>#DIV/0!</v>
      </c>
      <c r="BN122" s="107" t="e">
        <f t="shared" si="469"/>
        <v>#DIV/0!</v>
      </c>
      <c r="BO122" s="107" t="e">
        <f t="shared" si="469"/>
        <v>#DIV/0!</v>
      </c>
      <c r="BP122" s="107" t="e">
        <f t="shared" si="469"/>
        <v>#DIV/0!</v>
      </c>
      <c r="BQ122" s="107" t="e">
        <f t="shared" si="469"/>
        <v>#DIV/0!</v>
      </c>
      <c r="BR122" s="107" t="e">
        <f t="shared" si="469"/>
        <v>#DIV/0!</v>
      </c>
      <c r="BS122" s="107" t="e">
        <f t="shared" si="469"/>
        <v>#DIV/0!</v>
      </c>
      <c r="BT122" s="107" t="e">
        <f t="shared" si="469"/>
        <v>#DIV/0!</v>
      </c>
      <c r="BU122" s="107" t="e">
        <f t="shared" si="469"/>
        <v>#DIV/0!</v>
      </c>
      <c r="BV122" s="107" t="e">
        <f t="shared" si="469"/>
        <v>#DIV/0!</v>
      </c>
      <c r="BW122" s="107" t="e">
        <f t="shared" si="469"/>
        <v>#DIV/0!</v>
      </c>
      <c r="BX122" s="107" t="e">
        <f t="shared" si="469"/>
        <v>#DIV/0!</v>
      </c>
      <c r="BY122" s="107" t="e">
        <f t="shared" si="469"/>
        <v>#DIV/0!</v>
      </c>
      <c r="BZ122" s="107" t="e">
        <f t="shared" si="469"/>
        <v>#DIV/0!</v>
      </c>
      <c r="CA122" s="107" t="e">
        <f t="shared" si="469"/>
        <v>#DIV/0!</v>
      </c>
    </row>
    <row r="123" spans="1:79" s="89" customFormat="1" ht="19.5" thickBot="1">
      <c r="A123" s="25" t="s">
        <v>28</v>
      </c>
      <c r="B123" s="123">
        <v>8</v>
      </c>
      <c r="C123" s="123">
        <v>5</v>
      </c>
      <c r="D123" s="123">
        <v>8</v>
      </c>
      <c r="E123" s="123">
        <v>8</v>
      </c>
      <c r="F123" s="123">
        <v>0</v>
      </c>
      <c r="G123" s="123">
        <v>11</v>
      </c>
      <c r="H123" s="123">
        <v>9</v>
      </c>
      <c r="I123" s="123">
        <v>13</v>
      </c>
      <c r="J123" s="123">
        <v>8</v>
      </c>
      <c r="K123" s="123">
        <v>8</v>
      </c>
      <c r="L123" s="123">
        <v>0</v>
      </c>
      <c r="M123" s="123">
        <v>4</v>
      </c>
      <c r="N123" s="123">
        <v>2</v>
      </c>
      <c r="O123" s="123">
        <v>1</v>
      </c>
      <c r="P123" s="123">
        <v>4</v>
      </c>
      <c r="Q123" s="123">
        <v>0</v>
      </c>
      <c r="R123" s="123">
        <v>0</v>
      </c>
      <c r="S123" s="123">
        <v>1</v>
      </c>
      <c r="T123" s="123">
        <v>3</v>
      </c>
      <c r="U123" s="123">
        <v>3</v>
      </c>
      <c r="V123" s="123">
        <v>2</v>
      </c>
      <c r="W123" s="123">
        <v>1</v>
      </c>
      <c r="X123" s="123">
        <v>0</v>
      </c>
      <c r="Y123" s="123">
        <v>0</v>
      </c>
      <c r="Z123" s="123">
        <v>0</v>
      </c>
      <c r="AA123" s="123">
        <v>1</v>
      </c>
      <c r="AB123" s="123">
        <v>1</v>
      </c>
      <c r="AC123" s="123">
        <v>0</v>
      </c>
      <c r="AD123" s="123">
        <v>0</v>
      </c>
      <c r="AE123" s="123">
        <v>1</v>
      </c>
      <c r="AF123" s="123">
        <v>0</v>
      </c>
      <c r="AG123" s="123">
        <v>0</v>
      </c>
      <c r="AH123" s="123">
        <v>0</v>
      </c>
      <c r="AI123" s="123">
        <v>2</v>
      </c>
      <c r="AJ123" s="123">
        <v>0</v>
      </c>
      <c r="AK123" s="123">
        <v>0</v>
      </c>
      <c r="AL123" s="123">
        <v>0</v>
      </c>
      <c r="AM123" s="123">
        <v>0</v>
      </c>
      <c r="AN123" s="123">
        <v>0</v>
      </c>
      <c r="AO123" s="123">
        <v>1</v>
      </c>
      <c r="AP123" s="123">
        <v>1</v>
      </c>
      <c r="AQ123" s="123">
        <v>2</v>
      </c>
      <c r="AR123" s="123">
        <v>0</v>
      </c>
      <c r="AS123" s="123">
        <v>0</v>
      </c>
      <c r="AT123" s="123">
        <v>0</v>
      </c>
      <c r="AU123" s="123">
        <v>0</v>
      </c>
      <c r="AV123" s="123">
        <v>0</v>
      </c>
      <c r="AW123" s="123">
        <v>1</v>
      </c>
      <c r="AX123" s="123">
        <v>0</v>
      </c>
      <c r="AY123" s="123">
        <v>5</v>
      </c>
      <c r="AZ123" s="123">
        <v>2</v>
      </c>
      <c r="BA123" s="123">
        <v>0</v>
      </c>
      <c r="BB123" s="123">
        <v>2</v>
      </c>
      <c r="BC123" s="123">
        <v>1</v>
      </c>
      <c r="BD123" s="123">
        <v>1</v>
      </c>
      <c r="BE123" s="123">
        <v>3</v>
      </c>
      <c r="BF123" s="123">
        <v>0</v>
      </c>
      <c r="BG123" s="123">
        <v>3</v>
      </c>
      <c r="BH123" s="123">
        <v>0</v>
      </c>
      <c r="BI123" s="123"/>
      <c r="BJ123" s="123"/>
      <c r="BK123" s="211"/>
    </row>
    <row r="124" spans="1:79" s="89" customFormat="1">
      <c r="A124" s="56" t="s">
        <v>71</v>
      </c>
      <c r="B124" s="207">
        <v>0.58299999999999996</v>
      </c>
      <c r="C124" s="207"/>
      <c r="D124" s="207">
        <v>1.3160000000000001</v>
      </c>
      <c r="E124" s="207"/>
      <c r="F124" s="207"/>
      <c r="G124" s="207">
        <v>1.385</v>
      </c>
      <c r="H124" s="207"/>
      <c r="I124" s="207"/>
      <c r="J124" s="207">
        <v>1.25</v>
      </c>
      <c r="K124" s="207"/>
      <c r="L124" s="207">
        <v>1.232</v>
      </c>
      <c r="M124" s="207">
        <v>1.0669999999999999</v>
      </c>
      <c r="N124" s="207"/>
      <c r="O124" s="207"/>
      <c r="P124" s="207">
        <v>1.2310000000000001</v>
      </c>
      <c r="Q124" s="207"/>
      <c r="R124" s="207"/>
      <c r="S124" s="207">
        <v>0.4</v>
      </c>
      <c r="T124" s="207">
        <v>0.88900000000000001</v>
      </c>
      <c r="U124" s="207"/>
      <c r="V124" s="207"/>
      <c r="W124" s="207"/>
      <c r="X124" s="207">
        <v>0.46700000000000003</v>
      </c>
      <c r="Y124" s="207"/>
      <c r="Z124" s="207">
        <v>1.369</v>
      </c>
      <c r="AA124" s="207"/>
      <c r="AB124" s="207"/>
      <c r="AC124" s="207">
        <v>1.111</v>
      </c>
      <c r="AD124" s="207">
        <v>1.375</v>
      </c>
      <c r="AE124" s="215"/>
      <c r="AF124" s="215"/>
      <c r="AG124" s="207">
        <v>0.46700000000000003</v>
      </c>
      <c r="AH124" s="215"/>
      <c r="AI124" s="207">
        <v>0.93300000000000005</v>
      </c>
      <c r="AJ124" s="207"/>
      <c r="AK124" s="215"/>
      <c r="AL124" s="207">
        <v>0.66700000000000004</v>
      </c>
      <c r="AM124" s="215"/>
      <c r="AN124" s="215"/>
      <c r="AO124" s="207">
        <v>0.69199999999999995</v>
      </c>
      <c r="AP124" s="215"/>
      <c r="AQ124" s="215"/>
      <c r="AR124" s="215"/>
      <c r="AS124" s="215"/>
      <c r="AT124" s="215"/>
      <c r="AU124" s="215"/>
      <c r="AV124" s="215"/>
      <c r="AW124" s="207">
        <v>1</v>
      </c>
      <c r="AX124" s="215"/>
      <c r="AY124" s="215"/>
      <c r="AZ124" s="215"/>
      <c r="BA124" s="215"/>
      <c r="BB124" s="207">
        <v>1.5</v>
      </c>
      <c r="BC124" s="207">
        <v>1.3859999999999999</v>
      </c>
      <c r="BD124" s="207">
        <v>1.4730000000000001</v>
      </c>
      <c r="BE124" s="207">
        <v>1.3320000000000001</v>
      </c>
      <c r="BF124" s="207">
        <v>0.8</v>
      </c>
      <c r="BG124" s="207">
        <v>0.81818181818181823</v>
      </c>
      <c r="BH124" s="207">
        <v>1.6</v>
      </c>
      <c r="BI124" s="215"/>
      <c r="BJ124" s="215"/>
      <c r="BK124" s="216"/>
    </row>
    <row r="125" spans="1:79" s="89" customFormat="1">
      <c r="A125" s="56" t="s">
        <v>72</v>
      </c>
      <c r="B125" s="207">
        <v>0.77800000000000002</v>
      </c>
      <c r="C125" s="207"/>
      <c r="D125" s="207">
        <v>0.70799999999999996</v>
      </c>
      <c r="E125" s="207">
        <v>0.86499999999999999</v>
      </c>
      <c r="F125" s="207"/>
      <c r="G125" s="207">
        <v>0.74</v>
      </c>
      <c r="H125" s="207">
        <v>1.0429999999999999</v>
      </c>
      <c r="I125" s="207">
        <v>0.81399999999999995</v>
      </c>
      <c r="J125" s="207">
        <v>0.7</v>
      </c>
      <c r="K125" s="207">
        <v>0.54400000000000004</v>
      </c>
      <c r="L125" s="207"/>
      <c r="M125" s="207">
        <v>1.0209999999999999</v>
      </c>
      <c r="N125" s="207">
        <v>0.70499999999999996</v>
      </c>
      <c r="O125" s="207">
        <v>0.90600000000000003</v>
      </c>
      <c r="P125" s="207">
        <v>0.70799999999999996</v>
      </c>
      <c r="Q125" s="207">
        <v>0.76</v>
      </c>
      <c r="R125" s="207">
        <v>0.71599999999999997</v>
      </c>
      <c r="S125" s="207">
        <v>0.76400000000000001</v>
      </c>
      <c r="T125" s="207">
        <v>0.83599999999999997</v>
      </c>
      <c r="U125" s="207">
        <v>0.77600000000000002</v>
      </c>
      <c r="V125" s="207">
        <v>0.74399999999999999</v>
      </c>
      <c r="W125" s="207"/>
      <c r="X125" s="207"/>
      <c r="Y125" s="207">
        <v>0.46500000000000002</v>
      </c>
      <c r="Z125" s="207">
        <v>0.54500000000000004</v>
      </c>
      <c r="AA125" s="207">
        <v>0.55700000000000005</v>
      </c>
      <c r="AB125" s="207">
        <v>0.63100000000000001</v>
      </c>
      <c r="AC125" s="207">
        <v>0.65400000000000003</v>
      </c>
      <c r="AD125" s="207">
        <v>0.58699999999999997</v>
      </c>
      <c r="AE125" s="207">
        <v>0.73399999999999999</v>
      </c>
      <c r="AF125" s="207">
        <v>0.64700000000000002</v>
      </c>
      <c r="AG125" s="223">
        <v>0.53</v>
      </c>
      <c r="AH125" s="215"/>
      <c r="AI125" s="207">
        <v>0.58099999999999996</v>
      </c>
      <c r="AJ125" s="207">
        <v>0.56999999999999995</v>
      </c>
      <c r="AK125" s="215"/>
      <c r="AL125" s="215"/>
      <c r="AM125" s="207">
        <v>0.66500000000000004</v>
      </c>
      <c r="AN125" s="207">
        <v>1.133</v>
      </c>
      <c r="AO125" s="207">
        <v>0.88300000000000001</v>
      </c>
      <c r="AP125" s="207">
        <v>0.91900000000000004</v>
      </c>
      <c r="AQ125" s="207">
        <v>0.99299999999999999</v>
      </c>
      <c r="AR125" s="215"/>
      <c r="AS125" s="215"/>
      <c r="AT125" s="215"/>
      <c r="AU125" s="215"/>
      <c r="AV125" s="207">
        <v>0.73599999999999999</v>
      </c>
      <c r="AW125" s="223">
        <v>0.92</v>
      </c>
      <c r="AX125" s="215"/>
      <c r="AY125" s="255">
        <v>0.69799999999999995</v>
      </c>
      <c r="AZ125" s="207">
        <v>0.53</v>
      </c>
      <c r="BA125" s="215"/>
      <c r="BB125" s="207">
        <v>0.70699999999999996</v>
      </c>
      <c r="BC125" s="207">
        <v>0.80100000000000005</v>
      </c>
      <c r="BD125" s="207">
        <v>0.65800000000000003</v>
      </c>
      <c r="BE125" s="207">
        <v>0.93</v>
      </c>
      <c r="BF125" s="207">
        <v>0.97</v>
      </c>
      <c r="BG125" s="215"/>
      <c r="BH125" s="207">
        <v>0.41799999999999998</v>
      </c>
      <c r="BI125" s="215"/>
      <c r="BJ125" s="215"/>
      <c r="BK125" s="216"/>
    </row>
    <row r="126" spans="1:79" s="9" customFormat="1" ht="19.5" thickBot="1">
      <c r="A126" s="56"/>
      <c r="B126" s="125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  <c r="BK126" s="128"/>
    </row>
    <row r="127" spans="1:79" s="170" customFormat="1">
      <c r="A127" s="166" t="s">
        <v>73</v>
      </c>
      <c r="B127" s="168">
        <v>10</v>
      </c>
      <c r="C127" s="168">
        <v>10</v>
      </c>
      <c r="D127" s="168">
        <v>10</v>
      </c>
      <c r="E127" s="168">
        <v>10</v>
      </c>
      <c r="F127" s="168">
        <v>10</v>
      </c>
      <c r="G127" s="168">
        <v>10</v>
      </c>
      <c r="H127" s="168">
        <v>10</v>
      </c>
      <c r="I127" s="168">
        <v>10</v>
      </c>
      <c r="J127" s="168">
        <v>10</v>
      </c>
      <c r="K127" s="168">
        <v>10</v>
      </c>
      <c r="L127" s="168">
        <v>10</v>
      </c>
      <c r="M127" s="168">
        <v>10</v>
      </c>
      <c r="N127" s="168">
        <v>10</v>
      </c>
      <c r="O127" s="168">
        <v>10</v>
      </c>
      <c r="P127" s="168">
        <v>10</v>
      </c>
      <c r="Q127" s="168">
        <v>10</v>
      </c>
      <c r="R127" s="168">
        <v>10</v>
      </c>
      <c r="S127" s="168">
        <v>10</v>
      </c>
      <c r="T127" s="168">
        <v>10</v>
      </c>
      <c r="U127" s="168">
        <v>10</v>
      </c>
      <c r="V127" s="168">
        <v>10</v>
      </c>
      <c r="W127" s="168">
        <v>10</v>
      </c>
      <c r="X127" s="168">
        <v>10</v>
      </c>
      <c r="Y127" s="168">
        <v>10</v>
      </c>
      <c r="Z127" s="168">
        <v>10</v>
      </c>
      <c r="AA127" s="168">
        <v>10</v>
      </c>
      <c r="AB127" s="168">
        <v>10</v>
      </c>
      <c r="AC127" s="168">
        <v>10</v>
      </c>
      <c r="AD127" s="168">
        <v>10</v>
      </c>
      <c r="AE127" s="168">
        <v>10</v>
      </c>
      <c r="AF127" s="168">
        <v>10</v>
      </c>
      <c r="AG127" s="168">
        <v>10</v>
      </c>
      <c r="AH127" s="168">
        <v>10</v>
      </c>
      <c r="AI127" s="168">
        <v>10</v>
      </c>
      <c r="AJ127" s="168">
        <v>10</v>
      </c>
      <c r="AK127" s="168">
        <v>10</v>
      </c>
      <c r="AL127" s="168">
        <v>10</v>
      </c>
      <c r="AM127" s="168">
        <v>10</v>
      </c>
      <c r="AN127" s="168">
        <v>10</v>
      </c>
      <c r="AO127" s="168">
        <v>10</v>
      </c>
      <c r="AP127" s="168">
        <v>10</v>
      </c>
      <c r="AQ127" s="168">
        <v>10</v>
      </c>
      <c r="AR127" s="168">
        <v>10</v>
      </c>
      <c r="AS127" s="168">
        <v>10</v>
      </c>
      <c r="AT127" s="168">
        <v>10</v>
      </c>
      <c r="AU127" s="168">
        <v>10</v>
      </c>
      <c r="AV127" s="168">
        <v>10</v>
      </c>
      <c r="AW127" s="168">
        <v>10</v>
      </c>
      <c r="AX127" s="168">
        <v>10</v>
      </c>
      <c r="AY127" s="168">
        <v>10</v>
      </c>
      <c r="AZ127" s="168">
        <v>10</v>
      </c>
      <c r="BA127" s="168">
        <v>10</v>
      </c>
      <c r="BB127" s="168">
        <v>10</v>
      </c>
      <c r="BC127" s="168">
        <v>10</v>
      </c>
      <c r="BD127" s="168">
        <v>10</v>
      </c>
      <c r="BE127" s="168">
        <v>10</v>
      </c>
      <c r="BF127" s="168">
        <v>10</v>
      </c>
      <c r="BG127" s="168">
        <v>10</v>
      </c>
      <c r="BH127" s="168">
        <v>10</v>
      </c>
      <c r="BI127" s="168">
        <v>10</v>
      </c>
      <c r="BJ127" s="168">
        <v>10</v>
      </c>
      <c r="BK127" s="169">
        <v>10</v>
      </c>
      <c r="BL127" s="169">
        <v>10</v>
      </c>
      <c r="BM127" s="169">
        <v>10</v>
      </c>
      <c r="BN127" s="169">
        <v>10</v>
      </c>
      <c r="BO127" s="169">
        <v>10</v>
      </c>
      <c r="BP127" s="169">
        <v>10</v>
      </c>
      <c r="BQ127" s="169">
        <v>10</v>
      </c>
      <c r="BR127" s="169">
        <v>10</v>
      </c>
      <c r="BS127" s="169">
        <v>10</v>
      </c>
      <c r="BT127" s="169">
        <v>10</v>
      </c>
      <c r="BU127" s="169">
        <v>10</v>
      </c>
      <c r="BV127" s="169">
        <v>10</v>
      </c>
      <c r="BW127" s="169">
        <v>10</v>
      </c>
      <c r="BX127" s="169">
        <v>10</v>
      </c>
      <c r="BY127" s="169">
        <v>10</v>
      </c>
      <c r="BZ127" s="169">
        <v>10</v>
      </c>
      <c r="CA127" s="169">
        <v>10</v>
      </c>
    </row>
    <row r="128" spans="1:79" s="75" customFormat="1">
      <c r="A128" s="163" t="s">
        <v>74</v>
      </c>
      <c r="B128" s="108">
        <v>10</v>
      </c>
      <c r="C128" s="108">
        <v>8</v>
      </c>
      <c r="D128" s="108">
        <v>9</v>
      </c>
      <c r="E128" s="122">
        <v>8</v>
      </c>
      <c r="F128" s="122">
        <v>3</v>
      </c>
      <c r="G128" s="122">
        <v>14</v>
      </c>
      <c r="H128" s="122">
        <v>10</v>
      </c>
      <c r="I128" s="122">
        <v>19</v>
      </c>
      <c r="J128" s="122">
        <v>10</v>
      </c>
      <c r="K128" s="122">
        <v>13</v>
      </c>
      <c r="L128" s="122">
        <v>10</v>
      </c>
      <c r="M128" s="122">
        <v>13</v>
      </c>
      <c r="N128" s="122">
        <v>11</v>
      </c>
      <c r="O128" s="122">
        <v>11</v>
      </c>
      <c r="P128" s="122">
        <v>14</v>
      </c>
      <c r="Q128" s="122">
        <v>11</v>
      </c>
      <c r="R128" s="122">
        <v>12</v>
      </c>
      <c r="S128" s="122">
        <v>13</v>
      </c>
      <c r="T128" s="122">
        <v>18</v>
      </c>
      <c r="U128" s="122">
        <v>16</v>
      </c>
      <c r="V128" s="122">
        <v>8</v>
      </c>
      <c r="W128" s="122">
        <v>12</v>
      </c>
      <c r="X128" s="122">
        <v>10</v>
      </c>
      <c r="Y128" s="122">
        <v>6</v>
      </c>
      <c r="Z128" s="122">
        <v>10</v>
      </c>
      <c r="AA128" s="122">
        <v>14</v>
      </c>
      <c r="AB128" s="122">
        <v>8</v>
      </c>
      <c r="AC128" s="122">
        <v>10</v>
      </c>
      <c r="AD128" s="122">
        <v>12</v>
      </c>
      <c r="AE128" s="122">
        <v>8</v>
      </c>
      <c r="AF128" s="122">
        <v>8</v>
      </c>
      <c r="AG128" s="122">
        <v>13</v>
      </c>
      <c r="AH128" s="122">
        <v>13</v>
      </c>
      <c r="AI128" s="122">
        <v>8</v>
      </c>
      <c r="AJ128" s="122">
        <v>13</v>
      </c>
      <c r="AK128" s="122">
        <v>11</v>
      </c>
      <c r="AL128" s="122">
        <v>10</v>
      </c>
      <c r="AM128" s="122">
        <v>9</v>
      </c>
      <c r="AN128" s="122">
        <v>12</v>
      </c>
      <c r="AO128" s="122">
        <v>12</v>
      </c>
      <c r="AP128" s="122">
        <v>11</v>
      </c>
      <c r="AQ128" s="122">
        <v>13</v>
      </c>
      <c r="AR128" s="122">
        <v>10</v>
      </c>
      <c r="AS128" s="122">
        <v>13</v>
      </c>
      <c r="AT128" s="122">
        <v>4</v>
      </c>
      <c r="AU128" s="122">
        <v>8</v>
      </c>
      <c r="AV128" s="122">
        <v>13</v>
      </c>
      <c r="AW128" s="122">
        <v>9</v>
      </c>
      <c r="AX128" s="122">
        <v>12</v>
      </c>
      <c r="AY128" s="122">
        <v>11</v>
      </c>
      <c r="AZ128" s="122">
        <v>12</v>
      </c>
      <c r="BA128" s="122">
        <v>7</v>
      </c>
      <c r="BB128" s="122">
        <v>13</v>
      </c>
      <c r="BC128" s="122">
        <v>14</v>
      </c>
      <c r="BD128" s="122">
        <v>11</v>
      </c>
      <c r="BE128" s="122">
        <v>21</v>
      </c>
      <c r="BF128" s="122">
        <v>7</v>
      </c>
      <c r="BG128" s="122">
        <v>14</v>
      </c>
      <c r="BH128" s="122">
        <v>6</v>
      </c>
      <c r="BI128" s="122"/>
      <c r="BJ128" s="122"/>
      <c r="BK128" s="195"/>
    </row>
    <row r="129" spans="1:79" s="170" customFormat="1">
      <c r="A129" s="22" t="s">
        <v>75</v>
      </c>
      <c r="B129" s="171">
        <v>9</v>
      </c>
      <c r="C129" s="171">
        <v>9</v>
      </c>
      <c r="D129" s="171">
        <v>9</v>
      </c>
      <c r="E129" s="171">
        <v>9</v>
      </c>
      <c r="F129" s="171">
        <v>9</v>
      </c>
      <c r="G129" s="171">
        <v>9</v>
      </c>
      <c r="H129" s="171">
        <v>9</v>
      </c>
      <c r="I129" s="171">
        <v>9</v>
      </c>
      <c r="J129" s="171">
        <v>9</v>
      </c>
      <c r="K129" s="171">
        <v>9</v>
      </c>
      <c r="L129" s="171">
        <v>9</v>
      </c>
      <c r="M129" s="171">
        <v>9</v>
      </c>
      <c r="N129" s="171">
        <v>9</v>
      </c>
      <c r="O129" s="171">
        <v>9</v>
      </c>
      <c r="P129" s="171">
        <v>9</v>
      </c>
      <c r="Q129" s="171">
        <v>9</v>
      </c>
      <c r="R129" s="171">
        <v>9</v>
      </c>
      <c r="S129" s="171">
        <v>9</v>
      </c>
      <c r="T129" s="171">
        <v>9</v>
      </c>
      <c r="U129" s="171">
        <v>9</v>
      </c>
      <c r="V129" s="171">
        <v>9</v>
      </c>
      <c r="W129" s="171">
        <v>9</v>
      </c>
      <c r="X129" s="171">
        <v>9</v>
      </c>
      <c r="Y129" s="171">
        <v>9</v>
      </c>
      <c r="Z129" s="171">
        <v>9</v>
      </c>
      <c r="AA129" s="171">
        <v>9</v>
      </c>
      <c r="AB129" s="171">
        <v>9</v>
      </c>
      <c r="AC129" s="171">
        <v>9</v>
      </c>
      <c r="AD129" s="171">
        <v>9</v>
      </c>
      <c r="AE129" s="171">
        <v>9</v>
      </c>
      <c r="AF129" s="171">
        <v>9</v>
      </c>
      <c r="AG129" s="171">
        <v>9</v>
      </c>
      <c r="AH129" s="171">
        <v>9</v>
      </c>
      <c r="AI129" s="171">
        <v>9</v>
      </c>
      <c r="AJ129" s="171">
        <v>9</v>
      </c>
      <c r="AK129" s="171">
        <v>9</v>
      </c>
      <c r="AL129" s="171">
        <v>9</v>
      </c>
      <c r="AM129" s="171">
        <v>9</v>
      </c>
      <c r="AN129" s="171">
        <v>9</v>
      </c>
      <c r="AO129" s="171">
        <v>9</v>
      </c>
      <c r="AP129" s="171">
        <v>9</v>
      </c>
      <c r="AQ129" s="171">
        <v>9</v>
      </c>
      <c r="AR129" s="171">
        <v>9</v>
      </c>
      <c r="AS129" s="171">
        <v>9</v>
      </c>
      <c r="AT129" s="171">
        <v>9</v>
      </c>
      <c r="AU129" s="171">
        <v>9</v>
      </c>
      <c r="AV129" s="171">
        <v>9</v>
      </c>
      <c r="AW129" s="171">
        <v>9</v>
      </c>
      <c r="AX129" s="171">
        <v>9</v>
      </c>
      <c r="AY129" s="171">
        <v>9</v>
      </c>
      <c r="AZ129" s="171">
        <v>9</v>
      </c>
      <c r="BA129" s="171">
        <v>9</v>
      </c>
      <c r="BB129" s="171">
        <v>9</v>
      </c>
      <c r="BC129" s="171">
        <v>9</v>
      </c>
      <c r="BD129" s="171">
        <v>9</v>
      </c>
      <c r="BE129" s="171">
        <v>9</v>
      </c>
      <c r="BF129" s="171">
        <v>9</v>
      </c>
      <c r="BG129" s="171">
        <v>9</v>
      </c>
      <c r="BH129" s="171">
        <v>9</v>
      </c>
      <c r="BI129" s="171">
        <v>9</v>
      </c>
      <c r="BJ129" s="171">
        <v>9</v>
      </c>
      <c r="BK129" s="171">
        <v>9</v>
      </c>
      <c r="BL129" s="171">
        <v>9</v>
      </c>
      <c r="BM129" s="171">
        <v>9</v>
      </c>
      <c r="BN129" s="171">
        <v>9</v>
      </c>
      <c r="BO129" s="171">
        <v>9</v>
      </c>
      <c r="BP129" s="171">
        <v>9</v>
      </c>
      <c r="BQ129" s="171">
        <v>9</v>
      </c>
      <c r="BR129" s="171">
        <v>9</v>
      </c>
      <c r="BS129" s="171">
        <v>9</v>
      </c>
      <c r="BT129" s="171">
        <v>9</v>
      </c>
      <c r="BU129" s="171">
        <v>9</v>
      </c>
      <c r="BV129" s="171">
        <v>9</v>
      </c>
      <c r="BW129" s="171">
        <v>9</v>
      </c>
      <c r="BX129" s="171">
        <v>9</v>
      </c>
      <c r="BY129" s="171">
        <v>9</v>
      </c>
      <c r="BZ129" s="171">
        <v>9</v>
      </c>
      <c r="CA129" s="171">
        <v>9</v>
      </c>
    </row>
    <row r="130" spans="1:79" s="75" customFormat="1">
      <c r="A130" s="22" t="s">
        <v>76</v>
      </c>
      <c r="B130" s="108">
        <v>10</v>
      </c>
      <c r="C130" s="108">
        <v>11</v>
      </c>
      <c r="D130" s="108">
        <v>8</v>
      </c>
      <c r="E130" s="108">
        <v>13</v>
      </c>
      <c r="F130" s="122">
        <v>7</v>
      </c>
      <c r="G130" s="122">
        <v>13</v>
      </c>
      <c r="H130" s="122">
        <v>13</v>
      </c>
      <c r="I130" s="122">
        <v>4</v>
      </c>
      <c r="J130" s="122">
        <v>10</v>
      </c>
      <c r="K130" s="122">
        <v>12</v>
      </c>
      <c r="L130" s="122">
        <v>14</v>
      </c>
      <c r="M130" s="122">
        <v>9</v>
      </c>
      <c r="N130" s="122">
        <v>14</v>
      </c>
      <c r="O130" s="122">
        <v>14</v>
      </c>
      <c r="P130" s="122">
        <v>6</v>
      </c>
      <c r="Q130" s="122">
        <v>10</v>
      </c>
      <c r="R130" s="122">
        <v>11</v>
      </c>
      <c r="S130" s="122">
        <v>6</v>
      </c>
      <c r="T130" s="122">
        <v>10</v>
      </c>
      <c r="U130" s="122">
        <v>7</v>
      </c>
      <c r="V130" s="122">
        <v>10</v>
      </c>
      <c r="W130" s="122">
        <v>7</v>
      </c>
      <c r="X130" s="122">
        <v>6</v>
      </c>
      <c r="Y130" s="122">
        <v>8</v>
      </c>
      <c r="Z130" s="122">
        <v>5</v>
      </c>
      <c r="AA130" s="122">
        <v>2</v>
      </c>
      <c r="AB130" s="122">
        <v>7</v>
      </c>
      <c r="AC130" s="122">
        <v>11</v>
      </c>
      <c r="AD130" s="122">
        <v>10</v>
      </c>
      <c r="AE130" s="122">
        <v>11</v>
      </c>
      <c r="AF130" s="122">
        <v>11</v>
      </c>
      <c r="AG130" s="122">
        <v>10</v>
      </c>
      <c r="AH130" s="122">
        <v>9</v>
      </c>
      <c r="AI130" s="122">
        <v>10</v>
      </c>
      <c r="AJ130" s="122">
        <v>6</v>
      </c>
      <c r="AK130" s="122">
        <v>9</v>
      </c>
      <c r="AL130" s="122">
        <v>8</v>
      </c>
      <c r="AM130" s="122">
        <v>12</v>
      </c>
      <c r="AN130" s="122">
        <v>10</v>
      </c>
      <c r="AO130" s="122">
        <v>13</v>
      </c>
      <c r="AP130" s="122">
        <v>16</v>
      </c>
      <c r="AQ130" s="122">
        <v>6</v>
      </c>
      <c r="AR130" s="122">
        <v>6</v>
      </c>
      <c r="AS130" s="122">
        <v>11</v>
      </c>
      <c r="AT130" s="122">
        <v>8</v>
      </c>
      <c r="AU130" s="122">
        <v>9</v>
      </c>
      <c r="AV130" s="122">
        <v>9</v>
      </c>
      <c r="AW130" s="122">
        <v>9</v>
      </c>
      <c r="AX130" s="122">
        <v>5</v>
      </c>
      <c r="AY130" s="122">
        <v>12</v>
      </c>
      <c r="AZ130" s="122">
        <v>7</v>
      </c>
      <c r="BA130" s="122">
        <v>6</v>
      </c>
      <c r="BB130" s="122">
        <v>13</v>
      </c>
      <c r="BC130" s="122">
        <v>13</v>
      </c>
      <c r="BD130" s="122">
        <v>7</v>
      </c>
      <c r="BE130" s="122">
        <v>11</v>
      </c>
      <c r="BF130" s="122">
        <v>8</v>
      </c>
      <c r="BG130" s="122">
        <v>10</v>
      </c>
      <c r="BH130" s="122">
        <v>6</v>
      </c>
      <c r="BI130" s="122"/>
      <c r="BJ130" s="122"/>
      <c r="BK130" s="195"/>
    </row>
    <row r="131" spans="1:79" s="170" customFormat="1">
      <c r="A131" s="22" t="s">
        <v>77</v>
      </c>
      <c r="B131" s="171">
        <v>8</v>
      </c>
      <c r="C131" s="171">
        <v>8</v>
      </c>
      <c r="D131" s="171">
        <v>8</v>
      </c>
      <c r="E131" s="171">
        <v>8</v>
      </c>
      <c r="F131" s="171">
        <v>8</v>
      </c>
      <c r="G131" s="171">
        <v>8</v>
      </c>
      <c r="H131" s="171">
        <v>8</v>
      </c>
      <c r="I131" s="171">
        <v>8</v>
      </c>
      <c r="J131" s="171">
        <v>8</v>
      </c>
      <c r="K131" s="171">
        <v>8</v>
      </c>
      <c r="L131" s="171">
        <v>8</v>
      </c>
      <c r="M131" s="171">
        <v>8</v>
      </c>
      <c r="N131" s="171">
        <v>8</v>
      </c>
      <c r="O131" s="171">
        <v>8</v>
      </c>
      <c r="P131" s="171">
        <v>8</v>
      </c>
      <c r="Q131" s="171">
        <v>8</v>
      </c>
      <c r="R131" s="171">
        <v>8</v>
      </c>
      <c r="S131" s="171">
        <v>8</v>
      </c>
      <c r="T131" s="171">
        <v>8</v>
      </c>
      <c r="U131" s="171">
        <v>8</v>
      </c>
      <c r="V131" s="171">
        <v>8</v>
      </c>
      <c r="W131" s="171">
        <v>8</v>
      </c>
      <c r="X131" s="171">
        <v>8</v>
      </c>
      <c r="Y131" s="171">
        <v>8</v>
      </c>
      <c r="Z131" s="171">
        <v>8</v>
      </c>
      <c r="AA131" s="171">
        <v>8</v>
      </c>
      <c r="AB131" s="171">
        <v>8</v>
      </c>
      <c r="AC131" s="171">
        <v>8</v>
      </c>
      <c r="AD131" s="171">
        <v>8</v>
      </c>
      <c r="AE131" s="171">
        <v>8</v>
      </c>
      <c r="AF131" s="171">
        <v>8</v>
      </c>
      <c r="AG131" s="171">
        <v>8</v>
      </c>
      <c r="AH131" s="171">
        <v>8</v>
      </c>
      <c r="AI131" s="171">
        <v>8</v>
      </c>
      <c r="AJ131" s="171">
        <v>8</v>
      </c>
      <c r="AK131" s="171">
        <v>8</v>
      </c>
      <c r="AL131" s="171">
        <v>8</v>
      </c>
      <c r="AM131" s="171">
        <v>8</v>
      </c>
      <c r="AN131" s="171">
        <v>8</v>
      </c>
      <c r="AO131" s="171">
        <v>8</v>
      </c>
      <c r="AP131" s="171">
        <v>8</v>
      </c>
      <c r="AQ131" s="171">
        <v>8</v>
      </c>
      <c r="AR131" s="171">
        <v>8</v>
      </c>
      <c r="AS131" s="171">
        <v>8</v>
      </c>
      <c r="AT131" s="171">
        <v>8</v>
      </c>
      <c r="AU131" s="171">
        <v>8</v>
      </c>
      <c r="AV131" s="171">
        <v>8</v>
      </c>
      <c r="AW131" s="171">
        <v>8</v>
      </c>
      <c r="AX131" s="171">
        <v>8</v>
      </c>
      <c r="AY131" s="171">
        <v>8</v>
      </c>
      <c r="AZ131" s="171">
        <v>8</v>
      </c>
      <c r="BA131" s="171">
        <v>8</v>
      </c>
      <c r="BB131" s="171">
        <v>8</v>
      </c>
      <c r="BC131" s="171">
        <v>8</v>
      </c>
      <c r="BD131" s="171">
        <v>8</v>
      </c>
      <c r="BE131" s="171">
        <v>8</v>
      </c>
      <c r="BF131" s="171">
        <v>8</v>
      </c>
      <c r="BG131" s="171">
        <v>8</v>
      </c>
      <c r="BH131" s="171">
        <v>8</v>
      </c>
      <c r="BI131" s="171">
        <v>8</v>
      </c>
      <c r="BJ131" s="171">
        <v>8</v>
      </c>
      <c r="BK131" s="171">
        <v>8</v>
      </c>
      <c r="BL131" s="171">
        <v>8</v>
      </c>
      <c r="BM131" s="171">
        <v>8</v>
      </c>
      <c r="BN131" s="171">
        <v>8</v>
      </c>
      <c r="BO131" s="171">
        <v>8</v>
      </c>
      <c r="BP131" s="171">
        <v>8</v>
      </c>
      <c r="BQ131" s="171">
        <v>8</v>
      </c>
      <c r="BR131" s="171">
        <v>8</v>
      </c>
      <c r="BS131" s="171">
        <v>8</v>
      </c>
      <c r="BT131" s="171">
        <v>8</v>
      </c>
      <c r="BU131" s="171">
        <v>8</v>
      </c>
      <c r="BV131" s="171">
        <v>8</v>
      </c>
      <c r="BW131" s="171">
        <v>8</v>
      </c>
      <c r="BX131" s="171">
        <v>8</v>
      </c>
      <c r="BY131" s="171">
        <v>8</v>
      </c>
      <c r="BZ131" s="171">
        <v>8</v>
      </c>
      <c r="CA131" s="171">
        <v>8</v>
      </c>
    </row>
    <row r="132" spans="1:79" s="74" customFormat="1" ht="19.5" thickBot="1">
      <c r="A132" s="22" t="s">
        <v>78</v>
      </c>
      <c r="B132" s="108">
        <v>9</v>
      </c>
      <c r="C132" s="108">
        <v>10</v>
      </c>
      <c r="D132" s="108">
        <v>5</v>
      </c>
      <c r="E132" s="108">
        <v>7</v>
      </c>
      <c r="F132" s="122">
        <v>10</v>
      </c>
      <c r="G132" s="122">
        <v>7</v>
      </c>
      <c r="H132" s="122">
        <v>7</v>
      </c>
      <c r="I132" s="122">
        <v>14</v>
      </c>
      <c r="J132" s="122">
        <v>8</v>
      </c>
      <c r="K132" s="122">
        <v>12</v>
      </c>
      <c r="L132" s="122">
        <v>13</v>
      </c>
      <c r="M132" s="122">
        <v>10</v>
      </c>
      <c r="N132" s="122">
        <v>9</v>
      </c>
      <c r="O132" s="122">
        <v>10</v>
      </c>
      <c r="P132" s="122">
        <v>8</v>
      </c>
      <c r="Q132" s="122">
        <v>5</v>
      </c>
      <c r="R132" s="122">
        <v>11</v>
      </c>
      <c r="S132" s="122">
        <v>7</v>
      </c>
      <c r="T132" s="122">
        <v>12</v>
      </c>
      <c r="U132" s="122">
        <v>11</v>
      </c>
      <c r="V132" s="122">
        <v>8</v>
      </c>
      <c r="W132" s="122">
        <v>10</v>
      </c>
      <c r="X132" s="122">
        <v>9</v>
      </c>
      <c r="Y132" s="122">
        <v>8</v>
      </c>
      <c r="Z132" s="122">
        <v>13</v>
      </c>
      <c r="AA132" s="122">
        <v>5</v>
      </c>
      <c r="AB132" s="122">
        <v>14</v>
      </c>
      <c r="AC132" s="122">
        <v>13</v>
      </c>
      <c r="AD132" s="122">
        <v>6</v>
      </c>
      <c r="AE132" s="122">
        <v>7</v>
      </c>
      <c r="AF132" s="122">
        <v>12</v>
      </c>
      <c r="AG132" s="122">
        <v>11</v>
      </c>
      <c r="AH132" s="122">
        <v>8</v>
      </c>
      <c r="AI132" s="122">
        <v>10</v>
      </c>
      <c r="AJ132" s="122">
        <v>10</v>
      </c>
      <c r="AK132" s="122">
        <v>6</v>
      </c>
      <c r="AL132" s="122">
        <v>7</v>
      </c>
      <c r="AM132" s="122">
        <v>8</v>
      </c>
      <c r="AN132" s="122">
        <v>5</v>
      </c>
      <c r="AO132" s="122">
        <v>5</v>
      </c>
      <c r="AP132" s="122">
        <v>5</v>
      </c>
      <c r="AQ132" s="122">
        <v>7</v>
      </c>
      <c r="AR132" s="122">
        <v>7</v>
      </c>
      <c r="AS132" s="122">
        <v>6</v>
      </c>
      <c r="AT132" s="122">
        <v>7</v>
      </c>
      <c r="AU132" s="122">
        <v>4</v>
      </c>
      <c r="AV132" s="122">
        <v>4</v>
      </c>
      <c r="AW132" s="122">
        <v>6</v>
      </c>
      <c r="AX132" s="122">
        <v>9</v>
      </c>
      <c r="AY132" s="122">
        <v>9</v>
      </c>
      <c r="AZ132" s="122">
        <v>7</v>
      </c>
      <c r="BA132" s="122">
        <v>14</v>
      </c>
      <c r="BB132" s="122">
        <v>9</v>
      </c>
      <c r="BC132" s="122">
        <v>5</v>
      </c>
      <c r="BD132" s="122">
        <v>13</v>
      </c>
      <c r="BE132" s="122">
        <v>2</v>
      </c>
      <c r="BF132" s="122">
        <v>11</v>
      </c>
      <c r="BG132" s="122">
        <v>9</v>
      </c>
      <c r="BH132" s="122">
        <v>10</v>
      </c>
      <c r="BI132" s="122"/>
      <c r="BJ132" s="122"/>
      <c r="BK132" s="195"/>
    </row>
    <row r="133" spans="1:79" s="172" customFormat="1">
      <c r="A133" s="22" t="s">
        <v>79</v>
      </c>
      <c r="B133" s="171">
        <v>49</v>
      </c>
      <c r="C133" s="171">
        <v>49</v>
      </c>
      <c r="D133" s="171">
        <v>49</v>
      </c>
      <c r="E133" s="171">
        <v>49</v>
      </c>
      <c r="F133" s="171">
        <v>49</v>
      </c>
      <c r="G133" s="171">
        <v>49</v>
      </c>
      <c r="H133" s="171">
        <v>49</v>
      </c>
      <c r="I133" s="171">
        <v>49</v>
      </c>
      <c r="J133" s="171">
        <v>49</v>
      </c>
      <c r="K133" s="171">
        <v>49</v>
      </c>
      <c r="L133" s="171">
        <v>49</v>
      </c>
      <c r="M133" s="171">
        <v>49</v>
      </c>
      <c r="N133" s="171">
        <v>49</v>
      </c>
      <c r="O133" s="171">
        <v>49</v>
      </c>
      <c r="P133" s="171">
        <v>49</v>
      </c>
      <c r="Q133" s="171">
        <v>49</v>
      </c>
      <c r="R133" s="171">
        <v>49</v>
      </c>
      <c r="S133" s="171">
        <v>49</v>
      </c>
      <c r="T133" s="171">
        <v>49</v>
      </c>
      <c r="U133" s="171">
        <v>49</v>
      </c>
      <c r="V133" s="171">
        <v>49</v>
      </c>
      <c r="W133" s="171">
        <v>49</v>
      </c>
      <c r="X133" s="171">
        <v>49</v>
      </c>
      <c r="Y133" s="171">
        <v>49</v>
      </c>
      <c r="Z133" s="171">
        <v>49</v>
      </c>
      <c r="AA133" s="171">
        <v>49</v>
      </c>
      <c r="AB133" s="171">
        <v>49</v>
      </c>
      <c r="AC133" s="171">
        <v>49</v>
      </c>
      <c r="AD133" s="171">
        <v>49</v>
      </c>
      <c r="AE133" s="171">
        <v>49</v>
      </c>
      <c r="AF133" s="171">
        <v>49</v>
      </c>
      <c r="AG133" s="171">
        <v>49</v>
      </c>
      <c r="AH133" s="171">
        <v>49</v>
      </c>
      <c r="AI133" s="171">
        <v>49</v>
      </c>
      <c r="AJ133" s="171">
        <v>49</v>
      </c>
      <c r="AK133" s="171">
        <v>49</v>
      </c>
      <c r="AL133" s="171">
        <v>49</v>
      </c>
      <c r="AM133" s="171">
        <v>49</v>
      </c>
      <c r="AN133" s="171">
        <v>49</v>
      </c>
      <c r="AO133" s="171">
        <v>49</v>
      </c>
      <c r="AP133" s="171">
        <v>49</v>
      </c>
      <c r="AQ133" s="171">
        <v>49</v>
      </c>
      <c r="AR133" s="171">
        <v>49</v>
      </c>
      <c r="AS133" s="171">
        <v>49</v>
      </c>
      <c r="AT133" s="171">
        <v>49</v>
      </c>
      <c r="AU133" s="171">
        <v>49</v>
      </c>
      <c r="AV133" s="171">
        <v>49</v>
      </c>
      <c r="AW133" s="171">
        <v>49</v>
      </c>
      <c r="AX133" s="171">
        <v>49</v>
      </c>
      <c r="AY133" s="171">
        <v>49</v>
      </c>
      <c r="AZ133" s="171">
        <v>49</v>
      </c>
      <c r="BA133" s="171">
        <v>49</v>
      </c>
      <c r="BB133" s="171">
        <v>50</v>
      </c>
      <c r="BC133" s="171">
        <v>50</v>
      </c>
      <c r="BD133" s="171">
        <v>50</v>
      </c>
      <c r="BE133" s="171">
        <v>50</v>
      </c>
      <c r="BF133" s="171">
        <v>50</v>
      </c>
      <c r="BG133" s="171">
        <v>50</v>
      </c>
      <c r="BH133" s="171">
        <v>50</v>
      </c>
      <c r="BI133" s="171">
        <v>50</v>
      </c>
      <c r="BJ133" s="171">
        <v>50</v>
      </c>
      <c r="BK133" s="171">
        <v>50</v>
      </c>
      <c r="BL133" s="171">
        <v>50</v>
      </c>
      <c r="BM133" s="171">
        <v>50</v>
      </c>
      <c r="BN133" s="171">
        <v>50</v>
      </c>
      <c r="BO133" s="171">
        <v>50</v>
      </c>
      <c r="BP133" s="171">
        <v>50</v>
      </c>
      <c r="BQ133" s="171">
        <v>50</v>
      </c>
      <c r="BR133" s="171">
        <v>50</v>
      </c>
      <c r="BS133" s="171">
        <v>50</v>
      </c>
      <c r="BT133" s="171">
        <v>50</v>
      </c>
      <c r="BU133" s="171">
        <v>50</v>
      </c>
      <c r="BV133" s="171">
        <v>50</v>
      </c>
      <c r="BW133" s="171">
        <v>50</v>
      </c>
      <c r="BX133" s="171">
        <v>50</v>
      </c>
      <c r="BY133" s="171">
        <v>50</v>
      </c>
      <c r="BZ133" s="171">
        <v>50</v>
      </c>
      <c r="CA133" s="171">
        <v>50</v>
      </c>
    </row>
    <row r="134" spans="1:79" s="75" customFormat="1">
      <c r="A134" s="22" t="s">
        <v>80</v>
      </c>
      <c r="B134" s="108">
        <v>47</v>
      </c>
      <c r="C134" s="108">
        <v>49</v>
      </c>
      <c r="D134" s="108">
        <v>46</v>
      </c>
      <c r="E134" s="108">
        <v>52</v>
      </c>
      <c r="F134" s="122">
        <v>42</v>
      </c>
      <c r="G134" s="122">
        <v>52</v>
      </c>
      <c r="H134" s="122">
        <v>51</v>
      </c>
      <c r="I134" s="122">
        <v>54</v>
      </c>
      <c r="J134" s="122">
        <v>50</v>
      </c>
      <c r="K134" s="122">
        <v>49</v>
      </c>
      <c r="L134" s="122">
        <v>49</v>
      </c>
      <c r="M134" s="122">
        <v>49</v>
      </c>
      <c r="N134" s="122">
        <v>51</v>
      </c>
      <c r="O134" s="122">
        <v>53</v>
      </c>
      <c r="P134" s="122">
        <v>49</v>
      </c>
      <c r="Q134" s="122">
        <v>49</v>
      </c>
      <c r="R134" s="122">
        <v>49</v>
      </c>
      <c r="S134" s="122">
        <v>50</v>
      </c>
      <c r="T134" s="122">
        <v>50</v>
      </c>
      <c r="U134" s="122">
        <v>50</v>
      </c>
      <c r="V134" s="122">
        <v>47</v>
      </c>
      <c r="W134" s="122">
        <v>50</v>
      </c>
      <c r="X134" s="122">
        <v>51</v>
      </c>
      <c r="Y134" s="122">
        <v>46</v>
      </c>
      <c r="Z134" s="122">
        <v>51</v>
      </c>
      <c r="AA134" s="122">
        <v>50</v>
      </c>
      <c r="AB134" s="122">
        <v>48</v>
      </c>
      <c r="AC134" s="122">
        <v>51</v>
      </c>
      <c r="AD134" s="122">
        <v>52</v>
      </c>
      <c r="AE134" s="122">
        <v>50</v>
      </c>
      <c r="AF134" s="122">
        <v>49</v>
      </c>
      <c r="AG134" s="122">
        <v>50</v>
      </c>
      <c r="AH134" s="122">
        <v>50</v>
      </c>
      <c r="AI134" s="122">
        <v>50</v>
      </c>
      <c r="AJ134" s="122">
        <v>51</v>
      </c>
      <c r="AK134" s="122">
        <v>49</v>
      </c>
      <c r="AL134" s="122">
        <v>47</v>
      </c>
      <c r="AM134" s="122">
        <v>50</v>
      </c>
      <c r="AN134" s="122">
        <v>50</v>
      </c>
      <c r="AO134" s="122">
        <v>47</v>
      </c>
      <c r="AP134" s="122">
        <v>51</v>
      </c>
      <c r="AQ134" s="122">
        <v>49</v>
      </c>
      <c r="AR134" s="122">
        <v>49</v>
      </c>
      <c r="AS134" s="122">
        <v>53</v>
      </c>
      <c r="AT134" s="122">
        <v>46</v>
      </c>
      <c r="AU134" s="122">
        <v>49</v>
      </c>
      <c r="AV134" s="122">
        <v>49</v>
      </c>
      <c r="AW134" s="122">
        <v>48</v>
      </c>
      <c r="AX134" s="122">
        <v>48</v>
      </c>
      <c r="AY134" s="122">
        <v>51</v>
      </c>
      <c r="AZ134" s="122">
        <v>47</v>
      </c>
      <c r="BA134" s="122">
        <v>51</v>
      </c>
      <c r="BB134" s="122">
        <v>50</v>
      </c>
      <c r="BC134" s="122">
        <v>51</v>
      </c>
      <c r="BD134" s="122">
        <v>50</v>
      </c>
      <c r="BE134" s="122">
        <v>51</v>
      </c>
      <c r="BF134" s="122">
        <v>50</v>
      </c>
      <c r="BG134" s="122">
        <v>51</v>
      </c>
      <c r="BH134" s="122">
        <v>47</v>
      </c>
      <c r="BI134" s="122"/>
      <c r="BJ134" s="122"/>
      <c r="BK134" s="195"/>
    </row>
    <row r="135" spans="1:79" s="75" customFormat="1" ht="19.5" thickBot="1">
      <c r="A135" s="54" t="s">
        <v>81</v>
      </c>
      <c r="B135" s="123">
        <v>4</v>
      </c>
      <c r="C135" s="123">
        <v>1</v>
      </c>
      <c r="D135" s="123">
        <v>3</v>
      </c>
      <c r="E135" s="118">
        <v>2</v>
      </c>
      <c r="F135" s="118">
        <v>5</v>
      </c>
      <c r="G135" s="118">
        <v>7</v>
      </c>
      <c r="H135" s="118">
        <v>3</v>
      </c>
      <c r="I135" s="118">
        <v>3</v>
      </c>
      <c r="J135" s="118">
        <v>2</v>
      </c>
      <c r="K135" s="118">
        <v>4</v>
      </c>
      <c r="L135" s="118">
        <v>2</v>
      </c>
      <c r="M135" s="118">
        <v>3</v>
      </c>
      <c r="N135" s="118">
        <v>3</v>
      </c>
      <c r="O135" s="118">
        <v>4</v>
      </c>
      <c r="P135" s="118">
        <v>4</v>
      </c>
      <c r="Q135" s="118">
        <v>3</v>
      </c>
      <c r="R135" s="118">
        <v>3</v>
      </c>
      <c r="S135" s="118">
        <v>2</v>
      </c>
      <c r="T135" s="118">
        <v>3</v>
      </c>
      <c r="U135" s="118">
        <v>1</v>
      </c>
      <c r="V135" s="118">
        <v>3</v>
      </c>
      <c r="W135" s="118">
        <v>2</v>
      </c>
      <c r="X135" s="118">
        <v>2</v>
      </c>
      <c r="Y135" s="118">
        <v>3</v>
      </c>
      <c r="Z135" s="118">
        <v>1</v>
      </c>
      <c r="AA135" s="118">
        <v>1</v>
      </c>
      <c r="AB135" s="118">
        <v>5</v>
      </c>
      <c r="AC135" s="118">
        <v>2</v>
      </c>
      <c r="AD135" s="118">
        <v>0</v>
      </c>
      <c r="AE135" s="118">
        <v>2</v>
      </c>
      <c r="AF135" s="118">
        <v>2</v>
      </c>
      <c r="AG135" s="118">
        <v>2</v>
      </c>
      <c r="AH135" s="118">
        <v>1</v>
      </c>
      <c r="AI135" s="118">
        <v>0</v>
      </c>
      <c r="AJ135" s="118">
        <v>0</v>
      </c>
      <c r="AK135" s="118">
        <v>1</v>
      </c>
      <c r="AL135" s="118">
        <v>1</v>
      </c>
      <c r="AM135" s="118">
        <v>1</v>
      </c>
      <c r="AN135" s="118">
        <v>2</v>
      </c>
      <c r="AO135" s="118">
        <v>1</v>
      </c>
      <c r="AP135" s="118">
        <v>1</v>
      </c>
      <c r="AQ135" s="118">
        <v>2</v>
      </c>
      <c r="AR135" s="118">
        <v>3</v>
      </c>
      <c r="AS135" s="118">
        <v>2</v>
      </c>
      <c r="AT135" s="118">
        <v>2</v>
      </c>
      <c r="AU135" s="118">
        <v>1</v>
      </c>
      <c r="AV135" s="118">
        <v>1</v>
      </c>
      <c r="AW135" s="118">
        <v>1</v>
      </c>
      <c r="AX135" s="118">
        <v>1</v>
      </c>
      <c r="AY135" s="118">
        <v>1</v>
      </c>
      <c r="AZ135" s="118">
        <v>2</v>
      </c>
      <c r="BA135" s="118">
        <v>3</v>
      </c>
      <c r="BB135" s="118">
        <v>2</v>
      </c>
      <c r="BC135" s="118">
        <v>2</v>
      </c>
      <c r="BD135" s="118">
        <v>2</v>
      </c>
      <c r="BE135" s="118">
        <v>3</v>
      </c>
      <c r="BF135" s="118">
        <v>2</v>
      </c>
      <c r="BG135" s="118">
        <v>2</v>
      </c>
      <c r="BH135" s="118"/>
      <c r="BI135" s="118"/>
      <c r="BJ135" s="118"/>
      <c r="BK135" s="196"/>
    </row>
    <row r="136" spans="1:79" ht="19.5" thickBot="1">
      <c r="A136" s="57"/>
      <c r="B136" s="3"/>
      <c r="C136" s="129"/>
      <c r="D136" s="129"/>
      <c r="E136" s="130"/>
      <c r="F136" s="114"/>
      <c r="G136" s="131"/>
      <c r="H136" s="114"/>
      <c r="I136" s="132"/>
      <c r="J136" s="3"/>
      <c r="K136" s="129"/>
      <c r="L136" s="133"/>
      <c r="M136" s="133"/>
      <c r="N136" s="3"/>
      <c r="O136" s="114"/>
      <c r="P136" s="131"/>
      <c r="Q136" s="131"/>
      <c r="R136" s="132"/>
      <c r="S136" s="114"/>
      <c r="T136" s="131"/>
      <c r="U136" s="131"/>
      <c r="V136" s="114"/>
      <c r="W136" s="3"/>
      <c r="X136" s="129"/>
      <c r="Y136" s="3"/>
      <c r="Z136" s="129"/>
      <c r="AA136" s="3"/>
      <c r="AB136" s="114"/>
      <c r="AC136" s="131"/>
      <c r="AD136" s="131"/>
      <c r="AE136" s="132"/>
      <c r="AF136" s="114"/>
      <c r="AG136" s="131"/>
      <c r="AH136" s="134"/>
      <c r="AI136" s="114"/>
      <c r="AJ136" s="134"/>
      <c r="AK136" s="114"/>
      <c r="AL136" s="131"/>
      <c r="AM136" s="131"/>
      <c r="AN136" s="114"/>
      <c r="AO136" s="114"/>
      <c r="AP136" s="131"/>
      <c r="AQ136" s="131"/>
      <c r="AR136" s="132"/>
      <c r="AS136" s="114"/>
      <c r="AT136" s="131"/>
      <c r="AU136" s="131"/>
      <c r="AV136" s="132"/>
      <c r="AW136" s="114"/>
      <c r="AX136" s="131"/>
      <c r="AY136" s="114"/>
      <c r="AZ136" s="131"/>
      <c r="BA136" s="132"/>
      <c r="BB136" s="114"/>
      <c r="BC136" s="131"/>
      <c r="BD136" s="131"/>
      <c r="BE136" s="132"/>
      <c r="BF136" s="114"/>
      <c r="BG136" s="131"/>
      <c r="BH136" s="131"/>
      <c r="BI136" s="132"/>
      <c r="BJ136" s="114"/>
      <c r="BK136" s="114"/>
    </row>
    <row r="137" spans="1:79" s="1" customFormat="1" ht="19.5" thickBot="1">
      <c r="A137" s="10" t="s">
        <v>82</v>
      </c>
      <c r="B137" s="135"/>
      <c r="C137" s="135"/>
      <c r="D137" s="135"/>
      <c r="E137" s="135"/>
      <c r="F137" s="136"/>
      <c r="G137" s="136"/>
      <c r="H137" s="136"/>
      <c r="I137" s="136"/>
      <c r="J137" s="135"/>
      <c r="K137" s="135"/>
      <c r="L137" s="135"/>
      <c r="M137" s="135"/>
      <c r="N137" s="135"/>
      <c r="O137" s="136"/>
      <c r="P137" s="136"/>
      <c r="Q137" s="136"/>
      <c r="R137" s="136"/>
      <c r="S137" s="136"/>
      <c r="T137" s="136"/>
      <c r="U137" s="136"/>
      <c r="V137" s="136"/>
      <c r="W137" s="135"/>
      <c r="X137" s="135"/>
      <c r="Y137" s="135"/>
      <c r="Z137" s="135"/>
      <c r="AA137" s="135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7"/>
    </row>
    <row r="138" spans="1:79" s="17" customFormat="1">
      <c r="A138" s="15" t="s">
        <v>83</v>
      </c>
      <c r="B138" s="20">
        <v>236</v>
      </c>
      <c r="C138" s="20">
        <v>236</v>
      </c>
      <c r="D138" s="20">
        <v>236</v>
      </c>
      <c r="E138" s="20">
        <v>236</v>
      </c>
      <c r="F138" s="20">
        <v>236</v>
      </c>
      <c r="G138" s="20">
        <v>236</v>
      </c>
      <c r="H138" s="20">
        <v>236</v>
      </c>
      <c r="I138" s="20">
        <v>236</v>
      </c>
      <c r="J138" s="20">
        <v>236</v>
      </c>
      <c r="K138" s="20">
        <v>236</v>
      </c>
      <c r="L138" s="20">
        <v>236</v>
      </c>
      <c r="M138" s="20">
        <v>236</v>
      </c>
      <c r="N138" s="20">
        <v>236</v>
      </c>
      <c r="O138" s="20">
        <v>236</v>
      </c>
      <c r="P138" s="20">
        <v>236</v>
      </c>
      <c r="Q138" s="20">
        <v>236</v>
      </c>
      <c r="R138" s="20">
        <v>236</v>
      </c>
      <c r="S138" s="20">
        <v>236</v>
      </c>
      <c r="T138" s="20">
        <v>236</v>
      </c>
      <c r="U138" s="20">
        <v>236</v>
      </c>
      <c r="V138" s="20">
        <v>236</v>
      </c>
      <c r="W138" s="20">
        <v>236</v>
      </c>
      <c r="X138" s="20">
        <v>236</v>
      </c>
      <c r="Y138" s="20">
        <v>236</v>
      </c>
      <c r="Z138" s="20">
        <v>236</v>
      </c>
      <c r="AA138" s="20">
        <v>236</v>
      </c>
      <c r="AB138" s="20">
        <v>236</v>
      </c>
      <c r="AC138" s="20">
        <v>236</v>
      </c>
      <c r="AD138" s="20">
        <v>236</v>
      </c>
      <c r="AE138" s="20">
        <v>236</v>
      </c>
      <c r="AF138" s="20">
        <v>236</v>
      </c>
      <c r="AG138" s="20">
        <v>236</v>
      </c>
      <c r="AH138" s="20">
        <v>236</v>
      </c>
      <c r="AI138" s="20">
        <v>236</v>
      </c>
      <c r="AJ138" s="20">
        <v>236</v>
      </c>
      <c r="AK138" s="20">
        <v>236</v>
      </c>
      <c r="AL138" s="20">
        <v>236</v>
      </c>
      <c r="AM138" s="20">
        <v>236</v>
      </c>
      <c r="AN138" s="20">
        <v>236</v>
      </c>
      <c r="AO138" s="20">
        <v>236</v>
      </c>
      <c r="AP138" s="20">
        <v>236</v>
      </c>
      <c r="AQ138" s="20">
        <v>236</v>
      </c>
      <c r="AR138" s="20">
        <v>236</v>
      </c>
      <c r="AS138" s="20">
        <v>236</v>
      </c>
      <c r="AT138" s="20">
        <v>236</v>
      </c>
      <c r="AU138" s="20">
        <v>236</v>
      </c>
      <c r="AV138" s="20">
        <v>236</v>
      </c>
      <c r="AW138" s="20">
        <v>236</v>
      </c>
      <c r="AX138" s="20">
        <v>236</v>
      </c>
      <c r="AY138" s="20">
        <v>236</v>
      </c>
      <c r="AZ138" s="20">
        <v>236</v>
      </c>
      <c r="BA138" s="20">
        <v>236</v>
      </c>
      <c r="BB138" s="20">
        <v>236</v>
      </c>
      <c r="BC138" s="20">
        <v>236</v>
      </c>
      <c r="BD138" s="20">
        <v>236</v>
      </c>
      <c r="BE138" s="20">
        <v>236</v>
      </c>
      <c r="BF138" s="20">
        <v>236</v>
      </c>
      <c r="BG138" s="20">
        <v>236</v>
      </c>
      <c r="BH138" s="20">
        <v>236</v>
      </c>
      <c r="BI138" s="20">
        <v>236</v>
      </c>
      <c r="BJ138" s="20">
        <v>236</v>
      </c>
      <c r="BK138" s="23">
        <v>236</v>
      </c>
      <c r="BL138" s="23">
        <v>236</v>
      </c>
      <c r="BM138" s="23">
        <v>236</v>
      </c>
      <c r="BN138" s="23">
        <v>236</v>
      </c>
      <c r="BO138" s="23">
        <v>236</v>
      </c>
      <c r="BP138" s="23">
        <v>236</v>
      </c>
      <c r="BQ138" s="23">
        <v>236</v>
      </c>
      <c r="BR138" s="23">
        <v>236</v>
      </c>
      <c r="BS138" s="23">
        <v>236</v>
      </c>
      <c r="BT138" s="23">
        <v>236</v>
      </c>
      <c r="BU138" s="23">
        <v>236</v>
      </c>
      <c r="BV138" s="23">
        <v>236</v>
      </c>
      <c r="BW138" s="23">
        <v>236</v>
      </c>
      <c r="BX138" s="23">
        <v>236</v>
      </c>
      <c r="BY138" s="23">
        <v>236</v>
      </c>
      <c r="BZ138" s="23">
        <v>236</v>
      </c>
      <c r="CA138" s="23">
        <v>236</v>
      </c>
    </row>
    <row r="139" spans="1:79" s="18" customFormat="1" ht="19.5" thickBot="1">
      <c r="A139" s="15" t="s">
        <v>84</v>
      </c>
      <c r="B139" s="20">
        <v>246</v>
      </c>
      <c r="C139" s="20">
        <v>246</v>
      </c>
      <c r="D139" s="20">
        <v>246</v>
      </c>
      <c r="E139" s="20">
        <v>246</v>
      </c>
      <c r="F139" s="20">
        <v>246</v>
      </c>
      <c r="G139" s="20">
        <v>246</v>
      </c>
      <c r="H139" s="20">
        <v>246</v>
      </c>
      <c r="I139" s="20">
        <v>246</v>
      </c>
      <c r="J139" s="20">
        <v>246</v>
      </c>
      <c r="K139" s="20">
        <v>246</v>
      </c>
      <c r="L139" s="20">
        <v>246</v>
      </c>
      <c r="M139" s="20">
        <v>246</v>
      </c>
      <c r="N139" s="20">
        <v>246</v>
      </c>
      <c r="O139" s="20">
        <v>246</v>
      </c>
      <c r="P139" s="20">
        <v>246</v>
      </c>
      <c r="Q139" s="20">
        <v>246</v>
      </c>
      <c r="R139" s="20">
        <v>246</v>
      </c>
      <c r="S139" s="20">
        <v>246</v>
      </c>
      <c r="T139" s="20">
        <v>246</v>
      </c>
      <c r="U139" s="20">
        <v>246</v>
      </c>
      <c r="V139" s="20">
        <v>246</v>
      </c>
      <c r="W139" s="20">
        <v>246</v>
      </c>
      <c r="X139" s="20">
        <v>246</v>
      </c>
      <c r="Y139" s="20">
        <v>246</v>
      </c>
      <c r="Z139" s="20">
        <v>246</v>
      </c>
      <c r="AA139" s="20">
        <v>246</v>
      </c>
      <c r="AB139" s="20">
        <v>246</v>
      </c>
      <c r="AC139" s="20">
        <v>246</v>
      </c>
      <c r="AD139" s="20">
        <v>246</v>
      </c>
      <c r="AE139" s="20">
        <v>246</v>
      </c>
      <c r="AF139" s="20">
        <v>246</v>
      </c>
      <c r="AG139" s="20">
        <v>246</v>
      </c>
      <c r="AH139" s="20">
        <v>246</v>
      </c>
      <c r="AI139" s="20">
        <v>246</v>
      </c>
      <c r="AJ139" s="20">
        <v>246</v>
      </c>
      <c r="AK139" s="20">
        <v>246</v>
      </c>
      <c r="AL139" s="20">
        <v>246</v>
      </c>
      <c r="AM139" s="20">
        <v>246</v>
      </c>
      <c r="AN139" s="20">
        <v>246</v>
      </c>
      <c r="AO139" s="20">
        <v>246</v>
      </c>
      <c r="AP139" s="20">
        <v>246</v>
      </c>
      <c r="AQ139" s="20">
        <v>246</v>
      </c>
      <c r="AR139" s="20">
        <v>246</v>
      </c>
      <c r="AS139" s="20">
        <v>246</v>
      </c>
      <c r="AT139" s="20">
        <v>246</v>
      </c>
      <c r="AU139" s="20">
        <v>246</v>
      </c>
      <c r="AV139" s="20">
        <v>246</v>
      </c>
      <c r="AW139" s="20">
        <v>246</v>
      </c>
      <c r="AX139" s="20">
        <v>246</v>
      </c>
      <c r="AY139" s="20">
        <v>246</v>
      </c>
      <c r="AZ139" s="20">
        <v>246</v>
      </c>
      <c r="BA139" s="20">
        <v>246</v>
      </c>
      <c r="BB139" s="20">
        <v>246</v>
      </c>
      <c r="BC139" s="20">
        <v>246</v>
      </c>
      <c r="BD139" s="20">
        <v>246</v>
      </c>
      <c r="BE139" s="20">
        <v>246</v>
      </c>
      <c r="BF139" s="20">
        <v>246</v>
      </c>
      <c r="BG139" s="20">
        <v>246</v>
      </c>
      <c r="BH139" s="20">
        <v>246</v>
      </c>
      <c r="BI139" s="20">
        <v>246</v>
      </c>
      <c r="BJ139" s="20">
        <v>246</v>
      </c>
      <c r="BK139" s="23">
        <v>246</v>
      </c>
      <c r="BL139" s="23">
        <v>246</v>
      </c>
      <c r="BM139" s="23">
        <v>246</v>
      </c>
      <c r="BN139" s="23">
        <v>246</v>
      </c>
      <c r="BO139" s="23">
        <v>246</v>
      </c>
      <c r="BP139" s="23">
        <v>246</v>
      </c>
      <c r="BQ139" s="23">
        <v>246</v>
      </c>
      <c r="BR139" s="23">
        <v>246</v>
      </c>
      <c r="BS139" s="23">
        <v>246</v>
      </c>
      <c r="BT139" s="23">
        <v>246</v>
      </c>
      <c r="BU139" s="23">
        <v>246</v>
      </c>
      <c r="BV139" s="23">
        <v>246</v>
      </c>
      <c r="BW139" s="23">
        <v>246</v>
      </c>
      <c r="BX139" s="23">
        <v>246</v>
      </c>
      <c r="BY139" s="23">
        <v>246</v>
      </c>
      <c r="BZ139" s="23">
        <v>246</v>
      </c>
      <c r="CA139" s="23">
        <v>246</v>
      </c>
    </row>
    <row r="140" spans="1:79" s="85" customFormat="1">
      <c r="A140" s="11" t="s">
        <v>36</v>
      </c>
      <c r="B140" s="108">
        <v>243</v>
      </c>
      <c r="C140" s="108">
        <v>232.3</v>
      </c>
      <c r="D140" s="138">
        <v>230.6</v>
      </c>
      <c r="E140" s="138">
        <v>243.1</v>
      </c>
      <c r="F140" s="138">
        <v>231.7</v>
      </c>
      <c r="G140" s="138">
        <v>234.1</v>
      </c>
      <c r="H140" s="138">
        <v>228.4</v>
      </c>
      <c r="I140" s="138">
        <v>233.2</v>
      </c>
      <c r="J140" s="138">
        <v>236.4</v>
      </c>
      <c r="K140" s="138">
        <v>243</v>
      </c>
      <c r="L140" s="138">
        <v>236.2</v>
      </c>
      <c r="M140" s="138">
        <v>240.8</v>
      </c>
      <c r="N140" s="138">
        <v>231</v>
      </c>
      <c r="O140" s="138">
        <v>233.4</v>
      </c>
      <c r="P140" s="138">
        <v>248.9</v>
      </c>
      <c r="Q140" s="138">
        <v>240.3</v>
      </c>
      <c r="R140" s="138">
        <v>246.5</v>
      </c>
      <c r="S140" s="138">
        <v>231.7</v>
      </c>
      <c r="T140" s="138">
        <v>242.7</v>
      </c>
      <c r="U140" s="138">
        <v>241.7</v>
      </c>
      <c r="V140" s="138">
        <v>244.8</v>
      </c>
      <c r="W140" s="138">
        <v>238</v>
      </c>
      <c r="X140" s="138">
        <v>242.8</v>
      </c>
      <c r="Y140" s="138">
        <v>240.3</v>
      </c>
      <c r="Z140" s="138">
        <v>244.8</v>
      </c>
      <c r="AA140" s="138">
        <v>233.9</v>
      </c>
      <c r="AB140" s="138">
        <v>243</v>
      </c>
      <c r="AC140" s="138">
        <v>242.2</v>
      </c>
      <c r="AD140" s="138">
        <v>241</v>
      </c>
      <c r="AE140" s="138">
        <v>240.2</v>
      </c>
      <c r="AF140" s="138">
        <v>235.5</v>
      </c>
      <c r="AG140" s="138">
        <v>224.4</v>
      </c>
      <c r="AH140" s="138">
        <v>236.6</v>
      </c>
      <c r="AI140" s="138">
        <v>235.4</v>
      </c>
      <c r="AJ140" s="138">
        <v>240.8</v>
      </c>
      <c r="AK140" s="138">
        <v>223.5</v>
      </c>
      <c r="AL140" s="138">
        <v>238</v>
      </c>
      <c r="AM140" s="138">
        <v>235.6</v>
      </c>
      <c r="AN140" s="138">
        <v>233.8</v>
      </c>
      <c r="AO140" s="138">
        <v>233.9</v>
      </c>
      <c r="AP140" s="138">
        <v>244</v>
      </c>
      <c r="AQ140" s="138">
        <v>234.4</v>
      </c>
      <c r="AR140" s="138">
        <v>240.6</v>
      </c>
      <c r="AS140" s="138">
        <v>226</v>
      </c>
      <c r="AT140" s="138">
        <v>240.6</v>
      </c>
      <c r="AU140" s="138">
        <v>249.8</v>
      </c>
      <c r="AV140" s="138">
        <v>243.5</v>
      </c>
      <c r="AW140" s="138">
        <v>235.7</v>
      </c>
      <c r="AX140" s="138">
        <v>247</v>
      </c>
      <c r="AY140" s="138">
        <v>245.8</v>
      </c>
      <c r="AZ140" s="138">
        <v>250.2</v>
      </c>
      <c r="BA140" s="138">
        <v>238.3</v>
      </c>
      <c r="BB140" s="138">
        <v>245.7</v>
      </c>
      <c r="BC140" s="138">
        <v>242.3</v>
      </c>
      <c r="BD140" s="138">
        <v>247.8</v>
      </c>
      <c r="BE140" s="138">
        <v>242.7</v>
      </c>
      <c r="BF140" s="138">
        <v>249.6</v>
      </c>
      <c r="BG140" s="138">
        <v>259.39999999999998</v>
      </c>
      <c r="BH140" s="138">
        <v>242.2</v>
      </c>
      <c r="BI140" s="138"/>
      <c r="BJ140" s="138"/>
      <c r="BK140" s="217"/>
    </row>
    <row r="141" spans="1:79" s="2" customFormat="1">
      <c r="A141" s="11" t="s">
        <v>23</v>
      </c>
      <c r="B141" s="106">
        <f>B142/(SUM(B142,B144,B146))</f>
        <v>0.23076923076923078</v>
      </c>
      <c r="C141" s="106">
        <f t="shared" ref="C141:BB141" si="470">C142/(SUM(C142,C144,C146))</f>
        <v>0.38461538461538464</v>
      </c>
      <c r="D141" s="106">
        <f t="shared" si="470"/>
        <v>0.8</v>
      </c>
      <c r="E141" s="106">
        <f t="shared" si="470"/>
        <v>0.125</v>
      </c>
      <c r="F141" s="106">
        <f t="shared" si="470"/>
        <v>0.4375</v>
      </c>
      <c r="G141" s="106">
        <f t="shared" si="470"/>
        <v>0.53333333333333333</v>
      </c>
      <c r="H141" s="106">
        <f t="shared" si="470"/>
        <v>0.6</v>
      </c>
      <c r="I141" s="106">
        <f t="shared" si="470"/>
        <v>0.6</v>
      </c>
      <c r="J141" s="106">
        <f t="shared" si="470"/>
        <v>0.25</v>
      </c>
      <c r="K141" s="106">
        <f t="shared" si="470"/>
        <v>0.4</v>
      </c>
      <c r="L141" s="106">
        <f t="shared" si="470"/>
        <v>0.46153846153846156</v>
      </c>
      <c r="M141" s="106">
        <f t="shared" si="470"/>
        <v>0.21428571428571427</v>
      </c>
      <c r="N141" s="106">
        <f t="shared" si="470"/>
        <v>0.5</v>
      </c>
      <c r="O141" s="106">
        <f t="shared" si="470"/>
        <v>0.7142857142857143</v>
      </c>
      <c r="P141" s="106">
        <f t="shared" si="470"/>
        <v>0.14285714285714285</v>
      </c>
      <c r="Q141" s="106">
        <f t="shared" si="470"/>
        <v>0.3</v>
      </c>
      <c r="R141" s="106">
        <f t="shared" si="470"/>
        <v>0.1</v>
      </c>
      <c r="S141" s="106">
        <f t="shared" si="470"/>
        <v>0.83333333333333337</v>
      </c>
      <c r="T141" s="106">
        <f t="shared" si="470"/>
        <v>0.3</v>
      </c>
      <c r="U141" s="106">
        <f t="shared" si="470"/>
        <v>0.42857142857142855</v>
      </c>
      <c r="V141" s="106">
        <f t="shared" si="470"/>
        <v>0.2</v>
      </c>
      <c r="W141" s="106">
        <f t="shared" si="470"/>
        <v>0.44444444444444442</v>
      </c>
      <c r="X141" s="106">
        <f t="shared" si="470"/>
        <v>0.2</v>
      </c>
      <c r="Y141" s="106">
        <f t="shared" si="470"/>
        <v>0.5</v>
      </c>
      <c r="Z141" s="106">
        <f t="shared" si="470"/>
        <v>0.25</v>
      </c>
      <c r="AA141" s="106">
        <f t="shared" si="470"/>
        <v>0.5</v>
      </c>
      <c r="AB141" s="106">
        <f t="shared" si="470"/>
        <v>0.1111111111111111</v>
      </c>
      <c r="AC141" s="106">
        <f t="shared" si="470"/>
        <v>0.18181818181818182</v>
      </c>
      <c r="AD141" s="106">
        <f t="shared" si="470"/>
        <v>0.22222222222222221</v>
      </c>
      <c r="AE141" s="106">
        <f t="shared" si="470"/>
        <v>0.2</v>
      </c>
      <c r="AF141" s="106">
        <f t="shared" si="470"/>
        <v>0.45454545454545453</v>
      </c>
      <c r="AG141" s="106">
        <f t="shared" si="470"/>
        <v>0.81818181818181823</v>
      </c>
      <c r="AH141" s="106">
        <f t="shared" si="470"/>
        <v>0.45454545454545453</v>
      </c>
      <c r="AI141" s="106">
        <f t="shared" si="470"/>
        <v>0.58333333333333337</v>
      </c>
      <c r="AJ141" s="106">
        <f t="shared" si="470"/>
        <v>0.2857142857142857</v>
      </c>
      <c r="AK141" s="106">
        <f t="shared" si="470"/>
        <v>0.73333333333333328</v>
      </c>
      <c r="AL141" s="106">
        <f t="shared" si="470"/>
        <v>0.55555555555555558</v>
      </c>
      <c r="AM141" s="106">
        <f t="shared" si="470"/>
        <v>0.375</v>
      </c>
      <c r="AN141" s="106">
        <f t="shared" si="470"/>
        <v>0.55555555555555558</v>
      </c>
      <c r="AO141" s="106">
        <f t="shared" si="470"/>
        <v>0.625</v>
      </c>
      <c r="AP141" s="106">
        <f t="shared" si="470"/>
        <v>0</v>
      </c>
      <c r="AQ141" s="106">
        <f t="shared" si="470"/>
        <v>0.55555555555555558</v>
      </c>
      <c r="AR141" s="106">
        <f t="shared" si="470"/>
        <v>0.3</v>
      </c>
      <c r="AS141" s="106">
        <f t="shared" si="470"/>
        <v>0.875</v>
      </c>
      <c r="AT141" s="106">
        <f t="shared" si="470"/>
        <v>0.25</v>
      </c>
      <c r="AU141" s="106">
        <f t="shared" si="470"/>
        <v>0</v>
      </c>
      <c r="AV141" s="106">
        <f t="shared" si="470"/>
        <v>0.16666666666666666</v>
      </c>
      <c r="AW141" s="106">
        <f t="shared" si="470"/>
        <v>0.33333333333333331</v>
      </c>
      <c r="AX141" s="106">
        <f t="shared" si="470"/>
        <v>0</v>
      </c>
      <c r="AY141" s="106">
        <f t="shared" si="470"/>
        <v>0.25</v>
      </c>
      <c r="AZ141" s="106">
        <f t="shared" si="470"/>
        <v>7.6923076923076927E-2</v>
      </c>
      <c r="BA141" s="106">
        <f t="shared" si="470"/>
        <v>0.375</v>
      </c>
      <c r="BB141" s="106">
        <f t="shared" si="470"/>
        <v>0.18181818181818182</v>
      </c>
      <c r="BC141" s="106">
        <f t="shared" ref="BC141:CA141" si="471">BC142/(SUM(BC142,BC144,BC146))</f>
        <v>0.2857142857142857</v>
      </c>
      <c r="BD141" s="106">
        <f t="shared" si="471"/>
        <v>9.0909090909090912E-2</v>
      </c>
      <c r="BE141" s="106">
        <f t="shared" si="471"/>
        <v>0.16666666666666666</v>
      </c>
      <c r="BF141" s="106">
        <f t="shared" si="471"/>
        <v>0</v>
      </c>
      <c r="BG141" s="106">
        <f t="shared" si="471"/>
        <v>0</v>
      </c>
      <c r="BH141" s="106">
        <f t="shared" si="471"/>
        <v>0</v>
      </c>
      <c r="BI141" s="106" t="e">
        <f t="shared" si="471"/>
        <v>#DIV/0!</v>
      </c>
      <c r="BJ141" s="106" t="e">
        <f t="shared" si="471"/>
        <v>#DIV/0!</v>
      </c>
      <c r="BK141" s="107" t="e">
        <f t="shared" si="471"/>
        <v>#DIV/0!</v>
      </c>
      <c r="BL141" s="107" t="e">
        <f t="shared" si="471"/>
        <v>#DIV/0!</v>
      </c>
      <c r="BM141" s="107" t="e">
        <f t="shared" si="471"/>
        <v>#DIV/0!</v>
      </c>
      <c r="BN141" s="107" t="e">
        <f t="shared" si="471"/>
        <v>#DIV/0!</v>
      </c>
      <c r="BO141" s="107" t="e">
        <f t="shared" si="471"/>
        <v>#DIV/0!</v>
      </c>
      <c r="BP141" s="107" t="e">
        <f t="shared" si="471"/>
        <v>#DIV/0!</v>
      </c>
      <c r="BQ141" s="107" t="e">
        <f t="shared" si="471"/>
        <v>#DIV/0!</v>
      </c>
      <c r="BR141" s="107" t="e">
        <f t="shared" si="471"/>
        <v>#DIV/0!</v>
      </c>
      <c r="BS141" s="107" t="e">
        <f t="shared" si="471"/>
        <v>#DIV/0!</v>
      </c>
      <c r="BT141" s="107" t="e">
        <f t="shared" si="471"/>
        <v>#DIV/0!</v>
      </c>
      <c r="BU141" s="107" t="e">
        <f t="shared" si="471"/>
        <v>#DIV/0!</v>
      </c>
      <c r="BV141" s="107" t="e">
        <f t="shared" si="471"/>
        <v>#DIV/0!</v>
      </c>
      <c r="BW141" s="107" t="e">
        <f t="shared" si="471"/>
        <v>#DIV/0!</v>
      </c>
      <c r="BX141" s="107" t="e">
        <f t="shared" si="471"/>
        <v>#DIV/0!</v>
      </c>
      <c r="BY141" s="107" t="e">
        <f t="shared" si="471"/>
        <v>#DIV/0!</v>
      </c>
      <c r="BZ141" s="107" t="e">
        <f t="shared" si="471"/>
        <v>#DIV/0!</v>
      </c>
      <c r="CA141" s="107" t="e">
        <f t="shared" si="471"/>
        <v>#DIV/0!</v>
      </c>
    </row>
    <row r="142" spans="1:79" s="89" customFormat="1">
      <c r="A142" s="11" t="s">
        <v>39</v>
      </c>
      <c r="B142" s="108">
        <v>3</v>
      </c>
      <c r="C142" s="108">
        <v>5</v>
      </c>
      <c r="D142" s="108">
        <v>4</v>
      </c>
      <c r="E142" s="108">
        <v>1</v>
      </c>
      <c r="F142" s="108">
        <v>7</v>
      </c>
      <c r="G142" s="108">
        <v>8</v>
      </c>
      <c r="H142" s="108">
        <v>6</v>
      </c>
      <c r="I142" s="108">
        <v>6</v>
      </c>
      <c r="J142" s="108">
        <v>3</v>
      </c>
      <c r="K142" s="108">
        <v>2</v>
      </c>
      <c r="L142" s="108">
        <v>6</v>
      </c>
      <c r="M142" s="108">
        <v>3</v>
      </c>
      <c r="N142" s="108">
        <v>3</v>
      </c>
      <c r="O142" s="108">
        <v>10</v>
      </c>
      <c r="P142" s="108">
        <v>1</v>
      </c>
      <c r="Q142" s="108">
        <v>3</v>
      </c>
      <c r="R142" s="108">
        <v>1</v>
      </c>
      <c r="S142" s="108">
        <v>5</v>
      </c>
      <c r="T142" s="108">
        <v>3</v>
      </c>
      <c r="U142" s="108">
        <v>3</v>
      </c>
      <c r="V142" s="108">
        <v>1</v>
      </c>
      <c r="W142" s="108">
        <v>4</v>
      </c>
      <c r="X142" s="108">
        <v>2</v>
      </c>
      <c r="Y142" s="108">
        <v>8</v>
      </c>
      <c r="Z142" s="108">
        <v>2</v>
      </c>
      <c r="AA142" s="108">
        <v>6</v>
      </c>
      <c r="AB142" s="108">
        <v>1</v>
      </c>
      <c r="AC142" s="108">
        <v>2</v>
      </c>
      <c r="AD142" s="108">
        <v>2</v>
      </c>
      <c r="AE142" s="108">
        <v>2</v>
      </c>
      <c r="AF142" s="108">
        <v>5</v>
      </c>
      <c r="AG142" s="108">
        <v>9</v>
      </c>
      <c r="AH142" s="108">
        <v>5</v>
      </c>
      <c r="AI142" s="108">
        <v>7</v>
      </c>
      <c r="AJ142" s="108">
        <v>4</v>
      </c>
      <c r="AK142" s="108">
        <v>11</v>
      </c>
      <c r="AL142" s="108">
        <v>5</v>
      </c>
      <c r="AM142" s="108">
        <v>3</v>
      </c>
      <c r="AN142" s="108">
        <v>5</v>
      </c>
      <c r="AO142" s="108">
        <v>5</v>
      </c>
      <c r="AP142" s="108">
        <v>0</v>
      </c>
      <c r="AQ142" s="108">
        <v>5</v>
      </c>
      <c r="AR142" s="108">
        <v>3</v>
      </c>
      <c r="AS142" s="108">
        <v>7</v>
      </c>
      <c r="AT142" s="108">
        <v>3</v>
      </c>
      <c r="AU142" s="108">
        <v>0</v>
      </c>
      <c r="AV142" s="108">
        <v>1</v>
      </c>
      <c r="AW142" s="108">
        <v>4</v>
      </c>
      <c r="AX142" s="108">
        <v>0</v>
      </c>
      <c r="AY142" s="108">
        <v>1</v>
      </c>
      <c r="AZ142" s="108">
        <v>1</v>
      </c>
      <c r="BA142" s="108">
        <v>3</v>
      </c>
      <c r="BB142" s="108">
        <v>2</v>
      </c>
      <c r="BC142" s="108">
        <v>2</v>
      </c>
      <c r="BD142" s="108">
        <v>1</v>
      </c>
      <c r="BE142" s="108">
        <v>2</v>
      </c>
      <c r="BF142" s="108">
        <v>0</v>
      </c>
      <c r="BG142" s="108">
        <v>0</v>
      </c>
      <c r="BH142" s="108">
        <v>0</v>
      </c>
      <c r="BI142" s="108"/>
      <c r="BJ142" s="108"/>
      <c r="BK142" s="197"/>
    </row>
    <row r="143" spans="1:79">
      <c r="A143" s="11" t="s">
        <v>25</v>
      </c>
      <c r="B143" s="106">
        <f>B144/(SUM(B142,B144,B146))</f>
        <v>0.30769230769230771</v>
      </c>
      <c r="C143" s="106">
        <f t="shared" ref="C143:BB143" si="472">C144/(SUM(C142,C144,C146))</f>
        <v>0.30769230769230771</v>
      </c>
      <c r="D143" s="106">
        <f t="shared" si="472"/>
        <v>0</v>
      </c>
      <c r="E143" s="106">
        <f t="shared" si="472"/>
        <v>0.375</v>
      </c>
      <c r="F143" s="106">
        <f t="shared" si="472"/>
        <v>0.5625</v>
      </c>
      <c r="G143" s="106">
        <f t="shared" si="472"/>
        <v>0.2</v>
      </c>
      <c r="H143" s="106">
        <f t="shared" si="472"/>
        <v>0.3</v>
      </c>
      <c r="I143" s="106">
        <f t="shared" si="472"/>
        <v>0.4</v>
      </c>
      <c r="J143" s="106">
        <f t="shared" si="472"/>
        <v>0.66666666666666663</v>
      </c>
      <c r="K143" s="106">
        <f t="shared" si="472"/>
        <v>0.2</v>
      </c>
      <c r="L143" s="106">
        <f t="shared" si="472"/>
        <v>0.30769230769230771</v>
      </c>
      <c r="M143" s="106">
        <f t="shared" si="472"/>
        <v>0.5714285714285714</v>
      </c>
      <c r="N143" s="106">
        <f t="shared" si="472"/>
        <v>0.33333333333333331</v>
      </c>
      <c r="O143" s="106">
        <f t="shared" si="472"/>
        <v>0.14285714285714285</v>
      </c>
      <c r="P143" s="106">
        <f t="shared" si="472"/>
        <v>0.2857142857142857</v>
      </c>
      <c r="Q143" s="106">
        <f t="shared" si="472"/>
        <v>0.6</v>
      </c>
      <c r="R143" s="106">
        <f t="shared" si="472"/>
        <v>0.5</v>
      </c>
      <c r="S143" s="106">
        <f t="shared" si="472"/>
        <v>0.16666666666666666</v>
      </c>
      <c r="T143" s="106">
        <f t="shared" si="472"/>
        <v>0.2</v>
      </c>
      <c r="U143" s="106">
        <f t="shared" si="472"/>
        <v>0</v>
      </c>
      <c r="V143" s="106">
        <f t="shared" si="472"/>
        <v>0</v>
      </c>
      <c r="W143" s="106">
        <f t="shared" si="472"/>
        <v>0.33333333333333331</v>
      </c>
      <c r="X143" s="106">
        <f t="shared" si="472"/>
        <v>0.5</v>
      </c>
      <c r="Y143" s="106">
        <f t="shared" si="472"/>
        <v>6.25E-2</v>
      </c>
      <c r="Z143" s="106">
        <f t="shared" si="472"/>
        <v>0.25</v>
      </c>
      <c r="AA143" s="106">
        <f t="shared" si="472"/>
        <v>0.25</v>
      </c>
      <c r="AB143" s="106">
        <f t="shared" si="472"/>
        <v>0.66666666666666663</v>
      </c>
      <c r="AC143" s="106">
        <f t="shared" si="472"/>
        <v>0.63636363636363635</v>
      </c>
      <c r="AD143" s="106">
        <f t="shared" si="472"/>
        <v>0.44444444444444442</v>
      </c>
      <c r="AE143" s="106">
        <f t="shared" si="472"/>
        <v>0.4</v>
      </c>
      <c r="AF143" s="106">
        <f t="shared" si="472"/>
        <v>0.45454545454545453</v>
      </c>
      <c r="AG143" s="106">
        <f t="shared" si="472"/>
        <v>9.0909090909090912E-2</v>
      </c>
      <c r="AH143" s="106">
        <f t="shared" si="472"/>
        <v>0.36363636363636365</v>
      </c>
      <c r="AI143" s="106">
        <f t="shared" si="472"/>
        <v>0.25</v>
      </c>
      <c r="AJ143" s="106">
        <f t="shared" si="472"/>
        <v>0.42857142857142855</v>
      </c>
      <c r="AK143" s="106">
        <f t="shared" si="472"/>
        <v>0.13333333333333333</v>
      </c>
      <c r="AL143" s="106">
        <f t="shared" si="472"/>
        <v>0.33333333333333331</v>
      </c>
      <c r="AM143" s="106">
        <f t="shared" si="472"/>
        <v>0.25</v>
      </c>
      <c r="AN143" s="106">
        <f t="shared" si="472"/>
        <v>0.44444444444444442</v>
      </c>
      <c r="AO143" s="106">
        <f t="shared" si="472"/>
        <v>0.125</v>
      </c>
      <c r="AP143" s="106">
        <f t="shared" si="472"/>
        <v>0.6</v>
      </c>
      <c r="AQ143" s="106">
        <f t="shared" si="472"/>
        <v>0.1111111111111111</v>
      </c>
      <c r="AR143" s="106">
        <f t="shared" si="472"/>
        <v>0.5</v>
      </c>
      <c r="AS143" s="106">
        <f t="shared" si="472"/>
        <v>0.125</v>
      </c>
      <c r="AT143" s="106">
        <f t="shared" si="472"/>
        <v>0.58333333333333337</v>
      </c>
      <c r="AU143" s="106">
        <f t="shared" si="472"/>
        <v>0.6</v>
      </c>
      <c r="AV143" s="106">
        <f t="shared" si="472"/>
        <v>0.5</v>
      </c>
      <c r="AW143" s="106">
        <f t="shared" si="472"/>
        <v>0.5</v>
      </c>
      <c r="AX143" s="106">
        <f t="shared" si="472"/>
        <v>0.53846153846153844</v>
      </c>
      <c r="AY143" s="106">
        <f t="shared" si="472"/>
        <v>0.25</v>
      </c>
      <c r="AZ143" s="106">
        <f t="shared" si="472"/>
        <v>0.15384615384615385</v>
      </c>
      <c r="BA143" s="106">
        <f t="shared" si="472"/>
        <v>0.5</v>
      </c>
      <c r="BB143" s="106">
        <f t="shared" si="472"/>
        <v>0.36363636363636365</v>
      </c>
      <c r="BC143" s="106">
        <f t="shared" ref="BC143:CA143" si="473">BC144/(SUM(BC142,BC144,BC146))</f>
        <v>0.14285714285714285</v>
      </c>
      <c r="BD143" s="106">
        <f t="shared" si="473"/>
        <v>0.27272727272727271</v>
      </c>
      <c r="BE143" s="106">
        <f t="shared" si="473"/>
        <v>0.58333333333333337</v>
      </c>
      <c r="BF143" s="106">
        <f t="shared" si="473"/>
        <v>0.5</v>
      </c>
      <c r="BG143" s="106">
        <f t="shared" si="473"/>
        <v>0.23076923076923078</v>
      </c>
      <c r="BH143" s="106">
        <f t="shared" si="473"/>
        <v>0.88888888888888884</v>
      </c>
      <c r="BI143" s="106" t="e">
        <f t="shared" si="473"/>
        <v>#DIV/0!</v>
      </c>
      <c r="BJ143" s="106" t="e">
        <f t="shared" si="473"/>
        <v>#DIV/0!</v>
      </c>
      <c r="BK143" s="107" t="e">
        <f t="shared" si="473"/>
        <v>#DIV/0!</v>
      </c>
      <c r="BL143" s="107" t="e">
        <f t="shared" si="473"/>
        <v>#DIV/0!</v>
      </c>
      <c r="BM143" s="107" t="e">
        <f t="shared" si="473"/>
        <v>#DIV/0!</v>
      </c>
      <c r="BN143" s="107" t="e">
        <f t="shared" si="473"/>
        <v>#DIV/0!</v>
      </c>
      <c r="BO143" s="107" t="e">
        <f t="shared" si="473"/>
        <v>#DIV/0!</v>
      </c>
      <c r="BP143" s="107" t="e">
        <f t="shared" si="473"/>
        <v>#DIV/0!</v>
      </c>
      <c r="BQ143" s="107" t="e">
        <f t="shared" si="473"/>
        <v>#DIV/0!</v>
      </c>
      <c r="BR143" s="107" t="e">
        <f t="shared" si="473"/>
        <v>#DIV/0!</v>
      </c>
      <c r="BS143" s="107" t="e">
        <f t="shared" si="473"/>
        <v>#DIV/0!</v>
      </c>
      <c r="BT143" s="107" t="e">
        <f t="shared" si="473"/>
        <v>#DIV/0!</v>
      </c>
      <c r="BU143" s="107" t="e">
        <f t="shared" si="473"/>
        <v>#DIV/0!</v>
      </c>
      <c r="BV143" s="107" t="e">
        <f t="shared" si="473"/>
        <v>#DIV/0!</v>
      </c>
      <c r="BW143" s="107" t="e">
        <f t="shared" si="473"/>
        <v>#DIV/0!</v>
      </c>
      <c r="BX143" s="107" t="e">
        <f t="shared" si="473"/>
        <v>#DIV/0!</v>
      </c>
      <c r="BY143" s="107" t="e">
        <f t="shared" si="473"/>
        <v>#DIV/0!</v>
      </c>
      <c r="BZ143" s="107" t="e">
        <f t="shared" si="473"/>
        <v>#DIV/0!</v>
      </c>
      <c r="CA143" s="107" t="e">
        <f t="shared" si="473"/>
        <v>#DIV/0!</v>
      </c>
    </row>
    <row r="144" spans="1:79" s="89" customFormat="1">
      <c r="A144" s="11" t="s">
        <v>26</v>
      </c>
      <c r="B144" s="108">
        <v>4</v>
      </c>
      <c r="C144" s="108">
        <v>4</v>
      </c>
      <c r="D144" s="108">
        <v>0</v>
      </c>
      <c r="E144" s="108">
        <v>3</v>
      </c>
      <c r="F144" s="108">
        <v>9</v>
      </c>
      <c r="G144" s="108">
        <v>3</v>
      </c>
      <c r="H144" s="108">
        <v>3</v>
      </c>
      <c r="I144" s="108">
        <v>4</v>
      </c>
      <c r="J144" s="108">
        <v>8</v>
      </c>
      <c r="K144" s="108">
        <v>1</v>
      </c>
      <c r="L144" s="108">
        <v>4</v>
      </c>
      <c r="M144" s="108">
        <v>8</v>
      </c>
      <c r="N144" s="108">
        <v>2</v>
      </c>
      <c r="O144" s="108">
        <v>2</v>
      </c>
      <c r="P144" s="108">
        <v>2</v>
      </c>
      <c r="Q144" s="108">
        <v>6</v>
      </c>
      <c r="R144" s="108">
        <v>5</v>
      </c>
      <c r="S144" s="108">
        <v>1</v>
      </c>
      <c r="T144" s="108">
        <v>2</v>
      </c>
      <c r="U144" s="108">
        <v>0</v>
      </c>
      <c r="V144" s="108">
        <v>0</v>
      </c>
      <c r="W144" s="108">
        <v>3</v>
      </c>
      <c r="X144" s="108">
        <v>5</v>
      </c>
      <c r="Y144" s="108">
        <v>1</v>
      </c>
      <c r="Z144" s="108">
        <v>2</v>
      </c>
      <c r="AA144" s="108">
        <v>3</v>
      </c>
      <c r="AB144" s="108">
        <v>6</v>
      </c>
      <c r="AC144" s="108">
        <v>7</v>
      </c>
      <c r="AD144" s="108">
        <v>4</v>
      </c>
      <c r="AE144" s="108">
        <v>4</v>
      </c>
      <c r="AF144" s="108">
        <v>5</v>
      </c>
      <c r="AG144" s="108">
        <v>1</v>
      </c>
      <c r="AH144" s="108">
        <v>4</v>
      </c>
      <c r="AI144" s="108">
        <v>3</v>
      </c>
      <c r="AJ144" s="108">
        <v>6</v>
      </c>
      <c r="AK144" s="108">
        <v>2</v>
      </c>
      <c r="AL144" s="108">
        <v>3</v>
      </c>
      <c r="AM144" s="108">
        <v>2</v>
      </c>
      <c r="AN144" s="108">
        <v>4</v>
      </c>
      <c r="AO144" s="108">
        <v>1</v>
      </c>
      <c r="AP144" s="108">
        <v>3</v>
      </c>
      <c r="AQ144" s="108">
        <v>1</v>
      </c>
      <c r="AR144" s="108">
        <v>5</v>
      </c>
      <c r="AS144" s="108">
        <v>1</v>
      </c>
      <c r="AT144" s="108">
        <v>7</v>
      </c>
      <c r="AU144" s="108">
        <v>3</v>
      </c>
      <c r="AV144" s="108">
        <v>3</v>
      </c>
      <c r="AW144" s="108">
        <v>6</v>
      </c>
      <c r="AX144" s="108">
        <v>7</v>
      </c>
      <c r="AY144" s="108">
        <v>1</v>
      </c>
      <c r="AZ144" s="108">
        <v>2</v>
      </c>
      <c r="BA144" s="108">
        <v>4</v>
      </c>
      <c r="BB144" s="108">
        <v>4</v>
      </c>
      <c r="BC144" s="108">
        <v>1</v>
      </c>
      <c r="BD144" s="108">
        <v>3</v>
      </c>
      <c r="BE144" s="108">
        <v>7</v>
      </c>
      <c r="BF144" s="108">
        <v>5</v>
      </c>
      <c r="BG144" s="108">
        <v>3</v>
      </c>
      <c r="BH144" s="108">
        <v>8</v>
      </c>
      <c r="BI144" s="108"/>
      <c r="BJ144" s="108"/>
      <c r="BK144" s="197"/>
    </row>
    <row r="145" spans="1:79" s="2" customFormat="1">
      <c r="A145" s="11" t="s">
        <v>27</v>
      </c>
      <c r="B145" s="106">
        <f>B146/(SUM(B146,B144,B142))</f>
        <v>0.46153846153846156</v>
      </c>
      <c r="C145" s="106">
        <f t="shared" ref="C145:BB145" si="474">C146/(SUM(C146,C144,C142))</f>
        <v>0.30769230769230771</v>
      </c>
      <c r="D145" s="106">
        <f t="shared" si="474"/>
        <v>0.2</v>
      </c>
      <c r="E145" s="106">
        <f t="shared" si="474"/>
        <v>0.5</v>
      </c>
      <c r="F145" s="106">
        <f t="shared" si="474"/>
        <v>0</v>
      </c>
      <c r="G145" s="106">
        <f t="shared" si="474"/>
        <v>0.26666666666666666</v>
      </c>
      <c r="H145" s="106">
        <f t="shared" si="474"/>
        <v>0.1</v>
      </c>
      <c r="I145" s="106">
        <f t="shared" si="474"/>
        <v>0</v>
      </c>
      <c r="J145" s="106">
        <f t="shared" si="474"/>
        <v>8.3333333333333329E-2</v>
      </c>
      <c r="K145" s="106">
        <f t="shared" si="474"/>
        <v>0.4</v>
      </c>
      <c r="L145" s="106">
        <f t="shared" si="474"/>
        <v>0.23076923076923078</v>
      </c>
      <c r="M145" s="106">
        <f t="shared" si="474"/>
        <v>0.21428571428571427</v>
      </c>
      <c r="N145" s="106">
        <f t="shared" si="474"/>
        <v>0.16666666666666666</v>
      </c>
      <c r="O145" s="106">
        <f t="shared" si="474"/>
        <v>0.14285714285714285</v>
      </c>
      <c r="P145" s="106">
        <f t="shared" si="474"/>
        <v>0.5714285714285714</v>
      </c>
      <c r="Q145" s="106">
        <f t="shared" si="474"/>
        <v>0.1</v>
      </c>
      <c r="R145" s="106">
        <f t="shared" si="474"/>
        <v>0.4</v>
      </c>
      <c r="S145" s="106">
        <f t="shared" si="474"/>
        <v>0</v>
      </c>
      <c r="T145" s="106">
        <f t="shared" si="474"/>
        <v>0.5</v>
      </c>
      <c r="U145" s="106">
        <f t="shared" si="474"/>
        <v>0.5714285714285714</v>
      </c>
      <c r="V145" s="106">
        <f t="shared" si="474"/>
        <v>0.8</v>
      </c>
      <c r="W145" s="106">
        <f t="shared" si="474"/>
        <v>0.22222222222222221</v>
      </c>
      <c r="X145" s="106">
        <f t="shared" si="474"/>
        <v>0.3</v>
      </c>
      <c r="Y145" s="106">
        <f t="shared" si="474"/>
        <v>0.4375</v>
      </c>
      <c r="Z145" s="106">
        <f t="shared" si="474"/>
        <v>0.5</v>
      </c>
      <c r="AA145" s="106">
        <f t="shared" si="474"/>
        <v>0.25</v>
      </c>
      <c r="AB145" s="106">
        <f t="shared" si="474"/>
        <v>0.22222222222222221</v>
      </c>
      <c r="AC145" s="106">
        <f t="shared" si="474"/>
        <v>0.18181818181818182</v>
      </c>
      <c r="AD145" s="106">
        <f t="shared" si="474"/>
        <v>0.33333333333333331</v>
      </c>
      <c r="AE145" s="106">
        <f t="shared" si="474"/>
        <v>0.4</v>
      </c>
      <c r="AF145" s="106">
        <f t="shared" si="474"/>
        <v>9.0909090909090912E-2</v>
      </c>
      <c r="AG145" s="106">
        <f t="shared" si="474"/>
        <v>9.0909090909090912E-2</v>
      </c>
      <c r="AH145" s="106">
        <f t="shared" si="474"/>
        <v>0.18181818181818182</v>
      </c>
      <c r="AI145" s="106">
        <f t="shared" si="474"/>
        <v>0.16666666666666666</v>
      </c>
      <c r="AJ145" s="106">
        <f t="shared" si="474"/>
        <v>0.2857142857142857</v>
      </c>
      <c r="AK145" s="106">
        <f t="shared" si="474"/>
        <v>0.13333333333333333</v>
      </c>
      <c r="AL145" s="106">
        <f t="shared" si="474"/>
        <v>0.1111111111111111</v>
      </c>
      <c r="AM145" s="106">
        <f t="shared" si="474"/>
        <v>0.375</v>
      </c>
      <c r="AN145" s="106">
        <f t="shared" si="474"/>
        <v>0</v>
      </c>
      <c r="AO145" s="106">
        <f t="shared" si="474"/>
        <v>0.25</v>
      </c>
      <c r="AP145" s="106">
        <f t="shared" si="474"/>
        <v>0.4</v>
      </c>
      <c r="AQ145" s="106">
        <f t="shared" si="474"/>
        <v>0.33333333333333331</v>
      </c>
      <c r="AR145" s="106">
        <f t="shared" si="474"/>
        <v>0.2</v>
      </c>
      <c r="AS145" s="106">
        <f t="shared" si="474"/>
        <v>0</v>
      </c>
      <c r="AT145" s="106">
        <f t="shared" si="474"/>
        <v>0.16666666666666666</v>
      </c>
      <c r="AU145" s="106">
        <f t="shared" si="474"/>
        <v>0.4</v>
      </c>
      <c r="AV145" s="106">
        <f t="shared" si="474"/>
        <v>0.33333333333333331</v>
      </c>
      <c r="AW145" s="106">
        <f t="shared" si="474"/>
        <v>0.16666666666666666</v>
      </c>
      <c r="AX145" s="106">
        <f t="shared" si="474"/>
        <v>0.46153846153846156</v>
      </c>
      <c r="AY145" s="106">
        <f t="shared" si="474"/>
        <v>0.5</v>
      </c>
      <c r="AZ145" s="106">
        <f t="shared" si="474"/>
        <v>0.76923076923076927</v>
      </c>
      <c r="BA145" s="106">
        <f t="shared" si="474"/>
        <v>0.125</v>
      </c>
      <c r="BB145" s="106">
        <f t="shared" si="474"/>
        <v>0.45454545454545453</v>
      </c>
      <c r="BC145" s="106">
        <f t="shared" ref="BC145:CA145" si="475">BC146/(SUM(BC146,BC144,BC142))</f>
        <v>0.5714285714285714</v>
      </c>
      <c r="BD145" s="106">
        <f t="shared" si="475"/>
        <v>0.63636363636363635</v>
      </c>
      <c r="BE145" s="106">
        <f t="shared" si="475"/>
        <v>0.25</v>
      </c>
      <c r="BF145" s="106">
        <f t="shared" si="475"/>
        <v>0.5</v>
      </c>
      <c r="BG145" s="106">
        <f t="shared" si="475"/>
        <v>0.76923076923076927</v>
      </c>
      <c r="BH145" s="106">
        <f t="shared" si="475"/>
        <v>0.1111111111111111</v>
      </c>
      <c r="BI145" s="106" t="e">
        <f t="shared" si="475"/>
        <v>#DIV/0!</v>
      </c>
      <c r="BJ145" s="106" t="e">
        <f t="shared" si="475"/>
        <v>#DIV/0!</v>
      </c>
      <c r="BK145" s="107" t="e">
        <f t="shared" si="475"/>
        <v>#DIV/0!</v>
      </c>
      <c r="BL145" s="107" t="e">
        <f t="shared" si="475"/>
        <v>#DIV/0!</v>
      </c>
      <c r="BM145" s="107" t="e">
        <f t="shared" si="475"/>
        <v>#DIV/0!</v>
      </c>
      <c r="BN145" s="107" t="e">
        <f t="shared" si="475"/>
        <v>#DIV/0!</v>
      </c>
      <c r="BO145" s="107" t="e">
        <f t="shared" si="475"/>
        <v>#DIV/0!</v>
      </c>
      <c r="BP145" s="107" t="e">
        <f t="shared" si="475"/>
        <v>#DIV/0!</v>
      </c>
      <c r="BQ145" s="107" t="e">
        <f t="shared" si="475"/>
        <v>#DIV/0!</v>
      </c>
      <c r="BR145" s="107" t="e">
        <f t="shared" si="475"/>
        <v>#DIV/0!</v>
      </c>
      <c r="BS145" s="107" t="e">
        <f t="shared" si="475"/>
        <v>#DIV/0!</v>
      </c>
      <c r="BT145" s="107" t="e">
        <f t="shared" si="475"/>
        <v>#DIV/0!</v>
      </c>
      <c r="BU145" s="107" t="e">
        <f t="shared" si="475"/>
        <v>#DIV/0!</v>
      </c>
      <c r="BV145" s="107" t="e">
        <f t="shared" si="475"/>
        <v>#DIV/0!</v>
      </c>
      <c r="BW145" s="107" t="e">
        <f t="shared" si="475"/>
        <v>#DIV/0!</v>
      </c>
      <c r="BX145" s="107" t="e">
        <f t="shared" si="475"/>
        <v>#DIV/0!</v>
      </c>
      <c r="BY145" s="107" t="e">
        <f t="shared" si="475"/>
        <v>#DIV/0!</v>
      </c>
      <c r="BZ145" s="107" t="e">
        <f t="shared" si="475"/>
        <v>#DIV/0!</v>
      </c>
      <c r="CA145" s="107" t="e">
        <f t="shared" si="475"/>
        <v>#DIV/0!</v>
      </c>
    </row>
    <row r="146" spans="1:79" s="90" customFormat="1" ht="19.5" thickBot="1">
      <c r="A146" s="11" t="s">
        <v>28</v>
      </c>
      <c r="B146" s="108">
        <v>6</v>
      </c>
      <c r="C146" s="108">
        <v>4</v>
      </c>
      <c r="D146" s="108">
        <v>1</v>
      </c>
      <c r="E146" s="108">
        <v>4</v>
      </c>
      <c r="F146" s="108">
        <v>0</v>
      </c>
      <c r="G146" s="108">
        <v>4</v>
      </c>
      <c r="H146" s="108">
        <v>1</v>
      </c>
      <c r="I146" s="108">
        <v>0</v>
      </c>
      <c r="J146" s="108">
        <v>1</v>
      </c>
      <c r="K146" s="108">
        <v>2</v>
      </c>
      <c r="L146" s="108">
        <v>3</v>
      </c>
      <c r="M146" s="108">
        <v>3</v>
      </c>
      <c r="N146" s="108">
        <v>1</v>
      </c>
      <c r="O146" s="108">
        <v>2</v>
      </c>
      <c r="P146" s="108">
        <v>4</v>
      </c>
      <c r="Q146" s="108">
        <v>1</v>
      </c>
      <c r="R146" s="108">
        <v>4</v>
      </c>
      <c r="S146" s="108">
        <v>0</v>
      </c>
      <c r="T146" s="108">
        <v>5</v>
      </c>
      <c r="U146" s="108">
        <v>4</v>
      </c>
      <c r="V146" s="108">
        <v>4</v>
      </c>
      <c r="W146" s="108">
        <v>2</v>
      </c>
      <c r="X146" s="108">
        <v>3</v>
      </c>
      <c r="Y146" s="108">
        <v>7</v>
      </c>
      <c r="Z146" s="108">
        <v>4</v>
      </c>
      <c r="AA146" s="108">
        <v>3</v>
      </c>
      <c r="AB146" s="108">
        <v>2</v>
      </c>
      <c r="AC146" s="108">
        <v>2</v>
      </c>
      <c r="AD146" s="108">
        <v>3</v>
      </c>
      <c r="AE146" s="108">
        <v>4</v>
      </c>
      <c r="AF146" s="108">
        <v>1</v>
      </c>
      <c r="AG146" s="108">
        <v>1</v>
      </c>
      <c r="AH146" s="108">
        <v>2</v>
      </c>
      <c r="AI146" s="108">
        <v>2</v>
      </c>
      <c r="AJ146" s="108">
        <v>4</v>
      </c>
      <c r="AK146" s="108">
        <v>2</v>
      </c>
      <c r="AL146" s="108">
        <v>1</v>
      </c>
      <c r="AM146" s="108">
        <v>3</v>
      </c>
      <c r="AN146" s="108">
        <v>0</v>
      </c>
      <c r="AO146" s="108">
        <v>2</v>
      </c>
      <c r="AP146" s="108">
        <v>2</v>
      </c>
      <c r="AQ146" s="108">
        <v>3</v>
      </c>
      <c r="AR146" s="108">
        <v>2</v>
      </c>
      <c r="AS146" s="108">
        <v>0</v>
      </c>
      <c r="AT146" s="108">
        <v>2</v>
      </c>
      <c r="AU146" s="108">
        <v>2</v>
      </c>
      <c r="AV146" s="108">
        <v>2</v>
      </c>
      <c r="AW146" s="108">
        <v>2</v>
      </c>
      <c r="AX146" s="108">
        <v>6</v>
      </c>
      <c r="AY146" s="108">
        <v>2</v>
      </c>
      <c r="AZ146" s="108">
        <v>10</v>
      </c>
      <c r="BA146" s="108">
        <v>1</v>
      </c>
      <c r="BB146" s="108">
        <v>5</v>
      </c>
      <c r="BC146" s="108">
        <v>4</v>
      </c>
      <c r="BD146" s="108">
        <v>7</v>
      </c>
      <c r="BE146" s="108">
        <v>3</v>
      </c>
      <c r="BF146" s="108">
        <v>5</v>
      </c>
      <c r="BG146" s="108">
        <v>10</v>
      </c>
      <c r="BH146" s="108">
        <v>1</v>
      </c>
      <c r="BI146" s="108"/>
      <c r="BJ146" s="108"/>
      <c r="BK146" s="197"/>
    </row>
    <row r="147" spans="1:79" s="85" customFormat="1">
      <c r="A147" s="15" t="s">
        <v>85</v>
      </c>
      <c r="B147" s="108">
        <v>77.5</v>
      </c>
      <c r="C147" s="108">
        <v>72.8</v>
      </c>
      <c r="D147" s="108">
        <v>73.400000000000006</v>
      </c>
      <c r="E147" s="108">
        <v>79.5</v>
      </c>
      <c r="F147" s="138">
        <v>72.2</v>
      </c>
      <c r="G147" s="138">
        <v>73.7</v>
      </c>
      <c r="H147" s="138">
        <v>73</v>
      </c>
      <c r="I147" s="138">
        <v>76.599999999999994</v>
      </c>
      <c r="J147" s="138">
        <v>78.400000000000006</v>
      </c>
      <c r="K147" s="138">
        <v>80</v>
      </c>
      <c r="L147" s="138">
        <v>77.900000000000006</v>
      </c>
      <c r="M147" s="138">
        <v>78.7</v>
      </c>
      <c r="N147" s="138">
        <v>73.2</v>
      </c>
      <c r="O147" s="138">
        <v>74</v>
      </c>
      <c r="P147" s="138">
        <v>81.599999999999994</v>
      </c>
      <c r="Q147" s="138">
        <v>77.900000000000006</v>
      </c>
      <c r="R147" s="138">
        <v>79.8</v>
      </c>
      <c r="S147" s="138">
        <v>75</v>
      </c>
      <c r="T147" s="138">
        <v>80.099999999999994</v>
      </c>
      <c r="U147" s="138">
        <v>71.900000000000006</v>
      </c>
      <c r="V147" s="138">
        <v>86.8</v>
      </c>
      <c r="W147" s="138">
        <v>76.900000000000006</v>
      </c>
      <c r="X147" s="138">
        <v>81.5</v>
      </c>
      <c r="Y147" s="138">
        <v>83.7</v>
      </c>
      <c r="Z147" s="138">
        <v>81.099999999999994</v>
      </c>
      <c r="AA147" s="138">
        <v>79.3</v>
      </c>
      <c r="AB147" s="138">
        <v>80.7</v>
      </c>
      <c r="AC147" s="138">
        <v>67.400000000000006</v>
      </c>
      <c r="AD147" s="138">
        <v>73.2</v>
      </c>
      <c r="AE147" s="138">
        <v>78.599999999999994</v>
      </c>
      <c r="AF147" s="138">
        <v>73</v>
      </c>
      <c r="AG147" s="138">
        <v>67.3</v>
      </c>
      <c r="AH147" s="138">
        <v>72.8</v>
      </c>
      <c r="AI147" s="138">
        <v>71.400000000000006</v>
      </c>
      <c r="AJ147" s="138">
        <v>76.2</v>
      </c>
      <c r="AK147" s="138">
        <v>60.9</v>
      </c>
      <c r="AL147" s="138">
        <v>75.2</v>
      </c>
      <c r="AM147" s="138">
        <v>69.5</v>
      </c>
      <c r="AN147" s="138">
        <v>76</v>
      </c>
      <c r="AO147" s="138">
        <v>77.5</v>
      </c>
      <c r="AP147" s="138">
        <v>83.6</v>
      </c>
      <c r="AQ147" s="138">
        <v>75.2</v>
      </c>
      <c r="AR147" s="138">
        <v>82.1</v>
      </c>
      <c r="AS147" s="138">
        <v>69.5</v>
      </c>
      <c r="AT147" s="138">
        <v>83.2</v>
      </c>
      <c r="AU147" s="138">
        <v>83</v>
      </c>
      <c r="AV147" s="138">
        <v>88.7</v>
      </c>
      <c r="AW147" s="138">
        <v>81</v>
      </c>
      <c r="AX147" s="138">
        <v>88.5</v>
      </c>
      <c r="AY147" s="138">
        <v>85.8</v>
      </c>
      <c r="AZ147" s="138">
        <v>88.9</v>
      </c>
      <c r="BA147" s="138">
        <v>82.8</v>
      </c>
      <c r="BB147" s="138">
        <v>85.3</v>
      </c>
      <c r="BC147" s="138">
        <v>77.599999999999994</v>
      </c>
      <c r="BD147" s="138">
        <v>74.599999999999994</v>
      </c>
      <c r="BE147" s="138">
        <v>69.599999999999994</v>
      </c>
      <c r="BF147" s="138">
        <v>75.400000000000006</v>
      </c>
      <c r="BG147" s="138">
        <v>76.400000000000006</v>
      </c>
      <c r="BH147" s="138">
        <v>73.8</v>
      </c>
      <c r="BI147" s="138"/>
      <c r="BJ147" s="138"/>
      <c r="BK147" s="217"/>
    </row>
    <row r="148" spans="1:79" s="2" customFormat="1">
      <c r="A148" s="11" t="s">
        <v>23</v>
      </c>
      <c r="B148" s="106">
        <f>B149/(SUM(B149,B151,B153))</f>
        <v>0.26666666666666666</v>
      </c>
      <c r="C148" s="106">
        <f t="shared" ref="C148:BN148" si="476">C149/(SUM(C149,C151,C153))</f>
        <v>0.41666666666666669</v>
      </c>
      <c r="D148" s="106">
        <f t="shared" si="476"/>
        <v>0.6</v>
      </c>
      <c r="E148" s="106">
        <f t="shared" si="476"/>
        <v>0.25</v>
      </c>
      <c r="F148" s="106">
        <f t="shared" si="476"/>
        <v>0.26666666666666666</v>
      </c>
      <c r="G148" s="106">
        <f t="shared" si="476"/>
        <v>0.4</v>
      </c>
      <c r="H148" s="106">
        <f t="shared" si="476"/>
        <v>0.5</v>
      </c>
      <c r="I148" s="106">
        <f t="shared" si="476"/>
        <v>0.3</v>
      </c>
      <c r="J148" s="106">
        <f t="shared" si="476"/>
        <v>0.25</v>
      </c>
      <c r="K148" s="106">
        <f t="shared" si="476"/>
        <v>0.4</v>
      </c>
      <c r="L148" s="106">
        <f t="shared" si="476"/>
        <v>0.15384615384615385</v>
      </c>
      <c r="M148" s="106">
        <f t="shared" si="476"/>
        <v>0.2857142857142857</v>
      </c>
      <c r="N148" s="106">
        <f t="shared" si="476"/>
        <v>0.5</v>
      </c>
      <c r="O148" s="106">
        <f t="shared" si="476"/>
        <v>0.5714285714285714</v>
      </c>
      <c r="P148" s="106">
        <f t="shared" si="476"/>
        <v>0.14285714285714285</v>
      </c>
      <c r="Q148" s="106">
        <f t="shared" si="476"/>
        <v>0.4</v>
      </c>
      <c r="R148" s="106">
        <f t="shared" si="476"/>
        <v>0.1</v>
      </c>
      <c r="S148" s="106">
        <f t="shared" si="476"/>
        <v>0.33333333333333331</v>
      </c>
      <c r="T148" s="106">
        <f t="shared" si="476"/>
        <v>0.2</v>
      </c>
      <c r="U148" s="106">
        <f t="shared" si="476"/>
        <v>0.42857142857142855</v>
      </c>
      <c r="V148" s="106">
        <f t="shared" si="476"/>
        <v>0.2</v>
      </c>
      <c r="W148" s="106">
        <f t="shared" si="476"/>
        <v>0.44444444444444442</v>
      </c>
      <c r="X148" s="106">
        <f t="shared" si="476"/>
        <v>0.1</v>
      </c>
      <c r="Y148" s="106">
        <f t="shared" si="476"/>
        <v>0.125</v>
      </c>
      <c r="Z148" s="106">
        <f t="shared" si="476"/>
        <v>0.25</v>
      </c>
      <c r="AA148" s="106">
        <f t="shared" si="476"/>
        <v>0.58333333333333337</v>
      </c>
      <c r="AB148" s="106">
        <f t="shared" si="476"/>
        <v>0.1111111111111111</v>
      </c>
      <c r="AC148" s="106">
        <f t="shared" si="476"/>
        <v>0.63636363636363635</v>
      </c>
      <c r="AD148" s="106">
        <f t="shared" si="476"/>
        <v>0.66666666666666663</v>
      </c>
      <c r="AE148" s="106">
        <f t="shared" si="476"/>
        <v>0.2</v>
      </c>
      <c r="AF148" s="106">
        <f t="shared" si="476"/>
        <v>0.27272727272727271</v>
      </c>
      <c r="AG148" s="106">
        <f t="shared" si="476"/>
        <v>0.81818181818181823</v>
      </c>
      <c r="AH148" s="106">
        <f t="shared" si="476"/>
        <v>0.4</v>
      </c>
      <c r="AI148" s="106">
        <f t="shared" si="476"/>
        <v>0.66666666666666663</v>
      </c>
      <c r="AJ148" s="106">
        <f t="shared" si="476"/>
        <v>0.35714285714285715</v>
      </c>
      <c r="AK148" s="106">
        <f t="shared" si="476"/>
        <v>0.8</v>
      </c>
      <c r="AL148" s="106">
        <f t="shared" si="476"/>
        <v>0.22222222222222221</v>
      </c>
      <c r="AM148" s="106">
        <f t="shared" si="476"/>
        <v>0.625</v>
      </c>
      <c r="AN148" s="106">
        <f t="shared" si="476"/>
        <v>0.44444444444444442</v>
      </c>
      <c r="AO148" s="106">
        <f t="shared" si="476"/>
        <v>0.125</v>
      </c>
      <c r="AP148" s="106">
        <f t="shared" si="476"/>
        <v>0</v>
      </c>
      <c r="AQ148" s="106">
        <f t="shared" si="476"/>
        <v>0.44444444444444442</v>
      </c>
      <c r="AR148" s="106">
        <f t="shared" si="476"/>
        <v>0.2</v>
      </c>
      <c r="AS148" s="106">
        <f t="shared" si="476"/>
        <v>0.625</v>
      </c>
      <c r="AT148" s="106">
        <f t="shared" si="476"/>
        <v>8.3333333333333329E-2</v>
      </c>
      <c r="AU148" s="106">
        <f t="shared" si="476"/>
        <v>0</v>
      </c>
      <c r="AV148" s="106">
        <f t="shared" si="476"/>
        <v>0</v>
      </c>
      <c r="AW148" s="106">
        <f t="shared" si="476"/>
        <v>0.16666666666666666</v>
      </c>
      <c r="AX148" s="106">
        <f t="shared" si="476"/>
        <v>0</v>
      </c>
      <c r="AY148" s="106">
        <f t="shared" si="476"/>
        <v>0</v>
      </c>
      <c r="AZ148" s="106">
        <f t="shared" si="476"/>
        <v>7.6923076923076927E-2</v>
      </c>
      <c r="BA148" s="106">
        <f t="shared" si="476"/>
        <v>0</v>
      </c>
      <c r="BB148" s="106">
        <f t="shared" si="476"/>
        <v>9.0909090909090912E-2</v>
      </c>
      <c r="BC148" s="106">
        <f t="shared" si="476"/>
        <v>0.2857142857142857</v>
      </c>
      <c r="BD148" s="106">
        <f t="shared" si="476"/>
        <v>0.27272727272727271</v>
      </c>
      <c r="BE148" s="106">
        <f t="shared" si="476"/>
        <v>0.69230769230769229</v>
      </c>
      <c r="BF148" s="106">
        <f t="shared" si="476"/>
        <v>0</v>
      </c>
      <c r="BG148" s="106">
        <f t="shared" si="476"/>
        <v>0.46153846153846156</v>
      </c>
      <c r="BH148" s="106">
        <f t="shared" si="476"/>
        <v>0.44444444444444442</v>
      </c>
      <c r="BI148" s="106" t="e">
        <f t="shared" si="476"/>
        <v>#DIV/0!</v>
      </c>
      <c r="BJ148" s="106" t="e">
        <f t="shared" si="476"/>
        <v>#DIV/0!</v>
      </c>
      <c r="BK148" s="107" t="e">
        <f t="shared" si="476"/>
        <v>#DIV/0!</v>
      </c>
      <c r="BL148" s="107" t="e">
        <f t="shared" si="476"/>
        <v>#DIV/0!</v>
      </c>
      <c r="BM148" s="107" t="e">
        <f t="shared" si="476"/>
        <v>#DIV/0!</v>
      </c>
      <c r="BN148" s="107" t="e">
        <f t="shared" si="476"/>
        <v>#DIV/0!</v>
      </c>
      <c r="BO148" s="107" t="e">
        <f t="shared" ref="BO148:CA148" si="477">BO149/(SUM(BO149,BO151,BO153))</f>
        <v>#DIV/0!</v>
      </c>
      <c r="BP148" s="107" t="e">
        <f t="shared" si="477"/>
        <v>#DIV/0!</v>
      </c>
      <c r="BQ148" s="107" t="e">
        <f t="shared" si="477"/>
        <v>#DIV/0!</v>
      </c>
      <c r="BR148" s="107" t="e">
        <f t="shared" si="477"/>
        <v>#DIV/0!</v>
      </c>
      <c r="BS148" s="107" t="e">
        <f t="shared" si="477"/>
        <v>#DIV/0!</v>
      </c>
      <c r="BT148" s="107" t="e">
        <f t="shared" si="477"/>
        <v>#DIV/0!</v>
      </c>
      <c r="BU148" s="107" t="e">
        <f t="shared" si="477"/>
        <v>#DIV/0!</v>
      </c>
      <c r="BV148" s="107" t="e">
        <f t="shared" si="477"/>
        <v>#DIV/0!</v>
      </c>
      <c r="BW148" s="107" t="e">
        <f t="shared" si="477"/>
        <v>#DIV/0!</v>
      </c>
      <c r="BX148" s="107" t="e">
        <f t="shared" si="477"/>
        <v>#DIV/0!</v>
      </c>
      <c r="BY148" s="107" t="e">
        <f t="shared" si="477"/>
        <v>#DIV/0!</v>
      </c>
      <c r="BZ148" s="107" t="e">
        <f t="shared" si="477"/>
        <v>#DIV/0!</v>
      </c>
      <c r="CA148" s="107" t="e">
        <f t="shared" si="477"/>
        <v>#DIV/0!</v>
      </c>
    </row>
    <row r="149" spans="1:79" s="89" customFormat="1">
      <c r="A149" s="11" t="s">
        <v>39</v>
      </c>
      <c r="B149" s="108">
        <v>4</v>
      </c>
      <c r="C149" s="108">
        <v>5</v>
      </c>
      <c r="D149" s="108">
        <v>3</v>
      </c>
      <c r="E149" s="108">
        <v>2</v>
      </c>
      <c r="F149" s="108">
        <v>4</v>
      </c>
      <c r="G149" s="108">
        <v>6</v>
      </c>
      <c r="H149" s="108">
        <v>5</v>
      </c>
      <c r="I149" s="108">
        <v>3</v>
      </c>
      <c r="J149" s="108">
        <v>3</v>
      </c>
      <c r="K149" s="108">
        <v>2</v>
      </c>
      <c r="L149" s="108">
        <v>2</v>
      </c>
      <c r="M149" s="108">
        <v>4</v>
      </c>
      <c r="N149" s="108">
        <v>3</v>
      </c>
      <c r="O149" s="108">
        <v>8</v>
      </c>
      <c r="P149" s="108">
        <v>1</v>
      </c>
      <c r="Q149" s="108">
        <v>4</v>
      </c>
      <c r="R149" s="108">
        <v>1</v>
      </c>
      <c r="S149" s="108">
        <v>2</v>
      </c>
      <c r="T149" s="108">
        <v>2</v>
      </c>
      <c r="U149" s="108">
        <v>3</v>
      </c>
      <c r="V149" s="108">
        <v>1</v>
      </c>
      <c r="W149" s="108">
        <v>4</v>
      </c>
      <c r="X149" s="108">
        <v>1</v>
      </c>
      <c r="Y149" s="108">
        <v>2</v>
      </c>
      <c r="Z149" s="108">
        <v>2</v>
      </c>
      <c r="AA149" s="108">
        <v>7</v>
      </c>
      <c r="AB149" s="108">
        <v>1</v>
      </c>
      <c r="AC149" s="108">
        <v>7</v>
      </c>
      <c r="AD149" s="108">
        <v>6</v>
      </c>
      <c r="AE149" s="108">
        <v>2</v>
      </c>
      <c r="AF149" s="108">
        <v>3</v>
      </c>
      <c r="AG149" s="108">
        <v>9</v>
      </c>
      <c r="AH149" s="108">
        <v>4</v>
      </c>
      <c r="AI149" s="108">
        <v>8</v>
      </c>
      <c r="AJ149" s="108">
        <v>5</v>
      </c>
      <c r="AK149" s="108">
        <v>12</v>
      </c>
      <c r="AL149" s="108">
        <v>2</v>
      </c>
      <c r="AM149" s="108">
        <v>5</v>
      </c>
      <c r="AN149" s="108">
        <v>4</v>
      </c>
      <c r="AO149" s="108">
        <v>1</v>
      </c>
      <c r="AP149" s="108">
        <v>0</v>
      </c>
      <c r="AQ149" s="108">
        <v>4</v>
      </c>
      <c r="AR149" s="108">
        <v>2</v>
      </c>
      <c r="AS149" s="108">
        <v>5</v>
      </c>
      <c r="AT149" s="108">
        <v>1</v>
      </c>
      <c r="AU149" s="108">
        <v>0</v>
      </c>
      <c r="AV149" s="108">
        <v>0</v>
      </c>
      <c r="AW149" s="108">
        <v>2</v>
      </c>
      <c r="AX149" s="108">
        <v>0</v>
      </c>
      <c r="AY149" s="108">
        <v>0</v>
      </c>
      <c r="AZ149" s="108">
        <v>1</v>
      </c>
      <c r="BA149" s="108">
        <v>0</v>
      </c>
      <c r="BB149" s="108">
        <v>1</v>
      </c>
      <c r="BC149" s="108">
        <v>2</v>
      </c>
      <c r="BD149" s="108">
        <v>3</v>
      </c>
      <c r="BE149" s="108">
        <v>9</v>
      </c>
      <c r="BF149" s="108">
        <v>0</v>
      </c>
      <c r="BG149" s="108">
        <v>6</v>
      </c>
      <c r="BH149" s="108">
        <v>4</v>
      </c>
      <c r="BI149" s="108"/>
      <c r="BJ149" s="108"/>
      <c r="BK149" s="197"/>
    </row>
    <row r="150" spans="1:79">
      <c r="A150" s="11" t="s">
        <v>25</v>
      </c>
      <c r="B150" s="106">
        <f>B151/(SUM(B149,B151,B153))</f>
        <v>0.33333333333333331</v>
      </c>
      <c r="C150" s="106">
        <f t="shared" ref="C150:BN150" si="478">C151/(SUM(C149,C151,C153))</f>
        <v>0.25</v>
      </c>
      <c r="D150" s="106">
        <f t="shared" si="478"/>
        <v>0.2</v>
      </c>
      <c r="E150" s="106">
        <f t="shared" si="478"/>
        <v>0.25</v>
      </c>
      <c r="F150" s="106">
        <f t="shared" si="478"/>
        <v>0.26666666666666666</v>
      </c>
      <c r="G150" s="106">
        <f t="shared" si="478"/>
        <v>0.33333333333333331</v>
      </c>
      <c r="H150" s="106">
        <f t="shared" si="478"/>
        <v>0.3</v>
      </c>
      <c r="I150" s="106">
        <f t="shared" si="478"/>
        <v>0.4</v>
      </c>
      <c r="J150" s="106">
        <f t="shared" si="478"/>
        <v>0.33333333333333331</v>
      </c>
      <c r="K150" s="106">
        <f t="shared" si="478"/>
        <v>0</v>
      </c>
      <c r="L150" s="106">
        <f t="shared" si="478"/>
        <v>0.53846153846153844</v>
      </c>
      <c r="M150" s="106">
        <f t="shared" si="478"/>
        <v>0.2857142857142857</v>
      </c>
      <c r="N150" s="106">
        <f t="shared" si="478"/>
        <v>0.5</v>
      </c>
      <c r="O150" s="106">
        <f t="shared" si="478"/>
        <v>0.21428571428571427</v>
      </c>
      <c r="P150" s="106">
        <f t="shared" si="478"/>
        <v>0.14285714285714285</v>
      </c>
      <c r="Q150" s="106">
        <f t="shared" si="478"/>
        <v>0.2</v>
      </c>
      <c r="R150" s="106">
        <f t="shared" si="478"/>
        <v>0.5</v>
      </c>
      <c r="S150" s="106">
        <f t="shared" si="478"/>
        <v>0.66666666666666663</v>
      </c>
      <c r="T150" s="106">
        <f t="shared" si="478"/>
        <v>0.3</v>
      </c>
      <c r="U150" s="106">
        <f t="shared" si="478"/>
        <v>0.42857142857142855</v>
      </c>
      <c r="V150" s="106">
        <f t="shared" si="478"/>
        <v>0</v>
      </c>
      <c r="W150" s="106">
        <f t="shared" si="478"/>
        <v>0.22222222222222221</v>
      </c>
      <c r="X150" s="106">
        <f t="shared" si="478"/>
        <v>0.4</v>
      </c>
      <c r="Y150" s="106">
        <f t="shared" si="478"/>
        <v>0.375</v>
      </c>
      <c r="Z150" s="106">
        <f t="shared" si="478"/>
        <v>0.25</v>
      </c>
      <c r="AA150" s="106">
        <f t="shared" si="478"/>
        <v>0.16666666666666666</v>
      </c>
      <c r="AB150" s="106">
        <f t="shared" si="478"/>
        <v>0.55555555555555558</v>
      </c>
      <c r="AC150" s="106">
        <f t="shared" si="478"/>
        <v>0.18181818181818182</v>
      </c>
      <c r="AD150" s="106">
        <f t="shared" si="478"/>
        <v>0.1111111111111111</v>
      </c>
      <c r="AE150" s="106">
        <f t="shared" si="478"/>
        <v>0.3</v>
      </c>
      <c r="AF150" s="106">
        <f t="shared" si="478"/>
        <v>0.72727272727272729</v>
      </c>
      <c r="AG150" s="106">
        <f t="shared" si="478"/>
        <v>0</v>
      </c>
      <c r="AH150" s="106">
        <f t="shared" si="478"/>
        <v>0.4</v>
      </c>
      <c r="AI150" s="106">
        <f t="shared" si="478"/>
        <v>8.3333333333333329E-2</v>
      </c>
      <c r="AJ150" s="106">
        <f t="shared" si="478"/>
        <v>0.2857142857142857</v>
      </c>
      <c r="AK150" s="106">
        <f t="shared" si="478"/>
        <v>0.2</v>
      </c>
      <c r="AL150" s="106">
        <f t="shared" si="478"/>
        <v>0.55555555555555558</v>
      </c>
      <c r="AM150" s="106">
        <f t="shared" si="478"/>
        <v>0.375</v>
      </c>
      <c r="AN150" s="106">
        <f t="shared" si="478"/>
        <v>0.44444444444444442</v>
      </c>
      <c r="AO150" s="106">
        <f t="shared" si="478"/>
        <v>0.625</v>
      </c>
      <c r="AP150" s="106">
        <f t="shared" si="478"/>
        <v>0.4</v>
      </c>
      <c r="AQ150" s="106">
        <f t="shared" si="478"/>
        <v>0.33333333333333331</v>
      </c>
      <c r="AR150" s="106">
        <f t="shared" si="478"/>
        <v>0.4</v>
      </c>
      <c r="AS150" s="106">
        <f t="shared" si="478"/>
        <v>0.25</v>
      </c>
      <c r="AT150" s="106">
        <f t="shared" si="478"/>
        <v>0.33333333333333331</v>
      </c>
      <c r="AU150" s="106">
        <f t="shared" si="478"/>
        <v>0.6</v>
      </c>
      <c r="AV150" s="106">
        <f t="shared" si="478"/>
        <v>0.16666666666666666</v>
      </c>
      <c r="AW150" s="106">
        <f t="shared" si="478"/>
        <v>0.25</v>
      </c>
      <c r="AX150" s="106">
        <f t="shared" si="478"/>
        <v>0</v>
      </c>
      <c r="AY150" s="106">
        <f t="shared" si="478"/>
        <v>0</v>
      </c>
      <c r="AZ150" s="106">
        <f t="shared" si="478"/>
        <v>7.6923076923076927E-2</v>
      </c>
      <c r="BA150" s="106">
        <f t="shared" si="478"/>
        <v>0.375</v>
      </c>
      <c r="BB150" s="106">
        <f t="shared" si="478"/>
        <v>0.27272727272727271</v>
      </c>
      <c r="BC150" s="106">
        <f t="shared" si="478"/>
        <v>0.2857142857142857</v>
      </c>
      <c r="BD150" s="106">
        <f t="shared" si="478"/>
        <v>0.45454545454545453</v>
      </c>
      <c r="BE150" s="106">
        <f t="shared" si="478"/>
        <v>0.23076923076923078</v>
      </c>
      <c r="BF150" s="106">
        <f t="shared" si="478"/>
        <v>0.8571428571428571</v>
      </c>
      <c r="BG150" s="106">
        <f t="shared" si="478"/>
        <v>0.30769230769230771</v>
      </c>
      <c r="BH150" s="106">
        <f t="shared" si="478"/>
        <v>0.44444444444444442</v>
      </c>
      <c r="BI150" s="106" t="e">
        <f t="shared" si="478"/>
        <v>#DIV/0!</v>
      </c>
      <c r="BJ150" s="106" t="e">
        <f t="shared" si="478"/>
        <v>#DIV/0!</v>
      </c>
      <c r="BK150" s="107" t="e">
        <f t="shared" si="478"/>
        <v>#DIV/0!</v>
      </c>
      <c r="BL150" s="107" t="e">
        <f t="shared" si="478"/>
        <v>#DIV/0!</v>
      </c>
      <c r="BM150" s="107" t="e">
        <f t="shared" si="478"/>
        <v>#DIV/0!</v>
      </c>
      <c r="BN150" s="107" t="e">
        <f t="shared" si="478"/>
        <v>#DIV/0!</v>
      </c>
      <c r="BO150" s="107" t="e">
        <f t="shared" ref="BO150:CA150" si="479">BO151/(SUM(BO149,BO151,BO153))</f>
        <v>#DIV/0!</v>
      </c>
      <c r="BP150" s="107" t="e">
        <f t="shared" si="479"/>
        <v>#DIV/0!</v>
      </c>
      <c r="BQ150" s="107" t="e">
        <f t="shared" si="479"/>
        <v>#DIV/0!</v>
      </c>
      <c r="BR150" s="107" t="e">
        <f t="shared" si="479"/>
        <v>#DIV/0!</v>
      </c>
      <c r="BS150" s="107" t="e">
        <f t="shared" si="479"/>
        <v>#DIV/0!</v>
      </c>
      <c r="BT150" s="107" t="e">
        <f t="shared" si="479"/>
        <v>#DIV/0!</v>
      </c>
      <c r="BU150" s="107" t="e">
        <f t="shared" si="479"/>
        <v>#DIV/0!</v>
      </c>
      <c r="BV150" s="107" t="e">
        <f t="shared" si="479"/>
        <v>#DIV/0!</v>
      </c>
      <c r="BW150" s="107" t="e">
        <f t="shared" si="479"/>
        <v>#DIV/0!</v>
      </c>
      <c r="BX150" s="107" t="e">
        <f t="shared" si="479"/>
        <v>#DIV/0!</v>
      </c>
      <c r="BY150" s="107" t="e">
        <f t="shared" si="479"/>
        <v>#DIV/0!</v>
      </c>
      <c r="BZ150" s="107" t="e">
        <f t="shared" si="479"/>
        <v>#DIV/0!</v>
      </c>
      <c r="CA150" s="107" t="e">
        <f t="shared" si="479"/>
        <v>#DIV/0!</v>
      </c>
    </row>
    <row r="151" spans="1:79" s="89" customFormat="1">
      <c r="A151" s="11" t="s">
        <v>26</v>
      </c>
      <c r="B151" s="108">
        <v>5</v>
      </c>
      <c r="C151" s="108">
        <v>3</v>
      </c>
      <c r="D151" s="108">
        <v>1</v>
      </c>
      <c r="E151" s="108">
        <v>2</v>
      </c>
      <c r="F151" s="108">
        <v>4</v>
      </c>
      <c r="G151" s="108">
        <v>5</v>
      </c>
      <c r="H151" s="108">
        <v>3</v>
      </c>
      <c r="I151" s="108">
        <v>4</v>
      </c>
      <c r="J151" s="108">
        <v>4</v>
      </c>
      <c r="K151" s="108"/>
      <c r="L151" s="108">
        <v>7</v>
      </c>
      <c r="M151" s="108">
        <v>4</v>
      </c>
      <c r="N151" s="108">
        <v>3</v>
      </c>
      <c r="O151" s="108">
        <v>3</v>
      </c>
      <c r="P151" s="108">
        <v>1</v>
      </c>
      <c r="Q151" s="108">
        <v>2</v>
      </c>
      <c r="R151" s="108">
        <v>5</v>
      </c>
      <c r="S151" s="108">
        <v>4</v>
      </c>
      <c r="T151" s="108">
        <v>3</v>
      </c>
      <c r="U151" s="108">
        <v>3</v>
      </c>
      <c r="V151" s="108">
        <v>0</v>
      </c>
      <c r="W151" s="108">
        <v>2</v>
      </c>
      <c r="X151" s="108">
        <v>4</v>
      </c>
      <c r="Y151" s="108">
        <v>6</v>
      </c>
      <c r="Z151" s="108">
        <v>2</v>
      </c>
      <c r="AA151" s="108">
        <v>2</v>
      </c>
      <c r="AB151" s="108">
        <v>5</v>
      </c>
      <c r="AC151" s="108">
        <v>2</v>
      </c>
      <c r="AD151" s="108">
        <v>1</v>
      </c>
      <c r="AE151" s="108">
        <v>3</v>
      </c>
      <c r="AF151" s="108">
        <v>8</v>
      </c>
      <c r="AG151" s="108">
        <v>0</v>
      </c>
      <c r="AH151" s="108">
        <v>4</v>
      </c>
      <c r="AI151" s="108">
        <v>1</v>
      </c>
      <c r="AJ151" s="108">
        <v>4</v>
      </c>
      <c r="AK151" s="108">
        <v>3</v>
      </c>
      <c r="AL151" s="108">
        <v>5</v>
      </c>
      <c r="AM151" s="108">
        <v>3</v>
      </c>
      <c r="AN151" s="108">
        <v>4</v>
      </c>
      <c r="AO151" s="108">
        <v>5</v>
      </c>
      <c r="AP151" s="108">
        <v>2</v>
      </c>
      <c r="AQ151" s="108">
        <v>3</v>
      </c>
      <c r="AR151" s="108">
        <v>4</v>
      </c>
      <c r="AS151" s="108">
        <v>2</v>
      </c>
      <c r="AT151" s="108">
        <v>4</v>
      </c>
      <c r="AU151" s="108">
        <v>3</v>
      </c>
      <c r="AV151" s="108">
        <v>1</v>
      </c>
      <c r="AW151" s="108">
        <v>3</v>
      </c>
      <c r="AX151" s="108">
        <v>0</v>
      </c>
      <c r="AY151" s="108">
        <v>0</v>
      </c>
      <c r="AZ151" s="108">
        <v>1</v>
      </c>
      <c r="BA151" s="108">
        <v>3</v>
      </c>
      <c r="BB151" s="108">
        <v>3</v>
      </c>
      <c r="BC151" s="108">
        <v>2</v>
      </c>
      <c r="BD151" s="108">
        <v>5</v>
      </c>
      <c r="BE151" s="108">
        <v>3</v>
      </c>
      <c r="BF151" s="108">
        <v>6</v>
      </c>
      <c r="BG151" s="108">
        <v>4</v>
      </c>
      <c r="BH151" s="108">
        <v>4</v>
      </c>
      <c r="BI151" s="108"/>
      <c r="BJ151" s="108"/>
      <c r="BK151" s="197"/>
    </row>
    <row r="152" spans="1:79" s="2" customFormat="1">
      <c r="A152" s="11" t="s">
        <v>27</v>
      </c>
      <c r="B152" s="106">
        <f>B153/(SUM(B153,B151,B149))</f>
        <v>0.4</v>
      </c>
      <c r="C152" s="106">
        <f t="shared" ref="C152:BN152" si="480">C153/(SUM(C153,C151,C149))</f>
        <v>0.33333333333333331</v>
      </c>
      <c r="D152" s="106">
        <f t="shared" si="480"/>
        <v>0.2</v>
      </c>
      <c r="E152" s="106">
        <f t="shared" si="480"/>
        <v>0.5</v>
      </c>
      <c r="F152" s="106">
        <f t="shared" si="480"/>
        <v>0.46666666666666667</v>
      </c>
      <c r="G152" s="106">
        <f t="shared" si="480"/>
        <v>0.26666666666666666</v>
      </c>
      <c r="H152" s="106">
        <f t="shared" si="480"/>
        <v>0.2</v>
      </c>
      <c r="I152" s="106">
        <f t="shared" si="480"/>
        <v>0.3</v>
      </c>
      <c r="J152" s="106">
        <f t="shared" si="480"/>
        <v>0.41666666666666669</v>
      </c>
      <c r="K152" s="106">
        <f t="shared" si="480"/>
        <v>0.6</v>
      </c>
      <c r="L152" s="106">
        <f t="shared" si="480"/>
        <v>0.30769230769230771</v>
      </c>
      <c r="M152" s="106">
        <f t="shared" si="480"/>
        <v>0.42857142857142855</v>
      </c>
      <c r="N152" s="106">
        <f t="shared" si="480"/>
        <v>0</v>
      </c>
      <c r="O152" s="106">
        <f t="shared" si="480"/>
        <v>0.21428571428571427</v>
      </c>
      <c r="P152" s="106">
        <f t="shared" si="480"/>
        <v>0.7142857142857143</v>
      </c>
      <c r="Q152" s="106">
        <f t="shared" si="480"/>
        <v>0.4</v>
      </c>
      <c r="R152" s="106">
        <f t="shared" si="480"/>
        <v>0.4</v>
      </c>
      <c r="S152" s="106">
        <f t="shared" si="480"/>
        <v>0</v>
      </c>
      <c r="T152" s="106">
        <f t="shared" si="480"/>
        <v>0.5</v>
      </c>
      <c r="U152" s="106">
        <f t="shared" si="480"/>
        <v>0.14285714285714285</v>
      </c>
      <c r="V152" s="106">
        <f t="shared" si="480"/>
        <v>0.8</v>
      </c>
      <c r="W152" s="106">
        <f t="shared" si="480"/>
        <v>0.33333333333333331</v>
      </c>
      <c r="X152" s="106">
        <f t="shared" si="480"/>
        <v>0.5</v>
      </c>
      <c r="Y152" s="106">
        <f t="shared" si="480"/>
        <v>0.5</v>
      </c>
      <c r="Z152" s="106">
        <f t="shared" si="480"/>
        <v>0.5</v>
      </c>
      <c r="AA152" s="106">
        <f t="shared" si="480"/>
        <v>0.25</v>
      </c>
      <c r="AB152" s="106">
        <f t="shared" si="480"/>
        <v>0.33333333333333331</v>
      </c>
      <c r="AC152" s="106">
        <f t="shared" si="480"/>
        <v>0.18181818181818182</v>
      </c>
      <c r="AD152" s="106">
        <f t="shared" si="480"/>
        <v>0.22222222222222221</v>
      </c>
      <c r="AE152" s="106">
        <f t="shared" si="480"/>
        <v>0.5</v>
      </c>
      <c r="AF152" s="106">
        <f t="shared" si="480"/>
        <v>0</v>
      </c>
      <c r="AG152" s="106">
        <f t="shared" si="480"/>
        <v>0.18181818181818182</v>
      </c>
      <c r="AH152" s="106">
        <f t="shared" si="480"/>
        <v>0.2</v>
      </c>
      <c r="AI152" s="106">
        <f t="shared" si="480"/>
        <v>0.25</v>
      </c>
      <c r="AJ152" s="106">
        <f t="shared" si="480"/>
        <v>0.35714285714285715</v>
      </c>
      <c r="AK152" s="106">
        <f t="shared" si="480"/>
        <v>0</v>
      </c>
      <c r="AL152" s="106">
        <f t="shared" si="480"/>
        <v>0.22222222222222221</v>
      </c>
      <c r="AM152" s="106">
        <f t="shared" si="480"/>
        <v>0</v>
      </c>
      <c r="AN152" s="106">
        <f t="shared" si="480"/>
        <v>0.1111111111111111</v>
      </c>
      <c r="AO152" s="106">
        <f t="shared" si="480"/>
        <v>0.25</v>
      </c>
      <c r="AP152" s="106">
        <f t="shared" si="480"/>
        <v>0.6</v>
      </c>
      <c r="AQ152" s="106">
        <f t="shared" si="480"/>
        <v>0.22222222222222221</v>
      </c>
      <c r="AR152" s="106">
        <f t="shared" si="480"/>
        <v>0.4</v>
      </c>
      <c r="AS152" s="106">
        <f t="shared" si="480"/>
        <v>0.125</v>
      </c>
      <c r="AT152" s="106">
        <f t="shared" si="480"/>
        <v>0.58333333333333337</v>
      </c>
      <c r="AU152" s="106">
        <f t="shared" si="480"/>
        <v>0.4</v>
      </c>
      <c r="AV152" s="106">
        <f t="shared" si="480"/>
        <v>0.83333333333333337</v>
      </c>
      <c r="AW152" s="106">
        <f t="shared" si="480"/>
        <v>0.58333333333333337</v>
      </c>
      <c r="AX152" s="106">
        <f t="shared" si="480"/>
        <v>1</v>
      </c>
      <c r="AY152" s="106">
        <f t="shared" si="480"/>
        <v>1</v>
      </c>
      <c r="AZ152" s="106">
        <f t="shared" si="480"/>
        <v>0.84615384615384615</v>
      </c>
      <c r="BA152" s="106">
        <f t="shared" si="480"/>
        <v>0.625</v>
      </c>
      <c r="BB152" s="106">
        <f t="shared" si="480"/>
        <v>0.63636363636363635</v>
      </c>
      <c r="BC152" s="106">
        <f t="shared" si="480"/>
        <v>0.42857142857142855</v>
      </c>
      <c r="BD152" s="106">
        <f t="shared" si="480"/>
        <v>0.27272727272727271</v>
      </c>
      <c r="BE152" s="106">
        <f t="shared" si="480"/>
        <v>7.6923076923076927E-2</v>
      </c>
      <c r="BF152" s="106">
        <f t="shared" si="480"/>
        <v>0.14285714285714285</v>
      </c>
      <c r="BG152" s="106">
        <f t="shared" si="480"/>
        <v>0.23076923076923078</v>
      </c>
      <c r="BH152" s="106">
        <f t="shared" si="480"/>
        <v>0.1111111111111111</v>
      </c>
      <c r="BI152" s="106" t="e">
        <f t="shared" si="480"/>
        <v>#DIV/0!</v>
      </c>
      <c r="BJ152" s="106" t="e">
        <f t="shared" si="480"/>
        <v>#DIV/0!</v>
      </c>
      <c r="BK152" s="107" t="e">
        <f t="shared" si="480"/>
        <v>#DIV/0!</v>
      </c>
      <c r="BL152" s="107" t="e">
        <f t="shared" si="480"/>
        <v>#DIV/0!</v>
      </c>
      <c r="BM152" s="107" t="e">
        <f t="shared" si="480"/>
        <v>#DIV/0!</v>
      </c>
      <c r="BN152" s="107" t="e">
        <f t="shared" si="480"/>
        <v>#DIV/0!</v>
      </c>
      <c r="BO152" s="107" t="e">
        <f t="shared" ref="BO152:CA152" si="481">BO153/(SUM(BO153,BO151,BO149))</f>
        <v>#DIV/0!</v>
      </c>
      <c r="BP152" s="107" t="e">
        <f t="shared" si="481"/>
        <v>#DIV/0!</v>
      </c>
      <c r="BQ152" s="107" t="e">
        <f t="shared" si="481"/>
        <v>#DIV/0!</v>
      </c>
      <c r="BR152" s="107" t="e">
        <f t="shared" si="481"/>
        <v>#DIV/0!</v>
      </c>
      <c r="BS152" s="107" t="e">
        <f t="shared" si="481"/>
        <v>#DIV/0!</v>
      </c>
      <c r="BT152" s="107" t="e">
        <f t="shared" si="481"/>
        <v>#DIV/0!</v>
      </c>
      <c r="BU152" s="107" t="e">
        <f t="shared" si="481"/>
        <v>#DIV/0!</v>
      </c>
      <c r="BV152" s="107" t="e">
        <f t="shared" si="481"/>
        <v>#DIV/0!</v>
      </c>
      <c r="BW152" s="107" t="e">
        <f t="shared" si="481"/>
        <v>#DIV/0!</v>
      </c>
      <c r="BX152" s="107" t="e">
        <f t="shared" si="481"/>
        <v>#DIV/0!</v>
      </c>
      <c r="BY152" s="107" t="e">
        <f t="shared" si="481"/>
        <v>#DIV/0!</v>
      </c>
      <c r="BZ152" s="107" t="e">
        <f t="shared" si="481"/>
        <v>#DIV/0!</v>
      </c>
      <c r="CA152" s="107" t="e">
        <f t="shared" si="481"/>
        <v>#DIV/0!</v>
      </c>
    </row>
    <row r="153" spans="1:79" s="90" customFormat="1" ht="19.5" thickBot="1">
      <c r="A153" s="11" t="s">
        <v>28</v>
      </c>
      <c r="B153" s="108">
        <v>6</v>
      </c>
      <c r="C153" s="108">
        <v>4</v>
      </c>
      <c r="D153" s="108">
        <v>1</v>
      </c>
      <c r="E153" s="108">
        <v>4</v>
      </c>
      <c r="F153" s="108">
        <v>7</v>
      </c>
      <c r="G153" s="108">
        <v>4</v>
      </c>
      <c r="H153" s="108">
        <v>2</v>
      </c>
      <c r="I153" s="108">
        <v>3</v>
      </c>
      <c r="J153" s="108">
        <v>5</v>
      </c>
      <c r="K153" s="108">
        <v>3</v>
      </c>
      <c r="L153" s="108">
        <v>4</v>
      </c>
      <c r="M153" s="108">
        <v>6</v>
      </c>
      <c r="N153" s="108"/>
      <c r="O153" s="108">
        <v>3</v>
      </c>
      <c r="P153" s="108">
        <v>5</v>
      </c>
      <c r="Q153" s="108">
        <v>4</v>
      </c>
      <c r="R153" s="108">
        <v>4</v>
      </c>
      <c r="S153" s="108"/>
      <c r="T153" s="108">
        <v>5</v>
      </c>
      <c r="U153" s="108">
        <v>1</v>
      </c>
      <c r="V153" s="108">
        <v>4</v>
      </c>
      <c r="W153" s="108">
        <v>3</v>
      </c>
      <c r="X153" s="108">
        <v>5</v>
      </c>
      <c r="Y153" s="108">
        <v>8</v>
      </c>
      <c r="Z153" s="108">
        <v>4</v>
      </c>
      <c r="AA153" s="108">
        <v>3</v>
      </c>
      <c r="AB153" s="108">
        <v>3</v>
      </c>
      <c r="AC153" s="108">
        <v>2</v>
      </c>
      <c r="AD153" s="108">
        <v>2</v>
      </c>
      <c r="AE153" s="108">
        <v>5</v>
      </c>
      <c r="AF153" s="108">
        <v>0</v>
      </c>
      <c r="AG153" s="108">
        <v>2</v>
      </c>
      <c r="AH153" s="108">
        <v>2</v>
      </c>
      <c r="AI153" s="108">
        <v>3</v>
      </c>
      <c r="AJ153" s="108">
        <v>5</v>
      </c>
      <c r="AK153" s="108">
        <v>0</v>
      </c>
      <c r="AL153" s="108">
        <v>2</v>
      </c>
      <c r="AM153" s="108">
        <v>0</v>
      </c>
      <c r="AN153" s="108">
        <v>1</v>
      </c>
      <c r="AO153" s="108">
        <v>2</v>
      </c>
      <c r="AP153" s="108">
        <v>3</v>
      </c>
      <c r="AQ153" s="108">
        <v>2</v>
      </c>
      <c r="AR153" s="108">
        <v>4</v>
      </c>
      <c r="AS153" s="108">
        <v>1</v>
      </c>
      <c r="AT153" s="108">
        <v>7</v>
      </c>
      <c r="AU153" s="108">
        <v>2</v>
      </c>
      <c r="AV153" s="108">
        <v>5</v>
      </c>
      <c r="AW153" s="108">
        <v>7</v>
      </c>
      <c r="AX153" s="108">
        <v>13</v>
      </c>
      <c r="AY153" s="108">
        <v>4</v>
      </c>
      <c r="AZ153" s="108">
        <v>11</v>
      </c>
      <c r="BA153" s="108">
        <v>5</v>
      </c>
      <c r="BB153" s="108">
        <v>7</v>
      </c>
      <c r="BC153" s="108">
        <v>3</v>
      </c>
      <c r="BD153" s="108">
        <v>3</v>
      </c>
      <c r="BE153" s="108">
        <v>1</v>
      </c>
      <c r="BF153" s="108">
        <v>1</v>
      </c>
      <c r="BG153" s="108">
        <v>3</v>
      </c>
      <c r="BH153" s="108">
        <v>1</v>
      </c>
      <c r="BI153" s="108"/>
      <c r="BJ153" s="108"/>
      <c r="BK153" s="197"/>
    </row>
    <row r="154" spans="1:79" s="85" customFormat="1">
      <c r="A154" s="59" t="s">
        <v>86</v>
      </c>
      <c r="B154" s="143">
        <v>92.8</v>
      </c>
      <c r="C154" s="143">
        <v>88</v>
      </c>
      <c r="D154" s="143">
        <v>95</v>
      </c>
      <c r="E154" s="143">
        <v>88.4</v>
      </c>
      <c r="F154" s="180">
        <v>86.4</v>
      </c>
      <c r="G154" s="180">
        <v>91.8</v>
      </c>
      <c r="H154" s="180">
        <v>92.5</v>
      </c>
      <c r="I154" s="180">
        <v>83.3</v>
      </c>
      <c r="J154" s="180">
        <v>88.8</v>
      </c>
      <c r="K154" s="180">
        <v>92.7</v>
      </c>
      <c r="L154" s="180">
        <v>87.8</v>
      </c>
      <c r="M154" s="180">
        <v>88</v>
      </c>
      <c r="N154" s="180"/>
      <c r="O154" s="180">
        <v>88.7</v>
      </c>
      <c r="P154" s="180">
        <v>90.8</v>
      </c>
      <c r="Q154" s="180">
        <v>87.8</v>
      </c>
      <c r="R154" s="180">
        <v>87.3</v>
      </c>
      <c r="S154" s="180"/>
      <c r="T154" s="180">
        <v>89.6</v>
      </c>
      <c r="U154" s="180">
        <v>92</v>
      </c>
      <c r="V154" s="180">
        <v>94.5</v>
      </c>
      <c r="W154" s="180">
        <v>93</v>
      </c>
      <c r="X154" s="180">
        <v>88.4</v>
      </c>
      <c r="Y154" s="180">
        <v>93.5</v>
      </c>
      <c r="Z154" s="180">
        <v>87.5</v>
      </c>
      <c r="AA154" s="180">
        <v>85.3</v>
      </c>
      <c r="AB154" s="180">
        <v>89</v>
      </c>
      <c r="AC154" s="180">
        <v>85</v>
      </c>
      <c r="AD154" s="180">
        <v>88.5</v>
      </c>
      <c r="AE154" s="180">
        <v>87</v>
      </c>
      <c r="AF154" s="180"/>
      <c r="AG154" s="180">
        <v>84</v>
      </c>
      <c r="AH154" s="180">
        <v>83.5</v>
      </c>
      <c r="AI154" s="180">
        <v>91.7</v>
      </c>
      <c r="AJ154" s="180">
        <v>89.8</v>
      </c>
      <c r="AK154" s="180"/>
      <c r="AL154" s="180">
        <v>82</v>
      </c>
      <c r="AM154" s="180"/>
      <c r="AN154" s="180">
        <v>85</v>
      </c>
      <c r="AO154" s="180">
        <v>93.5</v>
      </c>
      <c r="AP154" s="180">
        <v>87</v>
      </c>
      <c r="AQ154" s="180">
        <v>85</v>
      </c>
      <c r="AR154" s="180">
        <v>91</v>
      </c>
      <c r="AS154" s="180">
        <v>87</v>
      </c>
      <c r="AT154" s="180">
        <v>88.3</v>
      </c>
      <c r="AU154" s="180">
        <v>90.5</v>
      </c>
      <c r="AV154" s="180">
        <v>91</v>
      </c>
      <c r="AW154" s="180">
        <v>86.7</v>
      </c>
      <c r="AX154" s="180">
        <v>88.5</v>
      </c>
      <c r="AY154" s="180">
        <v>85.8</v>
      </c>
      <c r="AZ154" s="180">
        <v>92.1</v>
      </c>
      <c r="BA154" s="180">
        <v>85.4</v>
      </c>
      <c r="BB154" s="180">
        <v>89.9</v>
      </c>
      <c r="BC154" s="180">
        <v>77</v>
      </c>
      <c r="BD154" s="180">
        <v>83</v>
      </c>
      <c r="BE154" s="180">
        <v>88</v>
      </c>
      <c r="BF154" s="180">
        <v>85</v>
      </c>
      <c r="BG154" s="180">
        <v>77.8</v>
      </c>
      <c r="BH154" s="180">
        <v>84</v>
      </c>
      <c r="BI154" s="180"/>
      <c r="BJ154" s="180"/>
      <c r="BK154" s="218"/>
    </row>
    <row r="155" spans="1:79" s="85" customFormat="1">
      <c r="A155" s="59" t="s">
        <v>87</v>
      </c>
      <c r="B155" s="143">
        <v>67.3</v>
      </c>
      <c r="C155" s="143">
        <v>58.6</v>
      </c>
      <c r="D155" s="143">
        <v>64</v>
      </c>
      <c r="E155" s="143">
        <v>61.5</v>
      </c>
      <c r="F155" s="180">
        <v>61</v>
      </c>
      <c r="G155" s="180">
        <v>59.3</v>
      </c>
      <c r="H155" s="180">
        <v>61.2</v>
      </c>
      <c r="I155" s="180">
        <v>69.7</v>
      </c>
      <c r="J155" s="180">
        <v>65.3</v>
      </c>
      <c r="K155" s="180">
        <v>61</v>
      </c>
      <c r="L155" s="180">
        <v>64</v>
      </c>
      <c r="M155" s="180">
        <v>67</v>
      </c>
      <c r="N155" s="180">
        <v>58.3</v>
      </c>
      <c r="O155" s="180">
        <v>67.8</v>
      </c>
      <c r="P155" s="180">
        <v>42</v>
      </c>
      <c r="Q155" s="180">
        <v>69</v>
      </c>
      <c r="R155" s="180">
        <v>73</v>
      </c>
      <c r="S155" s="180">
        <v>71</v>
      </c>
      <c r="T155" s="180">
        <v>63</v>
      </c>
      <c r="U155" s="180">
        <v>60.3</v>
      </c>
      <c r="V155" s="180">
        <v>56</v>
      </c>
      <c r="W155" s="180">
        <v>70.8</v>
      </c>
      <c r="X155" s="180">
        <v>67</v>
      </c>
      <c r="Y155" s="180">
        <v>60.5</v>
      </c>
      <c r="Z155" s="180">
        <v>71</v>
      </c>
      <c r="AA155" s="180">
        <v>67.900000000000006</v>
      </c>
      <c r="AB155" s="180">
        <v>71</v>
      </c>
      <c r="AC155" s="180">
        <v>59.7</v>
      </c>
      <c r="AD155" s="180">
        <v>68</v>
      </c>
      <c r="AE155" s="180">
        <v>59</v>
      </c>
      <c r="AF155" s="180">
        <v>62.7</v>
      </c>
      <c r="AG155" s="180">
        <v>59.6</v>
      </c>
      <c r="AH155" s="180">
        <v>61.5</v>
      </c>
      <c r="AI155" s="180">
        <v>63.5</v>
      </c>
      <c r="AJ155" s="180">
        <v>61.2</v>
      </c>
      <c r="AK155" s="180">
        <v>56.8</v>
      </c>
      <c r="AL155" s="180">
        <v>62.5</v>
      </c>
      <c r="AM155" s="180">
        <v>65.599999999999994</v>
      </c>
      <c r="AN155" s="180">
        <v>72.5</v>
      </c>
      <c r="AO155" s="180">
        <v>45</v>
      </c>
      <c r="AP155" s="180"/>
      <c r="AQ155" s="180">
        <v>67.8</v>
      </c>
      <c r="AR155" s="180">
        <v>72.5</v>
      </c>
      <c r="AS155" s="180">
        <v>62.8</v>
      </c>
      <c r="AT155" s="180">
        <v>71</v>
      </c>
      <c r="AU155" s="180"/>
      <c r="AV155" s="180"/>
      <c r="AW155" s="180">
        <v>67.5</v>
      </c>
      <c r="AX155" s="180"/>
      <c r="AY155" s="180"/>
      <c r="AZ155" s="180">
        <v>66</v>
      </c>
      <c r="BA155" s="180"/>
      <c r="BB155" s="180">
        <v>73</v>
      </c>
      <c r="BC155" s="180">
        <v>60.5</v>
      </c>
      <c r="BD155" s="180">
        <v>60.3</v>
      </c>
      <c r="BE155" s="180">
        <v>65.3</v>
      </c>
      <c r="BF155" s="180">
        <v>76.5</v>
      </c>
      <c r="BG155" s="180">
        <v>69.8</v>
      </c>
      <c r="BH155" s="180">
        <v>66.8</v>
      </c>
      <c r="BI155" s="180"/>
      <c r="BJ155" s="180"/>
      <c r="BK155" s="218"/>
    </row>
    <row r="156" spans="1:79" s="185" customFormat="1" ht="19.5" thickBot="1">
      <c r="A156" s="59" t="s">
        <v>88</v>
      </c>
      <c r="B156" s="62">
        <v>74</v>
      </c>
      <c r="C156" s="62">
        <v>74</v>
      </c>
      <c r="D156" s="62">
        <v>74</v>
      </c>
      <c r="E156" s="62">
        <v>74</v>
      </c>
      <c r="F156" s="62">
        <v>74</v>
      </c>
      <c r="G156" s="62">
        <v>74</v>
      </c>
      <c r="H156" s="62">
        <v>74</v>
      </c>
      <c r="I156" s="62">
        <v>74</v>
      </c>
      <c r="J156" s="62">
        <v>74</v>
      </c>
      <c r="K156" s="62">
        <v>74</v>
      </c>
      <c r="L156" s="62">
        <v>74</v>
      </c>
      <c r="M156" s="62">
        <v>74</v>
      </c>
      <c r="N156" s="62">
        <v>74</v>
      </c>
      <c r="O156" s="62">
        <v>74</v>
      </c>
      <c r="P156" s="62">
        <v>74</v>
      </c>
      <c r="Q156" s="62">
        <v>74</v>
      </c>
      <c r="R156" s="62">
        <v>74</v>
      </c>
      <c r="S156" s="62">
        <v>74</v>
      </c>
      <c r="T156" s="62">
        <v>74</v>
      </c>
      <c r="U156" s="62">
        <v>74</v>
      </c>
      <c r="V156" s="62">
        <v>74</v>
      </c>
      <c r="W156" s="62">
        <v>74</v>
      </c>
      <c r="X156" s="62">
        <v>74</v>
      </c>
      <c r="Y156" s="62">
        <v>74</v>
      </c>
      <c r="Z156" s="62">
        <v>74</v>
      </c>
      <c r="AA156" s="62">
        <v>74</v>
      </c>
      <c r="AB156" s="62">
        <v>74</v>
      </c>
      <c r="AC156" s="62">
        <v>74</v>
      </c>
      <c r="AD156" s="62">
        <v>74</v>
      </c>
      <c r="AE156" s="62">
        <v>74</v>
      </c>
      <c r="AF156" s="62">
        <v>74</v>
      </c>
      <c r="AG156" s="62">
        <v>74</v>
      </c>
      <c r="AH156" s="62">
        <v>74</v>
      </c>
      <c r="AI156" s="62">
        <v>74</v>
      </c>
      <c r="AJ156" s="62">
        <v>74</v>
      </c>
      <c r="AK156" s="62">
        <v>74</v>
      </c>
      <c r="AL156" s="62">
        <v>74</v>
      </c>
      <c r="AM156" s="62">
        <v>74</v>
      </c>
      <c r="AN156" s="62">
        <v>74</v>
      </c>
      <c r="AO156" s="62">
        <v>74</v>
      </c>
      <c r="AP156" s="62">
        <v>74</v>
      </c>
      <c r="AQ156" s="62">
        <v>74</v>
      </c>
      <c r="AR156" s="62">
        <v>74</v>
      </c>
      <c r="AS156" s="62">
        <v>74</v>
      </c>
      <c r="AT156" s="62">
        <v>74</v>
      </c>
      <c r="AU156" s="62">
        <v>74</v>
      </c>
      <c r="AV156" s="62">
        <v>74</v>
      </c>
      <c r="AW156" s="62">
        <v>74</v>
      </c>
      <c r="AX156" s="62">
        <v>74</v>
      </c>
      <c r="AY156" s="62">
        <v>74</v>
      </c>
      <c r="AZ156" s="62">
        <v>74</v>
      </c>
      <c r="BA156" s="62">
        <v>74</v>
      </c>
      <c r="BB156" s="62">
        <v>74</v>
      </c>
      <c r="BC156" s="62">
        <v>74</v>
      </c>
      <c r="BD156" s="62">
        <v>74</v>
      </c>
      <c r="BE156" s="62">
        <v>74</v>
      </c>
      <c r="BF156" s="62">
        <v>74</v>
      </c>
      <c r="BG156" s="62">
        <v>74</v>
      </c>
      <c r="BH156" s="62">
        <v>74</v>
      </c>
      <c r="BI156" s="62">
        <v>74</v>
      </c>
      <c r="BJ156" s="62">
        <v>74</v>
      </c>
      <c r="BK156" s="62">
        <v>74</v>
      </c>
      <c r="BL156" s="62">
        <v>74</v>
      </c>
      <c r="BM156" s="62">
        <v>74</v>
      </c>
      <c r="BN156" s="62">
        <v>74</v>
      </c>
      <c r="BO156" s="62">
        <v>74</v>
      </c>
      <c r="BP156" s="62">
        <v>74</v>
      </c>
      <c r="BQ156" s="62">
        <v>74</v>
      </c>
      <c r="BR156" s="62">
        <v>74</v>
      </c>
      <c r="BS156" s="62">
        <v>74</v>
      </c>
      <c r="BT156" s="62">
        <v>74</v>
      </c>
      <c r="BU156" s="62">
        <v>74</v>
      </c>
      <c r="BV156" s="62">
        <v>74</v>
      </c>
      <c r="BW156" s="62">
        <v>74</v>
      </c>
      <c r="BX156" s="62">
        <v>74</v>
      </c>
      <c r="BY156" s="62">
        <v>74</v>
      </c>
      <c r="BZ156" s="62">
        <v>74</v>
      </c>
      <c r="CA156" s="62">
        <v>74</v>
      </c>
    </row>
    <row r="157" spans="1:79" s="186" customFormat="1" ht="19.5" thickBot="1">
      <c r="A157" s="32" t="s">
        <v>89</v>
      </c>
      <c r="B157" s="184">
        <v>81</v>
      </c>
      <c r="C157" s="184">
        <v>81</v>
      </c>
      <c r="D157" s="184">
        <v>81</v>
      </c>
      <c r="E157" s="184">
        <v>81</v>
      </c>
      <c r="F157" s="184">
        <v>81</v>
      </c>
      <c r="G157" s="184">
        <v>81</v>
      </c>
      <c r="H157" s="184">
        <v>81</v>
      </c>
      <c r="I157" s="184">
        <v>81</v>
      </c>
      <c r="J157" s="184">
        <v>81</v>
      </c>
      <c r="K157" s="184">
        <v>81</v>
      </c>
      <c r="L157" s="184">
        <v>81</v>
      </c>
      <c r="M157" s="184">
        <v>81</v>
      </c>
      <c r="N157" s="184">
        <v>81</v>
      </c>
      <c r="O157" s="184">
        <v>81</v>
      </c>
      <c r="P157" s="184">
        <v>81</v>
      </c>
      <c r="Q157" s="184">
        <v>81</v>
      </c>
      <c r="R157" s="184">
        <v>81</v>
      </c>
      <c r="S157" s="184">
        <v>81</v>
      </c>
      <c r="T157" s="184">
        <v>81</v>
      </c>
      <c r="U157" s="184">
        <v>81</v>
      </c>
      <c r="V157" s="184">
        <v>81</v>
      </c>
      <c r="W157" s="184">
        <v>81</v>
      </c>
      <c r="X157" s="184">
        <v>81</v>
      </c>
      <c r="Y157" s="184">
        <v>81</v>
      </c>
      <c r="Z157" s="184">
        <v>81</v>
      </c>
      <c r="AA157" s="184">
        <v>81</v>
      </c>
      <c r="AB157" s="184">
        <v>81</v>
      </c>
      <c r="AC157" s="184">
        <v>81</v>
      </c>
      <c r="AD157" s="184">
        <v>81</v>
      </c>
      <c r="AE157" s="184">
        <v>81</v>
      </c>
      <c r="AF157" s="184">
        <v>81</v>
      </c>
      <c r="AG157" s="184">
        <v>81</v>
      </c>
      <c r="AH157" s="184">
        <v>81</v>
      </c>
      <c r="AI157" s="184">
        <v>81</v>
      </c>
      <c r="AJ157" s="184">
        <v>81</v>
      </c>
      <c r="AK157" s="184">
        <v>81</v>
      </c>
      <c r="AL157" s="184">
        <v>81</v>
      </c>
      <c r="AM157" s="184">
        <v>81</v>
      </c>
      <c r="AN157" s="184">
        <v>81</v>
      </c>
      <c r="AO157" s="184">
        <v>81</v>
      </c>
      <c r="AP157" s="184">
        <v>81</v>
      </c>
      <c r="AQ157" s="184">
        <v>81</v>
      </c>
      <c r="AR157" s="184">
        <v>81</v>
      </c>
      <c r="AS157" s="184">
        <v>81</v>
      </c>
      <c r="AT157" s="184">
        <v>81</v>
      </c>
      <c r="AU157" s="184">
        <v>81</v>
      </c>
      <c r="AV157" s="184">
        <v>81</v>
      </c>
      <c r="AW157" s="184">
        <v>81</v>
      </c>
      <c r="AX157" s="184">
        <v>81</v>
      </c>
      <c r="AY157" s="184">
        <v>81</v>
      </c>
      <c r="AZ157" s="184">
        <v>81</v>
      </c>
      <c r="BA157" s="184">
        <v>81</v>
      </c>
      <c r="BB157" s="184">
        <v>81</v>
      </c>
      <c r="BC157" s="184">
        <v>81</v>
      </c>
      <c r="BD157" s="184">
        <v>81</v>
      </c>
      <c r="BE157" s="184">
        <v>81</v>
      </c>
      <c r="BF157" s="184">
        <v>81</v>
      </c>
      <c r="BG157" s="184">
        <v>81</v>
      </c>
      <c r="BH157" s="184">
        <v>81</v>
      </c>
      <c r="BI157" s="184">
        <v>81</v>
      </c>
      <c r="BJ157" s="184">
        <v>81</v>
      </c>
      <c r="BK157" s="184">
        <v>81</v>
      </c>
      <c r="BL157" s="184">
        <v>81</v>
      </c>
      <c r="BM157" s="184">
        <v>81</v>
      </c>
      <c r="BN157" s="184">
        <v>81</v>
      </c>
      <c r="BO157" s="184">
        <v>81</v>
      </c>
      <c r="BP157" s="184">
        <v>81</v>
      </c>
      <c r="BQ157" s="184">
        <v>81</v>
      </c>
      <c r="BR157" s="184">
        <v>81</v>
      </c>
      <c r="BS157" s="184">
        <v>81</v>
      </c>
      <c r="BT157" s="184">
        <v>81</v>
      </c>
      <c r="BU157" s="184">
        <v>81</v>
      </c>
      <c r="BV157" s="184">
        <v>81</v>
      </c>
      <c r="BW157" s="184">
        <v>81</v>
      </c>
      <c r="BX157" s="184">
        <v>81</v>
      </c>
      <c r="BY157" s="184">
        <v>81</v>
      </c>
      <c r="BZ157" s="184">
        <v>81</v>
      </c>
      <c r="CA157" s="184">
        <v>81</v>
      </c>
    </row>
    <row r="158" spans="1:79" ht="19.5" thickBot="1">
      <c r="A158" s="6"/>
      <c r="B158" s="3"/>
      <c r="C158" s="3"/>
      <c r="D158" s="3"/>
      <c r="E158" s="3"/>
      <c r="F158" s="114"/>
      <c r="G158" s="114"/>
      <c r="H158" s="114"/>
      <c r="I158" s="114"/>
      <c r="J158" s="3"/>
      <c r="K158" s="3"/>
      <c r="L158" s="3"/>
      <c r="M158" s="3"/>
      <c r="N158" s="3"/>
      <c r="O158" s="114"/>
      <c r="P158" s="114"/>
      <c r="Q158" s="114"/>
      <c r="R158" s="114"/>
      <c r="S158" s="114"/>
      <c r="T158" s="114"/>
      <c r="U158" s="114"/>
      <c r="V158" s="114"/>
      <c r="W158" s="3"/>
      <c r="X158" s="3"/>
      <c r="Y158" s="3"/>
      <c r="Z158" s="3"/>
      <c r="AA158" s="3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4"/>
      <c r="BE158" s="114"/>
      <c r="BF158" s="114"/>
      <c r="BG158" s="114"/>
      <c r="BH158" s="114"/>
      <c r="BI158" s="114"/>
      <c r="BJ158" s="114"/>
      <c r="BK158" s="114"/>
    </row>
    <row r="159" spans="1:79" s="84" customFormat="1" ht="19.5" thickBot="1">
      <c r="A159" s="40" t="s">
        <v>90</v>
      </c>
      <c r="B159" s="97">
        <v>94.1</v>
      </c>
      <c r="C159" s="97">
        <v>93.9</v>
      </c>
      <c r="D159" s="97">
        <v>85.7</v>
      </c>
      <c r="E159" s="139">
        <v>89.6</v>
      </c>
      <c r="F159" s="139">
        <v>91.8</v>
      </c>
      <c r="G159" s="139">
        <v>98</v>
      </c>
      <c r="H159" s="139">
        <v>95.9</v>
      </c>
      <c r="I159" s="139">
        <v>92</v>
      </c>
      <c r="J159" s="140">
        <v>90</v>
      </c>
      <c r="K159" s="140">
        <v>94</v>
      </c>
      <c r="L159" s="139">
        <v>100</v>
      </c>
      <c r="M159" s="139">
        <v>98</v>
      </c>
      <c r="N159" s="139">
        <v>96</v>
      </c>
      <c r="O159" s="139">
        <v>98</v>
      </c>
      <c r="P159" s="139">
        <v>95.7</v>
      </c>
      <c r="Q159" s="139">
        <v>94.2</v>
      </c>
      <c r="R159" s="139">
        <v>93.6</v>
      </c>
      <c r="S159" s="139">
        <v>97.9</v>
      </c>
      <c r="T159" s="139">
        <v>93.5</v>
      </c>
      <c r="U159" s="139">
        <v>92.3</v>
      </c>
      <c r="V159" s="139">
        <v>90.5</v>
      </c>
      <c r="W159" s="139">
        <v>92.3</v>
      </c>
      <c r="X159" s="139">
        <v>96.2</v>
      </c>
      <c r="Y159" s="139">
        <v>100</v>
      </c>
      <c r="Z159" s="139">
        <v>90</v>
      </c>
      <c r="AA159" s="139">
        <v>93.9</v>
      </c>
      <c r="AB159" s="139">
        <v>98</v>
      </c>
      <c r="AC159" s="139">
        <v>95.9</v>
      </c>
      <c r="AD159" s="139">
        <v>92.2</v>
      </c>
      <c r="AE159" s="139">
        <v>98.1</v>
      </c>
      <c r="AF159" s="139">
        <v>93.9</v>
      </c>
      <c r="AG159" s="139">
        <v>91.8</v>
      </c>
      <c r="AH159" s="139">
        <v>87.8</v>
      </c>
      <c r="AI159" s="139">
        <v>94</v>
      </c>
      <c r="AJ159" s="139">
        <v>98</v>
      </c>
      <c r="AK159" s="139">
        <v>85.7</v>
      </c>
      <c r="AL159" s="139">
        <v>93.6</v>
      </c>
      <c r="AM159" s="139">
        <v>90</v>
      </c>
      <c r="AN159" s="139">
        <v>94.1</v>
      </c>
      <c r="AO159" s="139">
        <v>89.1</v>
      </c>
      <c r="AP159" s="139">
        <v>94</v>
      </c>
      <c r="AQ159" s="139">
        <v>96</v>
      </c>
      <c r="AR159" s="139">
        <v>91.7</v>
      </c>
      <c r="AS159" s="139">
        <v>94.1</v>
      </c>
      <c r="AT159" s="139">
        <v>86.5</v>
      </c>
      <c r="AU159" s="139">
        <v>98</v>
      </c>
      <c r="AV159" s="139">
        <v>91.8</v>
      </c>
      <c r="AW159" s="139">
        <v>94</v>
      </c>
      <c r="AX159" s="139">
        <v>96</v>
      </c>
      <c r="AY159" s="139">
        <v>94</v>
      </c>
      <c r="AZ159" s="139">
        <v>94.1</v>
      </c>
      <c r="BA159" s="139">
        <v>95.9</v>
      </c>
      <c r="BB159" s="139">
        <v>89.4</v>
      </c>
      <c r="BC159" s="139">
        <v>94</v>
      </c>
      <c r="BD159" s="139">
        <v>92</v>
      </c>
      <c r="BE159" s="139">
        <v>89.4</v>
      </c>
      <c r="BF159" s="139">
        <v>92.2</v>
      </c>
      <c r="BG159" s="139">
        <v>89.8</v>
      </c>
      <c r="BH159" s="139">
        <v>98</v>
      </c>
      <c r="BI159" s="139"/>
      <c r="BJ159" s="139"/>
      <c r="BK159" s="219"/>
    </row>
    <row r="160" spans="1:79" s="84" customFormat="1" ht="19.5" thickBot="1">
      <c r="A160" s="11" t="s">
        <v>91</v>
      </c>
      <c r="B160" s="98">
        <v>100</v>
      </c>
      <c r="C160" s="98">
        <v>100</v>
      </c>
      <c r="D160" s="98">
        <v>100</v>
      </c>
      <c r="E160" s="141">
        <v>100</v>
      </c>
      <c r="F160" s="141">
        <v>93.8</v>
      </c>
      <c r="G160" s="141">
        <v>100</v>
      </c>
      <c r="H160" s="141">
        <v>100</v>
      </c>
      <c r="I160" s="141">
        <v>94.4</v>
      </c>
      <c r="J160" s="122">
        <v>90.9</v>
      </c>
      <c r="K160" s="122">
        <v>88.9</v>
      </c>
      <c r="L160" s="141">
        <v>100</v>
      </c>
      <c r="M160" s="141">
        <v>100</v>
      </c>
      <c r="N160" s="141">
        <v>100</v>
      </c>
      <c r="O160" s="141">
        <v>100</v>
      </c>
      <c r="P160" s="141">
        <v>100</v>
      </c>
      <c r="Q160" s="141">
        <v>100</v>
      </c>
      <c r="R160" s="141">
        <v>100</v>
      </c>
      <c r="S160" s="141">
        <v>100</v>
      </c>
      <c r="T160" s="141">
        <v>100</v>
      </c>
      <c r="U160" s="141">
        <v>87.5</v>
      </c>
      <c r="V160" s="141">
        <v>100</v>
      </c>
      <c r="W160" s="141">
        <v>85.7</v>
      </c>
      <c r="X160" s="141">
        <v>90</v>
      </c>
      <c r="Y160" s="141">
        <v>100</v>
      </c>
      <c r="Z160" s="141">
        <v>100</v>
      </c>
      <c r="AA160" s="141">
        <v>100</v>
      </c>
      <c r="AB160" s="141">
        <v>100</v>
      </c>
      <c r="AC160" s="141">
        <v>92.3</v>
      </c>
      <c r="AD160" s="141">
        <v>100</v>
      </c>
      <c r="AE160" s="141">
        <v>100</v>
      </c>
      <c r="AF160" s="141">
        <v>100</v>
      </c>
      <c r="AG160" s="141">
        <v>100</v>
      </c>
      <c r="AH160" s="141">
        <v>83.3</v>
      </c>
      <c r="AI160" s="141">
        <v>100</v>
      </c>
      <c r="AJ160" s="141">
        <v>94.4</v>
      </c>
      <c r="AK160" s="141">
        <v>81.3</v>
      </c>
      <c r="AL160" s="141">
        <v>100</v>
      </c>
      <c r="AM160" s="141">
        <v>83.3</v>
      </c>
      <c r="AN160" s="141">
        <v>90</v>
      </c>
      <c r="AO160" s="141">
        <v>100</v>
      </c>
      <c r="AP160" s="141">
        <v>90</v>
      </c>
      <c r="AQ160" s="141">
        <v>85.7</v>
      </c>
      <c r="AR160" s="141">
        <v>100</v>
      </c>
      <c r="AS160" s="141">
        <v>90</v>
      </c>
      <c r="AT160" s="141">
        <v>91.7</v>
      </c>
      <c r="AU160" s="141">
        <v>87.5</v>
      </c>
      <c r="AV160" s="141">
        <v>100</v>
      </c>
      <c r="AW160" s="141">
        <v>100</v>
      </c>
      <c r="AX160" s="141">
        <v>92.3</v>
      </c>
      <c r="AY160" s="141">
        <v>100</v>
      </c>
      <c r="AZ160" s="141">
        <v>92.3</v>
      </c>
      <c r="BA160" s="141">
        <v>100</v>
      </c>
      <c r="BB160" s="141">
        <v>90</v>
      </c>
      <c r="BC160" s="141">
        <v>100</v>
      </c>
      <c r="BD160" s="141">
        <v>100</v>
      </c>
      <c r="BE160" s="141">
        <v>100</v>
      </c>
      <c r="BF160" s="141">
        <v>100</v>
      </c>
      <c r="BG160" s="141">
        <v>92.3</v>
      </c>
      <c r="BH160" s="141">
        <v>100</v>
      </c>
      <c r="BI160" s="141"/>
      <c r="BJ160" s="141"/>
      <c r="BK160" s="187"/>
    </row>
    <row r="161" spans="1:79" s="84" customFormat="1" ht="19.5" thickBot="1">
      <c r="A161" s="11" t="s">
        <v>92</v>
      </c>
      <c r="B161" s="98">
        <v>100</v>
      </c>
      <c r="C161" s="98">
        <v>84.6</v>
      </c>
      <c r="D161" s="98">
        <v>80</v>
      </c>
      <c r="E161" s="141">
        <v>100</v>
      </c>
      <c r="F161" s="141">
        <v>84.61</v>
      </c>
      <c r="G161" s="141">
        <v>93.8</v>
      </c>
      <c r="H161" s="141">
        <v>100</v>
      </c>
      <c r="I161" s="141">
        <v>88.9</v>
      </c>
      <c r="J161" s="122">
        <v>90</v>
      </c>
      <c r="K161" s="122">
        <v>92.3</v>
      </c>
      <c r="L161" s="141">
        <v>100</v>
      </c>
      <c r="M161" s="141">
        <v>100</v>
      </c>
      <c r="N161" s="141">
        <v>100</v>
      </c>
      <c r="O161" s="141">
        <v>93.8</v>
      </c>
      <c r="P161" s="141">
        <v>91.7</v>
      </c>
      <c r="Q161" s="141">
        <v>100</v>
      </c>
      <c r="R161" s="141">
        <v>100</v>
      </c>
      <c r="S161" s="141">
        <v>100</v>
      </c>
      <c r="T161" s="141">
        <v>87.5</v>
      </c>
      <c r="U161" s="141">
        <v>92.3</v>
      </c>
      <c r="V161" s="141">
        <v>100</v>
      </c>
      <c r="W161" s="141">
        <v>92.3</v>
      </c>
      <c r="X161" s="141">
        <v>100</v>
      </c>
      <c r="Y161" s="141">
        <v>100</v>
      </c>
      <c r="Z161" s="141">
        <v>80</v>
      </c>
      <c r="AA161" s="141">
        <v>100</v>
      </c>
      <c r="AB161" s="141">
        <v>100</v>
      </c>
      <c r="AC161" s="141">
        <v>100</v>
      </c>
      <c r="AD161" s="141">
        <v>78.599999999999994</v>
      </c>
      <c r="AE161" s="141">
        <v>100</v>
      </c>
      <c r="AF161" s="141">
        <v>83.3</v>
      </c>
      <c r="AG161" s="141">
        <v>80</v>
      </c>
      <c r="AH161" s="141">
        <v>90.9</v>
      </c>
      <c r="AI161" s="141">
        <v>83.3</v>
      </c>
      <c r="AJ161" s="141">
        <v>100</v>
      </c>
      <c r="AK161" s="141">
        <v>100</v>
      </c>
      <c r="AL161" s="141">
        <v>90</v>
      </c>
      <c r="AM161" s="141">
        <v>100</v>
      </c>
      <c r="AN161" s="141">
        <v>100</v>
      </c>
      <c r="AO161" s="141">
        <v>100</v>
      </c>
      <c r="AP161" s="141">
        <v>100</v>
      </c>
      <c r="AQ161" s="141">
        <v>100</v>
      </c>
      <c r="AR161" s="141">
        <v>100</v>
      </c>
      <c r="AS161" s="141">
        <v>100</v>
      </c>
      <c r="AT161" s="141">
        <v>80</v>
      </c>
      <c r="AU161" s="141">
        <v>100</v>
      </c>
      <c r="AV161" s="141">
        <v>100</v>
      </c>
      <c r="AW161" s="141">
        <v>100</v>
      </c>
      <c r="AX161" s="141">
        <v>100</v>
      </c>
      <c r="AY161" s="141">
        <v>100</v>
      </c>
      <c r="AZ161" s="141">
        <v>100</v>
      </c>
      <c r="BA161" s="141">
        <v>100</v>
      </c>
      <c r="BB161" s="141">
        <v>75</v>
      </c>
      <c r="BC161" s="141">
        <v>91.7</v>
      </c>
      <c r="BD161" s="141">
        <v>90</v>
      </c>
      <c r="BE161" s="141">
        <v>84.6</v>
      </c>
      <c r="BF161" s="141">
        <v>87.5</v>
      </c>
      <c r="BG161" s="141">
        <v>83.3</v>
      </c>
      <c r="BH161" s="141">
        <v>100</v>
      </c>
      <c r="BI161" s="141"/>
      <c r="BJ161" s="141"/>
      <c r="BK161" s="187"/>
    </row>
    <row r="162" spans="1:79" s="84" customFormat="1" ht="19.5" thickBot="1">
      <c r="A162" s="11" t="s">
        <v>93</v>
      </c>
      <c r="B162" s="98">
        <v>88.9</v>
      </c>
      <c r="C162" s="98">
        <v>95.7</v>
      </c>
      <c r="D162" s="98">
        <v>93.3</v>
      </c>
      <c r="E162" s="141">
        <v>84.8</v>
      </c>
      <c r="F162" s="141">
        <v>95</v>
      </c>
      <c r="G162" s="141">
        <v>100</v>
      </c>
      <c r="H162" s="141">
        <v>92.6</v>
      </c>
      <c r="I162" s="141">
        <v>91.3</v>
      </c>
      <c r="J162" s="122">
        <v>87.7</v>
      </c>
      <c r="K162" s="122">
        <v>96.4</v>
      </c>
      <c r="L162" s="141">
        <v>100</v>
      </c>
      <c r="M162" s="141">
        <v>95.8</v>
      </c>
      <c r="N162" s="141">
        <v>93.9</v>
      </c>
      <c r="O162" s="141">
        <v>100</v>
      </c>
      <c r="P162" s="141">
        <v>96.6</v>
      </c>
      <c r="Q162" s="141">
        <v>90</v>
      </c>
      <c r="R162" s="141">
        <v>88.9</v>
      </c>
      <c r="S162" s="141">
        <v>96.6</v>
      </c>
      <c r="T162" s="141">
        <v>93.1</v>
      </c>
      <c r="U162" s="141">
        <v>93.5</v>
      </c>
      <c r="V162" s="141">
        <v>87.5</v>
      </c>
      <c r="W162" s="141">
        <v>96</v>
      </c>
      <c r="X162" s="141">
        <v>96.4</v>
      </c>
      <c r="Y162" s="141">
        <v>100</v>
      </c>
      <c r="Z162" s="141">
        <v>90</v>
      </c>
      <c r="AA162" s="141">
        <v>87.5</v>
      </c>
      <c r="AB162" s="141">
        <v>96</v>
      </c>
      <c r="AC162" s="141">
        <v>96.3</v>
      </c>
      <c r="AD162" s="141">
        <v>96.2</v>
      </c>
      <c r="AE162" s="141">
        <v>96.4</v>
      </c>
      <c r="AF162" s="141">
        <v>93.1</v>
      </c>
      <c r="AG162" s="141">
        <v>92.9</v>
      </c>
      <c r="AH162" s="141">
        <v>88.5</v>
      </c>
      <c r="AI162" s="141">
        <v>93.5</v>
      </c>
      <c r="AJ162" s="141">
        <v>100</v>
      </c>
      <c r="AK162" s="141">
        <v>84.6</v>
      </c>
      <c r="AL162" s="141">
        <v>93.1</v>
      </c>
      <c r="AM162" s="141">
        <v>90.3</v>
      </c>
      <c r="AN162" s="141">
        <v>94.3</v>
      </c>
      <c r="AO162" s="141">
        <v>84.4</v>
      </c>
      <c r="AP162" s="141">
        <v>94.3</v>
      </c>
      <c r="AQ162" s="141">
        <v>100</v>
      </c>
      <c r="AR162" s="141">
        <v>88.2</v>
      </c>
      <c r="AS162" s="141">
        <v>93.3</v>
      </c>
      <c r="AT162" s="141">
        <v>86.6</v>
      </c>
      <c r="AU162" s="141">
        <v>100</v>
      </c>
      <c r="AV162" s="141">
        <v>86.7</v>
      </c>
      <c r="AW162" s="141">
        <v>88.9</v>
      </c>
      <c r="AX162" s="141">
        <v>96.4</v>
      </c>
      <c r="AY162" s="141">
        <v>90.6</v>
      </c>
      <c r="AZ162" s="141">
        <v>93.8</v>
      </c>
      <c r="BA162" s="141">
        <v>93.1</v>
      </c>
      <c r="BB162" s="141">
        <v>92</v>
      </c>
      <c r="BC162" s="141">
        <v>93.1</v>
      </c>
      <c r="BD162" s="141">
        <v>89.3</v>
      </c>
      <c r="BE162" s="141">
        <v>86.4</v>
      </c>
      <c r="BF162" s="141">
        <v>91.7</v>
      </c>
      <c r="BG162" s="141">
        <v>90</v>
      </c>
      <c r="BH162" s="141">
        <v>97</v>
      </c>
      <c r="BI162" s="141"/>
      <c r="BJ162" s="141"/>
      <c r="BK162" s="187"/>
    </row>
    <row r="163" spans="1:79" s="1" customFormat="1" ht="19.5" thickBot="1">
      <c r="A163" s="26" t="s">
        <v>94</v>
      </c>
      <c r="B163" s="91">
        <v>92</v>
      </c>
      <c r="C163" s="91">
        <v>92</v>
      </c>
      <c r="D163" s="91">
        <v>92</v>
      </c>
      <c r="E163" s="27">
        <v>92</v>
      </c>
      <c r="F163" s="27">
        <v>92</v>
      </c>
      <c r="G163" s="27">
        <v>92</v>
      </c>
      <c r="H163" s="27">
        <v>92</v>
      </c>
      <c r="I163" s="27">
        <v>92</v>
      </c>
      <c r="J163" s="27">
        <v>92</v>
      </c>
      <c r="K163" s="27">
        <v>92</v>
      </c>
      <c r="L163" s="27">
        <v>92</v>
      </c>
      <c r="M163" s="27">
        <v>92</v>
      </c>
      <c r="N163" s="27">
        <v>92</v>
      </c>
      <c r="O163" s="27">
        <v>92</v>
      </c>
      <c r="P163" s="27">
        <v>92</v>
      </c>
      <c r="Q163" s="27">
        <v>92</v>
      </c>
      <c r="R163" s="27">
        <v>92</v>
      </c>
      <c r="S163" s="27">
        <v>92</v>
      </c>
      <c r="T163" s="27">
        <v>92</v>
      </c>
      <c r="U163" s="27">
        <v>92</v>
      </c>
      <c r="V163" s="27">
        <v>92</v>
      </c>
      <c r="W163" s="27">
        <v>92</v>
      </c>
      <c r="X163" s="27">
        <v>92</v>
      </c>
      <c r="Y163" s="27">
        <v>92</v>
      </c>
      <c r="Z163" s="27">
        <v>92</v>
      </c>
      <c r="AA163" s="27">
        <v>92</v>
      </c>
      <c r="AB163" s="27">
        <v>92</v>
      </c>
      <c r="AC163" s="27">
        <v>92</v>
      </c>
      <c r="AD163" s="27">
        <v>92</v>
      </c>
      <c r="AE163" s="27">
        <v>92</v>
      </c>
      <c r="AF163" s="27">
        <v>92</v>
      </c>
      <c r="AG163" s="27">
        <v>92</v>
      </c>
      <c r="AH163" s="27">
        <v>92</v>
      </c>
      <c r="AI163" s="27">
        <v>92</v>
      </c>
      <c r="AJ163" s="27">
        <v>92</v>
      </c>
      <c r="AK163" s="27">
        <v>92</v>
      </c>
      <c r="AL163" s="27">
        <v>92</v>
      </c>
      <c r="AM163" s="27">
        <v>92</v>
      </c>
      <c r="AN163" s="27">
        <v>92</v>
      </c>
      <c r="AO163" s="27">
        <v>92</v>
      </c>
      <c r="AP163" s="27">
        <v>92</v>
      </c>
      <c r="AQ163" s="27">
        <v>92</v>
      </c>
      <c r="AR163" s="27">
        <v>92</v>
      </c>
      <c r="AS163" s="27">
        <v>92</v>
      </c>
      <c r="AT163" s="27">
        <v>92</v>
      </c>
      <c r="AU163" s="27">
        <v>92</v>
      </c>
      <c r="AV163" s="27">
        <v>92</v>
      </c>
      <c r="AW163" s="27">
        <v>92</v>
      </c>
      <c r="AX163" s="27">
        <v>92</v>
      </c>
      <c r="AY163" s="27">
        <v>92</v>
      </c>
      <c r="AZ163" s="27">
        <v>92</v>
      </c>
      <c r="BA163" s="27">
        <v>92</v>
      </c>
      <c r="BB163" s="27">
        <v>92</v>
      </c>
      <c r="BC163" s="27">
        <v>92</v>
      </c>
      <c r="BD163" s="27">
        <v>92</v>
      </c>
      <c r="BE163" s="27">
        <v>92</v>
      </c>
      <c r="BF163" s="27">
        <v>92</v>
      </c>
      <c r="BG163" s="27">
        <v>92</v>
      </c>
      <c r="BH163" s="27">
        <v>92</v>
      </c>
      <c r="BI163" s="27">
        <v>92</v>
      </c>
      <c r="BJ163" s="27">
        <v>92</v>
      </c>
      <c r="BK163" s="28">
        <v>92</v>
      </c>
      <c r="BL163" s="28">
        <v>92</v>
      </c>
      <c r="BM163" s="28">
        <v>92</v>
      </c>
      <c r="BN163" s="28">
        <v>92</v>
      </c>
      <c r="BO163" s="28">
        <v>92</v>
      </c>
      <c r="BP163" s="28">
        <v>92</v>
      </c>
      <c r="BQ163" s="28">
        <v>92</v>
      </c>
      <c r="BR163" s="28">
        <v>92</v>
      </c>
      <c r="BS163" s="28">
        <v>92</v>
      </c>
      <c r="BT163" s="28">
        <v>92</v>
      </c>
      <c r="BU163" s="28">
        <v>92</v>
      </c>
      <c r="BV163" s="28">
        <v>92</v>
      </c>
      <c r="BW163" s="28">
        <v>92</v>
      </c>
      <c r="BX163" s="28">
        <v>92</v>
      </c>
      <c r="BY163" s="28">
        <v>92</v>
      </c>
      <c r="BZ163" s="28">
        <v>92</v>
      </c>
      <c r="CA163" s="28">
        <v>92</v>
      </c>
    </row>
    <row r="164" spans="1:79" s="19" customFormat="1" ht="19.5" thickBot="1">
      <c r="A164" s="35"/>
      <c r="B164" s="92"/>
      <c r="C164" s="93"/>
      <c r="D164" s="93"/>
      <c r="E164" s="38"/>
      <c r="F164" s="36"/>
      <c r="G164" s="37"/>
      <c r="H164" s="37"/>
      <c r="I164" s="38"/>
      <c r="J164" s="36"/>
      <c r="K164" s="37"/>
      <c r="L164" s="37"/>
      <c r="M164" s="37"/>
      <c r="N164" s="38"/>
      <c r="O164" s="36"/>
      <c r="P164" s="37"/>
      <c r="Q164" s="37"/>
      <c r="R164" s="38"/>
      <c r="S164" s="36"/>
      <c r="T164" s="37"/>
      <c r="U164" s="37"/>
      <c r="V164" s="38"/>
      <c r="W164" s="36"/>
      <c r="X164" s="37"/>
      <c r="Y164" s="37"/>
      <c r="Z164" s="37"/>
      <c r="AA164" s="38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</row>
    <row r="165" spans="1:79" s="72" customFormat="1">
      <c r="A165" s="13" t="s">
        <v>95</v>
      </c>
      <c r="B165" s="97">
        <v>15.1</v>
      </c>
      <c r="C165" s="97">
        <v>14.4</v>
      </c>
      <c r="D165" s="97">
        <v>14.8</v>
      </c>
      <c r="E165" s="139">
        <v>14.5</v>
      </c>
      <c r="F165" s="140">
        <v>13</v>
      </c>
      <c r="G165" s="140">
        <v>13.9</v>
      </c>
      <c r="H165" s="140">
        <v>14.2</v>
      </c>
      <c r="I165" s="140">
        <v>15.3</v>
      </c>
      <c r="J165" s="140">
        <v>15.8</v>
      </c>
      <c r="K165" s="140">
        <v>15.4</v>
      </c>
      <c r="L165" s="140">
        <v>14.2</v>
      </c>
      <c r="M165" s="140">
        <v>14.6</v>
      </c>
      <c r="N165" s="140">
        <v>13.8</v>
      </c>
      <c r="O165" s="140">
        <v>15.1</v>
      </c>
      <c r="P165" s="140">
        <v>16</v>
      </c>
      <c r="Q165" s="140">
        <v>14.4</v>
      </c>
      <c r="R165" s="140">
        <v>15</v>
      </c>
      <c r="S165" s="140">
        <v>14.2</v>
      </c>
      <c r="T165" s="140">
        <v>14.8</v>
      </c>
      <c r="U165" s="140">
        <v>14.3</v>
      </c>
      <c r="V165" s="140">
        <v>16</v>
      </c>
      <c r="W165" s="140">
        <v>15.4</v>
      </c>
      <c r="X165" s="140">
        <v>12.6</v>
      </c>
      <c r="Y165" s="140">
        <v>14.7</v>
      </c>
      <c r="Z165" s="140">
        <v>15.5</v>
      </c>
      <c r="AA165" s="140">
        <v>14.7</v>
      </c>
      <c r="AB165" s="139">
        <v>13</v>
      </c>
      <c r="AC165" s="139">
        <v>14.9</v>
      </c>
      <c r="AD165" s="139">
        <v>15.4</v>
      </c>
      <c r="AE165" s="139">
        <v>13.7</v>
      </c>
      <c r="AF165" s="139">
        <v>14.4</v>
      </c>
      <c r="AG165" s="139">
        <v>14.9</v>
      </c>
      <c r="AH165" s="139">
        <v>14.3</v>
      </c>
      <c r="AI165" s="139">
        <v>13.5</v>
      </c>
      <c r="AJ165" s="139">
        <v>14.6</v>
      </c>
      <c r="AK165" s="139">
        <v>14.4</v>
      </c>
      <c r="AL165" s="139">
        <v>14.3</v>
      </c>
      <c r="AM165" s="139">
        <v>16</v>
      </c>
      <c r="AN165" s="139">
        <v>15.2</v>
      </c>
      <c r="AO165" s="139">
        <v>15.3</v>
      </c>
      <c r="AP165" s="139">
        <v>13.3</v>
      </c>
      <c r="AQ165" s="139">
        <v>14.9</v>
      </c>
      <c r="AR165" s="139">
        <v>14.6</v>
      </c>
      <c r="AS165" s="139">
        <v>15.4</v>
      </c>
      <c r="AT165" s="139">
        <v>14.5</v>
      </c>
      <c r="AU165" s="139">
        <v>16.2</v>
      </c>
      <c r="AV165" s="139">
        <v>17</v>
      </c>
      <c r="AW165" s="139">
        <v>15.4</v>
      </c>
      <c r="AX165" s="139">
        <v>15.3</v>
      </c>
      <c r="AY165" s="139">
        <v>14.2</v>
      </c>
      <c r="AZ165" s="139">
        <v>15.7</v>
      </c>
      <c r="BA165" s="139">
        <v>12.1</v>
      </c>
      <c r="BB165" s="139">
        <v>15.7</v>
      </c>
      <c r="BC165" s="139">
        <v>16</v>
      </c>
      <c r="BD165" s="139">
        <v>14.9</v>
      </c>
      <c r="BE165" s="139">
        <v>16.100000000000001</v>
      </c>
      <c r="BF165" s="139">
        <v>14.8</v>
      </c>
      <c r="BG165" s="139">
        <v>17.399999999999999</v>
      </c>
      <c r="BH165" s="139">
        <v>16.3</v>
      </c>
      <c r="BI165" s="139"/>
      <c r="BJ165" s="139"/>
      <c r="BK165" s="219"/>
    </row>
    <row r="166" spans="1:79" s="72" customFormat="1" ht="19.5" thickBot="1">
      <c r="A166" s="15" t="s">
        <v>96</v>
      </c>
      <c r="B166" s="98">
        <v>14.8</v>
      </c>
      <c r="C166" s="98">
        <v>14.2</v>
      </c>
      <c r="D166" s="98">
        <v>15.9</v>
      </c>
      <c r="E166" s="141">
        <v>14.6</v>
      </c>
      <c r="F166" s="122">
        <v>15.2</v>
      </c>
      <c r="G166" s="122">
        <v>13.6</v>
      </c>
      <c r="H166" s="122">
        <v>15.2</v>
      </c>
      <c r="I166" s="122">
        <v>15.4</v>
      </c>
      <c r="J166" s="122">
        <v>16.399999999999999</v>
      </c>
      <c r="K166" s="122">
        <v>15.1</v>
      </c>
      <c r="L166" s="122">
        <v>12.4</v>
      </c>
      <c r="M166" s="122">
        <v>15.2</v>
      </c>
      <c r="N166" s="122">
        <v>14</v>
      </c>
      <c r="O166" s="122">
        <v>14.9</v>
      </c>
      <c r="P166" s="122">
        <v>15.4</v>
      </c>
      <c r="Q166" s="122">
        <v>12.3</v>
      </c>
      <c r="R166" s="122">
        <v>16.3</v>
      </c>
      <c r="S166" s="122">
        <v>15.6</v>
      </c>
      <c r="T166" s="122">
        <v>13.4</v>
      </c>
      <c r="U166" s="122">
        <v>13.7</v>
      </c>
      <c r="V166" s="122">
        <v>12.1</v>
      </c>
      <c r="W166" s="122">
        <v>13.7</v>
      </c>
      <c r="X166" s="122">
        <v>16.100000000000001</v>
      </c>
      <c r="Y166" s="122">
        <v>16.399999999999999</v>
      </c>
      <c r="Z166" s="122">
        <v>15.5</v>
      </c>
      <c r="AA166" s="122">
        <v>14.2</v>
      </c>
      <c r="AB166" s="141">
        <v>13.3</v>
      </c>
      <c r="AC166" s="141">
        <v>12.7</v>
      </c>
      <c r="AD166" s="141">
        <v>14.8</v>
      </c>
      <c r="AE166" s="141">
        <v>15.8</v>
      </c>
      <c r="AF166" s="141">
        <v>15.7</v>
      </c>
      <c r="AG166" s="141">
        <v>11.4</v>
      </c>
      <c r="AH166" s="141">
        <v>12.5</v>
      </c>
      <c r="AI166" s="141">
        <v>15.2</v>
      </c>
      <c r="AJ166" s="141">
        <v>13.9</v>
      </c>
      <c r="AK166" s="141">
        <v>12.3</v>
      </c>
      <c r="AL166" s="141">
        <v>13.9</v>
      </c>
      <c r="AM166" s="141">
        <v>14.3</v>
      </c>
      <c r="AN166" s="141">
        <v>12.7</v>
      </c>
      <c r="AO166" s="141">
        <v>14.9</v>
      </c>
      <c r="AP166" s="141">
        <v>16.2</v>
      </c>
      <c r="AQ166" s="141">
        <v>15.5</v>
      </c>
      <c r="AR166" s="141">
        <v>16.600000000000001</v>
      </c>
      <c r="AS166" s="141">
        <v>14.4</v>
      </c>
      <c r="AT166" s="141">
        <v>15.6</v>
      </c>
      <c r="AU166" s="141">
        <v>14.3</v>
      </c>
      <c r="AV166" s="141">
        <v>15.8</v>
      </c>
      <c r="AW166" s="141">
        <v>15.3</v>
      </c>
      <c r="AX166" s="141">
        <v>14.7</v>
      </c>
      <c r="AY166" s="141">
        <v>15.5</v>
      </c>
      <c r="AZ166" s="141">
        <v>11.3</v>
      </c>
      <c r="BA166" s="141">
        <v>13.8</v>
      </c>
      <c r="BB166" s="141">
        <v>12</v>
      </c>
      <c r="BC166" s="141">
        <v>14.5</v>
      </c>
      <c r="BD166" s="141">
        <v>15.3</v>
      </c>
      <c r="BE166" s="141">
        <v>12.4</v>
      </c>
      <c r="BF166" s="141">
        <v>14.4</v>
      </c>
      <c r="BG166" s="141">
        <v>12.5</v>
      </c>
      <c r="BH166" s="141">
        <v>14.1</v>
      </c>
      <c r="BI166" s="141"/>
      <c r="BJ166" s="141"/>
      <c r="BK166" s="187"/>
    </row>
    <row r="167" spans="1:79" s="83" customFormat="1" ht="19.5" thickBot="1">
      <c r="A167" s="15" t="s">
        <v>97</v>
      </c>
      <c r="B167" s="94">
        <v>15</v>
      </c>
      <c r="C167" s="94">
        <v>15.2</v>
      </c>
      <c r="D167" s="94">
        <v>14</v>
      </c>
      <c r="E167" s="81">
        <v>15.4</v>
      </c>
      <c r="F167" s="81">
        <v>15.4</v>
      </c>
      <c r="G167" s="81">
        <v>16.2</v>
      </c>
      <c r="H167" s="81">
        <v>15.2</v>
      </c>
      <c r="I167" s="81">
        <v>17.3</v>
      </c>
      <c r="J167" s="81">
        <v>16.8</v>
      </c>
      <c r="K167" s="81">
        <v>15</v>
      </c>
      <c r="L167" s="81">
        <v>15.7</v>
      </c>
      <c r="M167" s="81">
        <v>15.3</v>
      </c>
      <c r="N167" s="81">
        <v>15.9</v>
      </c>
      <c r="O167" s="81">
        <v>14.6</v>
      </c>
      <c r="P167" s="81">
        <v>15.7</v>
      </c>
      <c r="Q167" s="81">
        <v>15.2</v>
      </c>
      <c r="R167" s="81">
        <v>15.8</v>
      </c>
      <c r="S167" s="81">
        <v>15.9</v>
      </c>
      <c r="T167" s="81">
        <v>14.8</v>
      </c>
      <c r="U167" s="81">
        <v>16.3</v>
      </c>
      <c r="V167" s="81">
        <v>15.2</v>
      </c>
      <c r="W167" s="81">
        <v>15.1</v>
      </c>
      <c r="X167" s="81">
        <v>15.1</v>
      </c>
      <c r="Y167" s="81">
        <v>15.5</v>
      </c>
      <c r="Z167" s="81">
        <v>16.5</v>
      </c>
      <c r="AA167" s="81">
        <v>16.5</v>
      </c>
      <c r="AB167" s="81">
        <v>15.9</v>
      </c>
      <c r="AC167" s="81">
        <v>14.2</v>
      </c>
      <c r="AD167" s="81">
        <v>16.2</v>
      </c>
      <c r="AE167" s="81">
        <v>17.100000000000001</v>
      </c>
      <c r="AF167" s="81">
        <v>17.3</v>
      </c>
      <c r="AG167" s="81">
        <v>15</v>
      </c>
      <c r="AH167" s="81">
        <v>15.7</v>
      </c>
      <c r="AI167" s="81">
        <v>15.7</v>
      </c>
      <c r="AJ167" s="81">
        <v>16.3</v>
      </c>
      <c r="AK167" s="81">
        <v>17.2</v>
      </c>
      <c r="AL167" s="81">
        <v>15.8</v>
      </c>
      <c r="AM167" s="81">
        <v>15.3</v>
      </c>
      <c r="AN167" s="81">
        <v>14.7</v>
      </c>
      <c r="AO167" s="81">
        <v>14.7</v>
      </c>
      <c r="AP167" s="81">
        <v>14</v>
      </c>
      <c r="AQ167" s="81">
        <v>14.1</v>
      </c>
      <c r="AR167" s="81">
        <v>15</v>
      </c>
      <c r="AS167" s="81">
        <v>15.9</v>
      </c>
      <c r="AT167" s="81">
        <v>15.2</v>
      </c>
      <c r="AU167" s="81">
        <v>15.6</v>
      </c>
      <c r="AV167" s="81">
        <v>15.5</v>
      </c>
      <c r="AW167" s="81">
        <v>15</v>
      </c>
      <c r="AX167" s="81">
        <v>15.4</v>
      </c>
      <c r="AY167" s="81">
        <v>15.1</v>
      </c>
      <c r="AZ167" s="81">
        <v>16.2</v>
      </c>
      <c r="BA167" s="81">
        <v>15.6</v>
      </c>
      <c r="BB167" s="81">
        <v>14.8</v>
      </c>
      <c r="BC167" s="81">
        <v>13.3</v>
      </c>
      <c r="BD167" s="81">
        <v>14.8</v>
      </c>
      <c r="BE167" s="81">
        <v>14.6</v>
      </c>
      <c r="BF167" s="81">
        <v>15</v>
      </c>
      <c r="BG167" s="81">
        <v>15.5</v>
      </c>
      <c r="BH167" s="81">
        <v>15.5</v>
      </c>
      <c r="BI167" s="81"/>
      <c r="BJ167" s="81"/>
      <c r="BK167" s="82"/>
    </row>
    <row r="168" spans="1:79" s="17" customFormat="1" ht="19.5" thickBot="1">
      <c r="A168" s="32" t="s">
        <v>98</v>
      </c>
      <c r="B168" s="95">
        <v>15</v>
      </c>
      <c r="C168" s="95">
        <v>15</v>
      </c>
      <c r="D168" s="95">
        <v>15</v>
      </c>
      <c r="E168" s="34">
        <v>15</v>
      </c>
      <c r="F168" s="34">
        <v>15</v>
      </c>
      <c r="G168" s="34">
        <v>15</v>
      </c>
      <c r="H168" s="34">
        <v>15</v>
      </c>
      <c r="I168" s="34">
        <v>15</v>
      </c>
      <c r="J168" s="34">
        <v>15</v>
      </c>
      <c r="K168" s="34">
        <v>15</v>
      </c>
      <c r="L168" s="34">
        <v>15</v>
      </c>
      <c r="M168" s="34">
        <v>15</v>
      </c>
      <c r="N168" s="34">
        <v>15</v>
      </c>
      <c r="O168" s="34">
        <v>15</v>
      </c>
      <c r="P168" s="34">
        <v>15</v>
      </c>
      <c r="Q168" s="34">
        <v>15</v>
      </c>
      <c r="R168" s="34">
        <v>15</v>
      </c>
      <c r="S168" s="34">
        <v>15</v>
      </c>
      <c r="T168" s="34">
        <v>15</v>
      </c>
      <c r="U168" s="34">
        <v>15</v>
      </c>
      <c r="V168" s="34">
        <v>15</v>
      </c>
      <c r="W168" s="34">
        <v>15</v>
      </c>
      <c r="X168" s="34">
        <v>15</v>
      </c>
      <c r="Y168" s="34">
        <v>15</v>
      </c>
      <c r="Z168" s="34">
        <v>15</v>
      </c>
      <c r="AA168" s="34">
        <v>15</v>
      </c>
      <c r="AB168" s="34">
        <v>15</v>
      </c>
      <c r="AC168" s="34">
        <v>15</v>
      </c>
      <c r="AD168" s="34">
        <v>15</v>
      </c>
      <c r="AE168" s="34">
        <v>15</v>
      </c>
      <c r="AF168" s="34">
        <v>15</v>
      </c>
      <c r="AG168" s="34">
        <v>15</v>
      </c>
      <c r="AH168" s="34">
        <v>15</v>
      </c>
      <c r="AI168" s="34">
        <v>15</v>
      </c>
      <c r="AJ168" s="34">
        <v>15</v>
      </c>
      <c r="AK168" s="34">
        <v>15</v>
      </c>
      <c r="AL168" s="34">
        <v>15</v>
      </c>
      <c r="AM168" s="34">
        <v>15</v>
      </c>
      <c r="AN168" s="34">
        <v>15</v>
      </c>
      <c r="AO168" s="34">
        <v>15</v>
      </c>
      <c r="AP168" s="34">
        <v>15</v>
      </c>
      <c r="AQ168" s="34">
        <v>15</v>
      </c>
      <c r="AR168" s="34">
        <v>15</v>
      </c>
      <c r="AS168" s="34">
        <v>15</v>
      </c>
      <c r="AT168" s="34">
        <v>15</v>
      </c>
      <c r="AU168" s="34">
        <v>15</v>
      </c>
      <c r="AV168" s="34">
        <v>15</v>
      </c>
      <c r="AW168" s="34">
        <v>15</v>
      </c>
      <c r="AX168" s="34">
        <v>15</v>
      </c>
      <c r="AY168" s="34">
        <v>15</v>
      </c>
      <c r="AZ168" s="34">
        <v>15</v>
      </c>
      <c r="BA168" s="34">
        <v>15</v>
      </c>
      <c r="BB168" s="34">
        <v>15</v>
      </c>
      <c r="BC168" s="34">
        <v>15</v>
      </c>
      <c r="BD168" s="34">
        <v>15</v>
      </c>
      <c r="BE168" s="34">
        <v>15</v>
      </c>
      <c r="BF168" s="34">
        <v>15</v>
      </c>
      <c r="BG168" s="34">
        <v>15</v>
      </c>
      <c r="BH168" s="34">
        <v>15</v>
      </c>
      <c r="BI168" s="34">
        <v>15</v>
      </c>
      <c r="BJ168" s="34">
        <v>15</v>
      </c>
      <c r="BK168" s="41">
        <v>15</v>
      </c>
      <c r="BL168" s="41">
        <v>15</v>
      </c>
      <c r="BM168" s="41">
        <v>15</v>
      </c>
      <c r="BN168" s="41">
        <v>15</v>
      </c>
      <c r="BO168" s="41">
        <v>15</v>
      </c>
      <c r="BP168" s="41">
        <v>15</v>
      </c>
      <c r="BQ168" s="41">
        <v>15</v>
      </c>
      <c r="BR168" s="41">
        <v>15</v>
      </c>
      <c r="BS168" s="41">
        <v>15</v>
      </c>
      <c r="BT168" s="41">
        <v>15</v>
      </c>
      <c r="BU168" s="41">
        <v>15</v>
      </c>
      <c r="BV168" s="41">
        <v>15</v>
      </c>
      <c r="BW168" s="41">
        <v>15</v>
      </c>
      <c r="BX168" s="41">
        <v>15</v>
      </c>
      <c r="BY168" s="41">
        <v>15</v>
      </c>
      <c r="BZ168" s="41">
        <v>15</v>
      </c>
      <c r="CA168" s="41">
        <v>15</v>
      </c>
    </row>
    <row r="169" spans="1:79" s="19" customFormat="1">
      <c r="A169" s="39" t="s">
        <v>99</v>
      </c>
      <c r="B169" s="96">
        <v>15</v>
      </c>
      <c r="C169" s="96">
        <v>14.8</v>
      </c>
      <c r="D169" s="96">
        <v>14.6</v>
      </c>
      <c r="E169" s="31">
        <v>15.1</v>
      </c>
      <c r="F169" s="31">
        <v>14.4</v>
      </c>
      <c r="G169" s="31">
        <v>14.7</v>
      </c>
      <c r="H169" s="31">
        <v>14.9</v>
      </c>
      <c r="I169" s="31">
        <v>16.3</v>
      </c>
      <c r="J169" s="31">
        <v>16.5</v>
      </c>
      <c r="K169" s="31">
        <v>15.2</v>
      </c>
      <c r="L169" s="31">
        <v>15</v>
      </c>
      <c r="M169" s="31">
        <v>15</v>
      </c>
      <c r="N169" s="31">
        <v>15.2</v>
      </c>
      <c r="O169" s="31">
        <v>14.9</v>
      </c>
      <c r="P169" s="31">
        <v>15.7</v>
      </c>
      <c r="Q169" s="31">
        <v>14.4</v>
      </c>
      <c r="R169" s="31">
        <v>15.7</v>
      </c>
      <c r="S169" s="31">
        <v>15.6</v>
      </c>
      <c r="T169" s="31">
        <v>14.6</v>
      </c>
      <c r="U169" s="31">
        <v>15.3</v>
      </c>
      <c r="V169" s="31">
        <v>14.8</v>
      </c>
      <c r="W169" s="31">
        <v>14.8</v>
      </c>
      <c r="X169" s="31">
        <v>14.8</v>
      </c>
      <c r="Y169" s="31">
        <v>15.3</v>
      </c>
      <c r="Z169" s="31">
        <v>16.100000000000001</v>
      </c>
      <c r="AA169" s="31">
        <v>15.4</v>
      </c>
      <c r="AB169" s="31">
        <v>14.6</v>
      </c>
      <c r="AC169" s="31">
        <v>14.1</v>
      </c>
      <c r="AD169" s="31">
        <v>15.7</v>
      </c>
      <c r="AE169" s="31">
        <v>15.9</v>
      </c>
      <c r="AF169" s="31">
        <v>16.3</v>
      </c>
      <c r="AG169" s="31">
        <v>14.4</v>
      </c>
      <c r="AH169" s="31">
        <v>14.6</v>
      </c>
      <c r="AI169" s="31">
        <v>15</v>
      </c>
      <c r="AJ169" s="31">
        <v>15.2</v>
      </c>
      <c r="AK169" s="31">
        <v>15.3</v>
      </c>
      <c r="AL169" s="31">
        <v>15.1</v>
      </c>
      <c r="AM169" s="31">
        <v>15.2</v>
      </c>
      <c r="AN169" s="31">
        <v>14.6</v>
      </c>
      <c r="AO169" s="31">
        <v>14.8</v>
      </c>
      <c r="AP169" s="31">
        <v>14.2</v>
      </c>
      <c r="AQ169" s="31">
        <v>14.3</v>
      </c>
      <c r="AR169" s="31">
        <v>15.1</v>
      </c>
      <c r="AS169" s="31">
        <v>15.5</v>
      </c>
      <c r="AT169" s="31">
        <v>15.1</v>
      </c>
      <c r="AU169" s="31">
        <v>15.4</v>
      </c>
      <c r="AV169" s="31">
        <v>15.8</v>
      </c>
      <c r="AW169" s="31">
        <v>15.2</v>
      </c>
      <c r="AX169" s="31">
        <v>15.3</v>
      </c>
      <c r="AY169" s="31">
        <v>15.1</v>
      </c>
      <c r="AZ169" s="31">
        <v>15.4</v>
      </c>
      <c r="BA169" s="31">
        <v>14.5</v>
      </c>
      <c r="BB169" s="31">
        <v>14.4</v>
      </c>
      <c r="BC169" s="31">
        <v>14</v>
      </c>
      <c r="BD169" s="31">
        <v>15</v>
      </c>
      <c r="BE169" s="31">
        <v>14.6</v>
      </c>
      <c r="BF169" s="31">
        <v>14.8</v>
      </c>
      <c r="BG169" s="31">
        <v>15.2</v>
      </c>
      <c r="BH169" s="31">
        <v>15.5</v>
      </c>
      <c r="BI169" s="31"/>
      <c r="BJ169" s="31"/>
      <c r="BK169" s="31"/>
    </row>
    <row r="170" spans="1:79" s="204" customFormat="1">
      <c r="A170" s="77" t="s">
        <v>100</v>
      </c>
      <c r="B170" s="208">
        <v>0.81200000000000006</v>
      </c>
      <c r="C170" s="208">
        <v>1.1499999999999999</v>
      </c>
      <c r="D170" s="208">
        <v>0.4</v>
      </c>
      <c r="E170" s="165">
        <v>0.5</v>
      </c>
      <c r="F170" s="165">
        <v>0.58799999999999997</v>
      </c>
      <c r="G170" s="165">
        <v>0.46600000000000003</v>
      </c>
      <c r="H170" s="165">
        <v>0.36299999999999999</v>
      </c>
      <c r="I170" s="165">
        <v>0.35699999999999998</v>
      </c>
      <c r="J170" s="165">
        <v>0.76900000000000002</v>
      </c>
      <c r="K170" s="165">
        <v>0.33300000000000002</v>
      </c>
      <c r="L170" s="165">
        <v>0.46100000000000002</v>
      </c>
      <c r="M170" s="165">
        <v>0.35699999999999998</v>
      </c>
      <c r="N170" s="165">
        <v>1</v>
      </c>
      <c r="O170" s="165">
        <v>0.28499999999999998</v>
      </c>
      <c r="P170" s="165">
        <v>0.42799999999999999</v>
      </c>
      <c r="Q170" s="165">
        <v>1.0900000000000001</v>
      </c>
      <c r="R170" s="165">
        <v>0.5</v>
      </c>
      <c r="S170" s="165">
        <v>0.83299999999999996</v>
      </c>
      <c r="T170" s="165">
        <v>0.6</v>
      </c>
      <c r="U170" s="165">
        <v>1.28</v>
      </c>
      <c r="V170" s="165">
        <v>0.4</v>
      </c>
      <c r="W170" s="165">
        <v>0.66600000000000004</v>
      </c>
      <c r="X170" s="165">
        <v>2</v>
      </c>
      <c r="Y170" s="165">
        <v>0.93700000000000006</v>
      </c>
      <c r="Z170" s="165">
        <v>1.0900000000000001</v>
      </c>
      <c r="AA170" s="165">
        <v>0.85699999999999998</v>
      </c>
      <c r="AB170" s="165">
        <v>1.5</v>
      </c>
      <c r="AC170" s="165">
        <v>1.0900000000000001</v>
      </c>
      <c r="AD170" s="165">
        <v>1.1000000000000001</v>
      </c>
      <c r="AE170" s="165">
        <v>1.58</v>
      </c>
      <c r="AF170" s="165">
        <v>0.67</v>
      </c>
      <c r="AG170" s="165">
        <v>0.64</v>
      </c>
      <c r="AH170" s="165">
        <v>1.1599999999999999</v>
      </c>
      <c r="AI170" s="165">
        <v>0.67</v>
      </c>
      <c r="AJ170" s="165">
        <v>0.47</v>
      </c>
      <c r="AK170" s="165">
        <v>0.4</v>
      </c>
      <c r="AL170" s="165">
        <v>1.1100000000000001</v>
      </c>
      <c r="AM170" s="165">
        <v>0.5</v>
      </c>
      <c r="AN170" s="165">
        <v>0.67</v>
      </c>
      <c r="AO170" s="165">
        <v>0.78</v>
      </c>
      <c r="AP170" s="165">
        <v>0.85699999999999998</v>
      </c>
      <c r="AQ170" s="165">
        <v>1</v>
      </c>
      <c r="AR170" s="165">
        <v>1.1000000000000001</v>
      </c>
      <c r="AS170" s="165">
        <v>0.625</v>
      </c>
      <c r="AT170" s="165">
        <v>0.69</v>
      </c>
      <c r="AU170" s="165">
        <v>0.67</v>
      </c>
      <c r="AV170" s="165">
        <v>0.71399999999999997</v>
      </c>
      <c r="AW170" s="165">
        <v>0.36</v>
      </c>
      <c r="AX170" s="165">
        <v>0.35699999999999998</v>
      </c>
      <c r="AY170" s="165">
        <v>1</v>
      </c>
      <c r="AZ170" s="165">
        <v>0.86</v>
      </c>
      <c r="BA170" s="165">
        <v>2</v>
      </c>
      <c r="BB170" s="165">
        <v>0.72699999999999998</v>
      </c>
      <c r="BC170" s="165">
        <v>0.42799999999999999</v>
      </c>
      <c r="BD170" s="165">
        <v>0.36</v>
      </c>
      <c r="BE170" s="165">
        <v>0.64</v>
      </c>
      <c r="BF170" s="165">
        <v>0.36299999999999999</v>
      </c>
      <c r="BG170" s="165">
        <v>0.84599999999999997</v>
      </c>
      <c r="BH170" s="165">
        <v>0.33</v>
      </c>
      <c r="BI170" s="165"/>
      <c r="BJ170" s="165"/>
      <c r="BK170" s="165"/>
    </row>
    <row r="171" spans="1:79" s="204" customFormat="1">
      <c r="A171" s="77" t="s">
        <v>101</v>
      </c>
      <c r="B171" s="208">
        <v>0.25</v>
      </c>
      <c r="C171" s="208">
        <v>0.66600000000000004</v>
      </c>
      <c r="D171" s="208">
        <v>0.35699999999999998</v>
      </c>
      <c r="E171" s="165">
        <v>0.3</v>
      </c>
      <c r="F171" s="165">
        <v>0.84599999999999997</v>
      </c>
      <c r="G171" s="165">
        <v>0.5</v>
      </c>
      <c r="H171" s="165">
        <v>0.76900000000000002</v>
      </c>
      <c r="I171" s="165">
        <v>1.8879999999999999</v>
      </c>
      <c r="J171" s="165">
        <v>0.33300000000000002</v>
      </c>
      <c r="K171" s="165">
        <v>1.363</v>
      </c>
      <c r="L171" s="165">
        <v>0.8</v>
      </c>
      <c r="M171" s="165">
        <v>0.58299999999999996</v>
      </c>
      <c r="N171" s="165">
        <v>0.36299999999999999</v>
      </c>
      <c r="O171" s="165">
        <v>0.56200000000000006</v>
      </c>
      <c r="P171" s="165">
        <v>0.8</v>
      </c>
      <c r="Q171" s="165">
        <v>0.9</v>
      </c>
      <c r="R171" s="165">
        <v>0.7</v>
      </c>
      <c r="S171" s="165">
        <v>0.4</v>
      </c>
      <c r="T171" s="165">
        <v>0.71399999999999997</v>
      </c>
      <c r="U171" s="165">
        <v>1.41</v>
      </c>
      <c r="V171" s="165">
        <v>0.42799999999999999</v>
      </c>
      <c r="W171" s="165">
        <v>0.27200000000000002</v>
      </c>
      <c r="X171" s="165">
        <v>0.42799999999999999</v>
      </c>
      <c r="Y171" s="165">
        <v>1.4</v>
      </c>
      <c r="Z171" s="165">
        <v>0.625</v>
      </c>
      <c r="AA171" s="165">
        <v>1</v>
      </c>
      <c r="AB171" s="165">
        <v>0.5</v>
      </c>
      <c r="AC171" s="165">
        <v>0.66600000000000004</v>
      </c>
      <c r="AD171" s="165">
        <v>0.72699999999999998</v>
      </c>
      <c r="AE171" s="165">
        <v>0.23</v>
      </c>
      <c r="AF171" s="165">
        <v>0.5</v>
      </c>
      <c r="AG171" s="165">
        <v>1.71</v>
      </c>
      <c r="AH171" s="165">
        <v>0.6</v>
      </c>
      <c r="AI171" s="165">
        <v>0.2</v>
      </c>
      <c r="AJ171" s="165">
        <v>0.3</v>
      </c>
      <c r="AK171" s="165">
        <v>0.33</v>
      </c>
      <c r="AL171" s="165">
        <v>1.1100000000000001</v>
      </c>
      <c r="AM171" s="165">
        <v>0.86</v>
      </c>
      <c r="AN171" s="165">
        <v>0.33</v>
      </c>
      <c r="AO171" s="165">
        <v>1</v>
      </c>
      <c r="AP171" s="165">
        <v>1</v>
      </c>
      <c r="AQ171" s="165"/>
      <c r="AR171" s="165">
        <v>0.43</v>
      </c>
      <c r="AS171" s="165">
        <v>0.5</v>
      </c>
      <c r="AT171" s="165">
        <v>0.44</v>
      </c>
      <c r="AU171" s="165">
        <v>0.3</v>
      </c>
      <c r="AV171" s="165">
        <v>0.84599999999999997</v>
      </c>
      <c r="AW171" s="165">
        <v>0.7</v>
      </c>
      <c r="AX171" s="165">
        <v>0.33</v>
      </c>
      <c r="AY171" s="165">
        <v>0.64</v>
      </c>
      <c r="AZ171" s="165">
        <v>0.67</v>
      </c>
      <c r="BA171" s="165">
        <v>1.44</v>
      </c>
      <c r="BB171" s="165">
        <v>0.45</v>
      </c>
      <c r="BC171" s="165">
        <v>0.45400000000000001</v>
      </c>
      <c r="BD171" s="165">
        <v>1</v>
      </c>
      <c r="BE171" s="165">
        <v>0.8</v>
      </c>
      <c r="BF171" s="165">
        <v>0.78600000000000003</v>
      </c>
      <c r="BG171" s="165">
        <v>0.33</v>
      </c>
      <c r="BH171" s="165">
        <v>0.86</v>
      </c>
      <c r="BI171" s="165"/>
      <c r="BJ171" s="165"/>
      <c r="BK171" s="165"/>
    </row>
    <row r="172" spans="1:79" s="204" customFormat="1">
      <c r="A172" s="77" t="s">
        <v>102</v>
      </c>
      <c r="B172" s="208">
        <v>0.81799999999999995</v>
      </c>
      <c r="C172" s="208">
        <v>0.95599999999999996</v>
      </c>
      <c r="D172" s="208">
        <v>0.92300000000000004</v>
      </c>
      <c r="E172" s="165">
        <v>0.85699999999999998</v>
      </c>
      <c r="F172" s="165">
        <v>1.41</v>
      </c>
      <c r="G172" s="165">
        <v>0.89400000000000002</v>
      </c>
      <c r="H172" s="165">
        <v>1.1359999999999999</v>
      </c>
      <c r="I172" s="165">
        <v>0.70799999999999996</v>
      </c>
      <c r="J172" s="165">
        <v>0.84599999999999997</v>
      </c>
      <c r="K172" s="165">
        <v>1.1479999999999999</v>
      </c>
      <c r="L172" s="165">
        <v>0.83299999999999996</v>
      </c>
      <c r="M172" s="165">
        <v>1.04</v>
      </c>
      <c r="N172" s="165">
        <v>1.06</v>
      </c>
      <c r="O172" s="165">
        <v>1.17</v>
      </c>
      <c r="P172" s="165">
        <v>0.92800000000000005</v>
      </c>
      <c r="Q172" s="165">
        <v>0.76900000000000002</v>
      </c>
      <c r="R172" s="165">
        <v>0.88800000000000001</v>
      </c>
      <c r="S172" s="165">
        <v>0.86199999999999999</v>
      </c>
      <c r="T172" s="165">
        <v>0.629</v>
      </c>
      <c r="U172" s="165">
        <v>0.72</v>
      </c>
      <c r="V172" s="165">
        <v>0.437</v>
      </c>
      <c r="W172" s="165">
        <v>1.2</v>
      </c>
      <c r="X172" s="165">
        <v>1.6</v>
      </c>
      <c r="Y172" s="165">
        <v>1.67</v>
      </c>
      <c r="Z172" s="165">
        <v>0.96499999999999997</v>
      </c>
      <c r="AA172" s="165">
        <v>0.77200000000000002</v>
      </c>
      <c r="AB172" s="165">
        <v>0.72</v>
      </c>
      <c r="AC172" s="165">
        <v>1.72</v>
      </c>
      <c r="AD172" s="165">
        <v>1.2589999999999999</v>
      </c>
      <c r="AE172" s="165">
        <v>1.0900000000000001</v>
      </c>
      <c r="AF172" s="165">
        <v>0.71</v>
      </c>
      <c r="AG172" s="165">
        <v>1.1100000000000001</v>
      </c>
      <c r="AH172" s="165">
        <v>0.75</v>
      </c>
      <c r="AI172" s="165">
        <v>0.55000000000000004</v>
      </c>
      <c r="AJ172" s="165">
        <v>0.7</v>
      </c>
      <c r="AK172" s="165">
        <v>0.52</v>
      </c>
      <c r="AL172" s="165">
        <v>0.59</v>
      </c>
      <c r="AM172" s="165">
        <v>1</v>
      </c>
      <c r="AN172" s="165">
        <v>0.68</v>
      </c>
      <c r="AO172" s="165">
        <v>0.48</v>
      </c>
      <c r="AP172" s="165">
        <v>0.57499999999999996</v>
      </c>
      <c r="AQ172" s="165">
        <v>1.29</v>
      </c>
      <c r="AR172" s="165">
        <v>1.36</v>
      </c>
      <c r="AS172" s="165">
        <v>1.0680000000000001</v>
      </c>
      <c r="AT172" s="165">
        <v>1.05</v>
      </c>
      <c r="AU172" s="165">
        <v>0.65</v>
      </c>
      <c r="AV172" s="165">
        <v>0.77700000000000002</v>
      </c>
      <c r="AW172" s="165">
        <v>1.1599999999999999</v>
      </c>
      <c r="AX172" s="165">
        <v>0.85</v>
      </c>
      <c r="AY172" s="165">
        <v>0.54</v>
      </c>
      <c r="AZ172" s="165">
        <v>1.48</v>
      </c>
      <c r="BA172" s="165">
        <v>1.04</v>
      </c>
      <c r="BB172" s="165">
        <v>1.0900000000000001</v>
      </c>
      <c r="BC172" s="165">
        <v>0.77700000000000002</v>
      </c>
      <c r="BD172" s="165">
        <v>1.08</v>
      </c>
      <c r="BE172" s="165">
        <v>1.1000000000000001</v>
      </c>
      <c r="BF172" s="165">
        <v>1.0469999999999999</v>
      </c>
      <c r="BG172" s="165">
        <v>1.23</v>
      </c>
      <c r="BH172" s="165">
        <v>1.24</v>
      </c>
      <c r="BI172" s="165"/>
      <c r="BJ172" s="165"/>
      <c r="BK172" s="165"/>
    </row>
    <row r="173" spans="1:79" s="204" customFormat="1">
      <c r="A173" s="20" t="s">
        <v>103</v>
      </c>
      <c r="B173" s="205">
        <v>0.7</v>
      </c>
      <c r="C173" s="205">
        <v>0.7</v>
      </c>
      <c r="D173" s="205">
        <v>0.7</v>
      </c>
      <c r="E173" s="205">
        <v>0.7</v>
      </c>
      <c r="F173" s="205">
        <v>0.7</v>
      </c>
      <c r="G173" s="205">
        <v>0.7</v>
      </c>
      <c r="H173" s="205">
        <v>0.7</v>
      </c>
      <c r="I173" s="205">
        <v>0.7</v>
      </c>
      <c r="J173" s="205">
        <v>0.7</v>
      </c>
      <c r="K173" s="205">
        <v>0.7</v>
      </c>
      <c r="L173" s="205">
        <v>0.7</v>
      </c>
      <c r="M173" s="205">
        <v>0.7</v>
      </c>
      <c r="N173" s="205">
        <v>0.7</v>
      </c>
      <c r="O173" s="205">
        <v>0.7</v>
      </c>
      <c r="P173" s="205">
        <v>0.7</v>
      </c>
      <c r="Q173" s="205">
        <v>0.7</v>
      </c>
      <c r="R173" s="205">
        <v>0.7</v>
      </c>
      <c r="S173" s="205">
        <v>0.7</v>
      </c>
      <c r="T173" s="205">
        <v>0.7</v>
      </c>
      <c r="U173" s="205">
        <v>0.7</v>
      </c>
      <c r="V173" s="205">
        <v>0.7</v>
      </c>
      <c r="W173" s="205">
        <v>0.7</v>
      </c>
      <c r="X173" s="205">
        <v>0.7</v>
      </c>
      <c r="Y173" s="205">
        <v>0.7</v>
      </c>
      <c r="Z173" s="205">
        <v>0.7</v>
      </c>
      <c r="AA173" s="205">
        <v>0.7</v>
      </c>
      <c r="AB173" s="205">
        <v>0.7</v>
      </c>
      <c r="AC173" s="205">
        <v>0.7</v>
      </c>
      <c r="AD173" s="205">
        <v>0.7</v>
      </c>
      <c r="AE173" s="205">
        <v>0.7</v>
      </c>
      <c r="AF173" s="205">
        <v>0.7</v>
      </c>
      <c r="AG173" s="205">
        <v>0.7</v>
      </c>
      <c r="AH173" s="205">
        <v>0.7</v>
      </c>
      <c r="AI173" s="205">
        <v>0.7</v>
      </c>
      <c r="AJ173" s="205">
        <v>0.7</v>
      </c>
      <c r="AK173" s="205">
        <v>0.7</v>
      </c>
      <c r="AL173" s="205">
        <v>0.7</v>
      </c>
      <c r="AM173" s="205">
        <v>0.7</v>
      </c>
      <c r="AN173" s="205">
        <v>0.7</v>
      </c>
      <c r="AO173" s="205">
        <v>0.7</v>
      </c>
      <c r="AP173" s="205">
        <v>0.7</v>
      </c>
      <c r="AQ173" s="205">
        <v>0.7</v>
      </c>
      <c r="AR173" s="205">
        <v>0.7</v>
      </c>
      <c r="AS173" s="205">
        <v>0.7</v>
      </c>
      <c r="AT173" s="205">
        <v>0.7</v>
      </c>
      <c r="AU173" s="205">
        <v>0.7</v>
      </c>
      <c r="AV173" s="205">
        <v>0.7</v>
      </c>
      <c r="AW173" s="205">
        <v>0.7</v>
      </c>
      <c r="AX173" s="205">
        <v>0.7</v>
      </c>
      <c r="AY173" s="205">
        <v>0.7</v>
      </c>
      <c r="AZ173" s="205">
        <v>0.7</v>
      </c>
      <c r="BA173" s="205">
        <v>0.7</v>
      </c>
      <c r="BB173" s="205">
        <v>0.7</v>
      </c>
      <c r="BC173" s="205">
        <v>0.7</v>
      </c>
      <c r="BD173" s="205">
        <v>0.7</v>
      </c>
      <c r="BE173" s="205">
        <v>0.7</v>
      </c>
      <c r="BF173" s="205">
        <v>0.7</v>
      </c>
      <c r="BG173" s="205">
        <v>0.7</v>
      </c>
      <c r="BH173" s="205">
        <v>0.7</v>
      </c>
      <c r="BI173" s="205">
        <v>0.7</v>
      </c>
      <c r="BJ173" s="205">
        <v>0.7</v>
      </c>
      <c r="BK173" s="205">
        <v>0.7</v>
      </c>
      <c r="BL173" s="205">
        <v>0.7</v>
      </c>
      <c r="BM173" s="205">
        <v>0.7</v>
      </c>
      <c r="BN173" s="205">
        <v>0.7</v>
      </c>
      <c r="BO173" s="205">
        <v>0.7</v>
      </c>
      <c r="BP173" s="205">
        <v>0.7</v>
      </c>
      <c r="BQ173" s="205">
        <v>0.7</v>
      </c>
      <c r="BR173" s="205">
        <v>0.7</v>
      </c>
      <c r="BS173" s="205">
        <v>0.7</v>
      </c>
      <c r="BT173" s="205">
        <v>0.7</v>
      </c>
      <c r="BU173" s="205">
        <v>0.7</v>
      </c>
      <c r="BV173" s="205">
        <v>0.7</v>
      </c>
      <c r="BW173" s="205">
        <v>0.7</v>
      </c>
      <c r="BX173" s="205">
        <v>0.7</v>
      </c>
      <c r="BY173" s="205">
        <v>0.7</v>
      </c>
      <c r="BZ173" s="205">
        <v>0.7</v>
      </c>
      <c r="CA173" s="205">
        <v>0.7</v>
      </c>
    </row>
    <row r="174" spans="1:79" s="19" customFormat="1" ht="19.5" thickBot="1">
      <c r="A174" s="39"/>
      <c r="B174" s="96"/>
      <c r="C174" s="96"/>
      <c r="D174" s="96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</row>
    <row r="175" spans="1:79" s="73" customFormat="1" ht="19.5" thickBot="1">
      <c r="A175" s="46" t="s">
        <v>104</v>
      </c>
      <c r="B175" s="142">
        <v>2.1999999999999999E-2</v>
      </c>
      <c r="C175" s="142">
        <v>0.03</v>
      </c>
      <c r="D175" s="142">
        <v>0.02</v>
      </c>
      <c r="E175" s="142">
        <v>4.5999999999999999E-2</v>
      </c>
      <c r="F175" s="142">
        <v>5.7000000000000002E-2</v>
      </c>
      <c r="G175" s="142">
        <v>3.3000000000000002E-2</v>
      </c>
      <c r="H175" s="142">
        <v>3.2000000000000001E-2</v>
      </c>
      <c r="I175" s="142">
        <v>3.7999999999999999E-2</v>
      </c>
      <c r="J175" s="142">
        <v>5.2999999999999999E-2</v>
      </c>
      <c r="K175" s="142">
        <v>5.2999999999999999E-2</v>
      </c>
      <c r="L175" s="142">
        <v>2.7E-2</v>
      </c>
      <c r="M175" s="142">
        <v>2.5999999999999999E-2</v>
      </c>
      <c r="N175" s="142">
        <v>1.4999999999999999E-2</v>
      </c>
      <c r="O175" s="142">
        <v>3.3000000000000002E-2</v>
      </c>
      <c r="P175" s="142">
        <v>0.04</v>
      </c>
      <c r="Q175" s="142">
        <v>2.5000000000000001E-2</v>
      </c>
      <c r="R175" s="142">
        <v>3.1E-2</v>
      </c>
      <c r="S175" s="142">
        <v>2.5999999999999999E-2</v>
      </c>
      <c r="T175" s="142">
        <v>3.6999999999999998E-2</v>
      </c>
      <c r="U175" s="142">
        <v>2.1000000000000001E-2</v>
      </c>
      <c r="V175" s="142">
        <v>4.7E-2</v>
      </c>
      <c r="W175" s="142">
        <v>2.1999999999999999E-2</v>
      </c>
      <c r="X175" s="142">
        <v>2.5999999999999999E-2</v>
      </c>
      <c r="Y175" s="142">
        <v>3.5999999999999997E-2</v>
      </c>
      <c r="Z175" s="142">
        <v>2.7E-2</v>
      </c>
      <c r="AA175" s="142">
        <v>0.04</v>
      </c>
      <c r="AB175" s="142">
        <v>6.2E-2</v>
      </c>
      <c r="AC175" s="142">
        <v>2.9000000000000001E-2</v>
      </c>
      <c r="AD175" s="142">
        <v>3.2000000000000001E-2</v>
      </c>
      <c r="AE175" s="142">
        <v>2.7E-2</v>
      </c>
      <c r="AF175" s="142">
        <v>2.8000000000000001E-2</v>
      </c>
      <c r="AG175" s="142">
        <v>1.7999999999999999E-2</v>
      </c>
      <c r="AH175" s="142">
        <v>3.4000000000000002E-2</v>
      </c>
      <c r="AI175" s="142">
        <v>4.2999999999999997E-2</v>
      </c>
      <c r="AJ175" s="142">
        <v>8.9999999999999993E-3</v>
      </c>
      <c r="AK175" s="142">
        <v>2.8000000000000001E-2</v>
      </c>
      <c r="AL175" s="142">
        <v>4.8000000000000001E-2</v>
      </c>
      <c r="AM175" s="142">
        <v>0.02</v>
      </c>
      <c r="AN175" s="142">
        <v>0.03</v>
      </c>
      <c r="AO175" s="142">
        <v>3.9E-2</v>
      </c>
      <c r="AP175" s="142">
        <v>2.5000000000000001E-2</v>
      </c>
      <c r="AQ175" s="142">
        <v>0.03</v>
      </c>
      <c r="AR175" s="142">
        <v>4.3999999999999997E-2</v>
      </c>
      <c r="AS175" s="142">
        <v>3.3000000000000002E-2</v>
      </c>
      <c r="AT175" s="142">
        <v>0.03</v>
      </c>
      <c r="AU175" s="142">
        <v>4.8000000000000001E-2</v>
      </c>
      <c r="AV175" s="142">
        <v>2.8000000000000001E-2</v>
      </c>
      <c r="AW175" s="142">
        <v>0.04</v>
      </c>
      <c r="AX175" s="142">
        <v>2.1000000000000001E-2</v>
      </c>
      <c r="AY175" s="142">
        <v>8.0000000000000002E-3</v>
      </c>
      <c r="AZ175" s="142">
        <v>2.76E-2</v>
      </c>
      <c r="BA175" s="142">
        <v>2.9000000000000001E-2</v>
      </c>
      <c r="BB175" s="142">
        <v>2.8000000000000001E-2</v>
      </c>
      <c r="BC175" s="142">
        <v>1.6E-2</v>
      </c>
      <c r="BD175" s="142">
        <v>2.1999999999999999E-2</v>
      </c>
      <c r="BE175" s="142">
        <v>2.4E-2</v>
      </c>
      <c r="BF175" s="142">
        <v>2.1999999999999999E-2</v>
      </c>
      <c r="BG175" s="142">
        <v>2.9000000000000001E-2</v>
      </c>
      <c r="BH175" s="142">
        <v>1.9E-2</v>
      </c>
      <c r="BI175" s="142"/>
      <c r="BJ175" s="142"/>
      <c r="BK175" s="222"/>
    </row>
    <row r="176" spans="1:79" s="14" customFormat="1" ht="19.5" thickBot="1">
      <c r="A176" s="15" t="s">
        <v>105</v>
      </c>
      <c r="B176" s="45">
        <v>3.5000000000000003E-2</v>
      </c>
      <c r="C176" s="45">
        <v>3.5000000000000003E-2</v>
      </c>
      <c r="D176" s="45">
        <v>3.5000000000000003E-2</v>
      </c>
      <c r="E176" s="45">
        <v>3.5000000000000003E-2</v>
      </c>
      <c r="F176" s="45">
        <v>3.5000000000000003E-2</v>
      </c>
      <c r="G176" s="45">
        <v>3.5000000000000003E-2</v>
      </c>
      <c r="H176" s="45">
        <v>3.5000000000000003E-2</v>
      </c>
      <c r="I176" s="45">
        <v>3.5000000000000003E-2</v>
      </c>
      <c r="J176" s="45">
        <v>3.5000000000000003E-2</v>
      </c>
      <c r="K176" s="45">
        <v>3.5000000000000003E-2</v>
      </c>
      <c r="L176" s="45">
        <v>3.5000000000000003E-2</v>
      </c>
      <c r="M176" s="45">
        <v>3.5000000000000003E-2</v>
      </c>
      <c r="N176" s="45">
        <v>3.5000000000000003E-2</v>
      </c>
      <c r="O176" s="45">
        <v>3.5000000000000003E-2</v>
      </c>
      <c r="P176" s="45">
        <v>3.5000000000000003E-2</v>
      </c>
      <c r="Q176" s="45">
        <v>3.5000000000000003E-2</v>
      </c>
      <c r="R176" s="45">
        <v>3.5000000000000003E-2</v>
      </c>
      <c r="S176" s="45">
        <v>3.5000000000000003E-2</v>
      </c>
      <c r="T176" s="45">
        <v>3.5000000000000003E-2</v>
      </c>
      <c r="U176" s="45">
        <v>3.5000000000000003E-2</v>
      </c>
      <c r="V176" s="45">
        <v>3.5000000000000003E-2</v>
      </c>
      <c r="W176" s="45">
        <v>3.5000000000000003E-2</v>
      </c>
      <c r="X176" s="45">
        <v>3.5000000000000003E-2</v>
      </c>
      <c r="Y176" s="45">
        <v>3.5000000000000003E-2</v>
      </c>
      <c r="Z176" s="45">
        <v>3.5000000000000003E-2</v>
      </c>
      <c r="AA176" s="45">
        <v>3.5000000000000003E-2</v>
      </c>
      <c r="AB176" s="45">
        <v>3.5000000000000003E-2</v>
      </c>
      <c r="AC176" s="45">
        <v>3.5000000000000003E-2</v>
      </c>
      <c r="AD176" s="45">
        <v>3.5000000000000003E-2</v>
      </c>
      <c r="AE176" s="45">
        <v>3.5000000000000003E-2</v>
      </c>
      <c r="AF176" s="45">
        <v>3.5000000000000003E-2</v>
      </c>
      <c r="AG176" s="45">
        <v>3.5000000000000003E-2</v>
      </c>
      <c r="AH176" s="45">
        <v>3.5000000000000003E-2</v>
      </c>
      <c r="AI176" s="45">
        <v>3.5000000000000003E-2</v>
      </c>
      <c r="AJ176" s="45">
        <v>3.5000000000000003E-2</v>
      </c>
      <c r="AK176" s="45">
        <v>3.5000000000000003E-2</v>
      </c>
      <c r="AL176" s="45">
        <v>3.5000000000000003E-2</v>
      </c>
      <c r="AM176" s="45">
        <v>3.5000000000000003E-2</v>
      </c>
      <c r="AN176" s="45">
        <v>3.5000000000000003E-2</v>
      </c>
      <c r="AO176" s="45">
        <v>3.5000000000000003E-2</v>
      </c>
      <c r="AP176" s="45">
        <v>3.5000000000000003E-2</v>
      </c>
      <c r="AQ176" s="45">
        <v>3.5000000000000003E-2</v>
      </c>
      <c r="AR176" s="45">
        <v>3.5000000000000003E-2</v>
      </c>
      <c r="AS176" s="45">
        <v>3.5000000000000003E-2</v>
      </c>
      <c r="AT176" s="45">
        <v>3.5000000000000003E-2</v>
      </c>
      <c r="AU176" s="45">
        <v>3.5000000000000003E-2</v>
      </c>
      <c r="AV176" s="45">
        <v>3.5000000000000003E-2</v>
      </c>
      <c r="AW176" s="45">
        <v>3.5000000000000003E-2</v>
      </c>
      <c r="AX176" s="45">
        <v>3.5000000000000003E-2</v>
      </c>
      <c r="AY176" s="45">
        <v>3.5000000000000003E-2</v>
      </c>
      <c r="AZ176" s="45">
        <v>3.5000000000000003E-2</v>
      </c>
      <c r="BA176" s="45">
        <v>3.5000000000000003E-2</v>
      </c>
      <c r="BB176" s="45">
        <v>3.5000000000000003E-2</v>
      </c>
      <c r="BC176" s="45">
        <v>3.5000000000000003E-2</v>
      </c>
      <c r="BD176" s="45">
        <v>3.5000000000000003E-2</v>
      </c>
      <c r="BE176" s="45">
        <v>3.5000000000000003E-2</v>
      </c>
      <c r="BF176" s="45">
        <v>3.5000000000000003E-2</v>
      </c>
      <c r="BG176" s="45">
        <v>3.5000000000000003E-2</v>
      </c>
      <c r="BH176" s="45">
        <v>3.5000000000000003E-2</v>
      </c>
      <c r="BI176" s="45">
        <v>3.5000000000000003E-2</v>
      </c>
      <c r="BJ176" s="45">
        <v>3.5000000000000003E-2</v>
      </c>
      <c r="BK176" s="47">
        <v>3.5000000000000003E-2</v>
      </c>
      <c r="BL176" s="47">
        <v>3.5000000000000003E-2</v>
      </c>
      <c r="BM176" s="47">
        <v>3.5000000000000003E-2</v>
      </c>
      <c r="BN176" s="47">
        <v>3.5000000000000003E-2</v>
      </c>
      <c r="BO176" s="47">
        <v>3.5000000000000003E-2</v>
      </c>
      <c r="BP176" s="47">
        <v>3.5000000000000003E-2</v>
      </c>
      <c r="BQ176" s="47">
        <v>3.5000000000000003E-2</v>
      </c>
      <c r="BR176" s="47">
        <v>3.5000000000000003E-2</v>
      </c>
      <c r="BS176" s="47">
        <v>3.5000000000000003E-2</v>
      </c>
      <c r="BT176" s="47">
        <v>3.5000000000000003E-2</v>
      </c>
      <c r="BU176" s="47">
        <v>3.5000000000000003E-2</v>
      </c>
      <c r="BV176" s="47">
        <v>3.5000000000000003E-2</v>
      </c>
      <c r="BW176" s="47">
        <v>3.5000000000000003E-2</v>
      </c>
      <c r="BX176" s="47">
        <v>3.5000000000000003E-2</v>
      </c>
      <c r="BY176" s="47">
        <v>3.5000000000000003E-2</v>
      </c>
      <c r="BZ176" s="47">
        <v>3.5000000000000003E-2</v>
      </c>
      <c r="CA176" s="47">
        <v>3.5000000000000003E-2</v>
      </c>
    </row>
    <row r="177" spans="1:79" s="72" customFormat="1">
      <c r="A177" s="15" t="s">
        <v>106</v>
      </c>
      <c r="B177" s="79">
        <v>8.1000000000000003E-2</v>
      </c>
      <c r="C177" s="79">
        <v>5.8000000000000003E-2</v>
      </c>
      <c r="D177" s="79">
        <v>7.8E-2</v>
      </c>
      <c r="E177" s="79">
        <v>6.0999999999999999E-2</v>
      </c>
      <c r="F177" s="79">
        <v>0.106</v>
      </c>
      <c r="G177" s="79">
        <v>7.4999999999999997E-2</v>
      </c>
      <c r="H177" s="79">
        <v>5.2999999999999999E-2</v>
      </c>
      <c r="I177" s="79">
        <v>8.6999999999999994E-2</v>
      </c>
      <c r="J177" s="79">
        <v>0.11899999999999999</v>
      </c>
      <c r="K177" s="79">
        <v>8.8999999999999996E-2</v>
      </c>
      <c r="L177" s="79">
        <v>9.8000000000000004E-2</v>
      </c>
      <c r="M177" s="79">
        <v>8.1000000000000003E-2</v>
      </c>
      <c r="N177" s="79">
        <v>8.2000000000000003E-2</v>
      </c>
      <c r="O177" s="79">
        <v>6.7000000000000004E-2</v>
      </c>
      <c r="P177" s="79">
        <v>0.115</v>
      </c>
      <c r="Q177" s="79">
        <v>6.9000000000000006E-2</v>
      </c>
      <c r="R177" s="79">
        <v>0.06</v>
      </c>
      <c r="S177" s="79">
        <v>8.1000000000000003E-2</v>
      </c>
      <c r="T177" s="79">
        <v>9.5000000000000001E-2</v>
      </c>
      <c r="U177" s="79">
        <v>5.8999999999999997E-2</v>
      </c>
      <c r="V177" s="79">
        <v>8.1000000000000003E-2</v>
      </c>
      <c r="W177" s="79">
        <v>7.8E-2</v>
      </c>
      <c r="X177" s="79">
        <v>7.2999999999999995E-2</v>
      </c>
      <c r="Y177" s="79">
        <v>5.5E-2</v>
      </c>
      <c r="Z177" s="79">
        <v>8.2000000000000003E-2</v>
      </c>
      <c r="AA177" s="79">
        <v>6.4000000000000001E-2</v>
      </c>
      <c r="AB177" s="79">
        <v>0.11600000000000001</v>
      </c>
      <c r="AC177" s="79">
        <v>0.112</v>
      </c>
      <c r="AD177" s="79">
        <v>0.10100000000000001</v>
      </c>
      <c r="AE177" s="79">
        <v>8.8999999999999996E-2</v>
      </c>
      <c r="AF177" s="79">
        <v>8.4000000000000005E-2</v>
      </c>
      <c r="AG177" s="79">
        <v>5.7000000000000002E-2</v>
      </c>
      <c r="AH177" s="79">
        <v>6.8000000000000005E-2</v>
      </c>
      <c r="AI177" s="79">
        <v>9.4E-2</v>
      </c>
      <c r="AJ177" s="79">
        <v>9.6000000000000002E-2</v>
      </c>
      <c r="AK177" s="79">
        <v>5.6000000000000001E-2</v>
      </c>
      <c r="AL177" s="79">
        <v>8.5999999999999993E-2</v>
      </c>
      <c r="AM177" s="79">
        <v>8.1000000000000003E-2</v>
      </c>
      <c r="AN177" s="79">
        <v>8.2000000000000003E-2</v>
      </c>
      <c r="AO177" s="79">
        <v>0.1</v>
      </c>
      <c r="AP177" s="79">
        <v>0.10100000000000001</v>
      </c>
      <c r="AQ177" s="79">
        <v>6.3E-2</v>
      </c>
      <c r="AR177" s="79">
        <v>6.7000000000000004E-2</v>
      </c>
      <c r="AS177" s="79">
        <v>8.2000000000000003E-2</v>
      </c>
      <c r="AT177" s="79">
        <v>0.111</v>
      </c>
      <c r="AU177" s="79">
        <v>9.1999999999999998E-2</v>
      </c>
      <c r="AV177" s="79">
        <v>0.11899999999999999</v>
      </c>
      <c r="AW177" s="79">
        <v>9.0999999999999998E-2</v>
      </c>
      <c r="AX177" s="79">
        <v>8.5000000000000006E-2</v>
      </c>
      <c r="AY177" s="79">
        <v>0.10199999999999999</v>
      </c>
      <c r="AZ177" s="79">
        <v>0.105</v>
      </c>
      <c r="BA177" s="79">
        <v>9.2999999999999999E-2</v>
      </c>
      <c r="BB177" s="79">
        <v>0.11700000000000001</v>
      </c>
      <c r="BC177" s="79">
        <v>0.157</v>
      </c>
      <c r="BD177" s="79">
        <v>0.13700000000000001</v>
      </c>
      <c r="BE177" s="79">
        <v>5.8999999999999997E-2</v>
      </c>
      <c r="BF177" s="79">
        <v>7.3999999999999996E-2</v>
      </c>
      <c r="BG177" s="79">
        <v>4.9000000000000002E-2</v>
      </c>
      <c r="BH177" s="79">
        <v>7.6999999999999999E-2</v>
      </c>
      <c r="BI177" s="79"/>
      <c r="BJ177" s="79"/>
      <c r="BK177" s="80"/>
    </row>
    <row r="178" spans="1:79" s="19" customFormat="1" ht="19.5" thickBot="1">
      <c r="A178" s="32" t="s">
        <v>107</v>
      </c>
      <c r="B178" s="48">
        <v>7.4999999999999997E-2</v>
      </c>
      <c r="C178" s="48">
        <v>7.4999999999999997E-2</v>
      </c>
      <c r="D178" s="48">
        <v>7.4999999999999997E-2</v>
      </c>
      <c r="E178" s="48">
        <v>7.4999999999999997E-2</v>
      </c>
      <c r="F178" s="48">
        <v>7.4999999999999997E-2</v>
      </c>
      <c r="G178" s="48">
        <v>7.4999999999999997E-2</v>
      </c>
      <c r="H178" s="48">
        <v>7.4999999999999997E-2</v>
      </c>
      <c r="I178" s="48">
        <v>7.4999999999999997E-2</v>
      </c>
      <c r="J178" s="48">
        <v>7.4999999999999997E-2</v>
      </c>
      <c r="K178" s="48">
        <v>7.4999999999999997E-2</v>
      </c>
      <c r="L178" s="48">
        <v>7.4999999999999997E-2</v>
      </c>
      <c r="M178" s="48">
        <v>7.4999999999999997E-2</v>
      </c>
      <c r="N178" s="48">
        <v>7.4999999999999997E-2</v>
      </c>
      <c r="O178" s="48">
        <v>7.4999999999999997E-2</v>
      </c>
      <c r="P178" s="48">
        <v>7.4999999999999997E-2</v>
      </c>
      <c r="Q178" s="48">
        <v>7.4999999999999997E-2</v>
      </c>
      <c r="R178" s="48">
        <v>7.4999999999999997E-2</v>
      </c>
      <c r="S178" s="48">
        <v>7.4999999999999997E-2</v>
      </c>
      <c r="T178" s="48">
        <v>7.4999999999999997E-2</v>
      </c>
      <c r="U178" s="48">
        <v>7.4999999999999997E-2</v>
      </c>
      <c r="V178" s="48">
        <v>7.4999999999999997E-2</v>
      </c>
      <c r="W178" s="48">
        <v>7.4999999999999997E-2</v>
      </c>
      <c r="X178" s="48">
        <v>7.4999999999999997E-2</v>
      </c>
      <c r="Y178" s="48">
        <v>7.4999999999999997E-2</v>
      </c>
      <c r="Z178" s="48">
        <v>7.4999999999999997E-2</v>
      </c>
      <c r="AA178" s="48">
        <v>7.4999999999999997E-2</v>
      </c>
      <c r="AB178" s="48">
        <v>7.4999999999999997E-2</v>
      </c>
      <c r="AC178" s="48">
        <v>7.4999999999999997E-2</v>
      </c>
      <c r="AD178" s="48">
        <v>7.4999999999999997E-2</v>
      </c>
      <c r="AE178" s="48">
        <v>7.4999999999999997E-2</v>
      </c>
      <c r="AF178" s="48">
        <v>7.4999999999999997E-2</v>
      </c>
      <c r="AG178" s="48">
        <v>7.4999999999999997E-2</v>
      </c>
      <c r="AH178" s="48">
        <v>7.4999999999999997E-2</v>
      </c>
      <c r="AI178" s="48">
        <v>7.4999999999999997E-2</v>
      </c>
      <c r="AJ178" s="48">
        <v>7.4999999999999997E-2</v>
      </c>
      <c r="AK178" s="48">
        <v>7.4999999999999997E-2</v>
      </c>
      <c r="AL178" s="48">
        <v>7.4999999999999997E-2</v>
      </c>
      <c r="AM178" s="48">
        <v>7.4999999999999997E-2</v>
      </c>
      <c r="AN178" s="48">
        <v>7.4999999999999997E-2</v>
      </c>
      <c r="AO178" s="48">
        <v>7.4999999999999997E-2</v>
      </c>
      <c r="AP178" s="48">
        <v>7.4999999999999997E-2</v>
      </c>
      <c r="AQ178" s="48">
        <v>7.4999999999999997E-2</v>
      </c>
      <c r="AR178" s="48">
        <v>7.4999999999999997E-2</v>
      </c>
      <c r="AS178" s="48">
        <v>7.4999999999999997E-2</v>
      </c>
      <c r="AT178" s="48">
        <v>7.4999999999999997E-2</v>
      </c>
      <c r="AU178" s="48">
        <v>7.4999999999999997E-2</v>
      </c>
      <c r="AV178" s="48">
        <v>7.4999999999999997E-2</v>
      </c>
      <c r="AW178" s="48">
        <v>7.4999999999999997E-2</v>
      </c>
      <c r="AX178" s="48">
        <v>7.4999999999999997E-2</v>
      </c>
      <c r="AY178" s="48">
        <v>7.4999999999999997E-2</v>
      </c>
      <c r="AZ178" s="48">
        <v>7.4999999999999997E-2</v>
      </c>
      <c r="BA178" s="48">
        <v>7.4999999999999997E-2</v>
      </c>
      <c r="BB178" s="48">
        <v>7.4999999999999997E-2</v>
      </c>
      <c r="BC178" s="48">
        <v>7.4999999999999997E-2</v>
      </c>
      <c r="BD178" s="48">
        <v>7.4999999999999997E-2</v>
      </c>
      <c r="BE178" s="48">
        <v>7.4999999999999997E-2</v>
      </c>
      <c r="BF178" s="48">
        <v>7.4999999999999997E-2</v>
      </c>
      <c r="BG178" s="48">
        <v>7.4999999999999997E-2</v>
      </c>
      <c r="BH178" s="48">
        <v>7.4999999999999997E-2</v>
      </c>
      <c r="BI178" s="48">
        <v>7.4999999999999997E-2</v>
      </c>
      <c r="BJ178" s="48">
        <v>7.4999999999999997E-2</v>
      </c>
      <c r="BK178" s="48">
        <v>7.4999999999999997E-2</v>
      </c>
      <c r="BL178" s="48">
        <v>7.4999999999999997E-2</v>
      </c>
      <c r="BM178" s="48">
        <v>7.4999999999999997E-2</v>
      </c>
      <c r="BN178" s="48">
        <v>7.4999999999999997E-2</v>
      </c>
      <c r="BO178" s="48">
        <v>7.4999999999999997E-2</v>
      </c>
      <c r="BP178" s="48">
        <v>7.4999999999999997E-2</v>
      </c>
      <c r="BQ178" s="48">
        <v>7.4999999999999997E-2</v>
      </c>
      <c r="BR178" s="48">
        <v>7.4999999999999997E-2</v>
      </c>
      <c r="BS178" s="48">
        <v>7.4999999999999997E-2</v>
      </c>
      <c r="BT178" s="48">
        <v>7.4999999999999997E-2</v>
      </c>
      <c r="BU178" s="48">
        <v>7.4999999999999997E-2</v>
      </c>
      <c r="BV178" s="48">
        <v>7.4999999999999997E-2</v>
      </c>
      <c r="BW178" s="48">
        <v>7.4999999999999997E-2</v>
      </c>
      <c r="BX178" s="48">
        <v>7.4999999999999997E-2</v>
      </c>
      <c r="BY178" s="48">
        <v>7.4999999999999997E-2</v>
      </c>
      <c r="BZ178" s="48">
        <v>7.4999999999999997E-2</v>
      </c>
      <c r="CA178" s="48">
        <v>7.4999999999999997E-2</v>
      </c>
    </row>
    <row r="179" spans="1:79" s="19" customFormat="1" ht="19.5" thickBot="1">
      <c r="A179" s="29"/>
      <c r="B179" s="42"/>
      <c r="C179" s="43"/>
      <c r="D179" s="43"/>
      <c r="E179" s="44"/>
      <c r="F179" s="42"/>
      <c r="G179" s="43"/>
      <c r="H179" s="43"/>
      <c r="I179" s="44"/>
      <c r="J179" s="42"/>
      <c r="K179" s="43"/>
      <c r="L179" s="43"/>
      <c r="M179" s="43"/>
      <c r="N179" s="44"/>
      <c r="O179" s="42"/>
      <c r="P179" s="43"/>
      <c r="Q179" s="43"/>
      <c r="R179" s="44"/>
      <c r="S179" s="42"/>
      <c r="T179" s="43"/>
      <c r="U179" s="43"/>
      <c r="V179" s="44"/>
      <c r="W179" s="42"/>
      <c r="X179" s="43"/>
      <c r="Y179" s="43"/>
      <c r="Z179" s="43"/>
      <c r="AA179" s="44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</row>
    <row r="180" spans="1:79" s="89" customFormat="1">
      <c r="A180" s="13" t="s">
        <v>108</v>
      </c>
      <c r="B180" s="105">
        <v>45</v>
      </c>
      <c r="C180" s="105">
        <v>43</v>
      </c>
      <c r="D180" s="105">
        <v>43</v>
      </c>
      <c r="E180" s="105">
        <v>44</v>
      </c>
      <c r="F180" s="105">
        <v>46</v>
      </c>
      <c r="G180" s="105">
        <v>45</v>
      </c>
      <c r="H180" s="105">
        <v>45</v>
      </c>
      <c r="I180" s="105">
        <v>46</v>
      </c>
      <c r="J180" s="105">
        <v>47</v>
      </c>
      <c r="K180" s="105">
        <v>48</v>
      </c>
      <c r="L180" s="105">
        <v>46</v>
      </c>
      <c r="M180" s="105">
        <v>47</v>
      </c>
      <c r="N180" s="105">
        <v>48</v>
      </c>
      <c r="O180" s="105">
        <v>44</v>
      </c>
      <c r="P180" s="105">
        <v>48</v>
      </c>
      <c r="Q180" s="105">
        <v>49</v>
      </c>
      <c r="R180" s="105">
        <v>47</v>
      </c>
      <c r="S180" s="105">
        <v>49</v>
      </c>
      <c r="T180" s="105">
        <v>45</v>
      </c>
      <c r="U180" s="105">
        <v>47</v>
      </c>
      <c r="V180" s="105">
        <v>45</v>
      </c>
      <c r="W180" s="105">
        <v>44</v>
      </c>
      <c r="X180" s="105">
        <v>44</v>
      </c>
      <c r="Y180" s="105">
        <v>44</v>
      </c>
      <c r="Z180" s="105">
        <v>45</v>
      </c>
      <c r="AA180" s="105">
        <v>45</v>
      </c>
      <c r="AB180" s="105">
        <v>49</v>
      </c>
      <c r="AC180" s="105">
        <v>49</v>
      </c>
      <c r="AD180" s="105">
        <v>48</v>
      </c>
      <c r="AE180" s="105">
        <v>49</v>
      </c>
      <c r="AF180" s="105">
        <v>49</v>
      </c>
      <c r="AG180" s="105">
        <v>48</v>
      </c>
      <c r="AH180" s="105">
        <v>48</v>
      </c>
      <c r="AI180" s="105">
        <v>47</v>
      </c>
      <c r="AJ180" s="105">
        <v>46</v>
      </c>
      <c r="AK180" s="105">
        <v>46</v>
      </c>
      <c r="AL180" s="105">
        <v>46</v>
      </c>
      <c r="AM180" s="105">
        <v>46</v>
      </c>
      <c r="AN180" s="105">
        <v>45</v>
      </c>
      <c r="AO180" s="105">
        <v>45</v>
      </c>
      <c r="AP180" s="105">
        <v>45</v>
      </c>
      <c r="AQ180" s="105">
        <v>43</v>
      </c>
      <c r="AR180" s="105">
        <v>46</v>
      </c>
      <c r="AS180" s="105">
        <v>46</v>
      </c>
      <c r="AT180" s="105">
        <v>45</v>
      </c>
      <c r="AU180" s="105">
        <v>45</v>
      </c>
      <c r="AV180" s="105">
        <v>45</v>
      </c>
      <c r="AW180" s="105">
        <v>47</v>
      </c>
      <c r="AX180" s="105">
        <v>47</v>
      </c>
      <c r="AY180" s="105">
        <v>47</v>
      </c>
      <c r="AZ180" s="105">
        <v>47</v>
      </c>
      <c r="BA180" s="105">
        <v>48</v>
      </c>
      <c r="BB180" s="105">
        <v>47</v>
      </c>
      <c r="BC180" s="105">
        <v>47</v>
      </c>
      <c r="BD180" s="105">
        <v>47</v>
      </c>
      <c r="BE180" s="105">
        <v>45</v>
      </c>
      <c r="BF180" s="105">
        <v>45</v>
      </c>
      <c r="BG180" s="105">
        <v>45</v>
      </c>
      <c r="BH180" s="105">
        <v>45</v>
      </c>
      <c r="BI180" s="105"/>
      <c r="BJ180" s="105"/>
      <c r="BK180" s="220"/>
    </row>
    <row r="181" spans="1:79" s="89" customFormat="1">
      <c r="A181" s="15" t="s">
        <v>109</v>
      </c>
      <c r="B181" s="108">
        <v>628</v>
      </c>
      <c r="C181" s="108">
        <v>554</v>
      </c>
      <c r="D181" s="108">
        <v>588</v>
      </c>
      <c r="E181" s="108">
        <v>590</v>
      </c>
      <c r="F181" s="108">
        <v>616</v>
      </c>
      <c r="G181" s="108">
        <v>615</v>
      </c>
      <c r="H181" s="108">
        <v>624</v>
      </c>
      <c r="I181" s="108">
        <v>633</v>
      </c>
      <c r="J181" s="108">
        <v>598</v>
      </c>
      <c r="K181" s="108">
        <v>644</v>
      </c>
      <c r="L181" s="108">
        <v>620</v>
      </c>
      <c r="M181" s="108">
        <v>705</v>
      </c>
      <c r="N181" s="108">
        <v>726</v>
      </c>
      <c r="O181" s="108">
        <v>622</v>
      </c>
      <c r="P181" s="108">
        <v>636</v>
      </c>
      <c r="Q181" s="108">
        <v>686</v>
      </c>
      <c r="R181" s="108">
        <v>672</v>
      </c>
      <c r="S181" s="108">
        <v>670</v>
      </c>
      <c r="T181" s="108">
        <v>639</v>
      </c>
      <c r="U181" s="108">
        <v>635</v>
      </c>
      <c r="V181" s="108">
        <v>651</v>
      </c>
      <c r="W181" s="108">
        <v>634</v>
      </c>
      <c r="X181" s="108">
        <v>593</v>
      </c>
      <c r="Y181" s="108">
        <v>635</v>
      </c>
      <c r="Z181" s="108">
        <v>604</v>
      </c>
      <c r="AA181" s="108">
        <v>625</v>
      </c>
      <c r="AB181" s="108">
        <v>648</v>
      </c>
      <c r="AC181" s="108">
        <v>666</v>
      </c>
      <c r="AD181" s="108">
        <v>694</v>
      </c>
      <c r="AE181" s="108">
        <v>688</v>
      </c>
      <c r="AF181" s="108">
        <v>654</v>
      </c>
      <c r="AG181" s="108">
        <v>633</v>
      </c>
      <c r="AH181" s="108">
        <v>704</v>
      </c>
      <c r="AI181" s="108">
        <v>676</v>
      </c>
      <c r="AJ181" s="108">
        <v>678</v>
      </c>
      <c r="AK181" s="108">
        <v>626</v>
      </c>
      <c r="AL181" s="108">
        <v>615</v>
      </c>
      <c r="AM181" s="108">
        <v>634</v>
      </c>
      <c r="AN181" s="108">
        <v>627</v>
      </c>
      <c r="AO181" s="108">
        <v>620</v>
      </c>
      <c r="AP181" s="108">
        <v>612</v>
      </c>
      <c r="AQ181" s="108">
        <v>613</v>
      </c>
      <c r="AR181" s="108">
        <v>625</v>
      </c>
      <c r="AS181" s="108">
        <v>626</v>
      </c>
      <c r="AT181" s="108">
        <v>566</v>
      </c>
      <c r="AU181" s="108">
        <v>584</v>
      </c>
      <c r="AV181" s="108">
        <v>600</v>
      </c>
      <c r="AW181" s="108">
        <v>663</v>
      </c>
      <c r="AX181" s="108">
        <v>648</v>
      </c>
      <c r="AY181" s="108">
        <v>651</v>
      </c>
      <c r="AZ181" s="108">
        <v>664</v>
      </c>
      <c r="BA181" s="108">
        <v>660</v>
      </c>
      <c r="BB181" s="108">
        <v>635</v>
      </c>
      <c r="BC181" s="108">
        <v>600</v>
      </c>
      <c r="BD181" s="108">
        <v>626</v>
      </c>
      <c r="BE181" s="108">
        <v>626</v>
      </c>
      <c r="BF181" s="108">
        <v>598</v>
      </c>
      <c r="BG181" s="108">
        <v>600</v>
      </c>
      <c r="BH181" s="108">
        <v>621</v>
      </c>
      <c r="BI181" s="108"/>
      <c r="BJ181" s="108"/>
      <c r="BK181" s="197"/>
    </row>
    <row r="182" spans="1:79" s="89" customFormat="1">
      <c r="A182" s="15" t="s">
        <v>110</v>
      </c>
      <c r="B182" s="108">
        <v>110</v>
      </c>
      <c r="C182" s="108"/>
      <c r="D182" s="108">
        <v>85</v>
      </c>
      <c r="E182" s="108"/>
      <c r="F182" s="108"/>
      <c r="G182" s="108">
        <v>95</v>
      </c>
      <c r="H182" s="108">
        <v>100</v>
      </c>
      <c r="I182" s="108"/>
      <c r="J182" s="108"/>
      <c r="K182" s="108"/>
      <c r="L182" s="108">
        <v>100</v>
      </c>
      <c r="M182" s="108"/>
      <c r="N182" s="108">
        <v>210</v>
      </c>
      <c r="O182" s="108"/>
      <c r="P182" s="108"/>
      <c r="Q182" s="108"/>
      <c r="R182" s="108"/>
      <c r="S182" s="108"/>
      <c r="T182" s="108"/>
      <c r="U182" s="108"/>
      <c r="V182" s="108"/>
      <c r="W182" s="108"/>
      <c r="X182" s="108">
        <v>70</v>
      </c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>
        <v>45</v>
      </c>
      <c r="AJ182" s="108"/>
      <c r="AK182" s="108">
        <v>88</v>
      </c>
      <c r="AL182" s="108">
        <v>60</v>
      </c>
      <c r="AM182" s="108">
        <v>119</v>
      </c>
      <c r="AN182" s="108">
        <v>100</v>
      </c>
      <c r="AO182" s="108">
        <v>100</v>
      </c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97"/>
    </row>
    <row r="183" spans="1:79" s="89" customFormat="1" ht="19.5" thickBot="1">
      <c r="A183" s="59" t="s">
        <v>111</v>
      </c>
      <c r="B183" s="143"/>
      <c r="C183" s="143">
        <v>50</v>
      </c>
      <c r="D183" s="143"/>
      <c r="E183" s="143">
        <v>80</v>
      </c>
      <c r="F183" s="143">
        <v>105</v>
      </c>
      <c r="G183" s="143"/>
      <c r="H183" s="143"/>
      <c r="I183" s="143">
        <v>100</v>
      </c>
      <c r="J183" s="143">
        <v>78</v>
      </c>
      <c r="K183" s="143">
        <v>120</v>
      </c>
      <c r="L183" s="143"/>
      <c r="M183" s="143">
        <v>151</v>
      </c>
      <c r="N183" s="143"/>
      <c r="O183" s="143">
        <v>100</v>
      </c>
      <c r="P183" s="143">
        <v>110</v>
      </c>
      <c r="Q183" s="143">
        <v>140</v>
      </c>
      <c r="R183" s="143">
        <v>140</v>
      </c>
      <c r="S183" s="143">
        <v>140</v>
      </c>
      <c r="T183" s="143">
        <v>50</v>
      </c>
      <c r="U183" s="143">
        <v>65</v>
      </c>
      <c r="V183" s="143">
        <v>40</v>
      </c>
      <c r="W183" s="143">
        <v>80</v>
      </c>
      <c r="X183" s="143"/>
      <c r="Y183" s="143"/>
      <c r="Z183" s="143"/>
      <c r="AA183" s="143"/>
      <c r="AB183" s="143"/>
      <c r="AC183" s="143"/>
      <c r="AD183" s="143">
        <v>120</v>
      </c>
      <c r="AE183" s="143">
        <v>90</v>
      </c>
      <c r="AF183" s="143">
        <v>90</v>
      </c>
      <c r="AG183" s="143">
        <v>120</v>
      </c>
      <c r="AH183" s="143">
        <v>125</v>
      </c>
      <c r="AI183" s="143"/>
      <c r="AJ183" s="143">
        <v>100</v>
      </c>
      <c r="AK183" s="143"/>
      <c r="AL183" s="143"/>
      <c r="AM183" s="143"/>
      <c r="AN183" s="143"/>
      <c r="AO183" s="143"/>
      <c r="AP183" s="143">
        <v>50</v>
      </c>
      <c r="AQ183" s="143">
        <v>58</v>
      </c>
      <c r="AR183" s="143">
        <v>90</v>
      </c>
      <c r="AS183" s="143"/>
      <c r="AT183" s="143"/>
      <c r="AU183" s="143"/>
      <c r="AV183" s="143">
        <v>70</v>
      </c>
      <c r="AW183" s="143">
        <v>100</v>
      </c>
      <c r="AX183" s="143">
        <v>90</v>
      </c>
      <c r="AY183" s="143">
        <v>60</v>
      </c>
      <c r="AZ183" s="143">
        <v>40</v>
      </c>
      <c r="BA183" s="143">
        <v>50</v>
      </c>
      <c r="BB183" s="143">
        <v>140</v>
      </c>
      <c r="BC183" s="143">
        <v>90</v>
      </c>
      <c r="BD183" s="143">
        <v>110</v>
      </c>
      <c r="BE183" s="143">
        <v>40</v>
      </c>
      <c r="BF183" s="143"/>
      <c r="BG183" s="143"/>
      <c r="BH183" s="143">
        <v>84</v>
      </c>
      <c r="BI183" s="143"/>
      <c r="BJ183" s="143"/>
      <c r="BK183" s="221"/>
    </row>
    <row r="184" spans="1:79" s="72" customFormat="1" ht="19.5" thickBot="1">
      <c r="A184" s="60" t="s">
        <v>112</v>
      </c>
      <c r="B184" s="140">
        <v>14</v>
      </c>
      <c r="C184" s="140">
        <v>12.9</v>
      </c>
      <c r="D184" s="140">
        <v>13.7</v>
      </c>
      <c r="E184" s="140">
        <v>13.4</v>
      </c>
      <c r="F184" s="140">
        <v>13.4</v>
      </c>
      <c r="G184" s="140">
        <v>13.7</v>
      </c>
      <c r="H184" s="140">
        <v>13.9</v>
      </c>
      <c r="I184" s="140">
        <v>13.8</v>
      </c>
      <c r="J184" s="140">
        <v>12.7</v>
      </c>
      <c r="K184" s="140">
        <v>13.4</v>
      </c>
      <c r="L184" s="140">
        <v>13.5</v>
      </c>
      <c r="M184" s="140">
        <v>15</v>
      </c>
      <c r="N184" s="140">
        <v>15.1</v>
      </c>
      <c r="O184" s="140">
        <v>14.1</v>
      </c>
      <c r="P184" s="140">
        <v>13.3</v>
      </c>
      <c r="Q184" s="140">
        <v>14</v>
      </c>
      <c r="R184" s="140">
        <v>14.3</v>
      </c>
      <c r="S184" s="140">
        <v>13.7</v>
      </c>
      <c r="T184" s="140">
        <v>14.2</v>
      </c>
      <c r="U184" s="140">
        <v>13.5</v>
      </c>
      <c r="V184" s="140">
        <v>14.5</v>
      </c>
      <c r="W184" s="140">
        <v>14.4</v>
      </c>
      <c r="X184" s="140">
        <v>13.5</v>
      </c>
      <c r="Y184" s="140">
        <v>14.4</v>
      </c>
      <c r="Z184" s="140">
        <v>13.4</v>
      </c>
      <c r="AA184" s="140">
        <v>13.9</v>
      </c>
      <c r="AB184" s="139">
        <v>13.2</v>
      </c>
      <c r="AC184" s="139">
        <v>13.6</v>
      </c>
      <c r="AD184" s="139">
        <v>14.5</v>
      </c>
      <c r="AE184" s="139">
        <v>14</v>
      </c>
      <c r="AF184" s="139">
        <v>13.3</v>
      </c>
      <c r="AG184" s="139">
        <v>13.2</v>
      </c>
      <c r="AH184" s="139">
        <v>14.7</v>
      </c>
      <c r="AI184" s="139">
        <v>14.4</v>
      </c>
      <c r="AJ184" s="139">
        <v>14.7</v>
      </c>
      <c r="AK184" s="139">
        <v>13.6</v>
      </c>
      <c r="AL184" s="139">
        <v>13.4</v>
      </c>
      <c r="AM184" s="139">
        <v>13.8</v>
      </c>
      <c r="AN184" s="139">
        <v>13.9</v>
      </c>
      <c r="AO184" s="139">
        <v>13.8</v>
      </c>
      <c r="AP184" s="139">
        <v>13.6</v>
      </c>
      <c r="AQ184" s="139">
        <v>14.3</v>
      </c>
      <c r="AR184" s="139">
        <v>13.6</v>
      </c>
      <c r="AS184" s="139">
        <v>13.6</v>
      </c>
      <c r="AT184" s="139">
        <v>12.6</v>
      </c>
      <c r="AU184" s="139">
        <v>13</v>
      </c>
      <c r="AV184" s="139">
        <v>13.3</v>
      </c>
      <c r="AW184" s="139">
        <v>14.1</v>
      </c>
      <c r="AX184" s="139">
        <v>13.8</v>
      </c>
      <c r="AY184" s="139">
        <v>13.9</v>
      </c>
      <c r="AZ184" s="139">
        <v>14.1</v>
      </c>
      <c r="BA184" s="139">
        <v>13.8</v>
      </c>
      <c r="BB184" s="139">
        <v>13.5</v>
      </c>
      <c r="BC184" s="139">
        <v>12.8</v>
      </c>
      <c r="BD184" s="139">
        <v>13.3</v>
      </c>
      <c r="BE184" s="139">
        <v>13.9</v>
      </c>
      <c r="BF184" s="139">
        <v>13.3</v>
      </c>
      <c r="BG184" s="139">
        <v>13.3</v>
      </c>
      <c r="BH184" s="139">
        <v>13.8</v>
      </c>
      <c r="BI184" s="139"/>
      <c r="BJ184" s="139"/>
      <c r="BK184" s="219"/>
    </row>
    <row r="185" spans="1:79" s="14" customFormat="1" ht="19.5" thickBot="1">
      <c r="A185" s="58" t="s">
        <v>113</v>
      </c>
      <c r="B185" s="33">
        <v>13.9</v>
      </c>
      <c r="C185" s="33">
        <v>13.9</v>
      </c>
      <c r="D185" s="33">
        <v>13.9</v>
      </c>
      <c r="E185" s="33">
        <v>13.9</v>
      </c>
      <c r="F185" s="33">
        <v>13.9</v>
      </c>
      <c r="G185" s="33">
        <v>13.9</v>
      </c>
      <c r="H185" s="33">
        <v>13.9</v>
      </c>
      <c r="I185" s="33">
        <v>13.9</v>
      </c>
      <c r="J185" s="33">
        <v>13.9</v>
      </c>
      <c r="K185" s="33">
        <v>13.9</v>
      </c>
      <c r="L185" s="33">
        <v>13.9</v>
      </c>
      <c r="M185" s="33">
        <v>13.9</v>
      </c>
      <c r="N185" s="33">
        <v>13.9</v>
      </c>
      <c r="O185" s="33">
        <v>13.9</v>
      </c>
      <c r="P185" s="33">
        <v>13.9</v>
      </c>
      <c r="Q185" s="33">
        <v>13.9</v>
      </c>
      <c r="R185" s="33">
        <v>13.9</v>
      </c>
      <c r="S185" s="33">
        <v>13.9</v>
      </c>
      <c r="T185" s="33">
        <v>13.9</v>
      </c>
      <c r="U185" s="33">
        <v>13.9</v>
      </c>
      <c r="V185" s="33">
        <v>13.9</v>
      </c>
      <c r="W185" s="33">
        <v>13.9</v>
      </c>
      <c r="X185" s="33">
        <v>13.9</v>
      </c>
      <c r="Y185" s="33">
        <v>13.9</v>
      </c>
      <c r="Z185" s="33">
        <v>13.9</v>
      </c>
      <c r="AA185" s="33">
        <v>13.9</v>
      </c>
      <c r="AB185" s="33">
        <v>13.9</v>
      </c>
      <c r="AC185" s="33">
        <v>13.9</v>
      </c>
      <c r="AD185" s="33">
        <v>13.9</v>
      </c>
      <c r="AE185" s="33">
        <v>13.9</v>
      </c>
      <c r="AF185" s="33">
        <v>13.9</v>
      </c>
      <c r="AG185" s="33">
        <v>13.9</v>
      </c>
      <c r="AH185" s="33">
        <v>13.9</v>
      </c>
      <c r="AI185" s="33">
        <v>13.9</v>
      </c>
      <c r="AJ185" s="33">
        <v>13.9</v>
      </c>
      <c r="AK185" s="33">
        <v>13.9</v>
      </c>
      <c r="AL185" s="33">
        <v>13.9</v>
      </c>
      <c r="AM185" s="33">
        <v>13.9</v>
      </c>
      <c r="AN185" s="33">
        <v>13.9</v>
      </c>
      <c r="AO185" s="33">
        <v>13.9</v>
      </c>
      <c r="AP185" s="33">
        <v>13.9</v>
      </c>
      <c r="AQ185" s="33">
        <v>13.9</v>
      </c>
      <c r="AR185" s="33">
        <v>13.9</v>
      </c>
      <c r="AS185" s="33">
        <v>13.9</v>
      </c>
      <c r="AT185" s="33">
        <v>13.9</v>
      </c>
      <c r="AU185" s="33">
        <v>13.9</v>
      </c>
      <c r="AV185" s="33">
        <v>13.9</v>
      </c>
      <c r="AW185" s="33">
        <v>13.9</v>
      </c>
      <c r="AX185" s="33">
        <v>13.9</v>
      </c>
      <c r="AY185" s="33">
        <v>13.9</v>
      </c>
      <c r="AZ185" s="33">
        <v>13.9</v>
      </c>
      <c r="BA185" s="33">
        <v>13.9</v>
      </c>
      <c r="BB185" s="33">
        <v>13.9</v>
      </c>
      <c r="BC185" s="33">
        <v>13.9</v>
      </c>
      <c r="BD185" s="33">
        <v>13.9</v>
      </c>
      <c r="BE185" s="33">
        <v>13.9</v>
      </c>
      <c r="BF185" s="33">
        <v>13.9</v>
      </c>
      <c r="BG185" s="33">
        <v>13.9</v>
      </c>
      <c r="BH185" s="33">
        <v>13.9</v>
      </c>
      <c r="BI185" s="33">
        <v>13.9</v>
      </c>
      <c r="BJ185" s="33">
        <v>13.9</v>
      </c>
      <c r="BK185" s="61">
        <v>13.9</v>
      </c>
      <c r="BL185" s="61">
        <v>13.9</v>
      </c>
      <c r="BM185" s="61">
        <v>13.9</v>
      </c>
      <c r="BN185" s="61">
        <v>13.9</v>
      </c>
      <c r="BO185" s="61">
        <v>13.9</v>
      </c>
      <c r="BP185" s="61">
        <v>13.9</v>
      </c>
      <c r="BQ185" s="61">
        <v>13.9</v>
      </c>
      <c r="BR185" s="61">
        <v>13.9</v>
      </c>
      <c r="BS185" s="61">
        <v>13.9</v>
      </c>
      <c r="BT185" s="61">
        <v>13.9</v>
      </c>
      <c r="BU185" s="61">
        <v>13.9</v>
      </c>
      <c r="BV185" s="61">
        <v>13.9</v>
      </c>
      <c r="BW185" s="61">
        <v>13.9</v>
      </c>
      <c r="BX185" s="61">
        <v>13.9</v>
      </c>
      <c r="BY185" s="61">
        <v>13.9</v>
      </c>
      <c r="BZ185" s="61">
        <v>13.9</v>
      </c>
      <c r="CA185" s="61">
        <v>13.9</v>
      </c>
    </row>
    <row r="186" spans="1:79" s="19" customFormat="1">
      <c r="A186" s="29"/>
      <c r="B186" s="30"/>
      <c r="C186" s="31"/>
      <c r="D186" s="31"/>
      <c r="E186" s="31"/>
      <c r="F186" s="30"/>
      <c r="G186" s="31"/>
      <c r="H186" s="31"/>
      <c r="I186" s="31"/>
      <c r="J186" s="30"/>
      <c r="K186" s="31"/>
      <c r="L186" s="31"/>
      <c r="M186" s="31"/>
      <c r="N186" s="31"/>
      <c r="O186" s="30"/>
      <c r="P186" s="31"/>
      <c r="Q186" s="31"/>
      <c r="R186" s="31"/>
      <c r="S186" s="30"/>
      <c r="T186" s="31"/>
      <c r="U186" s="31"/>
      <c r="V186" s="31"/>
      <c r="W186" s="30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</row>
    <row r="187" spans="1:79" s="19" customFormat="1" ht="19.5" thickBot="1">
      <c r="A187" s="29"/>
      <c r="B187" s="30"/>
      <c r="C187" s="31"/>
      <c r="D187" s="31"/>
      <c r="E187" s="31"/>
      <c r="F187" s="30"/>
      <c r="G187" s="31"/>
      <c r="H187" s="31"/>
      <c r="I187" s="31"/>
      <c r="J187" s="30"/>
      <c r="K187" s="31"/>
      <c r="L187" s="31"/>
      <c r="M187" s="31"/>
      <c r="N187" s="31"/>
      <c r="O187" s="30"/>
      <c r="P187" s="31"/>
      <c r="Q187" s="31"/>
      <c r="R187" s="31"/>
      <c r="S187" s="30"/>
      <c r="T187" s="31"/>
      <c r="U187" s="31"/>
      <c r="V187" s="31"/>
      <c r="W187" s="30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</row>
    <row r="188" spans="1:79" s="72" customFormat="1" ht="19.5" thickBot="1">
      <c r="A188" s="13" t="s">
        <v>114</v>
      </c>
      <c r="B188" s="140">
        <v>6.2</v>
      </c>
      <c r="C188" s="140">
        <v>7.2</v>
      </c>
      <c r="D188" s="140">
        <v>6.5</v>
      </c>
      <c r="E188" s="140">
        <v>6.6</v>
      </c>
      <c r="F188" s="140">
        <v>6.6</v>
      </c>
      <c r="G188" s="140">
        <v>6.6</v>
      </c>
      <c r="H188" s="140">
        <v>7.2</v>
      </c>
      <c r="I188" s="140">
        <v>7.2</v>
      </c>
      <c r="J188" s="140">
        <v>6.9</v>
      </c>
      <c r="K188" s="140">
        <v>6.8</v>
      </c>
      <c r="L188" s="140">
        <v>6.8</v>
      </c>
      <c r="M188" s="140">
        <v>6.5</v>
      </c>
      <c r="N188" s="140">
        <v>6.9</v>
      </c>
      <c r="O188" s="140">
        <v>6.8</v>
      </c>
      <c r="P188" s="140">
        <v>6.5</v>
      </c>
      <c r="Q188" s="140">
        <v>6.7</v>
      </c>
      <c r="R188" s="140">
        <v>6.9</v>
      </c>
      <c r="S188" s="140">
        <v>6.7</v>
      </c>
      <c r="T188" s="140">
        <v>6.7</v>
      </c>
      <c r="U188" s="140">
        <v>6.7</v>
      </c>
      <c r="V188" s="140">
        <v>6.5</v>
      </c>
      <c r="W188" s="140">
        <v>6.8</v>
      </c>
      <c r="X188" s="140">
        <v>7</v>
      </c>
      <c r="Y188" s="140">
        <v>6.4</v>
      </c>
      <c r="Z188" s="140">
        <v>6.5</v>
      </c>
      <c r="AA188" s="140">
        <v>6.1</v>
      </c>
      <c r="AB188" s="139">
        <v>6.2</v>
      </c>
      <c r="AC188" s="139">
        <v>6.4</v>
      </c>
      <c r="AD188" s="139">
        <v>6</v>
      </c>
      <c r="AE188" s="139">
        <v>6</v>
      </c>
      <c r="AF188" s="139">
        <v>6.3</v>
      </c>
      <c r="AG188" s="139">
        <v>6.4</v>
      </c>
      <c r="AH188" s="139">
        <v>6.1</v>
      </c>
      <c r="AI188" s="139">
        <v>6</v>
      </c>
      <c r="AJ188" s="139">
        <v>6.3</v>
      </c>
      <c r="AK188" s="139">
        <v>6.4</v>
      </c>
      <c r="AL188" s="139">
        <v>6.4</v>
      </c>
      <c r="AM188" s="139">
        <v>6.1</v>
      </c>
      <c r="AN188" s="139">
        <v>6.1</v>
      </c>
      <c r="AO188" s="139">
        <v>6.1</v>
      </c>
      <c r="AP188" s="139">
        <v>6.2</v>
      </c>
      <c r="AQ188" s="139">
        <v>6.8</v>
      </c>
      <c r="AR188" s="139">
        <v>6.6</v>
      </c>
      <c r="AS188" s="139">
        <v>6.3</v>
      </c>
      <c r="AT188" s="139">
        <v>6.9</v>
      </c>
      <c r="AU188" s="139">
        <v>6.7</v>
      </c>
      <c r="AV188" s="139">
        <v>6.7</v>
      </c>
      <c r="AW188" s="139">
        <v>6.3</v>
      </c>
      <c r="AX188" s="139">
        <v>7</v>
      </c>
      <c r="AY188" s="139">
        <v>7.2</v>
      </c>
      <c r="AZ188" s="139">
        <v>6.5</v>
      </c>
      <c r="BA188" s="139">
        <v>6.7</v>
      </c>
      <c r="BB188" s="139">
        <v>6.4</v>
      </c>
      <c r="BC188" s="139">
        <v>6.6</v>
      </c>
      <c r="BD188" s="139">
        <v>6.4</v>
      </c>
      <c r="BE188" s="139">
        <v>6.7</v>
      </c>
      <c r="BF188" s="139">
        <v>7.3</v>
      </c>
      <c r="BG188" s="139">
        <v>7.6</v>
      </c>
      <c r="BH188" s="139">
        <v>7.5</v>
      </c>
      <c r="BI188" s="139"/>
      <c r="BJ188" s="139"/>
      <c r="BK188" s="219"/>
    </row>
    <row r="189" spans="1:79" s="14" customFormat="1" ht="19.5" thickBot="1">
      <c r="A189" s="15" t="s">
        <v>115</v>
      </c>
      <c r="B189" s="20">
        <v>7.2</v>
      </c>
      <c r="C189" s="20">
        <v>7.2</v>
      </c>
      <c r="D189" s="20">
        <v>7.2</v>
      </c>
      <c r="E189" s="20">
        <v>7.2</v>
      </c>
      <c r="F189" s="20">
        <v>7.2</v>
      </c>
      <c r="G189" s="20">
        <v>7.2</v>
      </c>
      <c r="H189" s="20">
        <v>7.2</v>
      </c>
      <c r="I189" s="20">
        <v>7.2</v>
      </c>
      <c r="J189" s="20">
        <v>7.2</v>
      </c>
      <c r="K189" s="20">
        <v>7.2</v>
      </c>
      <c r="L189" s="20">
        <v>7.2</v>
      </c>
      <c r="M189" s="20">
        <v>7.2</v>
      </c>
      <c r="N189" s="20">
        <v>7.2</v>
      </c>
      <c r="O189" s="20">
        <v>7.2</v>
      </c>
      <c r="P189" s="20">
        <v>7.2</v>
      </c>
      <c r="Q189" s="20">
        <v>7.2</v>
      </c>
      <c r="R189" s="20">
        <v>7.2</v>
      </c>
      <c r="S189" s="20">
        <v>7.2</v>
      </c>
      <c r="T189" s="20">
        <v>7.2</v>
      </c>
      <c r="U189" s="20">
        <v>7.2</v>
      </c>
      <c r="V189" s="20">
        <v>7.2</v>
      </c>
      <c r="W189" s="20">
        <v>7.2</v>
      </c>
      <c r="X189" s="20">
        <v>7.2</v>
      </c>
      <c r="Y189" s="20">
        <v>7.2</v>
      </c>
      <c r="Z189" s="20">
        <v>7.2</v>
      </c>
      <c r="AA189" s="20">
        <v>7.2</v>
      </c>
      <c r="AB189" s="20">
        <v>7.2</v>
      </c>
      <c r="AC189" s="20">
        <v>7.2</v>
      </c>
      <c r="AD189" s="20">
        <v>7.2</v>
      </c>
      <c r="AE189" s="20">
        <v>7.2</v>
      </c>
      <c r="AF189" s="20">
        <v>7.2</v>
      </c>
      <c r="AG189" s="20">
        <v>7.2</v>
      </c>
      <c r="AH189" s="20">
        <v>7.2</v>
      </c>
      <c r="AI189" s="20">
        <v>7.2</v>
      </c>
      <c r="AJ189" s="20">
        <v>7.2</v>
      </c>
      <c r="AK189" s="20">
        <v>7.2</v>
      </c>
      <c r="AL189" s="20">
        <v>7.2</v>
      </c>
      <c r="AM189" s="20">
        <v>7.2</v>
      </c>
      <c r="AN189" s="20">
        <v>7.2</v>
      </c>
      <c r="AO189" s="20">
        <v>7.2</v>
      </c>
      <c r="AP189" s="20">
        <v>7.2</v>
      </c>
      <c r="AQ189" s="20">
        <v>7.2</v>
      </c>
      <c r="AR189" s="20">
        <v>7.2</v>
      </c>
      <c r="AS189" s="20">
        <v>7.2</v>
      </c>
      <c r="AT189" s="20">
        <v>7.2</v>
      </c>
      <c r="AU189" s="20">
        <v>7.2</v>
      </c>
      <c r="AV189" s="20">
        <v>7.2</v>
      </c>
      <c r="AW189" s="20">
        <v>7.2</v>
      </c>
      <c r="AX189" s="20">
        <v>7.2</v>
      </c>
      <c r="AY189" s="20">
        <v>7.2</v>
      </c>
      <c r="AZ189" s="20">
        <v>7.2</v>
      </c>
      <c r="BA189" s="20">
        <v>7.2</v>
      </c>
      <c r="BB189" s="20">
        <v>7.2</v>
      </c>
      <c r="BC189" s="20">
        <v>7.2</v>
      </c>
      <c r="BD189" s="20">
        <v>7.2</v>
      </c>
      <c r="BE189" s="20">
        <v>7.2</v>
      </c>
      <c r="BF189" s="20">
        <v>7.2</v>
      </c>
      <c r="BG189" s="20">
        <v>7.2</v>
      </c>
      <c r="BH189" s="20">
        <v>7.2</v>
      </c>
      <c r="BI189" s="20">
        <v>7.2</v>
      </c>
      <c r="BJ189" s="20">
        <v>7.2</v>
      </c>
      <c r="BK189" s="23">
        <v>7.2</v>
      </c>
      <c r="BL189" s="23">
        <v>7.2</v>
      </c>
      <c r="BM189" s="23">
        <v>7.2</v>
      </c>
      <c r="BN189" s="23">
        <v>7.2</v>
      </c>
      <c r="BO189" s="23">
        <v>7.2</v>
      </c>
      <c r="BP189" s="23">
        <v>7.2</v>
      </c>
      <c r="BQ189" s="23">
        <v>7.2</v>
      </c>
      <c r="BR189" s="23">
        <v>7.2</v>
      </c>
      <c r="BS189" s="23">
        <v>7.2</v>
      </c>
      <c r="BT189" s="23">
        <v>7.2</v>
      </c>
      <c r="BU189" s="23">
        <v>7.2</v>
      </c>
      <c r="BV189" s="23">
        <v>7.2</v>
      </c>
      <c r="BW189" s="23">
        <v>7.2</v>
      </c>
      <c r="BX189" s="23">
        <v>7.2</v>
      </c>
      <c r="BY189" s="23">
        <v>7.2</v>
      </c>
      <c r="BZ189" s="23">
        <v>7.2</v>
      </c>
      <c r="CA189" s="23">
        <v>7.2</v>
      </c>
    </row>
    <row r="190" spans="1:79" s="72" customFormat="1">
      <c r="A190" s="15" t="s">
        <v>116</v>
      </c>
      <c r="B190" s="77">
        <v>86.8</v>
      </c>
      <c r="C190" s="77">
        <v>92.88000000000001</v>
      </c>
      <c r="D190" s="77">
        <v>89.05</v>
      </c>
      <c r="E190" s="77">
        <v>88.44</v>
      </c>
      <c r="F190" s="77">
        <v>88.44</v>
      </c>
      <c r="G190" s="77">
        <v>90.419999999999987</v>
      </c>
      <c r="H190" s="77">
        <v>100.08</v>
      </c>
      <c r="I190" s="77">
        <v>99.360000000000014</v>
      </c>
      <c r="J190" s="77">
        <v>87.63</v>
      </c>
      <c r="K190" s="77">
        <v>91.12</v>
      </c>
      <c r="L190" s="77">
        <v>91.8</v>
      </c>
      <c r="M190" s="77">
        <v>97.5</v>
      </c>
      <c r="N190" s="77">
        <v>104.19</v>
      </c>
      <c r="O190" s="77">
        <v>95.88</v>
      </c>
      <c r="P190" s="77">
        <v>86.45</v>
      </c>
      <c r="Q190" s="77">
        <v>93.8</v>
      </c>
      <c r="R190" s="77">
        <v>98.670000000000016</v>
      </c>
      <c r="S190" s="77">
        <v>91.789999999999992</v>
      </c>
      <c r="T190" s="77">
        <v>95.14</v>
      </c>
      <c r="U190" s="77">
        <v>90.45</v>
      </c>
      <c r="V190" s="77">
        <v>94.25</v>
      </c>
      <c r="W190" s="77">
        <v>97.92</v>
      </c>
      <c r="X190" s="77">
        <v>94.5</v>
      </c>
      <c r="Y190" s="77">
        <v>92.16</v>
      </c>
      <c r="Z190" s="77">
        <v>87.1</v>
      </c>
      <c r="AA190" s="77">
        <v>88.96</v>
      </c>
      <c r="AB190" s="77">
        <v>81.84</v>
      </c>
      <c r="AC190" s="77">
        <v>87.04</v>
      </c>
      <c r="AD190" s="77">
        <v>87</v>
      </c>
      <c r="AE190" s="77">
        <v>84</v>
      </c>
      <c r="AF190" s="77">
        <v>83.79</v>
      </c>
      <c r="AG190" s="77">
        <v>84.48</v>
      </c>
      <c r="AH190" s="77">
        <v>89.67</v>
      </c>
      <c r="AI190" s="77">
        <v>86.4</v>
      </c>
      <c r="AJ190" s="77">
        <v>92.61</v>
      </c>
      <c r="AK190" s="77">
        <v>87.04</v>
      </c>
      <c r="AL190" s="77">
        <v>85.76</v>
      </c>
      <c r="AM190" s="77">
        <v>84.18</v>
      </c>
      <c r="AN190" s="77">
        <v>84.79</v>
      </c>
      <c r="AO190" s="77">
        <v>84.18</v>
      </c>
      <c r="AP190" s="77">
        <v>82.96</v>
      </c>
      <c r="AQ190" s="77">
        <v>97.24</v>
      </c>
      <c r="AR190" s="77">
        <v>89.76</v>
      </c>
      <c r="AS190" s="77">
        <v>85.68</v>
      </c>
      <c r="AT190" s="77">
        <v>86.94</v>
      </c>
      <c r="AU190" s="77">
        <v>87.1</v>
      </c>
      <c r="AV190" s="77">
        <v>89.11</v>
      </c>
      <c r="AW190" s="77">
        <v>88.83</v>
      </c>
      <c r="AX190" s="77">
        <v>96.6</v>
      </c>
      <c r="AY190" s="77">
        <v>100.1</v>
      </c>
      <c r="AZ190" s="77">
        <v>91.65</v>
      </c>
      <c r="BA190" s="77">
        <v>92.46</v>
      </c>
      <c r="BB190" s="77">
        <v>86.4</v>
      </c>
      <c r="BC190" s="77">
        <v>84.48</v>
      </c>
      <c r="BD190" s="77">
        <v>84.12</v>
      </c>
      <c r="BE190" s="77"/>
      <c r="BF190" s="77">
        <v>97.09</v>
      </c>
      <c r="BG190" s="77">
        <v>101.08</v>
      </c>
      <c r="BH190" s="77">
        <v>103.5</v>
      </c>
      <c r="BI190" s="77"/>
      <c r="BJ190" s="77"/>
      <c r="BK190" s="78"/>
    </row>
    <row r="191" spans="1:79" s="19" customFormat="1" ht="19.5" thickBot="1">
      <c r="A191" s="32" t="s">
        <v>117</v>
      </c>
      <c r="B191" s="50">
        <v>100</v>
      </c>
      <c r="C191" s="50">
        <v>100</v>
      </c>
      <c r="D191" s="50">
        <v>100</v>
      </c>
      <c r="E191" s="50">
        <v>100</v>
      </c>
      <c r="F191" s="50">
        <v>100</v>
      </c>
      <c r="G191" s="50">
        <v>100</v>
      </c>
      <c r="H191" s="50">
        <v>100</v>
      </c>
      <c r="I191" s="50">
        <v>100</v>
      </c>
      <c r="J191" s="50">
        <v>100</v>
      </c>
      <c r="K191" s="50">
        <v>100</v>
      </c>
      <c r="L191" s="50">
        <v>100</v>
      </c>
      <c r="M191" s="50">
        <v>100</v>
      </c>
      <c r="N191" s="50">
        <v>100</v>
      </c>
      <c r="O191" s="50">
        <v>100</v>
      </c>
      <c r="P191" s="50">
        <v>100</v>
      </c>
      <c r="Q191" s="50">
        <v>100</v>
      </c>
      <c r="R191" s="50">
        <v>100</v>
      </c>
      <c r="S191" s="50">
        <v>100</v>
      </c>
      <c r="T191" s="50">
        <v>100</v>
      </c>
      <c r="U191" s="50">
        <v>100</v>
      </c>
      <c r="V191" s="50">
        <v>100</v>
      </c>
      <c r="W191" s="50">
        <v>100</v>
      </c>
      <c r="X191" s="50">
        <v>100</v>
      </c>
      <c r="Y191" s="50">
        <v>100</v>
      </c>
      <c r="Z191" s="50">
        <v>100</v>
      </c>
      <c r="AA191" s="50">
        <v>100</v>
      </c>
      <c r="AB191" s="50">
        <v>100</v>
      </c>
      <c r="AC191" s="50">
        <v>100</v>
      </c>
      <c r="AD191" s="50">
        <v>100</v>
      </c>
      <c r="AE191" s="50">
        <v>100</v>
      </c>
      <c r="AF191" s="50">
        <v>100</v>
      </c>
      <c r="AG191" s="50">
        <v>100</v>
      </c>
      <c r="AH191" s="50">
        <v>100</v>
      </c>
      <c r="AI191" s="50">
        <v>100</v>
      </c>
      <c r="AJ191" s="50">
        <v>100</v>
      </c>
      <c r="AK191" s="50">
        <v>100</v>
      </c>
      <c r="AL191" s="50">
        <v>100</v>
      </c>
      <c r="AM191" s="50">
        <v>100</v>
      </c>
      <c r="AN191" s="50">
        <v>100</v>
      </c>
      <c r="AO191" s="50">
        <v>100</v>
      </c>
      <c r="AP191" s="50">
        <v>100</v>
      </c>
      <c r="AQ191" s="50">
        <v>100</v>
      </c>
      <c r="AR191" s="50">
        <v>100</v>
      </c>
      <c r="AS191" s="50">
        <v>100</v>
      </c>
      <c r="AT191" s="50">
        <v>100</v>
      </c>
      <c r="AU191" s="50">
        <v>100</v>
      </c>
      <c r="AV191" s="50">
        <v>100</v>
      </c>
      <c r="AW191" s="50">
        <v>100</v>
      </c>
      <c r="AX191" s="50">
        <v>100</v>
      </c>
      <c r="AY191" s="50">
        <v>100</v>
      </c>
      <c r="AZ191" s="50">
        <v>100</v>
      </c>
      <c r="BA191" s="50">
        <v>100</v>
      </c>
      <c r="BB191" s="50">
        <v>100</v>
      </c>
      <c r="BC191" s="50">
        <v>100</v>
      </c>
      <c r="BD191" s="50">
        <v>100</v>
      </c>
      <c r="BE191" s="50">
        <v>100</v>
      </c>
      <c r="BF191" s="50">
        <v>100</v>
      </c>
      <c r="BG191" s="50">
        <v>100</v>
      </c>
      <c r="BH191" s="50">
        <v>100</v>
      </c>
      <c r="BI191" s="50">
        <v>100</v>
      </c>
      <c r="BJ191" s="50">
        <v>100</v>
      </c>
      <c r="BK191" s="51">
        <v>100</v>
      </c>
      <c r="BL191" s="51">
        <v>100</v>
      </c>
      <c r="BM191" s="51">
        <v>100</v>
      </c>
      <c r="BN191" s="51">
        <v>100</v>
      </c>
      <c r="BO191" s="51">
        <v>100</v>
      </c>
      <c r="BP191" s="51">
        <v>100</v>
      </c>
      <c r="BQ191" s="51">
        <v>100</v>
      </c>
      <c r="BR191" s="51">
        <v>100</v>
      </c>
      <c r="BS191" s="51">
        <v>100</v>
      </c>
      <c r="BT191" s="51">
        <v>100</v>
      </c>
      <c r="BU191" s="51">
        <v>100</v>
      </c>
      <c r="BV191" s="51">
        <v>100</v>
      </c>
      <c r="BW191" s="51">
        <v>100</v>
      </c>
      <c r="BX191" s="51">
        <v>100</v>
      </c>
      <c r="BY191" s="51">
        <v>100</v>
      </c>
      <c r="BZ191" s="51">
        <v>100</v>
      </c>
      <c r="CA191" s="51">
        <v>100</v>
      </c>
    </row>
    <row r="192" spans="1:79" s="19" customFormat="1" ht="19.5" thickBot="1">
      <c r="A192" s="29"/>
      <c r="B192" s="35"/>
      <c r="C192" s="39"/>
      <c r="D192" s="39"/>
      <c r="E192" s="49"/>
      <c r="F192" s="35"/>
      <c r="G192" s="39"/>
      <c r="H192" s="39"/>
      <c r="I192" s="49"/>
      <c r="J192" s="35"/>
      <c r="K192" s="39"/>
      <c r="L192" s="39"/>
      <c r="M192" s="39"/>
      <c r="N192" s="49"/>
      <c r="O192" s="35"/>
      <c r="P192" s="39"/>
      <c r="Q192" s="39"/>
      <c r="R192" s="49"/>
      <c r="S192" s="35"/>
      <c r="T192" s="39"/>
      <c r="U192" s="39"/>
      <c r="V192" s="49"/>
      <c r="W192" s="35"/>
      <c r="X192" s="39"/>
      <c r="Y192" s="39"/>
      <c r="Z192" s="39"/>
      <c r="AA192" s="4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49"/>
    </row>
    <row r="193" spans="1:79" s="73" customFormat="1">
      <c r="A193" s="52" t="s">
        <v>118</v>
      </c>
      <c r="B193" s="142">
        <v>0.128</v>
      </c>
      <c r="C193" s="142">
        <v>0.14899999999999999</v>
      </c>
      <c r="D193" s="142">
        <v>6.2E-2</v>
      </c>
      <c r="E193" s="142">
        <v>0.109</v>
      </c>
      <c r="F193" s="142">
        <v>0.155</v>
      </c>
      <c r="G193" s="142">
        <v>0.106</v>
      </c>
      <c r="H193" s="142">
        <v>9.2999999999999999E-2</v>
      </c>
      <c r="I193" s="142">
        <v>0.153</v>
      </c>
      <c r="J193" s="142">
        <v>0.108</v>
      </c>
      <c r="K193" s="142">
        <v>0.105</v>
      </c>
      <c r="L193" s="142">
        <v>0.125</v>
      </c>
      <c r="M193" s="142">
        <v>8.3000000000000004E-2</v>
      </c>
      <c r="N193" s="142">
        <v>0.06</v>
      </c>
      <c r="O193" s="142">
        <v>0.13700000000000001</v>
      </c>
      <c r="P193" s="142">
        <v>9.1999999999999998E-2</v>
      </c>
      <c r="Q193" s="142">
        <v>0.10199999999999999</v>
      </c>
      <c r="R193" s="142">
        <v>0.08</v>
      </c>
      <c r="S193" s="142">
        <v>4.7E-2</v>
      </c>
      <c r="T193" s="142">
        <v>0.13600000000000001</v>
      </c>
      <c r="U193" s="142">
        <v>0.124</v>
      </c>
      <c r="V193" s="142">
        <v>0.17599999999999999</v>
      </c>
      <c r="W193" s="142">
        <v>0.122</v>
      </c>
      <c r="X193" s="142">
        <v>0.125</v>
      </c>
      <c r="Y193" s="142">
        <v>0.105</v>
      </c>
      <c r="Z193" s="142">
        <v>0.17199999999999999</v>
      </c>
      <c r="AA193" s="142">
        <v>0.14000000000000001</v>
      </c>
      <c r="AB193" s="142">
        <v>0.13300000000000001</v>
      </c>
      <c r="AC193" s="142">
        <v>0.155</v>
      </c>
      <c r="AD193" s="142">
        <v>0.16</v>
      </c>
      <c r="AE193" s="142">
        <v>0.155</v>
      </c>
      <c r="AF193" s="142">
        <v>0.17100000000000001</v>
      </c>
      <c r="AG193" s="142">
        <v>0.11700000000000001</v>
      </c>
      <c r="AH193" s="142">
        <v>0.16200000000000001</v>
      </c>
      <c r="AI193" s="142">
        <v>0.17</v>
      </c>
      <c r="AJ193" s="142">
        <v>0.185</v>
      </c>
      <c r="AK193" s="142">
        <v>0.155</v>
      </c>
      <c r="AL193" s="142">
        <v>0.17399999999999999</v>
      </c>
      <c r="AM193" s="142">
        <v>0.17699999999999999</v>
      </c>
      <c r="AN193" s="142">
        <v>0.16900000000000001</v>
      </c>
      <c r="AO193" s="142">
        <v>9.9000000000000005E-2</v>
      </c>
      <c r="AP193" s="142">
        <v>0.114</v>
      </c>
      <c r="AQ193" s="142">
        <v>0.129</v>
      </c>
      <c r="AR193" s="142">
        <v>0.128</v>
      </c>
      <c r="AS193" s="142">
        <v>9.2999999999999999E-2</v>
      </c>
      <c r="AT193" s="142">
        <v>0.13200000000000001</v>
      </c>
      <c r="AU193" s="142">
        <v>0.11799999999999999</v>
      </c>
      <c r="AV193" s="142">
        <v>0.129</v>
      </c>
      <c r="AW193" s="142">
        <v>9.8000000000000004E-2</v>
      </c>
      <c r="AX193" s="142">
        <v>6.3E-2</v>
      </c>
      <c r="AY193" s="142">
        <v>7.4999999999999997E-2</v>
      </c>
      <c r="AZ193" s="142">
        <v>6.9000000000000006E-2</v>
      </c>
      <c r="BA193" s="142">
        <v>7.3999999999999996E-2</v>
      </c>
      <c r="BB193" s="142">
        <v>8.8999999999999996E-2</v>
      </c>
      <c r="BC193" s="142">
        <v>0.108</v>
      </c>
      <c r="BD193" s="142">
        <v>0.17399999999999999</v>
      </c>
      <c r="BE193" s="142"/>
      <c r="BF193" s="142">
        <v>0.121</v>
      </c>
      <c r="BG193" s="142">
        <v>0.02</v>
      </c>
      <c r="BH193" s="142">
        <v>0.1</v>
      </c>
      <c r="BI193" s="142"/>
      <c r="BJ193" s="142"/>
      <c r="BK193" s="222"/>
    </row>
    <row r="194" spans="1:79" s="65" customFormat="1">
      <c r="A194" s="24" t="s">
        <v>119</v>
      </c>
      <c r="B194" s="144">
        <v>0.12</v>
      </c>
      <c r="C194" s="144">
        <v>0.12</v>
      </c>
      <c r="D194" s="144">
        <v>0.12</v>
      </c>
      <c r="E194" s="144">
        <v>0.12</v>
      </c>
      <c r="F194" s="144">
        <v>0.12</v>
      </c>
      <c r="G194" s="144">
        <v>0.12</v>
      </c>
      <c r="H194" s="144">
        <v>0.12</v>
      </c>
      <c r="I194" s="144">
        <v>0.12</v>
      </c>
      <c r="J194" s="144">
        <v>0.12</v>
      </c>
      <c r="K194" s="144">
        <v>0.12</v>
      </c>
      <c r="L194" s="144">
        <v>0.12</v>
      </c>
      <c r="M194" s="144">
        <v>0.12</v>
      </c>
      <c r="N194" s="144">
        <v>0.12</v>
      </c>
      <c r="O194" s="144">
        <v>0.12</v>
      </c>
      <c r="P194" s="144">
        <v>0.12</v>
      </c>
      <c r="Q194" s="144">
        <v>0.12</v>
      </c>
      <c r="R194" s="144">
        <v>0.12</v>
      </c>
      <c r="S194" s="144">
        <v>0.12</v>
      </c>
      <c r="T194" s="144">
        <v>0.12</v>
      </c>
      <c r="U194" s="144">
        <v>0.12</v>
      </c>
      <c r="V194" s="144">
        <v>0.12</v>
      </c>
      <c r="W194" s="144">
        <v>0.12</v>
      </c>
      <c r="X194" s="144">
        <v>0.12</v>
      </c>
      <c r="Y194" s="144">
        <v>0.12</v>
      </c>
      <c r="Z194" s="144">
        <v>0.12</v>
      </c>
      <c r="AA194" s="144">
        <v>0.12</v>
      </c>
      <c r="AB194" s="144">
        <v>0.12</v>
      </c>
      <c r="AC194" s="144">
        <v>0.12</v>
      </c>
      <c r="AD194" s="144">
        <v>0.12</v>
      </c>
      <c r="AE194" s="144">
        <v>0.12</v>
      </c>
      <c r="AF194" s="144">
        <v>0.12</v>
      </c>
      <c r="AG194" s="144">
        <v>0.12</v>
      </c>
      <c r="AH194" s="144">
        <v>0.12</v>
      </c>
      <c r="AI194" s="144">
        <v>0.12</v>
      </c>
      <c r="AJ194" s="144">
        <v>0.12</v>
      </c>
      <c r="AK194" s="144">
        <v>0.12</v>
      </c>
      <c r="AL194" s="144">
        <v>0.12</v>
      </c>
      <c r="AM194" s="144">
        <v>0.12</v>
      </c>
      <c r="AN194" s="144">
        <v>0.12</v>
      </c>
      <c r="AO194" s="144">
        <v>0.12</v>
      </c>
      <c r="AP194" s="144">
        <v>0.12</v>
      </c>
      <c r="AQ194" s="144">
        <v>0.12</v>
      </c>
      <c r="AR194" s="144">
        <v>0.12</v>
      </c>
      <c r="AS194" s="144">
        <v>0.12</v>
      </c>
      <c r="AT194" s="144">
        <v>0.12</v>
      </c>
      <c r="AU194" s="144">
        <v>0.12</v>
      </c>
      <c r="AV194" s="144">
        <v>0.12</v>
      </c>
      <c r="AW194" s="144">
        <v>0.12</v>
      </c>
      <c r="AX194" s="144">
        <v>0.12</v>
      </c>
      <c r="AY194" s="144">
        <v>0.12</v>
      </c>
      <c r="AZ194" s="144">
        <v>0.12</v>
      </c>
      <c r="BA194" s="144">
        <v>0.12</v>
      </c>
      <c r="BB194" s="144">
        <v>0.12</v>
      </c>
      <c r="BC194" s="144">
        <v>0.12</v>
      </c>
      <c r="BD194" s="144">
        <v>0.12</v>
      </c>
      <c r="BE194" s="144">
        <v>0.12</v>
      </c>
      <c r="BF194" s="144">
        <v>0.12</v>
      </c>
      <c r="BG194" s="144">
        <v>0.12</v>
      </c>
      <c r="BH194" s="144">
        <v>0.12</v>
      </c>
      <c r="BI194" s="144">
        <v>0.12</v>
      </c>
      <c r="BJ194" s="144">
        <v>0.12</v>
      </c>
      <c r="BK194" s="145">
        <v>0.12</v>
      </c>
      <c r="BL194" s="145">
        <v>0.12</v>
      </c>
      <c r="BM194" s="145">
        <v>0.12</v>
      </c>
      <c r="BN194" s="145">
        <v>0.12</v>
      </c>
      <c r="BO194" s="145">
        <v>0.12</v>
      </c>
      <c r="BP194" s="145">
        <v>0.12</v>
      </c>
      <c r="BQ194" s="145">
        <v>0.12</v>
      </c>
      <c r="BR194" s="145">
        <v>0.12</v>
      </c>
      <c r="BS194" s="145">
        <v>0.12</v>
      </c>
      <c r="BT194" s="145">
        <v>0.12</v>
      </c>
      <c r="BU194" s="145">
        <v>0.12</v>
      </c>
      <c r="BV194" s="145">
        <v>0.12</v>
      </c>
      <c r="BW194" s="145">
        <v>0.12</v>
      </c>
      <c r="BX194" s="145">
        <v>0.12</v>
      </c>
      <c r="BY194" s="145">
        <v>0.12</v>
      </c>
      <c r="BZ194" s="145">
        <v>0.12</v>
      </c>
      <c r="CA194" s="145">
        <v>0.12</v>
      </c>
    </row>
    <row r="195" spans="1:79" s="65" customFormat="1" ht="19.5" thickBot="1">
      <c r="A195" s="54" t="s">
        <v>120</v>
      </c>
      <c r="B195" s="146">
        <v>0.09</v>
      </c>
      <c r="C195" s="146">
        <v>0.09</v>
      </c>
      <c r="D195" s="146">
        <v>0.09</v>
      </c>
      <c r="E195" s="146">
        <v>0.09</v>
      </c>
      <c r="F195" s="146">
        <v>0.09</v>
      </c>
      <c r="G195" s="146">
        <v>0.09</v>
      </c>
      <c r="H195" s="146">
        <v>0.09</v>
      </c>
      <c r="I195" s="146">
        <v>0.09</v>
      </c>
      <c r="J195" s="146">
        <v>0.09</v>
      </c>
      <c r="K195" s="146">
        <v>0.09</v>
      </c>
      <c r="L195" s="146">
        <v>0.09</v>
      </c>
      <c r="M195" s="146">
        <v>0.09</v>
      </c>
      <c r="N195" s="146">
        <v>0.09</v>
      </c>
      <c r="O195" s="146">
        <v>0.09</v>
      </c>
      <c r="P195" s="146">
        <v>0.09</v>
      </c>
      <c r="Q195" s="146">
        <v>0.09</v>
      </c>
      <c r="R195" s="146">
        <v>0.09</v>
      </c>
      <c r="S195" s="146">
        <v>0.09</v>
      </c>
      <c r="T195" s="146">
        <v>0.09</v>
      </c>
      <c r="U195" s="146">
        <v>0.09</v>
      </c>
      <c r="V195" s="146">
        <v>0.09</v>
      </c>
      <c r="W195" s="146">
        <v>0.09</v>
      </c>
      <c r="X195" s="146">
        <v>0.09</v>
      </c>
      <c r="Y195" s="146">
        <v>0.09</v>
      </c>
      <c r="Z195" s="146">
        <v>0.09</v>
      </c>
      <c r="AA195" s="146">
        <v>0.09</v>
      </c>
      <c r="AB195" s="146">
        <v>0.09</v>
      </c>
      <c r="AC195" s="146">
        <v>0.09</v>
      </c>
      <c r="AD195" s="146">
        <v>0.09</v>
      </c>
      <c r="AE195" s="146">
        <v>0.09</v>
      </c>
      <c r="AF195" s="146">
        <v>0.09</v>
      </c>
      <c r="AG195" s="146">
        <v>0.09</v>
      </c>
      <c r="AH195" s="146">
        <v>0.09</v>
      </c>
      <c r="AI195" s="146">
        <v>0.09</v>
      </c>
      <c r="AJ195" s="146">
        <v>0.09</v>
      </c>
      <c r="AK195" s="146">
        <v>0.09</v>
      </c>
      <c r="AL195" s="146">
        <v>0.09</v>
      </c>
      <c r="AM195" s="146">
        <v>0.09</v>
      </c>
      <c r="AN195" s="146">
        <v>0.09</v>
      </c>
      <c r="AO195" s="146">
        <v>0.09</v>
      </c>
      <c r="AP195" s="146">
        <v>0.09</v>
      </c>
      <c r="AQ195" s="146">
        <v>0.09</v>
      </c>
      <c r="AR195" s="146">
        <v>0.09</v>
      </c>
      <c r="AS195" s="146">
        <v>0.09</v>
      </c>
      <c r="AT195" s="146">
        <v>0.09</v>
      </c>
      <c r="AU195" s="146">
        <v>0.09</v>
      </c>
      <c r="AV195" s="146">
        <v>0.09</v>
      </c>
      <c r="AW195" s="146">
        <v>0.09</v>
      </c>
      <c r="AX195" s="146">
        <v>0.09</v>
      </c>
      <c r="AY195" s="146">
        <v>0.09</v>
      </c>
      <c r="AZ195" s="146">
        <v>0.09</v>
      </c>
      <c r="BA195" s="146">
        <v>0.09</v>
      </c>
      <c r="BB195" s="146">
        <v>0.09</v>
      </c>
      <c r="BC195" s="146">
        <v>0.09</v>
      </c>
      <c r="BD195" s="146">
        <v>0.09</v>
      </c>
      <c r="BE195" s="146">
        <v>0.09</v>
      </c>
      <c r="BF195" s="146">
        <v>0.09</v>
      </c>
      <c r="BG195" s="146">
        <v>0.09</v>
      </c>
      <c r="BH195" s="146">
        <v>0.09</v>
      </c>
      <c r="BI195" s="146">
        <v>0.09</v>
      </c>
      <c r="BJ195" s="146">
        <v>0.09</v>
      </c>
      <c r="BK195" s="147">
        <v>0.09</v>
      </c>
      <c r="BL195" s="147">
        <v>0.09</v>
      </c>
      <c r="BM195" s="147">
        <v>0.09</v>
      </c>
      <c r="BN195" s="147">
        <v>0.09</v>
      </c>
      <c r="BO195" s="147">
        <v>0.09</v>
      </c>
      <c r="BP195" s="147">
        <v>0.09</v>
      </c>
      <c r="BQ195" s="147">
        <v>0.09</v>
      </c>
      <c r="BR195" s="147">
        <v>0.09</v>
      </c>
      <c r="BS195" s="147">
        <v>0.09</v>
      </c>
      <c r="BT195" s="147">
        <v>0.09</v>
      </c>
      <c r="BU195" s="147">
        <v>0.09</v>
      </c>
      <c r="BV195" s="147">
        <v>0.09</v>
      </c>
      <c r="BW195" s="147">
        <v>0.09</v>
      </c>
      <c r="BX195" s="147">
        <v>0.09</v>
      </c>
      <c r="BY195" s="147">
        <v>0.09</v>
      </c>
      <c r="BZ195" s="147">
        <v>0.09</v>
      </c>
      <c r="CA195" s="147">
        <v>0.09</v>
      </c>
    </row>
    <row r="196" spans="1:79" s="76" customFormat="1">
      <c r="A196" s="57" t="s">
        <v>121</v>
      </c>
      <c r="B196" s="148">
        <v>0.159</v>
      </c>
      <c r="C196" s="148">
        <v>0.188</v>
      </c>
      <c r="D196" s="148">
        <v>0.18099999999999999</v>
      </c>
      <c r="E196" s="148">
        <v>0.16</v>
      </c>
      <c r="F196" s="148">
        <v>0.2</v>
      </c>
      <c r="G196" s="148">
        <v>0.17100000000000001</v>
      </c>
      <c r="H196" s="148"/>
      <c r="I196" s="148">
        <v>0.17199999999999999</v>
      </c>
      <c r="J196" s="148">
        <v>0.15</v>
      </c>
      <c r="K196" s="148">
        <v>0.158</v>
      </c>
      <c r="L196" s="148">
        <v>0.184</v>
      </c>
      <c r="M196" s="148">
        <v>0.15</v>
      </c>
      <c r="N196" s="148">
        <v>0.14699999999999999</v>
      </c>
      <c r="O196" s="148">
        <v>0.193</v>
      </c>
      <c r="P196" s="148">
        <v>0.154</v>
      </c>
      <c r="Q196" s="148">
        <v>0.18</v>
      </c>
      <c r="R196" s="148">
        <v>0.156</v>
      </c>
      <c r="S196" s="148">
        <v>0.13</v>
      </c>
      <c r="T196" s="148">
        <v>0.14899999999999999</v>
      </c>
      <c r="U196" s="148">
        <v>0.186</v>
      </c>
      <c r="V196" s="148">
        <v>0.2</v>
      </c>
      <c r="W196" s="148">
        <v>0.185</v>
      </c>
      <c r="X196" s="148">
        <v>0.189</v>
      </c>
      <c r="Y196" s="148">
        <v>0.19</v>
      </c>
      <c r="Z196" s="148">
        <v>0.20300000000000001</v>
      </c>
      <c r="AA196" s="148">
        <v>0.16500000000000001</v>
      </c>
      <c r="AB196" s="148">
        <v>0.16</v>
      </c>
      <c r="AC196" s="148">
        <v>0.20899999999999999</v>
      </c>
      <c r="AD196" s="148">
        <v>0.17499999999999999</v>
      </c>
      <c r="AE196" s="148">
        <v>0.191</v>
      </c>
      <c r="AF196" s="148">
        <v>0.182</v>
      </c>
      <c r="AG196" s="148">
        <v>0.18</v>
      </c>
      <c r="AH196" s="148">
        <v>0.18099999999999999</v>
      </c>
      <c r="AI196" s="148">
        <v>0.17</v>
      </c>
      <c r="AJ196" s="148">
        <v>0.23200000000000001</v>
      </c>
      <c r="AK196" s="148">
        <v>0.182</v>
      </c>
      <c r="AL196" s="148">
        <v>0.186</v>
      </c>
      <c r="AM196" s="148">
        <v>0.185</v>
      </c>
      <c r="AN196" s="148">
        <v>0.17399999999999999</v>
      </c>
      <c r="AO196" s="148">
        <v>0.16300000000000001</v>
      </c>
      <c r="AP196" s="148">
        <v>0.15</v>
      </c>
      <c r="AQ196" s="148">
        <v>0.187</v>
      </c>
      <c r="AR196" s="148">
        <v>0.14399999999999999</v>
      </c>
      <c r="AS196" s="148">
        <v>0.218</v>
      </c>
      <c r="AT196" s="148">
        <v>0.159</v>
      </c>
      <c r="AU196" s="148">
        <v>0.156</v>
      </c>
      <c r="AV196" s="148">
        <v>0.17199999999999999</v>
      </c>
      <c r="AW196" s="148">
        <v>0.128</v>
      </c>
      <c r="AX196" s="148">
        <v>0.20300000000000001</v>
      </c>
      <c r="AY196" s="148">
        <v>0.13400000000000001</v>
      </c>
      <c r="AZ196" s="148">
        <v>0.122</v>
      </c>
      <c r="BA196" s="148">
        <v>0.14299999999999999</v>
      </c>
      <c r="BB196" s="148">
        <v>0.14899999999999999</v>
      </c>
      <c r="BC196" s="148">
        <v>0.219</v>
      </c>
      <c r="BD196" s="148">
        <v>0.18099999999999999</v>
      </c>
      <c r="BE196" s="148"/>
      <c r="BF196" s="148">
        <v>0.14199999999999999</v>
      </c>
      <c r="BG196" s="148">
        <v>0.14199999999999999</v>
      </c>
      <c r="BH196" s="148">
        <v>0.14699999999999999</v>
      </c>
      <c r="BI196" s="148"/>
      <c r="BJ196" s="148"/>
      <c r="BK196" s="149"/>
    </row>
    <row r="197" spans="1:79" s="76" customFormat="1">
      <c r="A197" s="57" t="s">
        <v>122</v>
      </c>
      <c r="B197" s="148">
        <v>5.2999999999999999E-2</v>
      </c>
      <c r="C197" s="148">
        <v>4.2000000000000003E-2</v>
      </c>
      <c r="D197" s="148">
        <v>2.1999999999999999E-2</v>
      </c>
      <c r="E197" s="148">
        <v>2.3E-2</v>
      </c>
      <c r="F197" s="148">
        <v>0.01</v>
      </c>
      <c r="G197" s="148">
        <v>3.1E-2</v>
      </c>
      <c r="H197" s="148">
        <v>8.1000000000000003E-2</v>
      </c>
      <c r="I197" s="148">
        <v>8.3000000000000004E-2</v>
      </c>
      <c r="J197" s="148">
        <v>3.3000000000000002E-2</v>
      </c>
      <c r="K197" s="148">
        <v>0.04</v>
      </c>
      <c r="L197" s="148">
        <v>6.6000000000000003E-2</v>
      </c>
      <c r="M197" s="148">
        <v>5.2999999999999999E-2</v>
      </c>
      <c r="N197" s="148">
        <v>3.9E-2</v>
      </c>
      <c r="O197" s="148">
        <v>5.2999999999999999E-2</v>
      </c>
      <c r="P197" s="148">
        <v>0.06</v>
      </c>
      <c r="Q197" s="148">
        <v>4.5999999999999999E-2</v>
      </c>
      <c r="R197" s="148">
        <v>5.8000000000000003E-2</v>
      </c>
      <c r="S197" s="148">
        <v>0.03</v>
      </c>
      <c r="T197" s="148">
        <v>8.6999999999999994E-2</v>
      </c>
      <c r="U197" s="148">
        <v>6.9000000000000006E-2</v>
      </c>
      <c r="V197" s="148">
        <v>7.6999999999999999E-2</v>
      </c>
      <c r="W197" s="148">
        <v>3.7999999999999999E-2</v>
      </c>
      <c r="X197" s="148"/>
      <c r="Y197" s="148">
        <v>1.4999999999999999E-2</v>
      </c>
      <c r="Z197" s="148"/>
      <c r="AA197" s="148"/>
      <c r="AB197" s="148">
        <v>6.8000000000000005E-2</v>
      </c>
      <c r="AC197" s="148"/>
      <c r="AD197" s="148"/>
      <c r="AE197" s="148"/>
      <c r="AF197" s="148">
        <v>7.6999999999999999E-2</v>
      </c>
      <c r="AG197" s="148">
        <v>4.5999999999999999E-2</v>
      </c>
      <c r="AH197" s="148"/>
      <c r="AI197" s="148"/>
      <c r="AJ197" s="148"/>
      <c r="AK197" s="148">
        <v>6.6000000000000003E-2</v>
      </c>
      <c r="AL197" s="148">
        <v>5.3999999999999999E-2</v>
      </c>
      <c r="AM197" s="148"/>
      <c r="AN197" s="148"/>
      <c r="AO197" s="148">
        <v>5.5E-2</v>
      </c>
      <c r="AP197" s="148">
        <v>2.1999999999999999E-2</v>
      </c>
      <c r="AQ197" s="148">
        <v>4.4999999999999998E-2</v>
      </c>
      <c r="AR197" s="148"/>
      <c r="AS197" s="148">
        <v>6.3E-2</v>
      </c>
      <c r="AT197" s="148">
        <v>2.7E-2</v>
      </c>
      <c r="AU197" s="148">
        <v>5.1999999999999998E-2</v>
      </c>
      <c r="AV197" s="148">
        <v>5.1999999999999998E-2</v>
      </c>
      <c r="AW197" s="148">
        <v>3.7999999999999999E-2</v>
      </c>
      <c r="AX197" s="148">
        <v>0.02</v>
      </c>
      <c r="AY197" s="148">
        <v>3.5000000000000003E-2</v>
      </c>
      <c r="AZ197" s="148">
        <v>5.0999999999999997E-2</v>
      </c>
      <c r="BA197" s="148"/>
      <c r="BB197" s="148">
        <v>1.9E-2</v>
      </c>
      <c r="BC197" s="148">
        <v>5.1999999999999998E-2</v>
      </c>
      <c r="BD197" s="148"/>
      <c r="BE197" s="148"/>
      <c r="BF197" s="148">
        <v>7.0000000000000007E-2</v>
      </c>
      <c r="BG197" s="148">
        <v>0</v>
      </c>
      <c r="BH197" s="148">
        <v>0.06</v>
      </c>
      <c r="BI197" s="148"/>
      <c r="BJ197" s="148"/>
      <c r="BK197" s="149"/>
    </row>
    <row r="198" spans="1:79" s="2" customFormat="1">
      <c r="A198" s="53" t="s">
        <v>23</v>
      </c>
      <c r="B198" s="116">
        <f>B199/SUM(B199,B201,B203)</f>
        <v>0.5</v>
      </c>
      <c r="C198" s="116">
        <f t="shared" ref="C198:BN198" si="482">C199/SUM(C199,C201,C203)</f>
        <v>0.625</v>
      </c>
      <c r="D198" s="116">
        <f t="shared" si="482"/>
        <v>0.14285714285714285</v>
      </c>
      <c r="E198" s="116">
        <f t="shared" si="482"/>
        <v>0.625</v>
      </c>
      <c r="F198" s="116">
        <f t="shared" si="482"/>
        <v>0.66666666666666663</v>
      </c>
      <c r="G198" s="116">
        <f t="shared" si="482"/>
        <v>0.5</v>
      </c>
      <c r="H198" s="116">
        <f t="shared" si="482"/>
        <v>0</v>
      </c>
      <c r="I198" s="116">
        <f t="shared" si="482"/>
        <v>0.75</v>
      </c>
      <c r="J198" s="116">
        <f t="shared" si="482"/>
        <v>0.625</v>
      </c>
      <c r="K198" s="116">
        <f t="shared" si="482"/>
        <v>0.4</v>
      </c>
      <c r="L198" s="116">
        <f t="shared" si="482"/>
        <v>0.5</v>
      </c>
      <c r="M198" s="116">
        <f t="shared" si="482"/>
        <v>0.25</v>
      </c>
      <c r="N198" s="116">
        <f t="shared" si="482"/>
        <v>8.3333333333333329E-2</v>
      </c>
      <c r="O198" s="116">
        <f t="shared" si="482"/>
        <v>0.6</v>
      </c>
      <c r="P198" s="116">
        <f t="shared" si="482"/>
        <v>0.27272727272727271</v>
      </c>
      <c r="Q198" s="116">
        <f t="shared" si="482"/>
        <v>0.35714285714285715</v>
      </c>
      <c r="R198" s="116">
        <f t="shared" si="482"/>
        <v>0.16666666666666666</v>
      </c>
      <c r="S198" s="116">
        <f t="shared" si="482"/>
        <v>8.3333333333333329E-2</v>
      </c>
      <c r="T198" s="116">
        <f t="shared" si="482"/>
        <v>0.7142857142857143</v>
      </c>
      <c r="U198" s="116">
        <f t="shared" si="482"/>
        <v>0.4</v>
      </c>
      <c r="V198" s="116">
        <f t="shared" si="482"/>
        <v>0.8</v>
      </c>
      <c r="W198" s="116">
        <f t="shared" si="482"/>
        <v>0.42857142857142855</v>
      </c>
      <c r="X198" s="116">
        <f t="shared" si="482"/>
        <v>0.55555555555555558</v>
      </c>
      <c r="Y198" s="116">
        <f t="shared" si="482"/>
        <v>0.33333333333333331</v>
      </c>
      <c r="Z198" s="116">
        <f t="shared" si="482"/>
        <v>0.66666666666666663</v>
      </c>
      <c r="AA198" s="116">
        <f t="shared" si="482"/>
        <v>0.625</v>
      </c>
      <c r="AB198" s="116">
        <f t="shared" si="482"/>
        <v>0.66666666666666663</v>
      </c>
      <c r="AC198" s="116">
        <f t="shared" si="482"/>
        <v>0.76923076923076927</v>
      </c>
      <c r="AD198" s="116">
        <f t="shared" si="482"/>
        <v>1</v>
      </c>
      <c r="AE198" s="116">
        <f t="shared" si="482"/>
        <v>0.84615384615384615</v>
      </c>
      <c r="AF198" s="116">
        <f t="shared" si="482"/>
        <v>0.88888888888888884</v>
      </c>
      <c r="AG198" s="116">
        <f t="shared" si="482"/>
        <v>0.5</v>
      </c>
      <c r="AH198" s="116">
        <f t="shared" si="482"/>
        <v>0.77777777777777779</v>
      </c>
      <c r="AI198" s="116">
        <f t="shared" si="482"/>
        <v>0.77777777777777779</v>
      </c>
      <c r="AJ198" s="116">
        <f t="shared" si="482"/>
        <v>0.90909090909090906</v>
      </c>
      <c r="AK198" s="116">
        <f t="shared" si="482"/>
        <v>0.72727272727272729</v>
      </c>
      <c r="AL198" s="116">
        <f t="shared" si="482"/>
        <v>0.90909090909090906</v>
      </c>
      <c r="AM198" s="116">
        <f t="shared" si="482"/>
        <v>0.91666666666666663</v>
      </c>
      <c r="AN198" s="116">
        <f t="shared" si="482"/>
        <v>0.9285714285714286</v>
      </c>
      <c r="AO198" s="116">
        <f t="shared" si="482"/>
        <v>0.4</v>
      </c>
      <c r="AP198" s="116">
        <f t="shared" si="482"/>
        <v>0.66666666666666663</v>
      </c>
      <c r="AQ198" s="116">
        <f t="shared" si="482"/>
        <v>0.5</v>
      </c>
      <c r="AR198" s="116">
        <f t="shared" si="482"/>
        <v>0.66666666666666663</v>
      </c>
      <c r="AS198" s="116">
        <f t="shared" si="482"/>
        <v>0.125</v>
      </c>
      <c r="AT198" s="116">
        <f t="shared" si="482"/>
        <v>0.8</v>
      </c>
      <c r="AU198" s="116">
        <f t="shared" si="482"/>
        <v>0.55555555555555558</v>
      </c>
      <c r="AV198" s="116">
        <f t="shared" si="482"/>
        <v>0.6</v>
      </c>
      <c r="AW198" s="116">
        <f t="shared" si="482"/>
        <v>0.5714285714285714</v>
      </c>
      <c r="AX198" s="116">
        <f t="shared" si="482"/>
        <v>0.16666666666666666</v>
      </c>
      <c r="AY198" s="116">
        <f t="shared" si="482"/>
        <v>0.4</v>
      </c>
      <c r="AZ198" s="116">
        <f t="shared" si="482"/>
        <v>0.16666666666666666</v>
      </c>
      <c r="BA198" s="116">
        <f t="shared" si="482"/>
        <v>0.25</v>
      </c>
      <c r="BB198" s="116">
        <f t="shared" si="482"/>
        <v>0.18181818181818182</v>
      </c>
      <c r="BC198" s="116">
        <f t="shared" si="482"/>
        <v>0.33333333333333331</v>
      </c>
      <c r="BD198" s="116">
        <f t="shared" si="482"/>
        <v>0.92307692307692313</v>
      </c>
      <c r="BE198" s="116" t="e">
        <f t="shared" si="482"/>
        <v>#DIV/0!</v>
      </c>
      <c r="BF198" s="116">
        <f t="shared" si="482"/>
        <v>0.63636363636363635</v>
      </c>
      <c r="BG198" s="116">
        <f t="shared" si="482"/>
        <v>0.14285714285714285</v>
      </c>
      <c r="BH198" s="116">
        <f t="shared" si="482"/>
        <v>0.27272727272727271</v>
      </c>
      <c r="BI198" s="116" t="e">
        <f t="shared" si="482"/>
        <v>#DIV/0!</v>
      </c>
      <c r="BJ198" s="116" t="e">
        <f t="shared" si="482"/>
        <v>#DIV/0!</v>
      </c>
      <c r="BK198" s="116" t="e">
        <f t="shared" si="482"/>
        <v>#DIV/0!</v>
      </c>
      <c r="BL198" s="116" t="e">
        <f t="shared" si="482"/>
        <v>#DIV/0!</v>
      </c>
      <c r="BM198" s="116" t="e">
        <f t="shared" si="482"/>
        <v>#DIV/0!</v>
      </c>
      <c r="BN198" s="116" t="e">
        <f t="shared" si="482"/>
        <v>#DIV/0!</v>
      </c>
      <c r="BO198" s="116" t="e">
        <f t="shared" ref="BO198:CA198" si="483">BO199/SUM(BO199,BO201,BO203)</f>
        <v>#DIV/0!</v>
      </c>
      <c r="BP198" s="116" t="e">
        <f t="shared" si="483"/>
        <v>#DIV/0!</v>
      </c>
      <c r="BQ198" s="116" t="e">
        <f t="shared" si="483"/>
        <v>#DIV/0!</v>
      </c>
      <c r="BR198" s="116" t="e">
        <f t="shared" si="483"/>
        <v>#DIV/0!</v>
      </c>
      <c r="BS198" s="116" t="e">
        <f t="shared" si="483"/>
        <v>#DIV/0!</v>
      </c>
      <c r="BT198" s="116" t="e">
        <f t="shared" si="483"/>
        <v>#DIV/0!</v>
      </c>
      <c r="BU198" s="116" t="e">
        <f t="shared" si="483"/>
        <v>#DIV/0!</v>
      </c>
      <c r="BV198" s="116" t="e">
        <f t="shared" si="483"/>
        <v>#DIV/0!</v>
      </c>
      <c r="BW198" s="116" t="e">
        <f t="shared" si="483"/>
        <v>#DIV/0!</v>
      </c>
      <c r="BX198" s="116" t="e">
        <f t="shared" si="483"/>
        <v>#DIV/0!</v>
      </c>
      <c r="BY198" s="116" t="e">
        <f t="shared" si="483"/>
        <v>#DIV/0!</v>
      </c>
      <c r="BZ198" s="116" t="e">
        <f t="shared" si="483"/>
        <v>#DIV/0!</v>
      </c>
      <c r="CA198" s="116" t="e">
        <f t="shared" si="483"/>
        <v>#DIV/0!</v>
      </c>
    </row>
    <row r="199" spans="1:79" s="75" customFormat="1">
      <c r="A199" s="22" t="s">
        <v>123</v>
      </c>
      <c r="B199" s="122">
        <v>5</v>
      </c>
      <c r="C199" s="122">
        <v>5</v>
      </c>
      <c r="D199" s="122">
        <v>1</v>
      </c>
      <c r="E199" s="122">
        <v>5</v>
      </c>
      <c r="F199" s="122">
        <v>10</v>
      </c>
      <c r="G199" s="122">
        <v>6</v>
      </c>
      <c r="H199" s="122">
        <v>0</v>
      </c>
      <c r="I199" s="122">
        <v>6</v>
      </c>
      <c r="J199" s="122">
        <v>10</v>
      </c>
      <c r="K199" s="122">
        <v>6</v>
      </c>
      <c r="L199" s="122">
        <v>5</v>
      </c>
      <c r="M199" s="122">
        <v>3</v>
      </c>
      <c r="N199" s="122">
        <v>1</v>
      </c>
      <c r="O199" s="122">
        <v>3</v>
      </c>
      <c r="P199" s="122">
        <v>3</v>
      </c>
      <c r="Q199" s="122">
        <v>5</v>
      </c>
      <c r="R199" s="122">
        <v>1</v>
      </c>
      <c r="S199" s="122">
        <v>1</v>
      </c>
      <c r="T199" s="122">
        <v>5</v>
      </c>
      <c r="U199" s="122">
        <v>4</v>
      </c>
      <c r="V199" s="122">
        <v>8</v>
      </c>
      <c r="W199" s="122">
        <v>3</v>
      </c>
      <c r="X199" s="122">
        <v>5</v>
      </c>
      <c r="Y199" s="122">
        <v>2</v>
      </c>
      <c r="Z199" s="122">
        <v>4</v>
      </c>
      <c r="AA199" s="122">
        <v>5</v>
      </c>
      <c r="AB199" s="122">
        <v>6</v>
      </c>
      <c r="AC199" s="122">
        <v>10</v>
      </c>
      <c r="AD199" s="122">
        <v>6</v>
      </c>
      <c r="AE199" s="122">
        <v>11</v>
      </c>
      <c r="AF199" s="122">
        <v>8</v>
      </c>
      <c r="AG199" s="122">
        <v>5</v>
      </c>
      <c r="AH199" s="122">
        <v>7</v>
      </c>
      <c r="AI199" s="122">
        <v>7</v>
      </c>
      <c r="AJ199" s="122">
        <v>10</v>
      </c>
      <c r="AK199" s="122">
        <v>8</v>
      </c>
      <c r="AL199" s="122">
        <v>10</v>
      </c>
      <c r="AM199" s="122">
        <v>11</v>
      </c>
      <c r="AN199" s="122">
        <v>13</v>
      </c>
      <c r="AO199" s="122">
        <v>6</v>
      </c>
      <c r="AP199" s="122">
        <v>6</v>
      </c>
      <c r="AQ199" s="122">
        <v>4</v>
      </c>
      <c r="AR199" s="122">
        <v>6</v>
      </c>
      <c r="AS199" s="122">
        <v>1</v>
      </c>
      <c r="AT199" s="122">
        <v>4</v>
      </c>
      <c r="AU199" s="122">
        <v>5</v>
      </c>
      <c r="AV199" s="122">
        <v>6</v>
      </c>
      <c r="AW199" s="122">
        <v>4</v>
      </c>
      <c r="AX199" s="122">
        <v>2</v>
      </c>
      <c r="AY199" s="122">
        <v>2</v>
      </c>
      <c r="AZ199" s="122">
        <v>1</v>
      </c>
      <c r="BA199" s="122">
        <v>3</v>
      </c>
      <c r="BB199" s="122">
        <v>2</v>
      </c>
      <c r="BC199" s="122">
        <v>1</v>
      </c>
      <c r="BD199" s="122">
        <v>12</v>
      </c>
      <c r="BE199" s="122"/>
      <c r="BF199" s="122">
        <v>7</v>
      </c>
      <c r="BG199" s="122">
        <v>1</v>
      </c>
      <c r="BH199" s="122">
        <v>3</v>
      </c>
      <c r="BI199" s="122"/>
      <c r="BJ199" s="122"/>
      <c r="BK199" s="195"/>
    </row>
    <row r="200" spans="1:79" s="2" customFormat="1">
      <c r="A200" s="24" t="s">
        <v>25</v>
      </c>
      <c r="B200" s="106">
        <f>B201/SUM(B201,B203,B199)</f>
        <v>0.4</v>
      </c>
      <c r="C200" s="106">
        <f t="shared" ref="C200:BN200" si="484">C201/SUM(C201,C203,C199)</f>
        <v>0.25</v>
      </c>
      <c r="D200" s="106">
        <f t="shared" si="484"/>
        <v>0.14285714285714285</v>
      </c>
      <c r="E200" s="106">
        <f t="shared" si="484"/>
        <v>0</v>
      </c>
      <c r="F200" s="106">
        <f t="shared" si="484"/>
        <v>0.2</v>
      </c>
      <c r="G200" s="106">
        <f t="shared" si="484"/>
        <v>8.3333333333333329E-2</v>
      </c>
      <c r="H200" s="106">
        <f t="shared" si="484"/>
        <v>0.6</v>
      </c>
      <c r="I200" s="106">
        <f t="shared" si="484"/>
        <v>0.125</v>
      </c>
      <c r="J200" s="106">
        <f t="shared" si="484"/>
        <v>6.25E-2</v>
      </c>
      <c r="K200" s="106">
        <f t="shared" si="484"/>
        <v>0.26666666666666666</v>
      </c>
      <c r="L200" s="106">
        <f t="shared" si="484"/>
        <v>0.2</v>
      </c>
      <c r="M200" s="106">
        <f t="shared" si="484"/>
        <v>0.25</v>
      </c>
      <c r="N200" s="106">
        <f t="shared" si="484"/>
        <v>0.16666666666666666</v>
      </c>
      <c r="O200" s="106">
        <f t="shared" si="484"/>
        <v>0</v>
      </c>
      <c r="P200" s="106">
        <f t="shared" si="484"/>
        <v>0.18181818181818182</v>
      </c>
      <c r="Q200" s="106">
        <f t="shared" si="484"/>
        <v>0.14285714285714285</v>
      </c>
      <c r="R200" s="106">
        <f t="shared" si="484"/>
        <v>0.16666666666666666</v>
      </c>
      <c r="S200" s="106">
        <f t="shared" si="484"/>
        <v>8.3333333333333329E-2</v>
      </c>
      <c r="T200" s="106">
        <f t="shared" si="484"/>
        <v>0.14285714285714285</v>
      </c>
      <c r="U200" s="106">
        <f t="shared" si="484"/>
        <v>0.2</v>
      </c>
      <c r="V200" s="106">
        <f t="shared" si="484"/>
        <v>0</v>
      </c>
      <c r="W200" s="106">
        <f t="shared" si="484"/>
        <v>0.2857142857142857</v>
      </c>
      <c r="X200" s="106">
        <f t="shared" si="484"/>
        <v>0.22222222222222221</v>
      </c>
      <c r="Y200" s="106">
        <f t="shared" si="484"/>
        <v>0.33333333333333331</v>
      </c>
      <c r="Z200" s="106">
        <f t="shared" si="484"/>
        <v>0.33333333333333331</v>
      </c>
      <c r="AA200" s="106">
        <f t="shared" si="484"/>
        <v>0.125</v>
      </c>
      <c r="AB200" s="106">
        <f t="shared" si="484"/>
        <v>0.1111111111111111</v>
      </c>
      <c r="AC200" s="106">
        <f t="shared" si="484"/>
        <v>7.6923076923076927E-2</v>
      </c>
      <c r="AD200" s="106">
        <f t="shared" si="484"/>
        <v>0</v>
      </c>
      <c r="AE200" s="106">
        <f t="shared" si="484"/>
        <v>0.15384615384615385</v>
      </c>
      <c r="AF200" s="106">
        <f t="shared" si="484"/>
        <v>0</v>
      </c>
      <c r="AG200" s="106">
        <f t="shared" si="484"/>
        <v>0.1</v>
      </c>
      <c r="AH200" s="106">
        <f t="shared" si="484"/>
        <v>0.22222222222222221</v>
      </c>
      <c r="AI200" s="106">
        <f t="shared" si="484"/>
        <v>0.22222222222222221</v>
      </c>
      <c r="AJ200" s="106">
        <f t="shared" si="484"/>
        <v>9.0909090909090912E-2</v>
      </c>
      <c r="AK200" s="106">
        <f t="shared" si="484"/>
        <v>0.18181818181818182</v>
      </c>
      <c r="AL200" s="106">
        <f t="shared" si="484"/>
        <v>0</v>
      </c>
      <c r="AM200" s="106">
        <f t="shared" si="484"/>
        <v>8.3333333333333329E-2</v>
      </c>
      <c r="AN200" s="106">
        <f t="shared" si="484"/>
        <v>7.1428571428571425E-2</v>
      </c>
      <c r="AO200" s="106">
        <f t="shared" si="484"/>
        <v>0.13333333333333333</v>
      </c>
      <c r="AP200" s="106">
        <f t="shared" si="484"/>
        <v>0.1111111111111111</v>
      </c>
      <c r="AQ200" s="106">
        <f t="shared" si="484"/>
        <v>0.25</v>
      </c>
      <c r="AR200" s="106">
        <f t="shared" si="484"/>
        <v>0.33333333333333331</v>
      </c>
      <c r="AS200" s="106">
        <f t="shared" si="484"/>
        <v>0.375</v>
      </c>
      <c r="AT200" s="106">
        <f t="shared" si="484"/>
        <v>0</v>
      </c>
      <c r="AU200" s="106">
        <f t="shared" si="484"/>
        <v>0.22222222222222221</v>
      </c>
      <c r="AV200" s="106">
        <f t="shared" si="484"/>
        <v>0.1</v>
      </c>
      <c r="AW200" s="106">
        <f t="shared" si="484"/>
        <v>0.14285714285714285</v>
      </c>
      <c r="AX200" s="106">
        <f t="shared" si="484"/>
        <v>0.16666666666666666</v>
      </c>
      <c r="AY200" s="106">
        <f t="shared" si="484"/>
        <v>0</v>
      </c>
      <c r="AZ200" s="106">
        <f t="shared" si="484"/>
        <v>0.16666666666666666</v>
      </c>
      <c r="BA200" s="106">
        <f t="shared" si="484"/>
        <v>0.16666666666666666</v>
      </c>
      <c r="BB200" s="106">
        <f t="shared" si="484"/>
        <v>0.63636363636363635</v>
      </c>
      <c r="BC200" s="106">
        <f t="shared" si="484"/>
        <v>0</v>
      </c>
      <c r="BD200" s="106">
        <f t="shared" si="484"/>
        <v>7.6923076923076927E-2</v>
      </c>
      <c r="BE200" s="106" t="e">
        <f t="shared" si="484"/>
        <v>#DIV/0!</v>
      </c>
      <c r="BF200" s="106">
        <f t="shared" si="484"/>
        <v>0.18181818181818182</v>
      </c>
      <c r="BG200" s="106">
        <f t="shared" si="484"/>
        <v>0</v>
      </c>
      <c r="BH200" s="106">
        <f t="shared" si="484"/>
        <v>0.54545454545454541</v>
      </c>
      <c r="BI200" s="106" t="e">
        <f t="shared" si="484"/>
        <v>#DIV/0!</v>
      </c>
      <c r="BJ200" s="106" t="e">
        <f t="shared" si="484"/>
        <v>#DIV/0!</v>
      </c>
      <c r="BK200" s="106" t="e">
        <f t="shared" si="484"/>
        <v>#DIV/0!</v>
      </c>
      <c r="BL200" s="106" t="e">
        <f t="shared" si="484"/>
        <v>#DIV/0!</v>
      </c>
      <c r="BM200" s="106" t="e">
        <f t="shared" si="484"/>
        <v>#DIV/0!</v>
      </c>
      <c r="BN200" s="106" t="e">
        <f t="shared" si="484"/>
        <v>#DIV/0!</v>
      </c>
      <c r="BO200" s="106" t="e">
        <f t="shared" ref="BO200:CA200" si="485">BO201/SUM(BO201,BO203,BO199)</f>
        <v>#DIV/0!</v>
      </c>
      <c r="BP200" s="106" t="e">
        <f t="shared" si="485"/>
        <v>#DIV/0!</v>
      </c>
      <c r="BQ200" s="106" t="e">
        <f t="shared" si="485"/>
        <v>#DIV/0!</v>
      </c>
      <c r="BR200" s="106" t="e">
        <f t="shared" si="485"/>
        <v>#DIV/0!</v>
      </c>
      <c r="BS200" s="106" t="e">
        <f t="shared" si="485"/>
        <v>#DIV/0!</v>
      </c>
      <c r="BT200" s="106" t="e">
        <f t="shared" si="485"/>
        <v>#DIV/0!</v>
      </c>
      <c r="BU200" s="106" t="e">
        <f t="shared" si="485"/>
        <v>#DIV/0!</v>
      </c>
      <c r="BV200" s="106" t="e">
        <f t="shared" si="485"/>
        <v>#DIV/0!</v>
      </c>
      <c r="BW200" s="106" t="e">
        <f t="shared" si="485"/>
        <v>#DIV/0!</v>
      </c>
      <c r="BX200" s="106" t="e">
        <f t="shared" si="485"/>
        <v>#DIV/0!</v>
      </c>
      <c r="BY200" s="106" t="e">
        <f t="shared" si="485"/>
        <v>#DIV/0!</v>
      </c>
      <c r="BZ200" s="106" t="e">
        <f t="shared" si="485"/>
        <v>#DIV/0!</v>
      </c>
      <c r="CA200" s="106" t="e">
        <f t="shared" si="485"/>
        <v>#DIV/0!</v>
      </c>
    </row>
    <row r="201" spans="1:79" s="75" customFormat="1">
      <c r="A201" s="22" t="s">
        <v>124</v>
      </c>
      <c r="B201" s="122">
        <v>4</v>
      </c>
      <c r="C201" s="122">
        <v>2</v>
      </c>
      <c r="D201" s="122">
        <v>1</v>
      </c>
      <c r="E201" s="122">
        <v>0</v>
      </c>
      <c r="F201" s="122">
        <v>3</v>
      </c>
      <c r="G201" s="122">
        <v>1</v>
      </c>
      <c r="H201" s="122">
        <v>3</v>
      </c>
      <c r="I201" s="122">
        <v>1</v>
      </c>
      <c r="J201" s="122">
        <v>1</v>
      </c>
      <c r="K201" s="122">
        <v>4</v>
      </c>
      <c r="L201" s="122">
        <v>2</v>
      </c>
      <c r="M201" s="122">
        <v>3</v>
      </c>
      <c r="N201" s="122">
        <v>2</v>
      </c>
      <c r="O201" s="122">
        <v>0</v>
      </c>
      <c r="P201" s="122">
        <v>2</v>
      </c>
      <c r="Q201" s="122">
        <v>2</v>
      </c>
      <c r="R201" s="122">
        <v>1</v>
      </c>
      <c r="S201" s="122">
        <v>1</v>
      </c>
      <c r="T201" s="122">
        <v>1</v>
      </c>
      <c r="U201" s="122">
        <v>2</v>
      </c>
      <c r="V201" s="122">
        <v>0</v>
      </c>
      <c r="W201" s="122">
        <v>2</v>
      </c>
      <c r="X201" s="122">
        <v>2</v>
      </c>
      <c r="Y201" s="122">
        <v>2</v>
      </c>
      <c r="Z201" s="122">
        <v>2</v>
      </c>
      <c r="AA201" s="122">
        <v>1</v>
      </c>
      <c r="AB201" s="122">
        <v>1</v>
      </c>
      <c r="AC201" s="122">
        <v>1</v>
      </c>
      <c r="AD201" s="122">
        <v>0</v>
      </c>
      <c r="AE201" s="122">
        <v>2</v>
      </c>
      <c r="AF201" s="122">
        <v>0</v>
      </c>
      <c r="AG201" s="122">
        <v>1</v>
      </c>
      <c r="AH201" s="122">
        <v>2</v>
      </c>
      <c r="AI201" s="122">
        <v>2</v>
      </c>
      <c r="AJ201" s="122">
        <v>1</v>
      </c>
      <c r="AK201" s="122">
        <v>2</v>
      </c>
      <c r="AL201" s="122">
        <v>0</v>
      </c>
      <c r="AM201" s="122">
        <v>1</v>
      </c>
      <c r="AN201" s="122">
        <v>1</v>
      </c>
      <c r="AO201" s="122">
        <v>2</v>
      </c>
      <c r="AP201" s="122">
        <v>1</v>
      </c>
      <c r="AQ201" s="122">
        <v>2</v>
      </c>
      <c r="AR201" s="122">
        <v>3</v>
      </c>
      <c r="AS201" s="122">
        <v>3</v>
      </c>
      <c r="AT201" s="122">
        <v>0</v>
      </c>
      <c r="AU201" s="122">
        <v>2</v>
      </c>
      <c r="AV201" s="122">
        <v>1</v>
      </c>
      <c r="AW201" s="122">
        <v>1</v>
      </c>
      <c r="AX201" s="122">
        <v>2</v>
      </c>
      <c r="AY201" s="122">
        <v>0</v>
      </c>
      <c r="AZ201" s="122">
        <v>1</v>
      </c>
      <c r="BA201" s="122">
        <v>2</v>
      </c>
      <c r="BB201" s="122">
        <v>7</v>
      </c>
      <c r="BC201" s="122">
        <v>0</v>
      </c>
      <c r="BD201" s="122">
        <v>1</v>
      </c>
      <c r="BE201" s="122"/>
      <c r="BF201" s="122">
        <v>2</v>
      </c>
      <c r="BG201" s="122">
        <v>0</v>
      </c>
      <c r="BH201" s="122">
        <v>6</v>
      </c>
      <c r="BI201" s="122"/>
      <c r="BJ201" s="122"/>
      <c r="BK201" s="195"/>
    </row>
    <row r="202" spans="1:79" s="2" customFormat="1">
      <c r="A202" s="24" t="s">
        <v>27</v>
      </c>
      <c r="B202" s="106">
        <f>B203/SUM(B203,B199,B201)</f>
        <v>0.1</v>
      </c>
      <c r="C202" s="106">
        <f t="shared" ref="C202:BN202" si="486">C203/SUM(C203,C199,C201)</f>
        <v>0.125</v>
      </c>
      <c r="D202" s="106">
        <f t="shared" si="486"/>
        <v>0.7142857142857143</v>
      </c>
      <c r="E202" s="106">
        <f t="shared" si="486"/>
        <v>0.375</v>
      </c>
      <c r="F202" s="106">
        <f t="shared" si="486"/>
        <v>0.13333333333333333</v>
      </c>
      <c r="G202" s="106">
        <f t="shared" si="486"/>
        <v>0.41666666666666669</v>
      </c>
      <c r="H202" s="106">
        <f t="shared" si="486"/>
        <v>0.4</v>
      </c>
      <c r="I202" s="106">
        <f t="shared" si="486"/>
        <v>0.125</v>
      </c>
      <c r="J202" s="106">
        <f t="shared" si="486"/>
        <v>0.3125</v>
      </c>
      <c r="K202" s="106">
        <f t="shared" si="486"/>
        <v>0.33333333333333331</v>
      </c>
      <c r="L202" s="106">
        <f t="shared" si="486"/>
        <v>0.3</v>
      </c>
      <c r="M202" s="106">
        <f t="shared" si="486"/>
        <v>0.5</v>
      </c>
      <c r="N202" s="106">
        <f t="shared" si="486"/>
        <v>0.75</v>
      </c>
      <c r="O202" s="106">
        <f t="shared" si="486"/>
        <v>0.4</v>
      </c>
      <c r="P202" s="106">
        <f t="shared" si="486"/>
        <v>0.54545454545454541</v>
      </c>
      <c r="Q202" s="106">
        <f t="shared" si="486"/>
        <v>0.5</v>
      </c>
      <c r="R202" s="106">
        <f t="shared" si="486"/>
        <v>0.66666666666666663</v>
      </c>
      <c r="S202" s="106">
        <f t="shared" si="486"/>
        <v>0.83333333333333337</v>
      </c>
      <c r="T202" s="106">
        <f t="shared" si="486"/>
        <v>0.14285714285714285</v>
      </c>
      <c r="U202" s="106">
        <f t="shared" si="486"/>
        <v>0.4</v>
      </c>
      <c r="V202" s="106">
        <f t="shared" si="486"/>
        <v>0.2</v>
      </c>
      <c r="W202" s="106">
        <f t="shared" si="486"/>
        <v>0.2857142857142857</v>
      </c>
      <c r="X202" s="106">
        <f t="shared" si="486"/>
        <v>0.22222222222222221</v>
      </c>
      <c r="Y202" s="106">
        <f t="shared" si="486"/>
        <v>0.33333333333333331</v>
      </c>
      <c r="Z202" s="106">
        <f t="shared" si="486"/>
        <v>0</v>
      </c>
      <c r="AA202" s="106">
        <f t="shared" si="486"/>
        <v>0.25</v>
      </c>
      <c r="AB202" s="106">
        <f t="shared" si="486"/>
        <v>0.22222222222222221</v>
      </c>
      <c r="AC202" s="106">
        <f t="shared" si="486"/>
        <v>0.15384615384615385</v>
      </c>
      <c r="AD202" s="106">
        <f t="shared" si="486"/>
        <v>0</v>
      </c>
      <c r="AE202" s="106">
        <f t="shared" si="486"/>
        <v>0</v>
      </c>
      <c r="AF202" s="106">
        <f t="shared" si="486"/>
        <v>0.1111111111111111</v>
      </c>
      <c r="AG202" s="106">
        <f t="shared" si="486"/>
        <v>0.4</v>
      </c>
      <c r="AH202" s="106">
        <f t="shared" si="486"/>
        <v>0</v>
      </c>
      <c r="AI202" s="106">
        <f t="shared" si="486"/>
        <v>0</v>
      </c>
      <c r="AJ202" s="106">
        <f t="shared" si="486"/>
        <v>0</v>
      </c>
      <c r="AK202" s="106">
        <f t="shared" si="486"/>
        <v>9.0909090909090912E-2</v>
      </c>
      <c r="AL202" s="106">
        <f t="shared" si="486"/>
        <v>9.0909090909090912E-2</v>
      </c>
      <c r="AM202" s="106">
        <f t="shared" si="486"/>
        <v>0</v>
      </c>
      <c r="AN202" s="106">
        <f t="shared" si="486"/>
        <v>0</v>
      </c>
      <c r="AO202" s="106">
        <f t="shared" si="486"/>
        <v>0.46666666666666667</v>
      </c>
      <c r="AP202" s="106">
        <f t="shared" si="486"/>
        <v>0.22222222222222221</v>
      </c>
      <c r="AQ202" s="106">
        <f t="shared" si="486"/>
        <v>0.25</v>
      </c>
      <c r="AR202" s="106">
        <f t="shared" si="486"/>
        <v>0</v>
      </c>
      <c r="AS202" s="106">
        <f t="shared" si="486"/>
        <v>0.5</v>
      </c>
      <c r="AT202" s="106">
        <f t="shared" si="486"/>
        <v>0.2</v>
      </c>
      <c r="AU202" s="106">
        <f t="shared" si="486"/>
        <v>0.22222222222222221</v>
      </c>
      <c r="AV202" s="106">
        <f t="shared" si="486"/>
        <v>0.3</v>
      </c>
      <c r="AW202" s="106">
        <f t="shared" si="486"/>
        <v>0.2857142857142857</v>
      </c>
      <c r="AX202" s="106">
        <f t="shared" si="486"/>
        <v>0.66666666666666663</v>
      </c>
      <c r="AY202" s="106">
        <f t="shared" si="486"/>
        <v>0.6</v>
      </c>
      <c r="AZ202" s="106">
        <f t="shared" si="486"/>
        <v>0.66666666666666663</v>
      </c>
      <c r="BA202" s="106">
        <f t="shared" si="486"/>
        <v>0.58333333333333337</v>
      </c>
      <c r="BB202" s="106">
        <f t="shared" si="486"/>
        <v>0.18181818181818182</v>
      </c>
      <c r="BC202" s="106">
        <f t="shared" si="486"/>
        <v>0.66666666666666663</v>
      </c>
      <c r="BD202" s="106">
        <f t="shared" si="486"/>
        <v>0</v>
      </c>
      <c r="BE202" s="106" t="e">
        <f t="shared" si="486"/>
        <v>#DIV/0!</v>
      </c>
      <c r="BF202" s="106">
        <f t="shared" si="486"/>
        <v>0.18181818181818182</v>
      </c>
      <c r="BG202" s="106">
        <f t="shared" si="486"/>
        <v>0.8571428571428571</v>
      </c>
      <c r="BH202" s="106">
        <f t="shared" si="486"/>
        <v>0.18181818181818182</v>
      </c>
      <c r="BI202" s="106" t="e">
        <f t="shared" si="486"/>
        <v>#DIV/0!</v>
      </c>
      <c r="BJ202" s="106" t="e">
        <f t="shared" si="486"/>
        <v>#DIV/0!</v>
      </c>
      <c r="BK202" s="106" t="e">
        <f t="shared" si="486"/>
        <v>#DIV/0!</v>
      </c>
      <c r="BL202" s="106" t="e">
        <f t="shared" si="486"/>
        <v>#DIV/0!</v>
      </c>
      <c r="BM202" s="106" t="e">
        <f t="shared" si="486"/>
        <v>#DIV/0!</v>
      </c>
      <c r="BN202" s="106" t="e">
        <f t="shared" si="486"/>
        <v>#DIV/0!</v>
      </c>
      <c r="BO202" s="106" t="e">
        <f t="shared" ref="BO202:CA202" si="487">BO203/SUM(BO203,BO199,BO201)</f>
        <v>#DIV/0!</v>
      </c>
      <c r="BP202" s="106" t="e">
        <f t="shared" si="487"/>
        <v>#DIV/0!</v>
      </c>
      <c r="BQ202" s="106" t="e">
        <f t="shared" si="487"/>
        <v>#DIV/0!</v>
      </c>
      <c r="BR202" s="106" t="e">
        <f t="shared" si="487"/>
        <v>#DIV/0!</v>
      </c>
      <c r="BS202" s="106" t="e">
        <f t="shared" si="487"/>
        <v>#DIV/0!</v>
      </c>
      <c r="BT202" s="106" t="e">
        <f t="shared" si="487"/>
        <v>#DIV/0!</v>
      </c>
      <c r="BU202" s="106" t="e">
        <f t="shared" si="487"/>
        <v>#DIV/0!</v>
      </c>
      <c r="BV202" s="106" t="e">
        <f t="shared" si="487"/>
        <v>#DIV/0!</v>
      </c>
      <c r="BW202" s="106" t="e">
        <f t="shared" si="487"/>
        <v>#DIV/0!</v>
      </c>
      <c r="BX202" s="106" t="e">
        <f t="shared" si="487"/>
        <v>#DIV/0!</v>
      </c>
      <c r="BY202" s="106" t="e">
        <f t="shared" si="487"/>
        <v>#DIV/0!</v>
      </c>
      <c r="BZ202" s="106" t="e">
        <f t="shared" si="487"/>
        <v>#DIV/0!</v>
      </c>
      <c r="CA202" s="106" t="e">
        <f t="shared" si="487"/>
        <v>#DIV/0!</v>
      </c>
    </row>
    <row r="203" spans="1:79" s="74" customFormat="1" ht="19.5" thickBot="1">
      <c r="A203" s="25" t="s">
        <v>125</v>
      </c>
      <c r="B203" s="118">
        <v>1</v>
      </c>
      <c r="C203" s="118">
        <v>1</v>
      </c>
      <c r="D203" s="118">
        <v>5</v>
      </c>
      <c r="E203" s="118">
        <v>3</v>
      </c>
      <c r="F203" s="118">
        <v>2</v>
      </c>
      <c r="G203" s="118">
        <v>5</v>
      </c>
      <c r="H203" s="118">
        <v>2</v>
      </c>
      <c r="I203" s="118">
        <v>1</v>
      </c>
      <c r="J203" s="118">
        <v>5</v>
      </c>
      <c r="K203" s="118">
        <v>5</v>
      </c>
      <c r="L203" s="118">
        <v>3</v>
      </c>
      <c r="M203" s="118">
        <v>6</v>
      </c>
      <c r="N203" s="118">
        <v>9</v>
      </c>
      <c r="O203" s="118">
        <v>2</v>
      </c>
      <c r="P203" s="118">
        <v>6</v>
      </c>
      <c r="Q203" s="118">
        <v>7</v>
      </c>
      <c r="R203" s="118">
        <v>4</v>
      </c>
      <c r="S203" s="118">
        <v>10</v>
      </c>
      <c r="T203" s="118">
        <v>1</v>
      </c>
      <c r="U203" s="118">
        <v>4</v>
      </c>
      <c r="V203" s="118">
        <v>2</v>
      </c>
      <c r="W203" s="118">
        <v>2</v>
      </c>
      <c r="X203" s="118">
        <v>2</v>
      </c>
      <c r="Y203" s="118">
        <v>2</v>
      </c>
      <c r="Z203" s="118">
        <v>0</v>
      </c>
      <c r="AA203" s="118">
        <v>2</v>
      </c>
      <c r="AB203" s="118">
        <v>2</v>
      </c>
      <c r="AC203" s="118">
        <v>2</v>
      </c>
      <c r="AD203" s="118">
        <v>0</v>
      </c>
      <c r="AE203" s="118">
        <v>0</v>
      </c>
      <c r="AF203" s="118">
        <v>1</v>
      </c>
      <c r="AG203" s="118">
        <v>4</v>
      </c>
      <c r="AH203" s="118">
        <v>0</v>
      </c>
      <c r="AI203" s="118">
        <v>0</v>
      </c>
      <c r="AJ203" s="118">
        <v>0</v>
      </c>
      <c r="AK203" s="118">
        <v>1</v>
      </c>
      <c r="AL203" s="118">
        <v>1</v>
      </c>
      <c r="AM203" s="118">
        <v>0</v>
      </c>
      <c r="AN203" s="118">
        <v>0</v>
      </c>
      <c r="AO203" s="118">
        <v>7</v>
      </c>
      <c r="AP203" s="118">
        <v>2</v>
      </c>
      <c r="AQ203" s="118">
        <v>2</v>
      </c>
      <c r="AR203" s="118">
        <v>0</v>
      </c>
      <c r="AS203" s="118">
        <v>4</v>
      </c>
      <c r="AT203" s="118">
        <v>1</v>
      </c>
      <c r="AU203" s="118">
        <v>2</v>
      </c>
      <c r="AV203" s="118">
        <v>3</v>
      </c>
      <c r="AW203" s="118">
        <v>2</v>
      </c>
      <c r="AX203" s="118">
        <v>8</v>
      </c>
      <c r="AY203" s="118">
        <v>3</v>
      </c>
      <c r="AZ203" s="118">
        <v>4</v>
      </c>
      <c r="BA203" s="118">
        <v>7</v>
      </c>
      <c r="BB203" s="118">
        <v>2</v>
      </c>
      <c r="BC203" s="118">
        <v>2</v>
      </c>
      <c r="BD203" s="118">
        <v>0</v>
      </c>
      <c r="BE203" s="118"/>
      <c r="BF203" s="118">
        <v>2</v>
      </c>
      <c r="BG203" s="118">
        <v>6</v>
      </c>
      <c r="BH203" s="118">
        <v>2</v>
      </c>
      <c r="BI203" s="118"/>
      <c r="BJ203" s="118"/>
      <c r="BK203" s="196"/>
    </row>
    <row r="204" spans="1:79" s="9" customFormat="1">
      <c r="A204" s="63" t="s">
        <v>126</v>
      </c>
      <c r="B204" s="150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150"/>
      <c r="Y204" s="64"/>
      <c r="Z204" s="64"/>
      <c r="AA204" s="64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</row>
    <row r="205" spans="1:79" ht="19.5" thickBot="1">
      <c r="B205" s="3"/>
      <c r="C205" s="3"/>
      <c r="D205" s="3"/>
      <c r="E205" s="3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/>
      <c r="BE205" s="114"/>
      <c r="BF205" s="114"/>
      <c r="BG205" s="114"/>
      <c r="BH205" s="114"/>
      <c r="BI205" s="114"/>
      <c r="BJ205" s="114"/>
      <c r="BK205" s="114"/>
    </row>
    <row r="206" spans="1:79">
      <c r="A206" s="52" t="s">
        <v>127</v>
      </c>
      <c r="B206" s="152"/>
      <c r="C206" s="152"/>
      <c r="D206" s="152"/>
      <c r="E206" s="152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3"/>
      <c r="BC206" s="153"/>
      <c r="BD206" s="153"/>
      <c r="BE206" s="153"/>
      <c r="BF206" s="153"/>
      <c r="BG206" s="153"/>
      <c r="BH206" s="153"/>
      <c r="BI206" s="153"/>
      <c r="BJ206" s="153"/>
      <c r="BK206" s="154"/>
    </row>
    <row r="207" spans="1:79" s="167" customFormat="1">
      <c r="A207" s="24" t="s">
        <v>128</v>
      </c>
      <c r="B207" s="158">
        <v>21</v>
      </c>
      <c r="C207" s="158">
        <v>21</v>
      </c>
      <c r="D207" s="158">
        <v>21</v>
      </c>
      <c r="E207" s="158">
        <v>21</v>
      </c>
      <c r="F207" s="158">
        <v>21</v>
      </c>
      <c r="G207" s="158">
        <v>21</v>
      </c>
      <c r="H207" s="158">
        <v>21</v>
      </c>
      <c r="I207" s="158">
        <v>21</v>
      </c>
      <c r="J207" s="158">
        <v>21</v>
      </c>
      <c r="K207" s="158">
        <v>21</v>
      </c>
      <c r="L207" s="158">
        <v>21</v>
      </c>
      <c r="M207" s="158">
        <v>21</v>
      </c>
      <c r="N207" s="158">
        <v>21</v>
      </c>
      <c r="O207" s="158">
        <v>21</v>
      </c>
      <c r="P207" s="158">
        <v>21</v>
      </c>
      <c r="Q207" s="158">
        <v>21</v>
      </c>
      <c r="R207" s="158">
        <v>21</v>
      </c>
      <c r="S207" s="158">
        <v>21</v>
      </c>
      <c r="T207" s="158">
        <v>21</v>
      </c>
      <c r="U207" s="158">
        <v>21</v>
      </c>
      <c r="V207" s="158">
        <v>21</v>
      </c>
      <c r="W207" s="158">
        <v>21</v>
      </c>
      <c r="X207" s="158">
        <v>21</v>
      </c>
      <c r="Y207" s="158">
        <v>21</v>
      </c>
      <c r="Z207" s="158">
        <v>21</v>
      </c>
      <c r="AA207" s="158">
        <v>21</v>
      </c>
      <c r="AB207" s="158">
        <v>21</v>
      </c>
      <c r="AC207" s="158">
        <v>21</v>
      </c>
      <c r="AD207" s="158">
        <v>21</v>
      </c>
      <c r="AE207" s="158">
        <v>21</v>
      </c>
      <c r="AF207" s="158">
        <v>21</v>
      </c>
      <c r="AG207" s="158">
        <v>21</v>
      </c>
      <c r="AH207" s="158">
        <v>21</v>
      </c>
      <c r="AI207" s="158">
        <v>21</v>
      </c>
      <c r="AJ207" s="158">
        <v>21</v>
      </c>
      <c r="AK207" s="158">
        <v>21</v>
      </c>
      <c r="AL207" s="158">
        <v>21</v>
      </c>
      <c r="AM207" s="158">
        <v>21</v>
      </c>
      <c r="AN207" s="158">
        <v>21</v>
      </c>
      <c r="AO207" s="158">
        <v>21</v>
      </c>
      <c r="AP207" s="158">
        <v>21</v>
      </c>
      <c r="AQ207" s="158">
        <v>21</v>
      </c>
      <c r="AR207" s="158">
        <v>21</v>
      </c>
      <c r="AS207" s="158">
        <v>21</v>
      </c>
      <c r="AT207" s="158">
        <v>21</v>
      </c>
      <c r="AU207" s="158">
        <v>21</v>
      </c>
      <c r="AV207" s="158">
        <v>21</v>
      </c>
      <c r="AW207" s="158">
        <v>21</v>
      </c>
      <c r="AX207" s="158">
        <v>21</v>
      </c>
      <c r="AY207" s="158">
        <v>21</v>
      </c>
      <c r="AZ207" s="158">
        <v>21</v>
      </c>
      <c r="BA207" s="158">
        <v>21</v>
      </c>
      <c r="BB207" s="158">
        <v>21</v>
      </c>
      <c r="BC207" s="158">
        <v>21</v>
      </c>
      <c r="BD207" s="158">
        <v>21</v>
      </c>
      <c r="BE207" s="158">
        <v>21</v>
      </c>
      <c r="BF207" s="158">
        <v>21</v>
      </c>
      <c r="BG207" s="158">
        <v>21</v>
      </c>
      <c r="BH207" s="158">
        <v>21</v>
      </c>
      <c r="BI207" s="158">
        <v>21</v>
      </c>
      <c r="BJ207" s="158">
        <v>21</v>
      </c>
      <c r="BK207" s="158">
        <v>21</v>
      </c>
      <c r="BL207" s="158">
        <v>21</v>
      </c>
      <c r="BM207" s="158">
        <v>21</v>
      </c>
      <c r="BN207" s="158">
        <v>21</v>
      </c>
      <c r="BO207" s="158">
        <v>21</v>
      </c>
      <c r="BP207" s="158">
        <v>21</v>
      </c>
      <c r="BQ207" s="158">
        <v>21</v>
      </c>
      <c r="BR207" s="158">
        <v>21</v>
      </c>
      <c r="BS207" s="158">
        <v>21</v>
      </c>
      <c r="BT207" s="158">
        <v>21</v>
      </c>
      <c r="BU207" s="158">
        <v>21</v>
      </c>
      <c r="BV207" s="158">
        <v>21</v>
      </c>
      <c r="BW207" s="158">
        <v>21</v>
      </c>
      <c r="BX207" s="158">
        <v>21</v>
      </c>
      <c r="BY207" s="158">
        <v>21</v>
      </c>
      <c r="BZ207" s="158">
        <v>21</v>
      </c>
      <c r="CA207" s="158">
        <v>21</v>
      </c>
    </row>
    <row r="208" spans="1:79" s="188" customFormat="1">
      <c r="A208" s="24" t="s">
        <v>129</v>
      </c>
      <c r="B208" s="141">
        <v>21.47</v>
      </c>
      <c r="C208" s="141">
        <v>20.170000000000002</v>
      </c>
      <c r="D208" s="141">
        <v>20.47</v>
      </c>
      <c r="E208" s="141">
        <v>20.68</v>
      </c>
      <c r="F208" s="141">
        <v>20.59</v>
      </c>
      <c r="G208" s="141">
        <v>21.94</v>
      </c>
      <c r="H208" s="141">
        <v>20.25</v>
      </c>
      <c r="I208" s="141">
        <v>21.18</v>
      </c>
      <c r="J208" s="141">
        <v>20.92</v>
      </c>
      <c r="K208" s="141">
        <v>21.74</v>
      </c>
      <c r="L208" s="141">
        <v>20.58</v>
      </c>
      <c r="M208" s="141">
        <v>21.39</v>
      </c>
      <c r="N208" s="141">
        <v>20.25</v>
      </c>
      <c r="O208" s="141">
        <v>21.88</v>
      </c>
      <c r="P208" s="141">
        <v>21.31</v>
      </c>
      <c r="Q208" s="141">
        <v>21.8</v>
      </c>
      <c r="R208" s="141">
        <v>21.03</v>
      </c>
      <c r="S208" s="141">
        <v>20.54</v>
      </c>
      <c r="T208" s="141">
        <v>20.99</v>
      </c>
      <c r="U208" s="141">
        <v>20.95</v>
      </c>
      <c r="V208" s="141">
        <v>20.62</v>
      </c>
      <c r="W208" s="141">
        <v>21.91</v>
      </c>
      <c r="X208" s="141">
        <v>21.15</v>
      </c>
      <c r="Y208" s="141">
        <v>20.5</v>
      </c>
      <c r="Z208" s="141">
        <v>19.809999999999999</v>
      </c>
      <c r="AA208" s="141">
        <v>19.27</v>
      </c>
      <c r="AB208" s="141">
        <v>18.489999999999998</v>
      </c>
      <c r="AC208" s="141">
        <v>20.76</v>
      </c>
      <c r="AD208" s="141">
        <v>20.440000000000001</v>
      </c>
      <c r="AE208" s="141">
        <v>20.399999999999999</v>
      </c>
      <c r="AF208" s="141">
        <v>20.75</v>
      </c>
      <c r="AG208" s="141">
        <v>20.53</v>
      </c>
      <c r="AH208" s="141">
        <v>20.98</v>
      </c>
      <c r="AI208" s="141">
        <v>20.190000000000001</v>
      </c>
      <c r="AJ208" s="141">
        <v>19.510000000000002</v>
      </c>
      <c r="AK208" s="141">
        <v>19.73</v>
      </c>
      <c r="AL208" s="141">
        <v>19.7</v>
      </c>
      <c r="AM208" s="141">
        <v>20.9</v>
      </c>
      <c r="AN208" s="141">
        <v>20.68</v>
      </c>
      <c r="AO208" s="141">
        <v>20.5</v>
      </c>
      <c r="AP208" s="141">
        <v>20.85</v>
      </c>
      <c r="AQ208" s="141">
        <v>20.41</v>
      </c>
      <c r="AR208" s="141">
        <v>20.8</v>
      </c>
      <c r="AS208" s="141">
        <v>20.36</v>
      </c>
      <c r="AT208" s="141">
        <v>19.8</v>
      </c>
      <c r="AU208" s="141">
        <v>20.100000000000001</v>
      </c>
      <c r="AV208" s="141">
        <v>19.46</v>
      </c>
      <c r="AW208" s="141">
        <v>20.8</v>
      </c>
      <c r="AX208" s="141">
        <v>20.73</v>
      </c>
      <c r="AY208" s="141">
        <v>20.93</v>
      </c>
      <c r="AZ208" s="141">
        <v>21.2</v>
      </c>
      <c r="BA208" s="141">
        <v>20.93</v>
      </c>
      <c r="BB208" s="141">
        <v>20.73</v>
      </c>
      <c r="BC208" s="141">
        <v>20.5</v>
      </c>
      <c r="BD208" s="141">
        <v>21.02</v>
      </c>
      <c r="BE208" s="141">
        <v>20.62</v>
      </c>
      <c r="BF208" s="141">
        <v>20.76</v>
      </c>
      <c r="BG208" s="141">
        <v>20.53</v>
      </c>
      <c r="BH208" s="141">
        <v>20.149999999999999</v>
      </c>
      <c r="BI208" s="141">
        <v>20.87</v>
      </c>
      <c r="BJ208" s="141"/>
      <c r="BK208" s="187"/>
    </row>
    <row r="209" spans="1:79" s="189" customFormat="1">
      <c r="A209" s="22" t="s">
        <v>130</v>
      </c>
      <c r="B209" s="158">
        <v>28</v>
      </c>
      <c r="C209" s="158">
        <v>28</v>
      </c>
      <c r="D209" s="158">
        <v>28</v>
      </c>
      <c r="E209" s="158">
        <v>28</v>
      </c>
      <c r="F209" s="158">
        <v>28</v>
      </c>
      <c r="G209" s="158">
        <v>28</v>
      </c>
      <c r="H209" s="158">
        <v>28</v>
      </c>
      <c r="I209" s="158">
        <v>28</v>
      </c>
      <c r="J209" s="158">
        <v>28</v>
      </c>
      <c r="K209" s="158">
        <v>28</v>
      </c>
      <c r="L209" s="158">
        <v>28</v>
      </c>
      <c r="M209" s="158">
        <v>28</v>
      </c>
      <c r="N209" s="158">
        <v>28</v>
      </c>
      <c r="O209" s="158">
        <v>28</v>
      </c>
      <c r="P209" s="158">
        <v>28</v>
      </c>
      <c r="Q209" s="158">
        <v>28</v>
      </c>
      <c r="R209" s="158">
        <v>28</v>
      </c>
      <c r="S209" s="158">
        <v>28</v>
      </c>
      <c r="T209" s="158">
        <v>28</v>
      </c>
      <c r="U209" s="158">
        <v>28</v>
      </c>
      <c r="V209" s="158">
        <v>28</v>
      </c>
      <c r="W209" s="158">
        <v>28</v>
      </c>
      <c r="X209" s="158">
        <v>28</v>
      </c>
      <c r="Y209" s="158">
        <v>28</v>
      </c>
      <c r="Z209" s="158">
        <v>28</v>
      </c>
      <c r="AA209" s="158">
        <v>28</v>
      </c>
      <c r="AB209" s="158">
        <v>28</v>
      </c>
      <c r="AC209" s="158">
        <v>28</v>
      </c>
      <c r="AD209" s="158">
        <v>28</v>
      </c>
      <c r="AE209" s="158">
        <v>28</v>
      </c>
      <c r="AF209" s="158">
        <v>28</v>
      </c>
      <c r="AG209" s="158">
        <v>28</v>
      </c>
      <c r="AH209" s="158">
        <v>28</v>
      </c>
      <c r="AI209" s="158">
        <v>28</v>
      </c>
      <c r="AJ209" s="158">
        <v>28</v>
      </c>
      <c r="AK209" s="158">
        <v>28</v>
      </c>
      <c r="AL209" s="158">
        <v>28</v>
      </c>
      <c r="AM209" s="158">
        <v>28</v>
      </c>
      <c r="AN209" s="158">
        <v>28</v>
      </c>
      <c r="AO209" s="158">
        <v>28</v>
      </c>
      <c r="AP209" s="158">
        <v>28</v>
      </c>
      <c r="AQ209" s="158">
        <v>28</v>
      </c>
      <c r="AR209" s="158">
        <v>28</v>
      </c>
      <c r="AS209" s="158">
        <v>28</v>
      </c>
      <c r="AT209" s="158">
        <v>28</v>
      </c>
      <c r="AU209" s="158">
        <v>28</v>
      </c>
      <c r="AV209" s="158">
        <v>28</v>
      </c>
      <c r="AW209" s="158">
        <v>28</v>
      </c>
      <c r="AX209" s="158">
        <v>28</v>
      </c>
      <c r="AY209" s="158">
        <v>28</v>
      </c>
      <c r="AZ209" s="158">
        <v>28</v>
      </c>
      <c r="BA209" s="158">
        <v>28</v>
      </c>
      <c r="BB209" s="158">
        <v>28</v>
      </c>
      <c r="BC209" s="158">
        <v>28</v>
      </c>
      <c r="BD209" s="158">
        <v>28</v>
      </c>
      <c r="BE209" s="158">
        <v>28</v>
      </c>
      <c r="BF209" s="158">
        <v>28</v>
      </c>
      <c r="BG209" s="158">
        <v>28</v>
      </c>
      <c r="BH209" s="158">
        <v>28</v>
      </c>
      <c r="BI209" s="158">
        <v>28</v>
      </c>
      <c r="BJ209" s="158">
        <v>28</v>
      </c>
      <c r="BK209" s="158">
        <v>28</v>
      </c>
      <c r="BL209" s="158">
        <v>28</v>
      </c>
      <c r="BM209" s="158">
        <v>28</v>
      </c>
      <c r="BN209" s="158">
        <v>28</v>
      </c>
      <c r="BO209" s="158">
        <v>28</v>
      </c>
      <c r="BP209" s="158">
        <v>28</v>
      </c>
      <c r="BQ209" s="158">
        <v>28</v>
      </c>
      <c r="BR209" s="158">
        <v>28</v>
      </c>
      <c r="BS209" s="158">
        <v>28</v>
      </c>
      <c r="BT209" s="158">
        <v>28</v>
      </c>
      <c r="BU209" s="158">
        <v>28</v>
      </c>
      <c r="BV209" s="158">
        <v>28</v>
      </c>
      <c r="BW209" s="158">
        <v>28</v>
      </c>
      <c r="BX209" s="158">
        <v>28</v>
      </c>
      <c r="BY209" s="158">
        <v>28</v>
      </c>
      <c r="BZ209" s="158">
        <v>28</v>
      </c>
      <c r="CA209" s="158">
        <v>28</v>
      </c>
    </row>
    <row r="210" spans="1:79" s="188" customFormat="1">
      <c r="A210" s="24" t="s">
        <v>131</v>
      </c>
      <c r="B210" s="141">
        <v>28.25</v>
      </c>
      <c r="C210" s="141">
        <v>26.65</v>
      </c>
      <c r="D210" s="141">
        <v>27.11</v>
      </c>
      <c r="E210" s="141">
        <v>27.6</v>
      </c>
      <c r="F210" s="141">
        <v>26.88</v>
      </c>
      <c r="G210" s="141">
        <v>28.46</v>
      </c>
      <c r="H210" s="141">
        <v>26.47</v>
      </c>
      <c r="I210" s="141">
        <v>28.35</v>
      </c>
      <c r="J210" s="141">
        <v>27.41</v>
      </c>
      <c r="K210" s="141">
        <v>28.34</v>
      </c>
      <c r="L210" s="141">
        <v>27.26</v>
      </c>
      <c r="M210" s="141">
        <v>27.99</v>
      </c>
      <c r="N210" s="141">
        <v>27.48</v>
      </c>
      <c r="O210" s="141">
        <v>29.08</v>
      </c>
      <c r="P210" s="141">
        <v>28.26</v>
      </c>
      <c r="Q210" s="141">
        <v>28.63</v>
      </c>
      <c r="R210" s="141">
        <v>27.87</v>
      </c>
      <c r="S210" s="141">
        <v>27.1</v>
      </c>
      <c r="T210" s="141">
        <v>27.78</v>
      </c>
      <c r="U210" s="141">
        <v>27.78</v>
      </c>
      <c r="V210" s="141">
        <v>27.11</v>
      </c>
      <c r="W210" s="141">
        <v>28.69</v>
      </c>
      <c r="X210" s="141">
        <v>28.05</v>
      </c>
      <c r="Y210" s="141">
        <v>27.19</v>
      </c>
      <c r="Z210" s="141">
        <v>26.64</v>
      </c>
      <c r="AA210" s="141">
        <v>25.99</v>
      </c>
      <c r="AB210" s="141">
        <v>24.89</v>
      </c>
      <c r="AC210" s="141">
        <v>27.65</v>
      </c>
      <c r="AD210" s="141">
        <v>27.43</v>
      </c>
      <c r="AE210" s="141">
        <v>26.9</v>
      </c>
      <c r="AF210" s="141">
        <v>27.25</v>
      </c>
      <c r="AG210" s="141">
        <v>26.7</v>
      </c>
      <c r="AH210" s="141">
        <v>27.17</v>
      </c>
      <c r="AI210" s="141">
        <v>26.63</v>
      </c>
      <c r="AJ210" s="141">
        <v>25.55</v>
      </c>
      <c r="AK210" s="141">
        <v>25.79</v>
      </c>
      <c r="AL210" s="141">
        <v>26</v>
      </c>
      <c r="AM210" s="141">
        <v>27.3</v>
      </c>
      <c r="AN210" s="141">
        <v>26.78</v>
      </c>
      <c r="AO210" s="141">
        <v>26.5</v>
      </c>
      <c r="AP210" s="141">
        <v>27.1</v>
      </c>
      <c r="AQ210" s="141">
        <v>26.9</v>
      </c>
      <c r="AR210" s="141">
        <v>27.21</v>
      </c>
      <c r="AS210" s="141">
        <v>26.52</v>
      </c>
      <c r="AT210" s="141">
        <v>25.9</v>
      </c>
      <c r="AU210" s="141">
        <v>26.2</v>
      </c>
      <c r="AV210" s="141">
        <v>25.7</v>
      </c>
      <c r="AW210" s="141">
        <v>27.71</v>
      </c>
      <c r="AX210" s="141">
        <v>27.4</v>
      </c>
      <c r="AY210" s="141">
        <v>27.3</v>
      </c>
      <c r="AZ210" s="141">
        <v>28.1</v>
      </c>
      <c r="BA210" s="141">
        <v>27.63</v>
      </c>
      <c r="BB210" s="141">
        <v>27.5</v>
      </c>
      <c r="BC210" s="141">
        <v>26.91</v>
      </c>
      <c r="BD210" s="141">
        <v>28.1</v>
      </c>
      <c r="BE210" s="141">
        <v>27.83</v>
      </c>
      <c r="BF210" s="141">
        <v>27.34</v>
      </c>
      <c r="BG210" s="141">
        <v>27.24</v>
      </c>
      <c r="BH210" s="141">
        <v>26.6</v>
      </c>
      <c r="BI210" s="141">
        <v>27.48</v>
      </c>
      <c r="BJ210" s="141"/>
      <c r="BK210" s="187"/>
    </row>
    <row r="211" spans="1:79" s="190" customFormat="1">
      <c r="A211" s="24" t="s">
        <v>132</v>
      </c>
      <c r="B211" s="144">
        <v>0.01</v>
      </c>
      <c r="C211" s="144">
        <v>0.01</v>
      </c>
      <c r="D211" s="144">
        <v>0.01</v>
      </c>
      <c r="E211" s="144">
        <v>0.01</v>
      </c>
      <c r="F211" s="144">
        <v>0.01</v>
      </c>
      <c r="G211" s="144">
        <v>0.01</v>
      </c>
      <c r="H211" s="144">
        <v>0.01</v>
      </c>
      <c r="I211" s="144">
        <v>0.01</v>
      </c>
      <c r="J211" s="144">
        <v>0.01</v>
      </c>
      <c r="K211" s="144">
        <v>0.01</v>
      </c>
      <c r="L211" s="144">
        <v>0.01</v>
      </c>
      <c r="M211" s="144">
        <v>0.01</v>
      </c>
      <c r="N211" s="144">
        <v>0.01</v>
      </c>
      <c r="O211" s="144">
        <v>0.01</v>
      </c>
      <c r="P211" s="144">
        <v>0.01</v>
      </c>
      <c r="Q211" s="144">
        <v>0.01</v>
      </c>
      <c r="R211" s="144">
        <v>0.01</v>
      </c>
      <c r="S211" s="144">
        <v>0.01</v>
      </c>
      <c r="T211" s="144">
        <v>0.01</v>
      </c>
      <c r="U211" s="144">
        <v>0.01</v>
      </c>
      <c r="V211" s="144">
        <v>0.01</v>
      </c>
      <c r="W211" s="144">
        <v>0.01</v>
      </c>
      <c r="X211" s="144">
        <v>0.01</v>
      </c>
      <c r="Y211" s="144">
        <v>0.01</v>
      </c>
      <c r="Z211" s="144">
        <v>0.01</v>
      </c>
      <c r="AA211" s="144">
        <v>0.01</v>
      </c>
      <c r="AB211" s="144">
        <v>0.01</v>
      </c>
      <c r="AC211" s="144">
        <v>0.01</v>
      </c>
      <c r="AD211" s="144">
        <v>0.01</v>
      </c>
      <c r="AE211" s="144">
        <v>0.01</v>
      </c>
      <c r="AF211" s="144">
        <v>0.01</v>
      </c>
      <c r="AG211" s="144">
        <v>0.01</v>
      </c>
      <c r="AH211" s="144">
        <v>0.01</v>
      </c>
      <c r="AI211" s="144">
        <v>0.01</v>
      </c>
      <c r="AJ211" s="144">
        <v>0.01</v>
      </c>
      <c r="AK211" s="144">
        <v>0.01</v>
      </c>
      <c r="AL211" s="144">
        <v>0.01</v>
      </c>
      <c r="AM211" s="144">
        <v>0.01</v>
      </c>
      <c r="AN211" s="144">
        <v>0.01</v>
      </c>
      <c r="AO211" s="144">
        <v>0.01</v>
      </c>
      <c r="AP211" s="144">
        <v>0.01</v>
      </c>
      <c r="AQ211" s="144">
        <v>0.01</v>
      </c>
      <c r="AR211" s="144">
        <v>0.01</v>
      </c>
      <c r="AS211" s="144">
        <v>0.01</v>
      </c>
      <c r="AT211" s="144">
        <v>0.01</v>
      </c>
      <c r="AU211" s="144">
        <v>0.01</v>
      </c>
      <c r="AV211" s="144">
        <v>0.01</v>
      </c>
      <c r="AW211" s="144">
        <v>0.01</v>
      </c>
      <c r="AX211" s="144">
        <v>0.01</v>
      </c>
      <c r="AY211" s="144">
        <v>0.01</v>
      </c>
      <c r="AZ211" s="144">
        <v>0.01</v>
      </c>
      <c r="BA211" s="144">
        <v>0.01</v>
      </c>
      <c r="BB211" s="144">
        <v>0.01</v>
      </c>
      <c r="BC211" s="144">
        <v>0.01</v>
      </c>
      <c r="BD211" s="144">
        <v>0.01</v>
      </c>
      <c r="BE211" s="144">
        <v>0.01</v>
      </c>
      <c r="BF211" s="144">
        <v>0.01</v>
      </c>
      <c r="BG211" s="144">
        <v>0.01</v>
      </c>
      <c r="BH211" s="144">
        <v>0.01</v>
      </c>
      <c r="BI211" s="144">
        <v>0.01</v>
      </c>
      <c r="BJ211" s="144">
        <v>0.01</v>
      </c>
      <c r="BK211" s="144">
        <v>0.01</v>
      </c>
      <c r="BL211" s="144">
        <v>0.01</v>
      </c>
      <c r="BM211" s="144">
        <v>0.01</v>
      </c>
      <c r="BN211" s="144">
        <v>0.01</v>
      </c>
      <c r="BO211" s="144">
        <v>0.01</v>
      </c>
      <c r="BP211" s="144">
        <v>0.01</v>
      </c>
      <c r="BQ211" s="144">
        <v>0.01</v>
      </c>
      <c r="BR211" s="144">
        <v>0.01</v>
      </c>
      <c r="BS211" s="144">
        <v>0.01</v>
      </c>
      <c r="BT211" s="144">
        <v>0.01</v>
      </c>
      <c r="BU211" s="144">
        <v>0.01</v>
      </c>
      <c r="BV211" s="144">
        <v>0.01</v>
      </c>
      <c r="BW211" s="144">
        <v>0.01</v>
      </c>
      <c r="BX211" s="144">
        <v>0.01</v>
      </c>
      <c r="BY211" s="144">
        <v>0.01</v>
      </c>
      <c r="BZ211" s="144">
        <v>0.01</v>
      </c>
      <c r="CA211" s="144">
        <v>0.01</v>
      </c>
    </row>
    <row r="212" spans="1:79" s="192" customFormat="1">
      <c r="A212" s="24" t="s">
        <v>133</v>
      </c>
      <c r="B212" s="156">
        <v>1.21E-2</v>
      </c>
      <c r="C212" s="156">
        <v>1.47E-2</v>
      </c>
      <c r="D212" s="156">
        <v>9.1999999999999998E-3</v>
      </c>
      <c r="E212" s="156">
        <v>8.8000000000000005E-3</v>
      </c>
      <c r="F212" s="156">
        <v>5.0000000000000001E-3</v>
      </c>
      <c r="G212" s="156">
        <v>3.8E-3</v>
      </c>
      <c r="H212" s="156">
        <v>1.4800000000000001E-2</v>
      </c>
      <c r="I212" s="156">
        <v>3.7000000000000002E-3</v>
      </c>
      <c r="J212" s="156">
        <v>1.09E-2</v>
      </c>
      <c r="K212" s="156">
        <v>7.7000000000000002E-3</v>
      </c>
      <c r="L212" s="156">
        <v>7.0000000000000001E-3</v>
      </c>
      <c r="M212" s="156">
        <v>1.26E-2</v>
      </c>
      <c r="N212" s="156">
        <v>1.46E-2</v>
      </c>
      <c r="O212" s="156">
        <v>3.7000000000000002E-3</v>
      </c>
      <c r="P212" s="156">
        <v>7.4999999999999997E-3</v>
      </c>
      <c r="Q212" s="156">
        <v>1.09E-2</v>
      </c>
      <c r="R212" s="156">
        <v>1.23E-2</v>
      </c>
      <c r="S212" s="156">
        <v>4.8999999999999998E-3</v>
      </c>
      <c r="T212" s="156">
        <v>8.3999999999999995E-3</v>
      </c>
      <c r="U212" s="156">
        <v>8.8000000000000005E-3</v>
      </c>
      <c r="V212" s="156">
        <v>1.6199999999999999E-2</v>
      </c>
      <c r="W212" s="156">
        <v>1.2200000000000001E-2</v>
      </c>
      <c r="X212" s="156">
        <v>1.37E-2</v>
      </c>
      <c r="Y212" s="156">
        <v>5.4999999999999997E-3</v>
      </c>
      <c r="Z212" s="156">
        <v>1.14E-2</v>
      </c>
      <c r="AA212" s="156">
        <v>1.44E-2</v>
      </c>
      <c r="AB212" s="156">
        <v>1.9099999999999999E-2</v>
      </c>
      <c r="AC212" s="156">
        <v>1.55E-2</v>
      </c>
      <c r="AD212" s="156">
        <v>2.12E-2</v>
      </c>
      <c r="AE212" s="156">
        <v>1.54E-2</v>
      </c>
      <c r="AF212" s="156">
        <v>2.8400000000000002E-2</v>
      </c>
      <c r="AG212" s="156">
        <v>8.6E-3</v>
      </c>
      <c r="AH212" s="156">
        <v>1.2E-2</v>
      </c>
      <c r="AI212" s="156">
        <v>1.3299999999999999E-2</v>
      </c>
      <c r="AJ212" s="156">
        <v>1.95E-2</v>
      </c>
      <c r="AK212" s="156">
        <v>1.41E-2</v>
      </c>
      <c r="AL212" s="156">
        <v>1.2E-2</v>
      </c>
      <c r="AM212" s="156">
        <v>1.0800000000000001E-2</v>
      </c>
      <c r="AN212" s="156">
        <v>8.3000000000000001E-3</v>
      </c>
      <c r="AO212" s="156">
        <v>7.1999999999999998E-3</v>
      </c>
      <c r="AP212" s="156">
        <v>4.3E-3</v>
      </c>
      <c r="AQ212" s="156">
        <v>1.32E-2</v>
      </c>
      <c r="AR212" s="156">
        <v>9.4999999999999998E-3</v>
      </c>
      <c r="AS212" s="156">
        <v>1.2200000000000001E-2</v>
      </c>
      <c r="AT212" s="156">
        <v>9.4000000000000004E-3</v>
      </c>
      <c r="AU212" s="156">
        <v>1.5900000000000001E-2</v>
      </c>
      <c r="AV212" s="156">
        <v>8.2799999999999999E-2</v>
      </c>
      <c r="AW212" s="156">
        <v>2.12E-2</v>
      </c>
      <c r="AX212" s="156">
        <v>9.4000000000000004E-3</v>
      </c>
      <c r="AY212" s="156">
        <v>9.4000000000000004E-3</v>
      </c>
      <c r="AZ212" s="156">
        <v>1.2999999999999999E-2</v>
      </c>
      <c r="BA212" s="156">
        <v>0.01</v>
      </c>
      <c r="BB212" s="156">
        <v>1.15E-2</v>
      </c>
      <c r="BC212" s="156">
        <v>1.6400000000000001E-2</v>
      </c>
      <c r="BD212" s="156">
        <v>6.0000000000000001E-3</v>
      </c>
      <c r="BE212" s="156">
        <v>4.4999999999999997E-3</v>
      </c>
      <c r="BF212" s="156">
        <v>1.0999999999999999E-2</v>
      </c>
      <c r="BG212" s="156">
        <v>8.8999999999999999E-3</v>
      </c>
      <c r="BH212" s="156">
        <v>2.6599999999999999E-2</v>
      </c>
      <c r="BI212" s="156">
        <v>9.9000000000000008E-3</v>
      </c>
      <c r="BJ212" s="156"/>
      <c r="BK212" s="191"/>
    </row>
    <row r="213" spans="1:79" s="189" customFormat="1">
      <c r="A213" s="22" t="s">
        <v>134</v>
      </c>
      <c r="B213" s="158">
        <v>1.5</v>
      </c>
      <c r="C213" s="158">
        <v>1.5</v>
      </c>
      <c r="D213" s="158">
        <v>1.5</v>
      </c>
      <c r="E213" s="158">
        <v>1.5</v>
      </c>
      <c r="F213" s="158">
        <v>1.5</v>
      </c>
      <c r="G213" s="158">
        <v>1.5</v>
      </c>
      <c r="H213" s="158">
        <v>1.5</v>
      </c>
      <c r="I213" s="158">
        <v>1.5</v>
      </c>
      <c r="J213" s="158">
        <v>1.5</v>
      </c>
      <c r="K213" s="158">
        <v>1.5</v>
      </c>
      <c r="L213" s="158">
        <v>1.5</v>
      </c>
      <c r="M213" s="158">
        <v>1.5</v>
      </c>
      <c r="N213" s="158">
        <v>1.5</v>
      </c>
      <c r="O213" s="158">
        <v>1.5</v>
      </c>
      <c r="P213" s="158">
        <v>1.5</v>
      </c>
      <c r="Q213" s="158">
        <v>1.5</v>
      </c>
      <c r="R213" s="158">
        <v>1.5</v>
      </c>
      <c r="S213" s="158">
        <v>1.5</v>
      </c>
      <c r="T213" s="158">
        <v>1.5</v>
      </c>
      <c r="U213" s="158">
        <v>1.5</v>
      </c>
      <c r="V213" s="158">
        <v>1.5</v>
      </c>
      <c r="W213" s="158">
        <v>1.5</v>
      </c>
      <c r="X213" s="158">
        <v>1.5</v>
      </c>
      <c r="Y213" s="158">
        <v>1.5</v>
      </c>
      <c r="Z213" s="158">
        <v>1.5</v>
      </c>
      <c r="AA213" s="158">
        <v>1.5</v>
      </c>
      <c r="AB213" s="158">
        <v>1.5</v>
      </c>
      <c r="AC213" s="158">
        <v>1.5</v>
      </c>
      <c r="AD213" s="158">
        <v>1.5</v>
      </c>
      <c r="AE213" s="158">
        <v>1.5</v>
      </c>
      <c r="AF213" s="158">
        <v>1.5</v>
      </c>
      <c r="AG213" s="158">
        <v>1.5</v>
      </c>
      <c r="AH213" s="158">
        <v>1.5</v>
      </c>
      <c r="AI213" s="158">
        <v>1.5</v>
      </c>
      <c r="AJ213" s="158">
        <v>1.5</v>
      </c>
      <c r="AK213" s="158">
        <v>1.5</v>
      </c>
      <c r="AL213" s="158">
        <v>1.5</v>
      </c>
      <c r="AM213" s="158">
        <v>1.5</v>
      </c>
      <c r="AN213" s="158">
        <v>1.5</v>
      </c>
      <c r="AO213" s="158">
        <v>1.5</v>
      </c>
      <c r="AP213" s="158">
        <v>1.5</v>
      </c>
      <c r="AQ213" s="158">
        <v>1.5</v>
      </c>
      <c r="AR213" s="158">
        <v>1.5</v>
      </c>
      <c r="AS213" s="158">
        <v>1.5</v>
      </c>
      <c r="AT213" s="158">
        <v>1.5</v>
      </c>
      <c r="AU213" s="158">
        <v>1.5</v>
      </c>
      <c r="AV213" s="158">
        <v>1.5</v>
      </c>
      <c r="AW213" s="158">
        <v>1.5</v>
      </c>
      <c r="AX213" s="158">
        <v>1.5</v>
      </c>
      <c r="AY213" s="158">
        <v>1.5</v>
      </c>
      <c r="AZ213" s="158">
        <v>1.5</v>
      </c>
      <c r="BA213" s="158">
        <v>1.5</v>
      </c>
      <c r="BB213" s="158">
        <v>1.5</v>
      </c>
      <c r="BC213" s="158">
        <v>1.5</v>
      </c>
      <c r="BD213" s="158">
        <v>1.5</v>
      </c>
      <c r="BE213" s="158">
        <v>1.5</v>
      </c>
      <c r="BF213" s="158">
        <v>1.5</v>
      </c>
      <c r="BG213" s="158">
        <v>1.5</v>
      </c>
      <c r="BH213" s="158">
        <v>1.5</v>
      </c>
      <c r="BI213" s="158">
        <v>1.5</v>
      </c>
      <c r="BJ213" s="158">
        <v>1.5</v>
      </c>
      <c r="BK213" s="158">
        <v>1.5</v>
      </c>
      <c r="BL213" s="158">
        <v>1.5</v>
      </c>
      <c r="BM213" s="158">
        <v>1.5</v>
      </c>
      <c r="BN213" s="158">
        <v>1.5</v>
      </c>
      <c r="BO213" s="158">
        <v>1.5</v>
      </c>
      <c r="BP213" s="158">
        <v>1.5</v>
      </c>
      <c r="BQ213" s="158">
        <v>1.5</v>
      </c>
      <c r="BR213" s="158">
        <v>1.5</v>
      </c>
      <c r="BS213" s="158">
        <v>1.5</v>
      </c>
      <c r="BT213" s="158">
        <v>1.5</v>
      </c>
      <c r="BU213" s="158">
        <v>1.5</v>
      </c>
      <c r="BV213" s="158">
        <v>1.5</v>
      </c>
      <c r="BW213" s="158">
        <v>1.5</v>
      </c>
      <c r="BX213" s="158">
        <v>1.5</v>
      </c>
      <c r="BY213" s="158">
        <v>1.5</v>
      </c>
      <c r="BZ213" s="158">
        <v>1.5</v>
      </c>
      <c r="CA213" s="158">
        <v>1.5</v>
      </c>
    </row>
    <row r="214" spans="1:79" s="188" customFormat="1" ht="19.5" thickBot="1">
      <c r="A214" s="25" t="s">
        <v>135</v>
      </c>
      <c r="B214" s="119">
        <v>1.55</v>
      </c>
      <c r="C214" s="119">
        <v>1.57</v>
      </c>
      <c r="D214" s="119">
        <v>1.52</v>
      </c>
      <c r="E214" s="119">
        <v>1.51</v>
      </c>
      <c r="F214" s="119">
        <v>1.56</v>
      </c>
      <c r="G214" s="119">
        <v>1.55</v>
      </c>
      <c r="H214" s="119">
        <v>1.6</v>
      </c>
      <c r="I214" s="119">
        <v>1.57</v>
      </c>
      <c r="J214" s="119">
        <v>1.58</v>
      </c>
      <c r="K214" s="119">
        <v>1.53</v>
      </c>
      <c r="L214" s="119">
        <v>1.55</v>
      </c>
      <c r="M214" s="119">
        <v>1.59</v>
      </c>
      <c r="N214" s="119">
        <v>1.6</v>
      </c>
      <c r="O214" s="119">
        <v>1.54</v>
      </c>
      <c r="P214" s="119">
        <v>1.58</v>
      </c>
      <c r="Q214" s="119">
        <v>1.55</v>
      </c>
      <c r="R214" s="119">
        <v>1.61</v>
      </c>
      <c r="S214" s="119">
        <v>1.57</v>
      </c>
      <c r="T214" s="119">
        <v>1.54</v>
      </c>
      <c r="U214" s="119">
        <v>1.57</v>
      </c>
      <c r="V214" s="119">
        <v>1.59</v>
      </c>
      <c r="W214" s="119">
        <v>1.57</v>
      </c>
      <c r="X214" s="119">
        <v>1.59</v>
      </c>
      <c r="Y214" s="119">
        <v>1.56</v>
      </c>
      <c r="Z214" s="119">
        <v>1.65</v>
      </c>
      <c r="AA214" s="119">
        <v>1.62</v>
      </c>
      <c r="AB214" s="119">
        <v>1.65</v>
      </c>
      <c r="AC214" s="119">
        <v>1.54</v>
      </c>
      <c r="AD214" s="119">
        <v>1.53</v>
      </c>
      <c r="AE214" s="119">
        <v>1.55</v>
      </c>
      <c r="AF214" s="119">
        <v>1.59</v>
      </c>
      <c r="AG214" s="119">
        <v>1.54</v>
      </c>
      <c r="AH214" s="119">
        <v>1.53</v>
      </c>
      <c r="AI214" s="119">
        <v>1.56</v>
      </c>
      <c r="AJ214" s="119">
        <v>1.58</v>
      </c>
      <c r="AK214" s="119">
        <v>1.56</v>
      </c>
      <c r="AL214" s="119">
        <v>1.55</v>
      </c>
      <c r="AM214" s="119">
        <v>1.53</v>
      </c>
      <c r="AN214" s="119">
        <v>1.56</v>
      </c>
      <c r="AO214" s="119">
        <v>1.55</v>
      </c>
      <c r="AP214" s="119">
        <v>1.57</v>
      </c>
      <c r="AQ214" s="119">
        <v>1.56</v>
      </c>
      <c r="AR214" s="119">
        <v>1.55</v>
      </c>
      <c r="AS214" s="119">
        <v>1.57</v>
      </c>
      <c r="AT214" s="119">
        <v>1.55</v>
      </c>
      <c r="AU214" s="119">
        <v>1.57</v>
      </c>
      <c r="AV214" s="119">
        <v>1.62</v>
      </c>
      <c r="AW214" s="119">
        <v>1.58</v>
      </c>
      <c r="AX214" s="119">
        <v>1.56</v>
      </c>
      <c r="AY214" s="119">
        <v>1.54</v>
      </c>
      <c r="AZ214" s="119">
        <v>1.57</v>
      </c>
      <c r="BA214" s="119">
        <v>1.55</v>
      </c>
      <c r="BB214" s="119">
        <v>1.59</v>
      </c>
      <c r="BC214" s="119">
        <v>1.58</v>
      </c>
      <c r="BD214" s="119">
        <v>1.53</v>
      </c>
      <c r="BE214" s="119">
        <v>1.55</v>
      </c>
      <c r="BF214" s="119">
        <v>1.59</v>
      </c>
      <c r="BG214" s="119">
        <v>1.55</v>
      </c>
      <c r="BH214" s="119">
        <v>1.59</v>
      </c>
      <c r="BI214" s="119">
        <v>1.52</v>
      </c>
      <c r="BJ214" s="119"/>
      <c r="BK214" s="193"/>
    </row>
    <row r="215" spans="1:79" ht="19.5" thickBot="1">
      <c r="B215" s="3"/>
      <c r="C215" s="3"/>
      <c r="D215" s="3"/>
      <c r="E215" s="3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</row>
    <row r="216" spans="1:79" s="4" customFormat="1">
      <c r="A216" s="52" t="s">
        <v>136</v>
      </c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G216" s="152"/>
      <c r="BH216" s="152"/>
      <c r="BI216" s="152"/>
      <c r="BJ216" s="152"/>
      <c r="BK216" s="194"/>
    </row>
    <row r="217" spans="1:79" s="4" customFormat="1">
      <c r="A217" s="22" t="s">
        <v>137</v>
      </c>
      <c r="B217" s="157">
        <v>91</v>
      </c>
      <c r="C217" s="157">
        <v>91</v>
      </c>
      <c r="D217" s="157">
        <v>91</v>
      </c>
      <c r="E217" s="157">
        <v>91</v>
      </c>
      <c r="F217" s="157">
        <v>91</v>
      </c>
      <c r="G217" s="157">
        <v>91</v>
      </c>
      <c r="H217" s="157">
        <v>91</v>
      </c>
      <c r="I217" s="157">
        <v>91</v>
      </c>
      <c r="J217" s="157">
        <v>91</v>
      </c>
      <c r="K217" s="157">
        <v>88</v>
      </c>
      <c r="L217" s="157">
        <v>88</v>
      </c>
      <c r="M217" s="157">
        <v>88</v>
      </c>
      <c r="N217" s="157">
        <v>88</v>
      </c>
      <c r="O217" s="157">
        <v>88</v>
      </c>
      <c r="P217" s="157">
        <v>88</v>
      </c>
      <c r="Q217" s="157">
        <v>88</v>
      </c>
      <c r="R217" s="157">
        <v>88</v>
      </c>
      <c r="S217" s="157">
        <v>88</v>
      </c>
      <c r="T217" s="157">
        <v>88</v>
      </c>
      <c r="U217" s="157">
        <v>88</v>
      </c>
      <c r="V217" s="157">
        <v>88</v>
      </c>
      <c r="W217" s="157">
        <v>88</v>
      </c>
      <c r="X217" s="157">
        <v>88</v>
      </c>
      <c r="Y217" s="157">
        <v>88</v>
      </c>
      <c r="Z217" s="157">
        <v>88</v>
      </c>
      <c r="AA217" s="157">
        <v>88</v>
      </c>
      <c r="AB217" s="157">
        <v>88</v>
      </c>
      <c r="AC217" s="157">
        <v>88</v>
      </c>
      <c r="AD217" s="157">
        <v>88</v>
      </c>
      <c r="AE217" s="157">
        <v>88</v>
      </c>
      <c r="AF217" s="157">
        <v>88</v>
      </c>
      <c r="AG217" s="157">
        <v>88</v>
      </c>
      <c r="AH217" s="157">
        <v>88</v>
      </c>
      <c r="AI217" s="157">
        <v>88</v>
      </c>
      <c r="AJ217" s="157">
        <v>88</v>
      </c>
      <c r="AK217" s="157">
        <v>88</v>
      </c>
      <c r="AL217" s="157">
        <v>88</v>
      </c>
      <c r="AM217" s="157">
        <v>88</v>
      </c>
      <c r="AN217" s="157">
        <v>88</v>
      </c>
      <c r="AO217" s="157">
        <v>91</v>
      </c>
      <c r="AP217" s="157">
        <v>91</v>
      </c>
      <c r="AQ217" s="157">
        <v>91</v>
      </c>
      <c r="AR217" s="157">
        <v>91</v>
      </c>
      <c r="AS217" s="157">
        <v>91</v>
      </c>
      <c r="AT217" s="157">
        <v>91</v>
      </c>
      <c r="AU217" s="157">
        <v>91</v>
      </c>
      <c r="AV217" s="157">
        <v>91</v>
      </c>
      <c r="AW217" s="157">
        <v>91</v>
      </c>
      <c r="AX217" s="157">
        <v>91</v>
      </c>
      <c r="AY217" s="157">
        <v>91</v>
      </c>
      <c r="AZ217" s="157">
        <v>91</v>
      </c>
      <c r="BA217" s="157">
        <v>91</v>
      </c>
      <c r="BB217" s="157">
        <v>91</v>
      </c>
      <c r="BC217" s="157">
        <v>91</v>
      </c>
      <c r="BD217" s="157">
        <v>91</v>
      </c>
      <c r="BE217" s="157">
        <v>91</v>
      </c>
      <c r="BF217" s="157">
        <v>91</v>
      </c>
      <c r="BG217" s="157">
        <v>91</v>
      </c>
      <c r="BH217" s="157">
        <v>91</v>
      </c>
      <c r="BI217" s="157">
        <v>91</v>
      </c>
      <c r="BJ217" s="157">
        <v>91</v>
      </c>
      <c r="BK217" s="157">
        <v>91</v>
      </c>
      <c r="BL217" s="157">
        <v>91</v>
      </c>
      <c r="BM217" s="157">
        <v>91</v>
      </c>
      <c r="BN217" s="157">
        <v>91</v>
      </c>
      <c r="BO217" s="157">
        <v>91</v>
      </c>
      <c r="BP217" s="157">
        <v>91</v>
      </c>
      <c r="BQ217" s="157">
        <v>91</v>
      </c>
      <c r="BR217" s="157">
        <v>91</v>
      </c>
      <c r="BS217" s="157">
        <v>91</v>
      </c>
      <c r="BT217" s="157">
        <v>91</v>
      </c>
      <c r="BU217" s="157">
        <v>91</v>
      </c>
      <c r="BV217" s="157">
        <v>91</v>
      </c>
      <c r="BW217" s="157">
        <v>91</v>
      </c>
      <c r="BX217" s="157">
        <v>91</v>
      </c>
      <c r="BY217" s="157">
        <v>91</v>
      </c>
      <c r="BZ217" s="157">
        <v>91</v>
      </c>
      <c r="CA217" s="157">
        <v>91</v>
      </c>
    </row>
    <row r="218" spans="1:79" s="188" customFormat="1">
      <c r="A218" s="24" t="s">
        <v>138</v>
      </c>
      <c r="B218" s="141">
        <v>89.12</v>
      </c>
      <c r="C218" s="141">
        <v>91.2</v>
      </c>
      <c r="D218" s="141">
        <v>88.63</v>
      </c>
      <c r="E218" s="141">
        <v>91.75</v>
      </c>
      <c r="F218" s="141">
        <v>92.63</v>
      </c>
      <c r="G218" s="141">
        <v>93.22</v>
      </c>
      <c r="H218" s="141"/>
      <c r="I218" s="141">
        <v>99.07</v>
      </c>
      <c r="J218" s="141">
        <v>90.45</v>
      </c>
      <c r="K218" s="141">
        <v>93.93</v>
      </c>
      <c r="L218" s="141">
        <v>91.06</v>
      </c>
      <c r="M218" s="141">
        <v>88.95</v>
      </c>
      <c r="N218" s="141">
        <v>89.14</v>
      </c>
      <c r="O218" s="141">
        <v>87.9</v>
      </c>
      <c r="P218" s="141">
        <v>91.17</v>
      </c>
      <c r="Q218" s="141">
        <v>89.03</v>
      </c>
      <c r="R218" s="141">
        <v>89.22</v>
      </c>
      <c r="S218" s="141">
        <v>88</v>
      </c>
      <c r="T218" s="141">
        <v>89.7</v>
      </c>
      <c r="U218" s="141">
        <v>86.63</v>
      </c>
      <c r="V218" s="141">
        <v>88.45</v>
      </c>
      <c r="W218" s="141">
        <v>88.84</v>
      </c>
      <c r="X218" s="141">
        <v>90.6</v>
      </c>
      <c r="Y218" s="141">
        <v>87.27</v>
      </c>
      <c r="Z218" s="141">
        <v>88.14</v>
      </c>
      <c r="AA218" s="141"/>
      <c r="AB218" s="141">
        <v>90.17</v>
      </c>
      <c r="AC218" s="141">
        <v>88.61</v>
      </c>
      <c r="AD218" s="141">
        <v>85.33</v>
      </c>
      <c r="AE218" s="141">
        <v>89.02</v>
      </c>
      <c r="AF218" s="141">
        <v>88.75</v>
      </c>
      <c r="AG218" s="141">
        <v>84.6</v>
      </c>
      <c r="AH218" s="141">
        <v>87.64</v>
      </c>
      <c r="AI218" s="141">
        <v>90.73</v>
      </c>
      <c r="AJ218" s="141">
        <v>86.48</v>
      </c>
      <c r="AK218" s="141">
        <v>84.6</v>
      </c>
      <c r="AL218" s="141">
        <v>84.88</v>
      </c>
      <c r="AM218" s="141">
        <v>82.61</v>
      </c>
      <c r="AN218" s="141">
        <v>86.54</v>
      </c>
      <c r="AO218" s="141"/>
      <c r="AP218" s="141">
        <v>92.36</v>
      </c>
      <c r="AQ218" s="141">
        <v>85.95</v>
      </c>
      <c r="AR218" s="141">
        <v>87.01</v>
      </c>
      <c r="AS218" s="141">
        <v>88.83</v>
      </c>
      <c r="AT218" s="141">
        <v>88.27</v>
      </c>
      <c r="AU218" s="141">
        <v>85.43</v>
      </c>
      <c r="AV218" s="141">
        <v>86.47</v>
      </c>
      <c r="AW218" s="141">
        <v>90.17</v>
      </c>
      <c r="AX218" s="141">
        <v>88.64</v>
      </c>
      <c r="AY218" s="141">
        <v>89.2</v>
      </c>
      <c r="AZ218" s="141">
        <v>92.2</v>
      </c>
      <c r="BA218" s="141">
        <v>88.83</v>
      </c>
      <c r="BB218" s="141">
        <v>88.24</v>
      </c>
      <c r="BC218" s="141">
        <v>89.67</v>
      </c>
      <c r="BD218" s="141">
        <v>88.7</v>
      </c>
      <c r="BE218" s="141">
        <v>87.02</v>
      </c>
      <c r="BF218" s="141">
        <v>87.52</v>
      </c>
      <c r="BG218" s="141">
        <v>86.07</v>
      </c>
      <c r="BH218" s="141"/>
      <c r="BI218" s="141"/>
      <c r="BJ218" s="141"/>
      <c r="BK218" s="187"/>
    </row>
    <row r="219" spans="1:79" s="250" customFormat="1">
      <c r="A219" s="22" t="s">
        <v>132</v>
      </c>
      <c r="B219" s="249">
        <v>2</v>
      </c>
      <c r="C219" s="249">
        <v>2</v>
      </c>
      <c r="D219" s="249">
        <v>2</v>
      </c>
      <c r="E219" s="249">
        <v>2</v>
      </c>
      <c r="F219" s="249">
        <v>2</v>
      </c>
      <c r="G219" s="249">
        <v>2</v>
      </c>
      <c r="H219" s="249">
        <v>2</v>
      </c>
      <c r="I219" s="249">
        <v>2</v>
      </c>
      <c r="J219" s="249">
        <v>2</v>
      </c>
      <c r="K219" s="249">
        <v>2</v>
      </c>
      <c r="L219" s="249">
        <v>2</v>
      </c>
      <c r="M219" s="249">
        <v>2</v>
      </c>
      <c r="N219" s="249">
        <v>2</v>
      </c>
      <c r="O219" s="249">
        <v>2</v>
      </c>
      <c r="P219" s="249">
        <v>2</v>
      </c>
      <c r="Q219" s="249">
        <v>2</v>
      </c>
      <c r="R219" s="249">
        <v>2</v>
      </c>
      <c r="S219" s="249">
        <v>2</v>
      </c>
      <c r="T219" s="249">
        <v>2</v>
      </c>
      <c r="U219" s="249">
        <v>2</v>
      </c>
      <c r="V219" s="249">
        <v>2</v>
      </c>
      <c r="W219" s="249">
        <v>2</v>
      </c>
      <c r="X219" s="249">
        <v>2</v>
      </c>
      <c r="Y219" s="249">
        <v>2</v>
      </c>
      <c r="Z219" s="249">
        <v>2</v>
      </c>
      <c r="AA219" s="249">
        <v>2</v>
      </c>
      <c r="AB219" s="249">
        <v>2</v>
      </c>
      <c r="AC219" s="249">
        <v>2</v>
      </c>
      <c r="AD219" s="249">
        <v>2</v>
      </c>
      <c r="AE219" s="249">
        <v>2</v>
      </c>
      <c r="AF219" s="249">
        <v>2</v>
      </c>
      <c r="AG219" s="249">
        <v>2</v>
      </c>
      <c r="AH219" s="249">
        <v>2</v>
      </c>
      <c r="AI219" s="249">
        <v>2</v>
      </c>
      <c r="AJ219" s="249">
        <v>2</v>
      </c>
      <c r="AK219" s="249">
        <v>2</v>
      </c>
      <c r="AL219" s="249">
        <v>2</v>
      </c>
      <c r="AM219" s="249">
        <v>2</v>
      </c>
      <c r="AN219" s="249">
        <v>2</v>
      </c>
      <c r="AO219" s="249">
        <v>2</v>
      </c>
      <c r="AP219" s="249">
        <v>2</v>
      </c>
      <c r="AQ219" s="249">
        <v>2</v>
      </c>
      <c r="AR219" s="249">
        <v>2</v>
      </c>
      <c r="AS219" s="249">
        <v>2</v>
      </c>
      <c r="AT219" s="249">
        <v>2</v>
      </c>
      <c r="AU219" s="249">
        <v>2</v>
      </c>
      <c r="AV219" s="249">
        <v>2</v>
      </c>
      <c r="AW219" s="249">
        <v>2</v>
      </c>
      <c r="AX219" s="249">
        <v>2</v>
      </c>
      <c r="AY219" s="249">
        <v>2</v>
      </c>
      <c r="AZ219" s="249">
        <v>2</v>
      </c>
      <c r="BA219" s="249">
        <v>2</v>
      </c>
      <c r="BB219" s="249">
        <v>2</v>
      </c>
      <c r="BC219" s="249">
        <v>2</v>
      </c>
      <c r="BD219" s="249">
        <v>2</v>
      </c>
      <c r="BE219" s="249">
        <v>2</v>
      </c>
      <c r="BF219" s="249">
        <v>2</v>
      </c>
      <c r="BG219" s="249">
        <v>2</v>
      </c>
      <c r="BH219" s="249">
        <v>2</v>
      </c>
      <c r="BI219" s="249">
        <v>2</v>
      </c>
      <c r="BJ219" s="249">
        <v>2</v>
      </c>
      <c r="BK219" s="249">
        <v>2</v>
      </c>
      <c r="BL219" s="249">
        <v>2</v>
      </c>
      <c r="BM219" s="249">
        <v>2</v>
      </c>
      <c r="BN219" s="249">
        <v>2</v>
      </c>
      <c r="BO219" s="249">
        <v>2</v>
      </c>
      <c r="BP219" s="249">
        <v>2</v>
      </c>
      <c r="BQ219" s="249">
        <v>2</v>
      </c>
      <c r="BR219" s="249">
        <v>2</v>
      </c>
      <c r="BS219" s="249">
        <v>2</v>
      </c>
      <c r="BT219" s="249">
        <v>2</v>
      </c>
      <c r="BU219" s="249">
        <v>2</v>
      </c>
      <c r="BV219" s="249">
        <v>2</v>
      </c>
      <c r="BW219" s="249">
        <v>2</v>
      </c>
      <c r="BX219" s="249">
        <v>2</v>
      </c>
      <c r="BY219" s="249">
        <v>2</v>
      </c>
      <c r="BZ219" s="249">
        <v>2</v>
      </c>
      <c r="CA219" s="249">
        <v>2</v>
      </c>
    </row>
    <row r="220" spans="1:79" s="251" customFormat="1">
      <c r="A220" s="22" t="s">
        <v>133</v>
      </c>
      <c r="B220" s="252">
        <f>0.0154*100</f>
        <v>1.54</v>
      </c>
      <c r="C220" s="122">
        <v>1.1499999999999999</v>
      </c>
      <c r="D220" s="122">
        <v>1.71</v>
      </c>
      <c r="E220" s="122">
        <v>0.39</v>
      </c>
      <c r="F220" s="122">
        <v>1.62</v>
      </c>
      <c r="G220" s="122">
        <v>1.43</v>
      </c>
      <c r="H220" s="122"/>
      <c r="I220" s="122">
        <v>2.5</v>
      </c>
      <c r="J220" s="122">
        <v>2.5</v>
      </c>
      <c r="K220" s="122">
        <v>1.34</v>
      </c>
      <c r="L220" s="122">
        <v>2.0499999999999998</v>
      </c>
      <c r="M220" s="122">
        <v>2.12</v>
      </c>
      <c r="N220" s="122">
        <v>0.77</v>
      </c>
      <c r="O220" s="122">
        <v>0.95</v>
      </c>
      <c r="P220" s="122">
        <v>2.34</v>
      </c>
      <c r="Q220" s="122">
        <v>0.19</v>
      </c>
      <c r="R220" s="122">
        <v>1.74</v>
      </c>
      <c r="S220" s="122">
        <v>1.18</v>
      </c>
      <c r="T220" s="122">
        <v>2.2000000000000002</v>
      </c>
      <c r="U220" s="122">
        <v>2</v>
      </c>
      <c r="V220" s="122">
        <v>1.98</v>
      </c>
      <c r="W220" s="122">
        <v>1.57</v>
      </c>
      <c r="X220" s="122">
        <v>1.56</v>
      </c>
      <c r="Y220" s="122">
        <v>1.94</v>
      </c>
      <c r="Z220" s="122">
        <v>1.42</v>
      </c>
      <c r="AA220" s="122"/>
      <c r="AB220" s="122">
        <v>1.74</v>
      </c>
      <c r="AC220" s="122">
        <v>1.36</v>
      </c>
      <c r="AD220" s="122">
        <v>0.36</v>
      </c>
      <c r="AE220" s="122">
        <v>1.76</v>
      </c>
      <c r="AF220" s="122">
        <v>0.97</v>
      </c>
      <c r="AG220" s="122">
        <v>2.9</v>
      </c>
      <c r="AH220" s="122">
        <v>1.3</v>
      </c>
      <c r="AI220" s="122">
        <v>2.14</v>
      </c>
      <c r="AJ220" s="122">
        <v>1.52</v>
      </c>
      <c r="AK220" s="122">
        <v>0.86</v>
      </c>
      <c r="AL220" s="122">
        <v>1.95</v>
      </c>
      <c r="AM220" s="122">
        <v>1.67</v>
      </c>
      <c r="AN220" s="122">
        <v>2</v>
      </c>
      <c r="AO220" s="122"/>
      <c r="AP220" s="122">
        <v>1.37</v>
      </c>
      <c r="AQ220" s="122">
        <v>1.21</v>
      </c>
      <c r="AR220" s="122">
        <v>1.32</v>
      </c>
      <c r="AS220" s="122">
        <v>1.35</v>
      </c>
      <c r="AT220" s="122">
        <v>1.31</v>
      </c>
      <c r="AU220" s="122">
        <v>2.2000000000000002</v>
      </c>
      <c r="AV220" s="122">
        <v>1.21</v>
      </c>
      <c r="AW220" s="122">
        <v>0.72</v>
      </c>
      <c r="AX220" s="122">
        <v>1.24</v>
      </c>
      <c r="AY220" s="122">
        <v>1.54</v>
      </c>
      <c r="AZ220" s="122">
        <v>1.42</v>
      </c>
      <c r="BA220" s="122">
        <v>1.91</v>
      </c>
      <c r="BB220" s="122">
        <v>1.24</v>
      </c>
      <c r="BC220" s="122">
        <v>1.45</v>
      </c>
      <c r="BD220" s="122">
        <v>2.64</v>
      </c>
      <c r="BE220" s="122">
        <v>0.8</v>
      </c>
      <c r="BF220" s="122">
        <v>1.32</v>
      </c>
      <c r="BG220" s="122">
        <v>1.77</v>
      </c>
      <c r="BH220" s="122"/>
      <c r="BI220" s="122"/>
      <c r="BJ220" s="122"/>
      <c r="BK220" s="195"/>
    </row>
    <row r="221" spans="1:79" s="4" customFormat="1">
      <c r="A221" s="22" t="s">
        <v>134</v>
      </c>
      <c r="B221" s="155">
        <v>2.4500000000000002</v>
      </c>
      <c r="C221" s="155">
        <v>2.4500000000000002</v>
      </c>
      <c r="D221" s="155">
        <v>2.4500000000000002</v>
      </c>
      <c r="E221" s="155">
        <v>2.4500000000000002</v>
      </c>
      <c r="F221" s="155">
        <v>2.4500000000000002</v>
      </c>
      <c r="G221" s="155">
        <v>2.4500000000000002</v>
      </c>
      <c r="H221" s="155">
        <v>2.4500000000000002</v>
      </c>
      <c r="I221" s="155">
        <v>2.4500000000000002</v>
      </c>
      <c r="J221" s="155">
        <v>2.4500000000000002</v>
      </c>
      <c r="K221" s="155">
        <v>2.4500000000000002</v>
      </c>
      <c r="L221" s="155">
        <v>2.4500000000000002</v>
      </c>
      <c r="M221" s="155">
        <v>2.4500000000000002</v>
      </c>
      <c r="N221" s="155">
        <v>2.4500000000000002</v>
      </c>
      <c r="O221" s="155">
        <v>2.4500000000000002</v>
      </c>
      <c r="P221" s="155">
        <v>2.4500000000000002</v>
      </c>
      <c r="Q221" s="155">
        <v>2.4500000000000002</v>
      </c>
      <c r="R221" s="155">
        <v>2.4500000000000002</v>
      </c>
      <c r="S221" s="155">
        <v>2.4500000000000002</v>
      </c>
      <c r="T221" s="155">
        <v>2.4500000000000002</v>
      </c>
      <c r="U221" s="155">
        <v>2.4500000000000002</v>
      </c>
      <c r="V221" s="155">
        <v>2.4500000000000002</v>
      </c>
      <c r="W221" s="155">
        <v>2.4500000000000002</v>
      </c>
      <c r="X221" s="155">
        <v>2.4500000000000002</v>
      </c>
      <c r="Y221" s="155">
        <v>2.4500000000000002</v>
      </c>
      <c r="Z221" s="155">
        <v>2.4500000000000002</v>
      </c>
      <c r="AA221" s="155">
        <v>2.4500000000000002</v>
      </c>
      <c r="AB221" s="155">
        <v>2.4500000000000002</v>
      </c>
      <c r="AC221" s="155">
        <v>2.4500000000000002</v>
      </c>
      <c r="AD221" s="155">
        <v>2.4500000000000002</v>
      </c>
      <c r="AE221" s="155">
        <v>2.4500000000000002</v>
      </c>
      <c r="AF221" s="155">
        <v>2.4500000000000002</v>
      </c>
      <c r="AG221" s="155">
        <v>2.4500000000000002</v>
      </c>
      <c r="AH221" s="155">
        <v>2.4500000000000002</v>
      </c>
      <c r="AI221" s="155">
        <v>2.4500000000000002</v>
      </c>
      <c r="AJ221" s="155">
        <v>2.4500000000000002</v>
      </c>
      <c r="AK221" s="155">
        <v>2.4500000000000002</v>
      </c>
      <c r="AL221" s="155">
        <v>2.4500000000000002</v>
      </c>
      <c r="AM221" s="155">
        <v>2.4500000000000002</v>
      </c>
      <c r="AN221" s="155">
        <v>2.4500000000000002</v>
      </c>
      <c r="AO221" s="155">
        <v>2.4500000000000002</v>
      </c>
      <c r="AP221" s="155">
        <v>2.4500000000000002</v>
      </c>
      <c r="AQ221" s="155">
        <v>2.4500000000000002</v>
      </c>
      <c r="AR221" s="155">
        <v>2.4500000000000002</v>
      </c>
      <c r="AS221" s="155">
        <v>2.4500000000000002</v>
      </c>
      <c r="AT221" s="155">
        <v>2.4500000000000002</v>
      </c>
      <c r="AU221" s="155">
        <v>2.4500000000000002</v>
      </c>
      <c r="AV221" s="155">
        <v>2.4500000000000002</v>
      </c>
      <c r="AW221" s="155">
        <v>2.4500000000000002</v>
      </c>
      <c r="AX221" s="155">
        <v>2.4500000000000002</v>
      </c>
      <c r="AY221" s="155">
        <v>2.4500000000000002</v>
      </c>
      <c r="AZ221" s="155">
        <v>2.4500000000000002</v>
      </c>
      <c r="BA221" s="155">
        <v>2.4500000000000002</v>
      </c>
      <c r="BB221" s="155">
        <v>2.4500000000000002</v>
      </c>
      <c r="BC221" s="155">
        <v>2.4500000000000002</v>
      </c>
      <c r="BD221" s="155">
        <v>2.4500000000000002</v>
      </c>
      <c r="BE221" s="155">
        <v>2.4500000000000002</v>
      </c>
      <c r="BF221" s="155">
        <v>2.4500000000000002</v>
      </c>
      <c r="BG221" s="155">
        <v>2.4500000000000002</v>
      </c>
      <c r="BH221" s="155">
        <v>2.4500000000000002</v>
      </c>
      <c r="BI221" s="155">
        <v>2.4500000000000002</v>
      </c>
      <c r="BJ221" s="155">
        <v>2.4500000000000002</v>
      </c>
      <c r="BK221" s="155">
        <v>2.4500000000000002</v>
      </c>
      <c r="BL221" s="155">
        <v>2.4500000000000002</v>
      </c>
      <c r="BM221" s="155">
        <v>2.4500000000000002</v>
      </c>
      <c r="BN221" s="155">
        <v>2.4500000000000002</v>
      </c>
      <c r="BO221" s="155">
        <v>2.4500000000000002</v>
      </c>
      <c r="BP221" s="155">
        <v>2.4500000000000002</v>
      </c>
      <c r="BQ221" s="155">
        <v>2.4500000000000002</v>
      </c>
      <c r="BR221" s="155">
        <v>2.4500000000000002</v>
      </c>
      <c r="BS221" s="155">
        <v>2.4500000000000002</v>
      </c>
      <c r="BT221" s="155">
        <v>2.4500000000000002</v>
      </c>
      <c r="BU221" s="155">
        <v>2.4500000000000002</v>
      </c>
      <c r="BV221" s="155">
        <v>2.4500000000000002</v>
      </c>
      <c r="BW221" s="155">
        <v>2.4500000000000002</v>
      </c>
      <c r="BX221" s="155">
        <v>2.4500000000000002</v>
      </c>
      <c r="BY221" s="155">
        <v>2.4500000000000002</v>
      </c>
      <c r="BZ221" s="155">
        <v>2.4500000000000002</v>
      </c>
      <c r="CA221" s="155">
        <v>2.4500000000000002</v>
      </c>
    </row>
    <row r="222" spans="1:79" s="188" customFormat="1" ht="19.5" thickBot="1">
      <c r="A222" s="25" t="s">
        <v>135</v>
      </c>
      <c r="B222" s="119">
        <v>2.38</v>
      </c>
      <c r="C222" s="119">
        <v>2.38</v>
      </c>
      <c r="D222" s="119">
        <v>2.4</v>
      </c>
      <c r="E222" s="119">
        <v>2.38</v>
      </c>
      <c r="F222" s="119">
        <v>2.42</v>
      </c>
      <c r="G222" s="119">
        <v>2.39</v>
      </c>
      <c r="H222" s="119"/>
      <c r="I222" s="119">
        <v>2.46</v>
      </c>
      <c r="J222" s="119">
        <v>2.46</v>
      </c>
      <c r="K222" s="119">
        <v>2.39</v>
      </c>
      <c r="L222" s="119">
        <v>2.4300000000000002</v>
      </c>
      <c r="M222" s="119">
        <v>2.41</v>
      </c>
      <c r="N222" s="119">
        <v>2.4</v>
      </c>
      <c r="O222" s="119">
        <v>2.39</v>
      </c>
      <c r="P222" s="119">
        <v>2.4300000000000002</v>
      </c>
      <c r="Q222" s="119">
        <v>2.38</v>
      </c>
      <c r="R222" s="119">
        <v>2.42</v>
      </c>
      <c r="S222" s="119">
        <v>2.39</v>
      </c>
      <c r="T222" s="119">
        <v>2.42</v>
      </c>
      <c r="U222" s="119">
        <v>2.44</v>
      </c>
      <c r="V222" s="119">
        <v>2.41</v>
      </c>
      <c r="W222" s="119">
        <v>2.39</v>
      </c>
      <c r="X222" s="119">
        <v>2.4</v>
      </c>
      <c r="Y222" s="119">
        <v>2.42</v>
      </c>
      <c r="Z222" s="119">
        <v>2.34</v>
      </c>
      <c r="AA222" s="119"/>
      <c r="AB222" s="119">
        <v>2.35</v>
      </c>
      <c r="AC222" s="119">
        <v>2.4300000000000002</v>
      </c>
      <c r="AD222" s="119">
        <v>2.37</v>
      </c>
      <c r="AE222" s="119">
        <v>2.36</v>
      </c>
      <c r="AF222" s="119">
        <v>2.38</v>
      </c>
      <c r="AG222" s="119">
        <v>2.44</v>
      </c>
      <c r="AH222" s="119">
        <v>2.38</v>
      </c>
      <c r="AI222" s="119">
        <v>2.41</v>
      </c>
      <c r="AJ222" s="119">
        <v>2.44</v>
      </c>
      <c r="AK222" s="119">
        <v>2.37</v>
      </c>
      <c r="AL222" s="119">
        <v>2.4300000000000002</v>
      </c>
      <c r="AM222" s="119">
        <v>2.41</v>
      </c>
      <c r="AN222" s="119">
        <v>2.4300000000000002</v>
      </c>
      <c r="AO222" s="119"/>
      <c r="AP222" s="119">
        <v>2.39</v>
      </c>
      <c r="AQ222" s="119">
        <v>2.4</v>
      </c>
      <c r="AR222" s="119">
        <v>2.37</v>
      </c>
      <c r="AS222" s="119">
        <v>2.4300000000000002</v>
      </c>
      <c r="AT222" s="119">
        <v>2.41</v>
      </c>
      <c r="AU222" s="119">
        <v>2.42</v>
      </c>
      <c r="AV222" s="119">
        <v>2.36</v>
      </c>
      <c r="AW222" s="119">
        <v>2.38</v>
      </c>
      <c r="AX222" s="119">
        <v>2.35</v>
      </c>
      <c r="AY222" s="119">
        <v>2.36</v>
      </c>
      <c r="AZ222" s="119">
        <v>2.38</v>
      </c>
      <c r="BA222" s="119">
        <v>2.41</v>
      </c>
      <c r="BB222" s="119">
        <v>2.39</v>
      </c>
      <c r="BC222" s="119">
        <v>2.42</v>
      </c>
      <c r="BD222" s="119">
        <v>2.52</v>
      </c>
      <c r="BE222" s="119">
        <v>2.39</v>
      </c>
      <c r="BF222" s="119">
        <v>2.41</v>
      </c>
      <c r="BG222" s="119">
        <v>2.42</v>
      </c>
      <c r="BH222" s="119"/>
      <c r="BI222" s="119"/>
      <c r="BJ222" s="119"/>
      <c r="BK222" s="193"/>
    </row>
    <row r="223" spans="1:79" ht="19.5" thickBot="1"/>
    <row r="224" spans="1:79">
      <c r="A224" s="181" t="s">
        <v>139</v>
      </c>
    </row>
    <row r="225" spans="1:1">
      <c r="A225" s="182" t="s">
        <v>140</v>
      </c>
    </row>
    <row r="226" spans="1:1" ht="19.5" thickBot="1">
      <c r="A226" s="183" t="s">
        <v>141</v>
      </c>
    </row>
  </sheetData>
  <pageMargins left="0.23622047244094499" right="0.23622047244094499" top="0.74803149606299202" bottom="0.74803149606299202" header="0.31496062992126" footer="0.31496062992126"/>
  <pageSetup paperSize="9" scale="1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051A-EA8A-4F6D-B216-2C987DE24CE6}">
  <dimension ref="A1:T39"/>
  <sheetViews>
    <sheetView tabSelected="1" workbookViewId="0">
      <selection activeCell="D7" sqref="D7"/>
    </sheetView>
  </sheetViews>
  <sheetFormatPr defaultRowHeight="13.5"/>
  <cols>
    <col min="1" max="1" width="23" bestFit="1" customWidth="1"/>
    <col min="2" max="2" width="11.875" bestFit="1" customWidth="1"/>
    <col min="3" max="3" width="35.625" bestFit="1" customWidth="1"/>
    <col min="6" max="6" width="32.125" bestFit="1" customWidth="1"/>
    <col min="8" max="8" width="38.5" bestFit="1" customWidth="1"/>
    <col min="10" max="10" width="31.375" customWidth="1"/>
    <col min="12" max="12" width="43.625" bestFit="1" customWidth="1"/>
    <col min="14" max="14" width="42.25" bestFit="1" customWidth="1"/>
    <col min="16" max="16" width="53.125" bestFit="1" customWidth="1"/>
    <col min="18" max="18" width="21.875" bestFit="1" customWidth="1"/>
  </cols>
  <sheetData>
    <row r="1" spans="1:20">
      <c r="A1" t="s">
        <v>142</v>
      </c>
      <c r="C1" t="s">
        <v>142</v>
      </c>
      <c r="F1" t="s">
        <v>142</v>
      </c>
      <c r="H1" t="s">
        <v>142</v>
      </c>
      <c r="J1" t="s">
        <v>142</v>
      </c>
      <c r="L1" t="s">
        <v>142</v>
      </c>
      <c r="N1" t="s">
        <v>142</v>
      </c>
      <c r="P1" t="s">
        <v>143</v>
      </c>
      <c r="R1" t="s">
        <v>143</v>
      </c>
      <c r="T1" t="s">
        <v>143</v>
      </c>
    </row>
    <row r="2" spans="1:20" ht="23.25">
      <c r="A2" s="206" t="s">
        <v>19</v>
      </c>
      <c r="B2" t="s">
        <v>144</v>
      </c>
      <c r="C2" t="s">
        <v>145</v>
      </c>
      <c r="D2" t="s">
        <v>146</v>
      </c>
      <c r="F2" s="13" t="s">
        <v>40</v>
      </c>
      <c r="H2" s="13" t="s">
        <v>47</v>
      </c>
      <c r="J2" s="159" t="s">
        <v>3</v>
      </c>
      <c r="L2" s="159" t="s">
        <v>57</v>
      </c>
      <c r="N2" s="10" t="s">
        <v>82</v>
      </c>
      <c r="P2" s="46" t="s">
        <v>104</v>
      </c>
      <c r="R2" s="52" t="s">
        <v>127</v>
      </c>
      <c r="T2" s="52" t="s">
        <v>136</v>
      </c>
    </row>
    <row r="3" spans="1:20" ht="21">
      <c r="A3" s="206" t="s">
        <v>20</v>
      </c>
      <c r="B3" t="s">
        <v>147</v>
      </c>
      <c r="C3" s="225" t="s">
        <v>29</v>
      </c>
      <c r="F3" s="224" t="s">
        <v>20</v>
      </c>
      <c r="H3" s="224" t="s">
        <v>20</v>
      </c>
      <c r="J3" s="224" t="s">
        <v>20</v>
      </c>
      <c r="L3" s="248" t="s">
        <v>20</v>
      </c>
      <c r="N3" s="15" t="s">
        <v>83</v>
      </c>
      <c r="P3" s="15" t="s">
        <v>105</v>
      </c>
      <c r="R3" s="24" t="s">
        <v>128</v>
      </c>
      <c r="T3" s="22" t="s">
        <v>137</v>
      </c>
    </row>
    <row r="4" spans="1:20" ht="18.75">
      <c r="A4" s="206" t="s">
        <v>21</v>
      </c>
      <c r="C4" s="20" t="s">
        <v>30</v>
      </c>
      <c r="D4" t="s">
        <v>148</v>
      </c>
      <c r="F4" s="15" t="s">
        <v>22</v>
      </c>
      <c r="H4" s="15" t="s">
        <v>22</v>
      </c>
      <c r="J4" s="15" t="s">
        <v>22</v>
      </c>
      <c r="L4" s="15" t="s">
        <v>22</v>
      </c>
      <c r="N4" s="15" t="s">
        <v>84</v>
      </c>
      <c r="P4" s="15" t="s">
        <v>106</v>
      </c>
      <c r="R4" s="24" t="s">
        <v>129</v>
      </c>
      <c r="T4" s="24" t="s">
        <v>138</v>
      </c>
    </row>
    <row r="5" spans="1:20" ht="18.75">
      <c r="A5" s="206" t="s">
        <v>22</v>
      </c>
      <c r="C5" s="20" t="s">
        <v>31</v>
      </c>
      <c r="D5" t="s">
        <v>148</v>
      </c>
      <c r="F5" s="15" t="s">
        <v>21</v>
      </c>
      <c r="H5" s="15" t="s">
        <v>21</v>
      </c>
      <c r="J5" s="15" t="s">
        <v>21</v>
      </c>
      <c r="L5" s="15" t="s">
        <v>21</v>
      </c>
      <c r="N5" s="11" t="s">
        <v>36</v>
      </c>
      <c r="P5" s="32" t="s">
        <v>107</v>
      </c>
      <c r="R5" s="22" t="s">
        <v>130</v>
      </c>
      <c r="T5" s="22" t="s">
        <v>132</v>
      </c>
    </row>
    <row r="6" spans="1:20" ht="18.75">
      <c r="A6" s="11" t="s">
        <v>23</v>
      </c>
      <c r="C6" s="224" t="s">
        <v>32</v>
      </c>
      <c r="D6" t="s">
        <v>149</v>
      </c>
      <c r="F6" s="11" t="s">
        <v>36</v>
      </c>
      <c r="G6" t="s">
        <v>150</v>
      </c>
      <c r="H6" s="11" t="s">
        <v>36</v>
      </c>
      <c r="J6" s="22" t="s">
        <v>36</v>
      </c>
      <c r="L6" s="59" t="s">
        <v>58</v>
      </c>
      <c r="N6" s="11" t="s">
        <v>23</v>
      </c>
      <c r="P6" s="29"/>
      <c r="R6" s="24" t="s">
        <v>131</v>
      </c>
      <c r="T6" s="22" t="s">
        <v>133</v>
      </c>
    </row>
    <row r="7" spans="1:20" ht="18.75">
      <c r="A7" s="11" t="s">
        <v>24</v>
      </c>
      <c r="C7" s="224" t="s">
        <v>33</v>
      </c>
      <c r="F7" s="11" t="s">
        <v>41</v>
      </c>
      <c r="H7" s="11" t="s">
        <v>41</v>
      </c>
      <c r="J7" s="11" t="s">
        <v>41</v>
      </c>
      <c r="L7" s="59" t="s">
        <v>59</v>
      </c>
      <c r="N7" s="11" t="s">
        <v>39</v>
      </c>
      <c r="P7" s="13" t="s">
        <v>108</v>
      </c>
      <c r="R7" s="24" t="s">
        <v>132</v>
      </c>
      <c r="T7" s="22" t="s">
        <v>134</v>
      </c>
    </row>
    <row r="8" spans="1:20" ht="18.75">
      <c r="A8" s="11" t="s">
        <v>25</v>
      </c>
      <c r="B8" t="s">
        <v>148</v>
      </c>
      <c r="C8" s="231" t="s">
        <v>34</v>
      </c>
      <c r="F8" s="11" t="s">
        <v>42</v>
      </c>
      <c r="H8" s="11" t="s">
        <v>42</v>
      </c>
      <c r="J8" s="11" t="s">
        <v>42</v>
      </c>
      <c r="L8" s="59" t="s">
        <v>60</v>
      </c>
      <c r="N8" s="11" t="s">
        <v>25</v>
      </c>
      <c r="P8" s="15" t="s">
        <v>109</v>
      </c>
      <c r="R8" s="24" t="s">
        <v>133</v>
      </c>
      <c r="T8" s="25" t="s">
        <v>135</v>
      </c>
    </row>
    <row r="9" spans="1:20" ht="18.75">
      <c r="A9" s="11" t="s">
        <v>26</v>
      </c>
      <c r="B9" t="s">
        <v>148</v>
      </c>
      <c r="C9" s="233"/>
      <c r="F9" s="15" t="s">
        <v>43</v>
      </c>
      <c r="H9" s="15" t="s">
        <v>48</v>
      </c>
      <c r="J9" s="163" t="s">
        <v>48</v>
      </c>
      <c r="L9" s="67" t="s">
        <v>36</v>
      </c>
      <c r="N9" s="11" t="s">
        <v>26</v>
      </c>
      <c r="P9" s="15" t="s">
        <v>110</v>
      </c>
      <c r="R9" s="22" t="s">
        <v>134</v>
      </c>
    </row>
    <row r="10" spans="1:20" ht="21">
      <c r="A10" s="11" t="s">
        <v>27</v>
      </c>
      <c r="C10" s="244" t="s">
        <v>35</v>
      </c>
      <c r="F10" s="15" t="s">
        <v>44</v>
      </c>
      <c r="H10" s="15" t="s">
        <v>49</v>
      </c>
      <c r="J10" s="163" t="s">
        <v>52</v>
      </c>
      <c r="L10" s="158" t="s">
        <v>41</v>
      </c>
      <c r="N10" s="11" t="s">
        <v>27</v>
      </c>
      <c r="P10" s="59" t="s">
        <v>111</v>
      </c>
      <c r="R10" s="25" t="s">
        <v>135</v>
      </c>
    </row>
    <row r="11" spans="1:20" ht="18.75">
      <c r="A11" s="239" t="s">
        <v>28</v>
      </c>
      <c r="C11" s="224" t="s">
        <v>20</v>
      </c>
      <c r="F11" s="15" t="s">
        <v>45</v>
      </c>
      <c r="H11" s="163" t="s">
        <v>50</v>
      </c>
      <c r="J11" s="163" t="s">
        <v>53</v>
      </c>
      <c r="L11" s="158" t="s">
        <v>61</v>
      </c>
      <c r="N11" s="11" t="s">
        <v>28</v>
      </c>
      <c r="P11" s="60" t="s">
        <v>112</v>
      </c>
    </row>
    <row r="12" spans="1:20" ht="18.75">
      <c r="C12" s="15" t="s">
        <v>22</v>
      </c>
      <c r="F12" s="15" t="s">
        <v>46</v>
      </c>
      <c r="H12" s="163" t="s">
        <v>51</v>
      </c>
      <c r="J12" s="163" t="s">
        <v>54</v>
      </c>
      <c r="L12" s="200" t="s">
        <v>62</v>
      </c>
      <c r="N12" s="15" t="s">
        <v>85</v>
      </c>
      <c r="P12" s="58" t="s">
        <v>113</v>
      </c>
    </row>
    <row r="13" spans="1:20" ht="18.75">
      <c r="C13" s="15" t="s">
        <v>21</v>
      </c>
      <c r="F13" s="11" t="s">
        <v>23</v>
      </c>
      <c r="H13" s="11" t="s">
        <v>23</v>
      </c>
      <c r="J13" s="11" t="s">
        <v>23</v>
      </c>
      <c r="L13" s="201" t="s">
        <v>63</v>
      </c>
      <c r="N13" s="11" t="s">
        <v>23</v>
      </c>
      <c r="P13" s="29"/>
    </row>
    <row r="14" spans="1:20" ht="18.75">
      <c r="C14" s="11" t="s">
        <v>36</v>
      </c>
      <c r="F14" s="11" t="s">
        <v>39</v>
      </c>
      <c r="H14" s="11" t="s">
        <v>39</v>
      </c>
      <c r="J14" s="22" t="s">
        <v>39</v>
      </c>
      <c r="L14" s="158" t="s">
        <v>42</v>
      </c>
      <c r="N14" s="11" t="s">
        <v>39</v>
      </c>
      <c r="P14" s="29"/>
    </row>
    <row r="15" spans="1:20" ht="18.75">
      <c r="C15" s="11" t="s">
        <v>37</v>
      </c>
      <c r="F15" s="11" t="s">
        <v>25</v>
      </c>
      <c r="H15" s="11" t="s">
        <v>25</v>
      </c>
      <c r="J15" s="11" t="s">
        <v>25</v>
      </c>
      <c r="L15" s="158" t="s">
        <v>64</v>
      </c>
      <c r="N15" s="11" t="s">
        <v>25</v>
      </c>
      <c r="P15" s="13" t="s">
        <v>114</v>
      </c>
    </row>
    <row r="16" spans="1:20" ht="18.75">
      <c r="C16" s="11" t="s">
        <v>38</v>
      </c>
      <c r="F16" s="11" t="s">
        <v>26</v>
      </c>
      <c r="H16" s="11" t="s">
        <v>26</v>
      </c>
      <c r="J16" s="22" t="s">
        <v>26</v>
      </c>
      <c r="L16" s="86" t="s">
        <v>65</v>
      </c>
      <c r="N16" s="11" t="s">
        <v>26</v>
      </c>
      <c r="P16" s="15" t="s">
        <v>115</v>
      </c>
    </row>
    <row r="17" spans="3:16" ht="18.75">
      <c r="C17" s="11" t="s">
        <v>23</v>
      </c>
      <c r="F17" s="11" t="s">
        <v>27</v>
      </c>
      <c r="H17" s="11" t="s">
        <v>27</v>
      </c>
      <c r="J17" s="11" t="s">
        <v>27</v>
      </c>
      <c r="L17" s="165" t="s">
        <v>66</v>
      </c>
      <c r="N17" s="11" t="s">
        <v>27</v>
      </c>
      <c r="P17" s="15" t="s">
        <v>116</v>
      </c>
    </row>
    <row r="18" spans="3:16" ht="18.75">
      <c r="C18" s="11" t="s">
        <v>39</v>
      </c>
      <c r="F18" s="12" t="s">
        <v>28</v>
      </c>
      <c r="H18" s="12" t="s">
        <v>28</v>
      </c>
      <c r="J18" s="22" t="s">
        <v>28</v>
      </c>
      <c r="L18" s="165" t="s">
        <v>67</v>
      </c>
      <c r="N18" s="11" t="s">
        <v>28</v>
      </c>
      <c r="P18" s="32" t="s">
        <v>117</v>
      </c>
    </row>
    <row r="19" spans="3:16" ht="18.75">
      <c r="C19" s="11" t="s">
        <v>25</v>
      </c>
      <c r="J19" s="32" t="s">
        <v>55</v>
      </c>
      <c r="L19" s="165" t="s">
        <v>68</v>
      </c>
      <c r="N19" s="59" t="s">
        <v>86</v>
      </c>
      <c r="P19" s="29"/>
    </row>
    <row r="20" spans="3:16" ht="18.75">
      <c r="C20" s="11" t="s">
        <v>26</v>
      </c>
      <c r="L20" s="165" t="s">
        <v>69</v>
      </c>
      <c r="N20" s="59" t="s">
        <v>87</v>
      </c>
      <c r="P20" s="52" t="s">
        <v>118</v>
      </c>
    </row>
    <row r="21" spans="3:16" ht="18.75">
      <c r="C21" s="11" t="s">
        <v>27</v>
      </c>
      <c r="L21" s="165" t="s">
        <v>70</v>
      </c>
      <c r="N21" s="59" t="s">
        <v>88</v>
      </c>
      <c r="P21" s="24" t="s">
        <v>119</v>
      </c>
    </row>
    <row r="22" spans="3:16" ht="18.75">
      <c r="C22" s="11" t="s">
        <v>28</v>
      </c>
      <c r="L22" s="53" t="s">
        <v>23</v>
      </c>
      <c r="N22" s="32" t="s">
        <v>89</v>
      </c>
      <c r="P22" s="54" t="s">
        <v>120</v>
      </c>
    </row>
    <row r="23" spans="3:16" ht="18.75">
      <c r="L23" s="22" t="s">
        <v>39</v>
      </c>
      <c r="N23" s="6"/>
      <c r="P23" s="57" t="s">
        <v>121</v>
      </c>
    </row>
    <row r="24" spans="3:16" ht="18.75">
      <c r="L24" s="24" t="s">
        <v>25</v>
      </c>
      <c r="N24" s="40" t="s">
        <v>90</v>
      </c>
      <c r="P24" s="57" t="s">
        <v>122</v>
      </c>
    </row>
    <row r="25" spans="3:16" ht="18.75">
      <c r="L25" s="22" t="s">
        <v>26</v>
      </c>
      <c r="N25" s="11" t="s">
        <v>91</v>
      </c>
      <c r="P25" s="53" t="s">
        <v>23</v>
      </c>
    </row>
    <row r="26" spans="3:16" ht="18.75">
      <c r="L26" s="24" t="s">
        <v>27</v>
      </c>
      <c r="N26" s="11" t="s">
        <v>92</v>
      </c>
      <c r="P26" s="22" t="s">
        <v>123</v>
      </c>
    </row>
    <row r="27" spans="3:16" ht="18.75">
      <c r="L27" s="25" t="s">
        <v>28</v>
      </c>
      <c r="N27" s="11" t="s">
        <v>93</v>
      </c>
      <c r="P27" s="24" t="s">
        <v>25</v>
      </c>
    </row>
    <row r="28" spans="3:16" ht="18.75">
      <c r="L28" s="56" t="s">
        <v>71</v>
      </c>
      <c r="N28" s="26" t="s">
        <v>94</v>
      </c>
      <c r="P28" s="22" t="s">
        <v>124</v>
      </c>
    </row>
    <row r="29" spans="3:16" ht="18.75">
      <c r="L29" s="56" t="s">
        <v>72</v>
      </c>
      <c r="P29" s="24" t="s">
        <v>27</v>
      </c>
    </row>
    <row r="30" spans="3:16" ht="18.75">
      <c r="L30" s="56"/>
      <c r="P30" s="25" t="s">
        <v>125</v>
      </c>
    </row>
    <row r="31" spans="3:16" ht="18.75">
      <c r="L31" s="166" t="s">
        <v>73</v>
      </c>
    </row>
    <row r="32" spans="3:16" ht="18.75">
      <c r="L32" s="163" t="s">
        <v>74</v>
      </c>
    </row>
    <row r="33" spans="12:12" ht="18.75">
      <c r="L33" s="22" t="s">
        <v>75</v>
      </c>
    </row>
    <row r="34" spans="12:12" ht="18.75">
      <c r="L34" s="22" t="s">
        <v>76</v>
      </c>
    </row>
    <row r="35" spans="12:12" ht="18.75">
      <c r="L35" s="22" t="s">
        <v>77</v>
      </c>
    </row>
    <row r="36" spans="12:12" ht="18.75">
      <c r="L36" s="22" t="s">
        <v>78</v>
      </c>
    </row>
    <row r="37" spans="12:12" ht="18.75">
      <c r="L37" s="22" t="s">
        <v>79</v>
      </c>
    </row>
    <row r="38" spans="12:12" ht="18.75">
      <c r="L38" s="22" t="s">
        <v>80</v>
      </c>
    </row>
    <row r="39" spans="12:12" ht="18.75">
      <c r="L39" s="54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C93D8400-4D8C-4FF2-8CC1-6A8CB8E658A7}"/>
</file>

<file path=customXml/itemProps2.xml><?xml version="1.0" encoding="utf-8"?>
<ds:datastoreItem xmlns:ds="http://schemas.openxmlformats.org/officeDocument/2006/customXml" ds:itemID="{800EE9B5-A6FB-4DE8-B335-FC6DC0CA6D3B}"/>
</file>

<file path=customXml/itemProps3.xml><?xml version="1.0" encoding="utf-8"?>
<ds:datastoreItem xmlns:ds="http://schemas.openxmlformats.org/officeDocument/2006/customXml" ds:itemID="{000F0ED5-A76F-418A-A211-4CC34AA97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TrippleC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TrippleC</dc:creator>
  <cp:keywords/>
  <dc:description/>
  <cp:lastModifiedBy>Mukul Joshi</cp:lastModifiedBy>
  <cp:revision/>
  <dcterms:created xsi:type="dcterms:W3CDTF">2018-06-14T12:01:00Z</dcterms:created>
  <dcterms:modified xsi:type="dcterms:W3CDTF">2026-08-23T18:20:07Z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  <property fmtid="{D5CDD505-2E9C-101B-9397-08002B2CF9AE}" pid="3" name="ContentTypeId">
    <vt:lpwstr>0x010100F4556EAEE72D7747B3D0355DABB429F3</vt:lpwstr>
  </property>
</Properties>
</file>