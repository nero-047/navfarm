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C:\Users\hp\Dropbox\1) Triple C Pigs Production Folder\14. Multiplier gilt selection  and scoring\"/>
    </mc:Choice>
  </mc:AlternateContent>
  <xr:revisionPtr revIDLastSave="14" documentId="13_ncr:1_{D448AAE1-36C4-43B9-AA2E-7D60C5BFFF93}" xr6:coauthVersionLast="47" xr6:coauthVersionMax="47" xr10:uidLastSave="{98A90E76-8991-4B61-848C-F8CA219D7D0A}"/>
  <bookViews>
    <workbookView xWindow="-108" yWindow="-108" windowWidth="23256" windowHeight="13896" firstSheet="28" activeTab="28" xr2:uid="{A2BF4DEE-CF36-4924-A887-67D5F454FB52}"/>
  </bookViews>
  <sheets>
    <sheet name="2601" sheetId="3" r:id="rId1"/>
    <sheet name="2602" sheetId="1" r:id="rId2"/>
    <sheet name="2603" sheetId="2" r:id="rId3"/>
    <sheet name="2604" sheetId="4" r:id="rId4"/>
    <sheet name="2605" sheetId="5" r:id="rId5"/>
    <sheet name="2606" sheetId="6" r:id="rId6"/>
    <sheet name="2607" sheetId="7" r:id="rId7"/>
    <sheet name="2608" sheetId="8" r:id="rId8"/>
    <sheet name="2609" sheetId="9" r:id="rId9"/>
    <sheet name="2610" sheetId="10" r:id="rId10"/>
    <sheet name="2611" sheetId="11" r:id="rId11"/>
    <sheet name="2612" sheetId="12" r:id="rId12"/>
    <sheet name="2613" sheetId="13" r:id="rId13"/>
    <sheet name="2614" sheetId="15" r:id="rId14"/>
    <sheet name="2615" sheetId="16" r:id="rId15"/>
    <sheet name="2616" sheetId="17" r:id="rId16"/>
    <sheet name="2617" sheetId="18" r:id="rId17"/>
    <sheet name="2618" sheetId="19" r:id="rId18"/>
    <sheet name="2619" sheetId="20" r:id="rId19"/>
    <sheet name="2620" sheetId="21" r:id="rId20"/>
    <sheet name="2621" sheetId="22" r:id="rId21"/>
    <sheet name="2622" sheetId="23" r:id="rId22"/>
    <sheet name="2623" sheetId="24" r:id="rId23"/>
    <sheet name="2624" sheetId="25" r:id="rId24"/>
    <sheet name="2625" sheetId="26" r:id="rId25"/>
    <sheet name="2626" sheetId="27" r:id="rId26"/>
    <sheet name="2627" sheetId="28" r:id="rId27"/>
    <sheet name="2628" sheetId="29" r:id="rId28"/>
    <sheet name="2629" sheetId="30" r:id="rId29"/>
  </sheets>
  <definedNames>
    <definedName name="_xlnm._FilterDatabase" localSheetId="28" hidden="1">'2629'!$A$1:$F$25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30" l="1"/>
  <c r="M10" i="30"/>
  <c r="M9" i="30"/>
  <c r="M8" i="30"/>
  <c r="M7" i="30"/>
  <c r="M5" i="30"/>
  <c r="M10" i="29" l="1"/>
  <c r="M9" i="29"/>
  <c r="M8" i="29"/>
  <c r="M7" i="29"/>
  <c r="M6" i="29"/>
  <c r="M5" i="29"/>
  <c r="M5" i="28" l="1"/>
  <c r="M10" i="28" l="1"/>
  <c r="M9" i="28"/>
  <c r="M8" i="28"/>
  <c r="M6" i="28"/>
  <c r="M7" i="28"/>
  <c r="M10" i="27" l="1"/>
  <c r="M9" i="27"/>
  <c r="M8" i="27"/>
  <c r="M7" i="27"/>
  <c r="M6" i="27"/>
  <c r="M5" i="27"/>
  <c r="M10" i="26" l="1"/>
  <c r="M9" i="26"/>
  <c r="M8" i="26"/>
  <c r="M7" i="26"/>
  <c r="M6" i="26"/>
  <c r="M5" i="26"/>
  <c r="M9" i="16" l="1"/>
  <c r="N9" i="16" s="1"/>
  <c r="M8" i="16"/>
  <c r="N8" i="16" s="1"/>
  <c r="M7" i="16"/>
  <c r="N7" i="16" s="1"/>
  <c r="M6" i="16"/>
  <c r="N6" i="16" s="1"/>
  <c r="M5" i="16"/>
  <c r="N5" i="16" s="1"/>
  <c r="M4" i="16"/>
  <c r="N4" i="16" s="1"/>
  <c r="N10" i="25"/>
  <c r="N9" i="25"/>
  <c r="N8" i="25"/>
  <c r="N7" i="25"/>
  <c r="N6" i="25"/>
  <c r="N5" i="25"/>
  <c r="M10" i="24" l="1"/>
  <c r="M9" i="24"/>
  <c r="M8" i="24"/>
  <c r="M7" i="24"/>
  <c r="M6" i="24"/>
  <c r="M5" i="24"/>
  <c r="M10" i="23" l="1"/>
  <c r="M9" i="23"/>
  <c r="M8" i="23"/>
  <c r="M7" i="23"/>
  <c r="M6" i="23"/>
  <c r="M5" i="23"/>
  <c r="M10" i="22" l="1"/>
  <c r="M9" i="22"/>
  <c r="M8" i="22"/>
  <c r="M7" i="22"/>
  <c r="M6" i="22"/>
  <c r="M5" i="22"/>
  <c r="M10" i="21" l="1"/>
  <c r="M9" i="21"/>
  <c r="M8" i="21"/>
  <c r="M7" i="21"/>
  <c r="M6" i="21"/>
  <c r="M5" i="21"/>
  <c r="M10" i="20" l="1"/>
  <c r="N10" i="20" s="1"/>
  <c r="M9" i="20"/>
  <c r="N9" i="20" s="1"/>
  <c r="M8" i="20"/>
  <c r="N8" i="20" s="1"/>
  <c r="M7" i="20"/>
  <c r="N7" i="20" s="1"/>
  <c r="M6" i="20"/>
  <c r="N6" i="20" s="1"/>
  <c r="M5" i="20"/>
  <c r="N5" i="20" s="1"/>
  <c r="M10" i="19" l="1"/>
  <c r="N10" i="19" s="1"/>
  <c r="M9" i="19"/>
  <c r="N9" i="19" s="1"/>
  <c r="M8" i="19"/>
  <c r="N8" i="19" s="1"/>
  <c r="M7" i="19"/>
  <c r="N7" i="19" s="1"/>
  <c r="M6" i="19"/>
  <c r="N6" i="19" s="1"/>
  <c r="M5" i="19"/>
  <c r="N5" i="19" s="1"/>
  <c r="M5" i="18"/>
  <c r="M6" i="18"/>
  <c r="N6" i="18" s="1"/>
  <c r="M7" i="18"/>
  <c r="N7" i="18" s="1"/>
  <c r="M8" i="18"/>
  <c r="N8" i="18" s="1"/>
  <c r="M9" i="18"/>
  <c r="N9" i="18" s="1"/>
  <c r="M10" i="18"/>
  <c r="M9" i="17"/>
  <c r="N9" i="17" s="1"/>
  <c r="M8" i="17"/>
  <c r="N8" i="17" s="1"/>
  <c r="M5" i="17"/>
  <c r="N5" i="17" s="1"/>
  <c r="M4" i="17"/>
  <c r="N4" i="17" s="1"/>
  <c r="M7" i="17"/>
  <c r="N7" i="17" s="1"/>
  <c r="M6" i="17"/>
  <c r="N6" i="17" s="1"/>
  <c r="M7" i="15"/>
  <c r="N5" i="18" l="1"/>
  <c r="N10" i="18"/>
  <c r="M4" i="10"/>
  <c r="M6" i="10"/>
  <c r="M5" i="10"/>
  <c r="M7" i="12" l="1"/>
  <c r="M8" i="11" l="1"/>
  <c r="M9" i="15" l="1"/>
  <c r="M8" i="15"/>
  <c r="N8" i="15" s="1"/>
  <c r="M6" i="15"/>
  <c r="M5" i="15"/>
  <c r="M4" i="15"/>
  <c r="N4" i="15" l="1"/>
  <c r="N5" i="15"/>
  <c r="N9" i="15"/>
  <c r="N6" i="15"/>
  <c r="N7" i="15"/>
  <c r="M8" i="10" l="1"/>
  <c r="M7" i="10"/>
  <c r="M3" i="10"/>
  <c r="N8" i="11"/>
  <c r="M7" i="11"/>
  <c r="M6" i="11"/>
  <c r="M5" i="11"/>
  <c r="M4" i="11"/>
  <c r="M3" i="11"/>
  <c r="M2" i="12"/>
  <c r="M3" i="12"/>
  <c r="M4" i="12"/>
  <c r="M5" i="12"/>
  <c r="M6" i="12"/>
  <c r="M8" i="13"/>
  <c r="N8" i="13" s="1"/>
  <c r="M7" i="13"/>
  <c r="M6" i="13"/>
  <c r="M5" i="13"/>
  <c r="N3" i="11" l="1"/>
  <c r="N4" i="12"/>
  <c r="N6" i="11"/>
  <c r="N5" i="13"/>
  <c r="N5" i="10"/>
  <c r="N6" i="10"/>
  <c r="N3" i="12"/>
  <c r="N6" i="13"/>
  <c r="N5" i="11"/>
  <c r="N5" i="12"/>
  <c r="N7" i="13"/>
  <c r="N6" i="12"/>
  <c r="N7" i="12"/>
  <c r="N2" i="12"/>
  <c r="N7" i="10"/>
  <c r="N4" i="11"/>
  <c r="N7" i="11"/>
  <c r="N3" i="10"/>
  <c r="N4" i="10"/>
  <c r="N8" i="10"/>
  <c r="M4" i="13"/>
  <c r="M3" i="13"/>
  <c r="N4" i="13" l="1"/>
  <c r="N3" i="13"/>
</calcChain>
</file>

<file path=xl/sharedStrings.xml><?xml version="1.0" encoding="utf-8"?>
<sst xmlns="http://schemas.openxmlformats.org/spreadsheetml/2006/main" count="4588" uniqueCount="2051">
  <si>
    <t>GILT S</t>
  </si>
  <si>
    <t>Tag #</t>
  </si>
  <si>
    <t xml:space="preserve">Teats </t>
  </si>
  <si>
    <t>colour tag</t>
  </si>
  <si>
    <t xml:space="preserve">Birth weight </t>
  </si>
  <si>
    <t xml:space="preserve">wean weight </t>
  </si>
  <si>
    <t>G260101</t>
  </si>
  <si>
    <t>G</t>
  </si>
  <si>
    <t>G260102</t>
  </si>
  <si>
    <t>G260103</t>
  </si>
  <si>
    <t>G260104</t>
  </si>
  <si>
    <t>G260105</t>
  </si>
  <si>
    <t>G260106</t>
  </si>
  <si>
    <t>G260107</t>
  </si>
  <si>
    <t>G260108</t>
  </si>
  <si>
    <t>G260109</t>
  </si>
  <si>
    <t>G260110</t>
  </si>
  <si>
    <t>G260111</t>
  </si>
  <si>
    <t>G260112</t>
  </si>
  <si>
    <t>G260113</t>
  </si>
  <si>
    <t>G260114</t>
  </si>
  <si>
    <t>G260115</t>
  </si>
  <si>
    <t>G260116</t>
  </si>
  <si>
    <t>G260117</t>
  </si>
  <si>
    <t>G260118</t>
  </si>
  <si>
    <t>G260119</t>
  </si>
  <si>
    <t>G260120</t>
  </si>
  <si>
    <t>G260121</t>
  </si>
  <si>
    <t>B</t>
  </si>
  <si>
    <t>G260122</t>
  </si>
  <si>
    <t>G260123</t>
  </si>
  <si>
    <t>R260101</t>
  </si>
  <si>
    <t>R260102</t>
  </si>
  <si>
    <t>R260103</t>
  </si>
  <si>
    <t>R260104</t>
  </si>
  <si>
    <t>R260105</t>
  </si>
  <si>
    <t>R260106</t>
  </si>
  <si>
    <t>R260107</t>
  </si>
  <si>
    <t>R260108</t>
  </si>
  <si>
    <t>R260109</t>
  </si>
  <si>
    <t>R260110</t>
  </si>
  <si>
    <t>R260111</t>
  </si>
  <si>
    <t>R260112</t>
  </si>
  <si>
    <t>R260113</t>
  </si>
  <si>
    <t>R260114</t>
  </si>
  <si>
    <t>M260101</t>
  </si>
  <si>
    <t>M260102</t>
  </si>
  <si>
    <t>V260101</t>
  </si>
  <si>
    <t>V260102</t>
  </si>
  <si>
    <t>V260103</t>
  </si>
  <si>
    <t>V260104</t>
  </si>
  <si>
    <t>V260105</t>
  </si>
  <si>
    <t>P260101</t>
  </si>
  <si>
    <t>P260102</t>
  </si>
  <si>
    <t>P260103</t>
  </si>
  <si>
    <t>P260104</t>
  </si>
  <si>
    <t>P260105</t>
  </si>
  <si>
    <t>P260107</t>
  </si>
  <si>
    <t>P260108</t>
  </si>
  <si>
    <t>P260109</t>
  </si>
  <si>
    <t>P260110</t>
  </si>
  <si>
    <t>P260111</t>
  </si>
  <si>
    <t>P260112</t>
  </si>
  <si>
    <t>L260101</t>
  </si>
  <si>
    <t>L260102</t>
  </si>
  <si>
    <t>L260103</t>
  </si>
  <si>
    <t>L260104</t>
  </si>
  <si>
    <t>L260105</t>
  </si>
  <si>
    <t>L260106</t>
  </si>
  <si>
    <t>L260107</t>
  </si>
  <si>
    <t>L260108</t>
  </si>
  <si>
    <t>L260109</t>
  </si>
  <si>
    <t>L260110</t>
  </si>
  <si>
    <t>L260111</t>
  </si>
  <si>
    <t>L260112</t>
  </si>
  <si>
    <t>G260201</t>
  </si>
  <si>
    <t>G260202</t>
  </si>
  <si>
    <t>G260203</t>
  </si>
  <si>
    <t>G260204</t>
  </si>
  <si>
    <t>G260205</t>
  </si>
  <si>
    <t>G260206</t>
  </si>
  <si>
    <t>G260207</t>
  </si>
  <si>
    <t>G260208</t>
  </si>
  <si>
    <t>G260209</t>
  </si>
  <si>
    <t>G260210</t>
  </si>
  <si>
    <t>G260211</t>
  </si>
  <si>
    <t>G260212</t>
  </si>
  <si>
    <t>G260213</t>
  </si>
  <si>
    <t>G260214</t>
  </si>
  <si>
    <t>G260215</t>
  </si>
  <si>
    <t>G260216</t>
  </si>
  <si>
    <t>G260217</t>
  </si>
  <si>
    <t>G260218</t>
  </si>
  <si>
    <t>G260219</t>
  </si>
  <si>
    <t>G260220</t>
  </si>
  <si>
    <t>G260221</t>
  </si>
  <si>
    <t>G260222</t>
  </si>
  <si>
    <t>R260201</t>
  </si>
  <si>
    <t>R260202</t>
  </si>
  <si>
    <t>R260203</t>
  </si>
  <si>
    <t>R260204</t>
  </si>
  <si>
    <t>R260205</t>
  </si>
  <si>
    <t>R260206</t>
  </si>
  <si>
    <t>R260207</t>
  </si>
  <si>
    <t>R260208</t>
  </si>
  <si>
    <t>R260209</t>
  </si>
  <si>
    <t>R260210</t>
  </si>
  <si>
    <t>R260211</t>
  </si>
  <si>
    <t>R260212</t>
  </si>
  <si>
    <t>R260213</t>
  </si>
  <si>
    <t>R260214</t>
  </si>
  <si>
    <t>M260201</t>
  </si>
  <si>
    <t>M260202</t>
  </si>
  <si>
    <t>V260201</t>
  </si>
  <si>
    <t>V260202</t>
  </si>
  <si>
    <t>V260203</t>
  </si>
  <si>
    <t>V260204</t>
  </si>
  <si>
    <t>P260201</t>
  </si>
  <si>
    <t>P260202</t>
  </si>
  <si>
    <t>P260203</t>
  </si>
  <si>
    <t>P260204</t>
  </si>
  <si>
    <t>P260205</t>
  </si>
  <si>
    <t>P260207</t>
  </si>
  <si>
    <t>P260208</t>
  </si>
  <si>
    <t>P260209</t>
  </si>
  <si>
    <t>P260210</t>
  </si>
  <si>
    <t>P260211</t>
  </si>
  <si>
    <t>P260212</t>
  </si>
  <si>
    <t>P260213</t>
  </si>
  <si>
    <t>L260201</t>
  </si>
  <si>
    <t>L260202</t>
  </si>
  <si>
    <t>L260203</t>
  </si>
  <si>
    <t>L260204</t>
  </si>
  <si>
    <t>L260205</t>
  </si>
  <si>
    <t>L260206</t>
  </si>
  <si>
    <t>L260207</t>
  </si>
  <si>
    <t>L260208</t>
  </si>
  <si>
    <t>L260209</t>
  </si>
  <si>
    <t>L260210</t>
  </si>
  <si>
    <t>L260211</t>
  </si>
  <si>
    <t>L260212</t>
  </si>
  <si>
    <t>G260301</t>
  </si>
  <si>
    <t>G260302</t>
  </si>
  <si>
    <t>G260303</t>
  </si>
  <si>
    <t>G260304</t>
  </si>
  <si>
    <t>G260305</t>
  </si>
  <si>
    <t>G260306</t>
  </si>
  <si>
    <t>G260307</t>
  </si>
  <si>
    <t>G260308</t>
  </si>
  <si>
    <t>G260309</t>
  </si>
  <si>
    <t>G260310</t>
  </si>
  <si>
    <t>G260311</t>
  </si>
  <si>
    <t>G260312</t>
  </si>
  <si>
    <t>G260313</t>
  </si>
  <si>
    <t>G260314</t>
  </si>
  <si>
    <t>G260315</t>
  </si>
  <si>
    <t>G260316</t>
  </si>
  <si>
    <t>G260317</t>
  </si>
  <si>
    <t>G260318</t>
  </si>
  <si>
    <t>G260319</t>
  </si>
  <si>
    <t>G260320</t>
  </si>
  <si>
    <t>G260321</t>
  </si>
  <si>
    <t>G260322</t>
  </si>
  <si>
    <t>G260323</t>
  </si>
  <si>
    <t>R260301</t>
  </si>
  <si>
    <t>R260302</t>
  </si>
  <si>
    <t>R260303</t>
  </si>
  <si>
    <t>R260304</t>
  </si>
  <si>
    <t>R260305</t>
  </si>
  <si>
    <t>R260306</t>
  </si>
  <si>
    <t>R260307</t>
  </si>
  <si>
    <t>R260308</t>
  </si>
  <si>
    <t>R260309</t>
  </si>
  <si>
    <t>R260310</t>
  </si>
  <si>
    <t>R260311</t>
  </si>
  <si>
    <t>R260312</t>
  </si>
  <si>
    <t>R260313</t>
  </si>
  <si>
    <t>R260314</t>
  </si>
  <si>
    <t>M260301</t>
  </si>
  <si>
    <t>M260302</t>
  </si>
  <si>
    <t>V260301</t>
  </si>
  <si>
    <t>V260302</t>
  </si>
  <si>
    <t>V260303</t>
  </si>
  <si>
    <t>V260304</t>
  </si>
  <si>
    <t>V260305</t>
  </si>
  <si>
    <t>P260301</t>
  </si>
  <si>
    <t>P260302</t>
  </si>
  <si>
    <t>P260303</t>
  </si>
  <si>
    <t>P260304</t>
  </si>
  <si>
    <t>P260305</t>
  </si>
  <si>
    <t>P260307</t>
  </si>
  <si>
    <t>P260308</t>
  </si>
  <si>
    <t>P260309</t>
  </si>
  <si>
    <t>P260310</t>
  </si>
  <si>
    <t>P260311</t>
  </si>
  <si>
    <t>P260312</t>
  </si>
  <si>
    <t>L260301</t>
  </si>
  <si>
    <t>L260302</t>
  </si>
  <si>
    <t>L260303</t>
  </si>
  <si>
    <t>L260304</t>
  </si>
  <si>
    <t>L260305</t>
  </si>
  <si>
    <t>L260306</t>
  </si>
  <si>
    <t>L260307</t>
  </si>
  <si>
    <t>L260308</t>
  </si>
  <si>
    <t>L260309</t>
  </si>
  <si>
    <t>L260310</t>
  </si>
  <si>
    <t>L260311</t>
  </si>
  <si>
    <t>L260312</t>
  </si>
  <si>
    <t>G260401</t>
  </si>
  <si>
    <t>G260402</t>
  </si>
  <si>
    <t>G260403</t>
  </si>
  <si>
    <t>G260404</t>
  </si>
  <si>
    <t>G260405</t>
  </si>
  <si>
    <t>G260406</t>
  </si>
  <si>
    <t>G260407</t>
  </si>
  <si>
    <t>G260408</t>
  </si>
  <si>
    <t>G260409</t>
  </si>
  <si>
    <t>G260410</t>
  </si>
  <si>
    <t>G260411</t>
  </si>
  <si>
    <t>G260412</t>
  </si>
  <si>
    <t>G260413</t>
  </si>
  <si>
    <t>G260414</t>
  </si>
  <si>
    <t>G260415</t>
  </si>
  <si>
    <t>G260416</t>
  </si>
  <si>
    <t>G260417</t>
  </si>
  <si>
    <t>G260418</t>
  </si>
  <si>
    <t>G260419</t>
  </si>
  <si>
    <t>G260420</t>
  </si>
  <si>
    <t>G260421</t>
  </si>
  <si>
    <t>G260422</t>
  </si>
  <si>
    <t>G260423</t>
  </si>
  <si>
    <t>R260401</t>
  </si>
  <si>
    <t>R260402</t>
  </si>
  <si>
    <t>R260403</t>
  </si>
  <si>
    <t>R260404</t>
  </si>
  <si>
    <t>R260405</t>
  </si>
  <si>
    <t>R260406</t>
  </si>
  <si>
    <t>R260407</t>
  </si>
  <si>
    <t>R260408</t>
  </si>
  <si>
    <t>R260409</t>
  </si>
  <si>
    <t>R260410</t>
  </si>
  <si>
    <t>R260411</t>
  </si>
  <si>
    <t>R260412</t>
  </si>
  <si>
    <t>R260413</t>
  </si>
  <si>
    <t>R260414</t>
  </si>
  <si>
    <t>M260401</t>
  </si>
  <si>
    <t>M260402</t>
  </si>
  <si>
    <t>V260401</t>
  </si>
  <si>
    <t>V260402</t>
  </si>
  <si>
    <t>V260403</t>
  </si>
  <si>
    <t>V260404</t>
  </si>
  <si>
    <t>V260405</t>
  </si>
  <si>
    <t>P260401</t>
  </si>
  <si>
    <t>P260402</t>
  </si>
  <si>
    <t>P260403</t>
  </si>
  <si>
    <t>P260404</t>
  </si>
  <si>
    <t>P260405</t>
  </si>
  <si>
    <t>P260407</t>
  </si>
  <si>
    <t>P260408</t>
  </si>
  <si>
    <t>P260409</t>
  </si>
  <si>
    <t>P260410</t>
  </si>
  <si>
    <t>P260411</t>
  </si>
  <si>
    <t>P260412</t>
  </si>
  <si>
    <t>L260401</t>
  </si>
  <si>
    <t>L260402</t>
  </si>
  <si>
    <t>L260403</t>
  </si>
  <si>
    <t>L260404</t>
  </si>
  <si>
    <t>L260405</t>
  </si>
  <si>
    <t>L260406</t>
  </si>
  <si>
    <t>L260407</t>
  </si>
  <si>
    <t>L260408</t>
  </si>
  <si>
    <t>L260409</t>
  </si>
  <si>
    <t>L260410</t>
  </si>
  <si>
    <t>L260411</t>
  </si>
  <si>
    <t>L260412</t>
  </si>
  <si>
    <t>G260501</t>
  </si>
  <si>
    <t>G260502</t>
  </si>
  <si>
    <t>G260503</t>
  </si>
  <si>
    <t>G260504</t>
  </si>
  <si>
    <t>G260505</t>
  </si>
  <si>
    <t>G260506</t>
  </si>
  <si>
    <t>G260507</t>
  </si>
  <si>
    <t>G260508</t>
  </si>
  <si>
    <t>G260509</t>
  </si>
  <si>
    <t>G260510</t>
  </si>
  <si>
    <t>G260511</t>
  </si>
  <si>
    <t>G260512</t>
  </si>
  <si>
    <t>G260513</t>
  </si>
  <si>
    <t>G260514</t>
  </si>
  <si>
    <t>G260515</t>
  </si>
  <si>
    <t>G260516</t>
  </si>
  <si>
    <t>G260517</t>
  </si>
  <si>
    <t>G260518</t>
  </si>
  <si>
    <t>G260519</t>
  </si>
  <si>
    <t>G260520</t>
  </si>
  <si>
    <t>G260521</t>
  </si>
  <si>
    <t>G260522</t>
  </si>
  <si>
    <t>G260523</t>
  </si>
  <si>
    <t>G260524</t>
  </si>
  <si>
    <t>G260525</t>
  </si>
  <si>
    <t>G260526</t>
  </si>
  <si>
    <t>R260501</t>
  </si>
  <si>
    <t>R260502</t>
  </si>
  <si>
    <t>R260503</t>
  </si>
  <si>
    <t>R260504</t>
  </si>
  <si>
    <t>R260505</t>
  </si>
  <si>
    <t>.9.8</t>
  </si>
  <si>
    <t>R260506</t>
  </si>
  <si>
    <t>R260507</t>
  </si>
  <si>
    <t>R260508</t>
  </si>
  <si>
    <t>R260509</t>
  </si>
  <si>
    <t>R260510</t>
  </si>
  <si>
    <t>R260511</t>
  </si>
  <si>
    <t>R260512</t>
  </si>
  <si>
    <t>R260513</t>
  </si>
  <si>
    <t>R260514</t>
  </si>
  <si>
    <t>M260501</t>
  </si>
  <si>
    <t>M260502</t>
  </si>
  <si>
    <t>V260501</t>
  </si>
  <si>
    <t>V260502</t>
  </si>
  <si>
    <t>V260503</t>
  </si>
  <si>
    <t>V260504</t>
  </si>
  <si>
    <t>V260505</t>
  </si>
  <si>
    <t>P260501</t>
  </si>
  <si>
    <t>P260503</t>
  </si>
  <si>
    <t>P260504</t>
  </si>
  <si>
    <t>P260505</t>
  </si>
  <si>
    <t>P260506</t>
  </si>
  <si>
    <t>P260507</t>
  </si>
  <si>
    <t>P260508</t>
  </si>
  <si>
    <t>P260509</t>
  </si>
  <si>
    <t>P260510</t>
  </si>
  <si>
    <t>P260511</t>
  </si>
  <si>
    <t>P260512</t>
  </si>
  <si>
    <t>L260501</t>
  </si>
  <si>
    <t>L260502</t>
  </si>
  <si>
    <t>L260503</t>
  </si>
  <si>
    <t>L260504</t>
  </si>
  <si>
    <t>L260505</t>
  </si>
  <si>
    <t>L260506</t>
  </si>
  <si>
    <t>L260507</t>
  </si>
  <si>
    <t>L260508</t>
  </si>
  <si>
    <t>L260509</t>
  </si>
  <si>
    <t>L260510</t>
  </si>
  <si>
    <t>L260511</t>
  </si>
  <si>
    <t>L260512</t>
  </si>
  <si>
    <t>G260601</t>
  </si>
  <si>
    <t>G260602</t>
  </si>
  <si>
    <t>G260603</t>
  </si>
  <si>
    <t>G260604</t>
  </si>
  <si>
    <t>G260605</t>
  </si>
  <si>
    <t>G260606</t>
  </si>
  <si>
    <t>G260607</t>
  </si>
  <si>
    <t>G260608</t>
  </si>
  <si>
    <t>G260609</t>
  </si>
  <si>
    <t>G260610</t>
  </si>
  <si>
    <t>G260611</t>
  </si>
  <si>
    <t>G260612</t>
  </si>
  <si>
    <t>G260613</t>
  </si>
  <si>
    <t>G260614</t>
  </si>
  <si>
    <t>G260615</t>
  </si>
  <si>
    <t>G260616</t>
  </si>
  <si>
    <t>G260617</t>
  </si>
  <si>
    <t>G260618</t>
  </si>
  <si>
    <t>G260619</t>
  </si>
  <si>
    <t>G260620</t>
  </si>
  <si>
    <t>G260621</t>
  </si>
  <si>
    <t>G260622</t>
  </si>
  <si>
    <t>G260623</t>
  </si>
  <si>
    <t>G260624</t>
  </si>
  <si>
    <t>G260625</t>
  </si>
  <si>
    <t>G260626</t>
  </si>
  <si>
    <t>R260601</t>
  </si>
  <si>
    <t>R260602</t>
  </si>
  <si>
    <t>R260603</t>
  </si>
  <si>
    <t>R260604</t>
  </si>
  <si>
    <t>R260605</t>
  </si>
  <si>
    <t>R260607</t>
  </si>
  <si>
    <t>R260608</t>
  </si>
  <si>
    <t>R260609</t>
  </si>
  <si>
    <t>R260610</t>
  </si>
  <si>
    <t>R260611</t>
  </si>
  <si>
    <t>R260612</t>
  </si>
  <si>
    <t>R260613</t>
  </si>
  <si>
    <t>R260614</t>
  </si>
  <si>
    <t>M260601</t>
  </si>
  <si>
    <t>M260602</t>
  </si>
  <si>
    <t>V260601</t>
  </si>
  <si>
    <t>V260602</t>
  </si>
  <si>
    <t>V260603</t>
  </si>
  <si>
    <t>V260604</t>
  </si>
  <si>
    <t>V260605</t>
  </si>
  <si>
    <t>P260601</t>
  </si>
  <si>
    <t>P260602</t>
  </si>
  <si>
    <t>P260603</t>
  </si>
  <si>
    <t>P260604</t>
  </si>
  <si>
    <t>P260605</t>
  </si>
  <si>
    <t>R260606</t>
  </si>
  <si>
    <t>P260607</t>
  </si>
  <si>
    <t>P260608</t>
  </si>
  <si>
    <t>P260609</t>
  </si>
  <si>
    <t>P260610</t>
  </si>
  <si>
    <t>P260611</t>
  </si>
  <si>
    <t>P260612</t>
  </si>
  <si>
    <t>L260601</t>
  </si>
  <si>
    <t>L260602</t>
  </si>
  <si>
    <t>L260603</t>
  </si>
  <si>
    <t>L260604</t>
  </si>
  <si>
    <t>L260605</t>
  </si>
  <si>
    <t>L260606</t>
  </si>
  <si>
    <t>L260607</t>
  </si>
  <si>
    <t>L260608</t>
  </si>
  <si>
    <t>L260609</t>
  </si>
  <si>
    <t>15+</t>
  </si>
  <si>
    <t>L260610</t>
  </si>
  <si>
    <t>L260611</t>
  </si>
  <si>
    <t>L260612</t>
  </si>
  <si>
    <t>G260701</t>
  </si>
  <si>
    <t>G260702</t>
  </si>
  <si>
    <t>G260703</t>
  </si>
  <si>
    <t>G260704</t>
  </si>
  <si>
    <t>G260705</t>
  </si>
  <si>
    <t>G260706</t>
  </si>
  <si>
    <t>G260707</t>
  </si>
  <si>
    <t>G260708</t>
  </si>
  <si>
    <t>G260709</t>
  </si>
  <si>
    <t>G260710</t>
  </si>
  <si>
    <t>G260711</t>
  </si>
  <si>
    <t>G260712</t>
  </si>
  <si>
    <t>G260713</t>
  </si>
  <si>
    <t>G260714</t>
  </si>
  <si>
    <t>G260715</t>
  </si>
  <si>
    <t>G260716</t>
  </si>
  <si>
    <t>G260717</t>
  </si>
  <si>
    <t>G260718</t>
  </si>
  <si>
    <t>G260719</t>
  </si>
  <si>
    <t>G260720</t>
  </si>
  <si>
    <t>G260721</t>
  </si>
  <si>
    <t>G260722</t>
  </si>
  <si>
    <t>G260723</t>
  </si>
  <si>
    <t>G260724</t>
  </si>
  <si>
    <t>G260725</t>
  </si>
  <si>
    <t>R</t>
  </si>
  <si>
    <t>G260726</t>
  </si>
  <si>
    <t>G260727</t>
  </si>
  <si>
    <t>G260728</t>
  </si>
  <si>
    <t>G260729</t>
  </si>
  <si>
    <t>R260701</t>
  </si>
  <si>
    <t>R260702</t>
  </si>
  <si>
    <t>R260703</t>
  </si>
  <si>
    <t>R260704</t>
  </si>
  <si>
    <t>R260705</t>
  </si>
  <si>
    <t>R260706</t>
  </si>
  <si>
    <t>R260707</t>
  </si>
  <si>
    <t>R260708</t>
  </si>
  <si>
    <t>R260709</t>
  </si>
  <si>
    <t>R260710</t>
  </si>
  <si>
    <t>R260711</t>
  </si>
  <si>
    <t>R260712</t>
  </si>
  <si>
    <t>R260713</t>
  </si>
  <si>
    <t>R260714</t>
  </si>
  <si>
    <t>M260701</t>
  </si>
  <si>
    <t>M260702</t>
  </si>
  <si>
    <t>V260701</t>
  </si>
  <si>
    <t>V260702</t>
  </si>
  <si>
    <t>V260703</t>
  </si>
  <si>
    <t>V260704</t>
  </si>
  <si>
    <t>V260705</t>
  </si>
  <si>
    <t>P260701</t>
  </si>
  <si>
    <t>P260702</t>
  </si>
  <si>
    <t>P260703</t>
  </si>
  <si>
    <t>P260704</t>
  </si>
  <si>
    <t>P260705</t>
  </si>
  <si>
    <t>P260706</t>
  </si>
  <si>
    <t>P260707</t>
  </si>
  <si>
    <t>P260708</t>
  </si>
  <si>
    <t>P260709</t>
  </si>
  <si>
    <t>P260710</t>
  </si>
  <si>
    <t>P260711</t>
  </si>
  <si>
    <t>P260712</t>
  </si>
  <si>
    <t>L260701</t>
  </si>
  <si>
    <t>L260702</t>
  </si>
  <si>
    <t>L260703</t>
  </si>
  <si>
    <t>L260704</t>
  </si>
  <si>
    <t>L260705</t>
  </si>
  <si>
    <t>L260706</t>
  </si>
  <si>
    <t>L260707</t>
  </si>
  <si>
    <t>L260708</t>
  </si>
  <si>
    <t>L260709</t>
  </si>
  <si>
    <t>L260710</t>
  </si>
  <si>
    <t>L260711</t>
  </si>
  <si>
    <t>L260712</t>
  </si>
  <si>
    <t>L260713</t>
  </si>
  <si>
    <t>G260801</t>
  </si>
  <si>
    <t>G260802</t>
  </si>
  <si>
    <t>G260803</t>
  </si>
  <si>
    <t>G260804</t>
  </si>
  <si>
    <t>G260805</t>
  </si>
  <si>
    <t>G260806</t>
  </si>
  <si>
    <t>G260807</t>
  </si>
  <si>
    <t>G260808</t>
  </si>
  <si>
    <t>G260809</t>
  </si>
  <si>
    <t>G260810</t>
  </si>
  <si>
    <t>G260811</t>
  </si>
  <si>
    <t>G260812</t>
  </si>
  <si>
    <t>G260813</t>
  </si>
  <si>
    <t>G260814</t>
  </si>
  <si>
    <t>G260815</t>
  </si>
  <si>
    <t>G260816</t>
  </si>
  <si>
    <t>G260817</t>
  </si>
  <si>
    <t>G260818</t>
  </si>
  <si>
    <t>G260819</t>
  </si>
  <si>
    <t>G260820</t>
  </si>
  <si>
    <t>G260821</t>
  </si>
  <si>
    <t>G260822</t>
  </si>
  <si>
    <t>G260823</t>
  </si>
  <si>
    <t>G260824</t>
  </si>
  <si>
    <t>G260825</t>
  </si>
  <si>
    <t>G260826</t>
  </si>
  <si>
    <t>G260827</t>
  </si>
  <si>
    <t>G260828</t>
  </si>
  <si>
    <t>G260829</t>
  </si>
  <si>
    <t>R260801</t>
  </si>
  <si>
    <t>R260802</t>
  </si>
  <si>
    <t>R260803</t>
  </si>
  <si>
    <t>R260804</t>
  </si>
  <si>
    <t>R260805</t>
  </si>
  <si>
    <t>R260806</t>
  </si>
  <si>
    <t>R260807</t>
  </si>
  <si>
    <t>R260808</t>
  </si>
  <si>
    <t>R260809</t>
  </si>
  <si>
    <t>R260810</t>
  </si>
  <si>
    <t>R260811</t>
  </si>
  <si>
    <t>R260812</t>
  </si>
  <si>
    <t>R260813</t>
  </si>
  <si>
    <t>R260814</t>
  </si>
  <si>
    <t>M260801</t>
  </si>
  <si>
    <t>M260802</t>
  </si>
  <si>
    <t>V260801</t>
  </si>
  <si>
    <t>V260802</t>
  </si>
  <si>
    <t>V260803</t>
  </si>
  <si>
    <t>V260804</t>
  </si>
  <si>
    <t>V260805</t>
  </si>
  <si>
    <t>P260801</t>
  </si>
  <si>
    <t>P260802</t>
  </si>
  <si>
    <t>P260803</t>
  </si>
  <si>
    <t>P260804</t>
  </si>
  <si>
    <t>P260805</t>
  </si>
  <si>
    <t>P260806</t>
  </si>
  <si>
    <t>P260807</t>
  </si>
  <si>
    <t>P260808</t>
  </si>
  <si>
    <t>P260809</t>
  </si>
  <si>
    <t>P260810</t>
  </si>
  <si>
    <t>P260811</t>
  </si>
  <si>
    <t>P260812</t>
  </si>
  <si>
    <t>L260801</t>
  </si>
  <si>
    <t>L260802</t>
  </si>
  <si>
    <t>L260803</t>
  </si>
  <si>
    <t>L260804</t>
  </si>
  <si>
    <t>L260805</t>
  </si>
  <si>
    <t>L260806</t>
  </si>
  <si>
    <t>L260807</t>
  </si>
  <si>
    <t>L260808</t>
  </si>
  <si>
    <t>L260809</t>
  </si>
  <si>
    <t>L260810</t>
  </si>
  <si>
    <t>L260811</t>
  </si>
  <si>
    <t>L260812</t>
  </si>
  <si>
    <t>G260901</t>
  </si>
  <si>
    <t>G260902</t>
  </si>
  <si>
    <t>G260903</t>
  </si>
  <si>
    <t>G260904</t>
  </si>
  <si>
    <t>G260905</t>
  </si>
  <si>
    <t>G260906</t>
  </si>
  <si>
    <t>G260907</t>
  </si>
  <si>
    <t>G260908</t>
  </si>
  <si>
    <t>G260909</t>
  </si>
  <si>
    <t>G260910</t>
  </si>
  <si>
    <t>G260911</t>
  </si>
  <si>
    <t>G260912</t>
  </si>
  <si>
    <t>G260913</t>
  </si>
  <si>
    <t>G260914</t>
  </si>
  <si>
    <t>G260915</t>
  </si>
  <si>
    <t>G260916</t>
  </si>
  <si>
    <t>G260917</t>
  </si>
  <si>
    <t>G260918</t>
  </si>
  <si>
    <t>G260919</t>
  </si>
  <si>
    <t>G260920</t>
  </si>
  <si>
    <t>G260921</t>
  </si>
  <si>
    <t>G260922</t>
  </si>
  <si>
    <t>G260923</t>
  </si>
  <si>
    <t>G260924</t>
  </si>
  <si>
    <t>G260925</t>
  </si>
  <si>
    <t>G260926</t>
  </si>
  <si>
    <t>R260901</t>
  </si>
  <si>
    <t>R260902</t>
  </si>
  <si>
    <t>R260903</t>
  </si>
  <si>
    <t>R260904</t>
  </si>
  <si>
    <t>R260905</t>
  </si>
  <si>
    <t>R260906</t>
  </si>
  <si>
    <t>R260907</t>
  </si>
  <si>
    <t>R260908</t>
  </si>
  <si>
    <t>R260909</t>
  </si>
  <si>
    <t>R260910</t>
  </si>
  <si>
    <t>R260911</t>
  </si>
  <si>
    <t>R260912</t>
  </si>
  <si>
    <t>R260913</t>
  </si>
  <si>
    <t>R260914</t>
  </si>
  <si>
    <t>M260901</t>
  </si>
  <si>
    <t>M260902</t>
  </si>
  <si>
    <t>V260901</t>
  </si>
  <si>
    <t>V260902</t>
  </si>
  <si>
    <t>V260903</t>
  </si>
  <si>
    <t>V260904</t>
  </si>
  <si>
    <t>V260905</t>
  </si>
  <si>
    <t>P260901</t>
  </si>
  <si>
    <t>P260902</t>
  </si>
  <si>
    <t>P260903</t>
  </si>
  <si>
    <t>P260904</t>
  </si>
  <si>
    <t>P260905</t>
  </si>
  <si>
    <t>P260906</t>
  </si>
  <si>
    <t>P260907</t>
  </si>
  <si>
    <t>P260908</t>
  </si>
  <si>
    <t>P260909</t>
  </si>
  <si>
    <t>P260910</t>
  </si>
  <si>
    <t>P260911</t>
  </si>
  <si>
    <t>P260912</t>
  </si>
  <si>
    <t>L260901</t>
  </si>
  <si>
    <t>L260902</t>
  </si>
  <si>
    <t>L260903</t>
  </si>
  <si>
    <t>L260904</t>
  </si>
  <si>
    <t>L260905</t>
  </si>
  <si>
    <t>L260906</t>
  </si>
  <si>
    <t>L260907</t>
  </si>
  <si>
    <t>L260908</t>
  </si>
  <si>
    <t>L260909</t>
  </si>
  <si>
    <t>L260910</t>
  </si>
  <si>
    <t>L260911</t>
  </si>
  <si>
    <t>L260912</t>
  </si>
  <si>
    <t>L260913</t>
  </si>
  <si>
    <t>farms on dropbox</t>
  </si>
  <si>
    <t>Conformation</t>
  </si>
  <si>
    <t>Teats</t>
  </si>
  <si>
    <t>G261001</t>
  </si>
  <si>
    <t>Grasmere</t>
  </si>
  <si>
    <t>G261002</t>
  </si>
  <si>
    <t>Richlands</t>
  </si>
  <si>
    <t>G261003</t>
  </si>
  <si>
    <t>Multiplier</t>
  </si>
  <si>
    <t>G261004</t>
  </si>
  <si>
    <t>Villa</t>
  </si>
  <si>
    <t>G261005</t>
  </si>
  <si>
    <t>Porta</t>
  </si>
  <si>
    <t>G261006</t>
  </si>
  <si>
    <t>Lions Head</t>
  </si>
  <si>
    <t>G261007</t>
  </si>
  <si>
    <t>G261008</t>
  </si>
  <si>
    <t>% ABOVE 16+</t>
  </si>
  <si>
    <t>% GREEN</t>
  </si>
  <si>
    <t>%1.2 PLUS</t>
  </si>
  <si>
    <t>% 7 PLUS</t>
  </si>
  <si>
    <t>G261009</t>
  </si>
  <si>
    <t>G261010</t>
  </si>
  <si>
    <t>G261011</t>
  </si>
  <si>
    <t>G261012</t>
  </si>
  <si>
    <t>G261013</t>
  </si>
  <si>
    <t>G261014</t>
  </si>
  <si>
    <t>G261015</t>
  </si>
  <si>
    <t>G261016</t>
  </si>
  <si>
    <t>G261017</t>
  </si>
  <si>
    <t>G261018</t>
  </si>
  <si>
    <t>G261019</t>
  </si>
  <si>
    <t>G261020</t>
  </si>
  <si>
    <t>G261021</t>
  </si>
  <si>
    <t>G261022</t>
  </si>
  <si>
    <t>G261023</t>
  </si>
  <si>
    <t>R261001</t>
  </si>
  <si>
    <t>R261002</t>
  </si>
  <si>
    <t>R261003</t>
  </si>
  <si>
    <t>R261004</t>
  </si>
  <si>
    <t>R261005</t>
  </si>
  <si>
    <t>R261006</t>
  </si>
  <si>
    <t>R261007</t>
  </si>
  <si>
    <t>R261008</t>
  </si>
  <si>
    <t>R261009</t>
  </si>
  <si>
    <t>R261010</t>
  </si>
  <si>
    <t>R261011</t>
  </si>
  <si>
    <t>R261012</t>
  </si>
  <si>
    <t>R261013</t>
  </si>
  <si>
    <t>R261014</t>
  </si>
  <si>
    <t>R261015</t>
  </si>
  <si>
    <t>R261016</t>
  </si>
  <si>
    <t>M261001</t>
  </si>
  <si>
    <t>M261002</t>
  </si>
  <si>
    <t>V261001</t>
  </si>
  <si>
    <t>V261002</t>
  </si>
  <si>
    <t>V261003</t>
  </si>
  <si>
    <t>V261004</t>
  </si>
  <si>
    <t>V261005</t>
  </si>
  <si>
    <t>P261001</t>
  </si>
  <si>
    <t>P261002</t>
  </si>
  <si>
    <t>P261003</t>
  </si>
  <si>
    <t>P261004</t>
  </si>
  <si>
    <t>P261005</t>
  </si>
  <si>
    <t>P261006</t>
  </si>
  <si>
    <t>P261007</t>
  </si>
  <si>
    <t>P261008</t>
  </si>
  <si>
    <t>P261009</t>
  </si>
  <si>
    <t>P261010</t>
  </si>
  <si>
    <t>P261011</t>
  </si>
  <si>
    <t>P261012</t>
  </si>
  <si>
    <t>L261001</t>
  </si>
  <si>
    <t>L261002</t>
  </si>
  <si>
    <t>L261003</t>
  </si>
  <si>
    <t>L261004</t>
  </si>
  <si>
    <t>L261005</t>
  </si>
  <si>
    <t>L261006</t>
  </si>
  <si>
    <t>L261007</t>
  </si>
  <si>
    <t>L261008</t>
  </si>
  <si>
    <t>L261009</t>
  </si>
  <si>
    <t>L261010</t>
  </si>
  <si>
    <t>L261011</t>
  </si>
  <si>
    <t>L261012</t>
  </si>
  <si>
    <t>score</t>
  </si>
  <si>
    <t>G261101</t>
  </si>
  <si>
    <t>G261102</t>
  </si>
  <si>
    <t>G261103</t>
  </si>
  <si>
    <t>G261104</t>
  </si>
  <si>
    <t>G261105</t>
  </si>
  <si>
    <t>G261106</t>
  </si>
  <si>
    <t>G261107</t>
  </si>
  <si>
    <t>G261108</t>
  </si>
  <si>
    <t>G261109</t>
  </si>
  <si>
    <t>G261110</t>
  </si>
  <si>
    <t>G261111</t>
  </si>
  <si>
    <t>G261112</t>
  </si>
  <si>
    <t>G261113</t>
  </si>
  <si>
    <t>G261114</t>
  </si>
  <si>
    <t>G261115</t>
  </si>
  <si>
    <t>G261116</t>
  </si>
  <si>
    <t>G261117</t>
  </si>
  <si>
    <t>G261118</t>
  </si>
  <si>
    <t>G261119</t>
  </si>
  <si>
    <t>G261120</t>
  </si>
  <si>
    <t>G261121</t>
  </si>
  <si>
    <t>G261122</t>
  </si>
  <si>
    <t>G261123</t>
  </si>
  <si>
    <t>R261101</t>
  </si>
  <si>
    <t>R261102</t>
  </si>
  <si>
    <t>R261103</t>
  </si>
  <si>
    <t>R261104</t>
  </si>
  <si>
    <t>R261105</t>
  </si>
  <si>
    <t>R261106</t>
  </si>
  <si>
    <t>R261107</t>
  </si>
  <si>
    <t>R261108</t>
  </si>
  <si>
    <t>R261109</t>
  </si>
  <si>
    <t>R261110</t>
  </si>
  <si>
    <t>R261111</t>
  </si>
  <si>
    <t>R261112</t>
  </si>
  <si>
    <t>R261113</t>
  </si>
  <si>
    <t>R261114</t>
  </si>
  <si>
    <t>M261101</t>
  </si>
  <si>
    <t>M261102</t>
  </si>
  <si>
    <t>V261101</t>
  </si>
  <si>
    <t>V261102</t>
  </si>
  <si>
    <t>V261103</t>
  </si>
  <si>
    <t>V261104</t>
  </si>
  <si>
    <t>V261105</t>
  </si>
  <si>
    <t>P261101</t>
  </si>
  <si>
    <t>P261102</t>
  </si>
  <si>
    <t>P261103</t>
  </si>
  <si>
    <t>P261104</t>
  </si>
  <si>
    <t>P261105</t>
  </si>
  <si>
    <t>P261106</t>
  </si>
  <si>
    <t>P261107</t>
  </si>
  <si>
    <t>P261108</t>
  </si>
  <si>
    <t>P261109</t>
  </si>
  <si>
    <t>P261110</t>
  </si>
  <si>
    <t>P261111</t>
  </si>
  <si>
    <t>P261112</t>
  </si>
  <si>
    <t>L261101</t>
  </si>
  <si>
    <t>L261102</t>
  </si>
  <si>
    <t>L261103</t>
  </si>
  <si>
    <t>L261104</t>
  </si>
  <si>
    <t>L261105</t>
  </si>
  <si>
    <t>L261106</t>
  </si>
  <si>
    <t>L261107</t>
  </si>
  <si>
    <t>L261108</t>
  </si>
  <si>
    <t>L261109</t>
  </si>
  <si>
    <t>L261110</t>
  </si>
  <si>
    <t>L261111</t>
  </si>
  <si>
    <t>L261112</t>
  </si>
  <si>
    <t>L261113</t>
  </si>
  <si>
    <t>L261114</t>
  </si>
  <si>
    <t>L261115</t>
  </si>
  <si>
    <t>L261116</t>
  </si>
  <si>
    <t>L261117</t>
  </si>
  <si>
    <t>L261118</t>
  </si>
  <si>
    <t>L261119</t>
  </si>
  <si>
    <t>G261201</t>
  </si>
  <si>
    <t>G261202</t>
  </si>
  <si>
    <t>G261203</t>
  </si>
  <si>
    <t>G261204</t>
  </si>
  <si>
    <t>G261205</t>
  </si>
  <si>
    <t>G261206</t>
  </si>
  <si>
    <t>G261207</t>
  </si>
  <si>
    <t>G261208</t>
  </si>
  <si>
    <t>G261209</t>
  </si>
  <si>
    <t>G261210</t>
  </si>
  <si>
    <t>G261211</t>
  </si>
  <si>
    <t>G261212</t>
  </si>
  <si>
    <t>G261213</t>
  </si>
  <si>
    <t>G261214</t>
  </si>
  <si>
    <t>G261215</t>
  </si>
  <si>
    <t>G261216</t>
  </si>
  <si>
    <t>G261217</t>
  </si>
  <si>
    <t>G261218</t>
  </si>
  <si>
    <t>G261219</t>
  </si>
  <si>
    <t>G261220</t>
  </si>
  <si>
    <t>G261221</t>
  </si>
  <si>
    <t>G261222</t>
  </si>
  <si>
    <t>G261223</t>
  </si>
  <si>
    <t>R261201</t>
  </si>
  <si>
    <t>R261202</t>
  </si>
  <si>
    <t>R261203</t>
  </si>
  <si>
    <t>R261204</t>
  </si>
  <si>
    <t>R261205</t>
  </si>
  <si>
    <t>R261206</t>
  </si>
  <si>
    <t>R261207</t>
  </si>
  <si>
    <t>R261208</t>
  </si>
  <si>
    <t>R261209</t>
  </si>
  <si>
    <t>R261210</t>
  </si>
  <si>
    <t>R261211</t>
  </si>
  <si>
    <t>R261212</t>
  </si>
  <si>
    <t>R261213</t>
  </si>
  <si>
    <t>R261214</t>
  </si>
  <si>
    <t>M261201</t>
  </si>
  <si>
    <t>M261202</t>
  </si>
  <si>
    <t>V261201</t>
  </si>
  <si>
    <t>V261202</t>
  </si>
  <si>
    <t>V261203</t>
  </si>
  <si>
    <t>V261204</t>
  </si>
  <si>
    <t>V261205</t>
  </si>
  <si>
    <t>P261201</t>
  </si>
  <si>
    <t>P261202</t>
  </si>
  <si>
    <t>P261203</t>
  </si>
  <si>
    <t>P261204</t>
  </si>
  <si>
    <t>P261205</t>
  </si>
  <si>
    <t>P261206</t>
  </si>
  <si>
    <t>P261207</t>
  </si>
  <si>
    <t>P261208</t>
  </si>
  <si>
    <t>P261209</t>
  </si>
  <si>
    <t>P261210</t>
  </si>
  <si>
    <t>P261211</t>
  </si>
  <si>
    <t>P261212</t>
  </si>
  <si>
    <t>L261201</t>
  </si>
  <si>
    <t>L261202</t>
  </si>
  <si>
    <t>L261203</t>
  </si>
  <si>
    <t>L261204</t>
  </si>
  <si>
    <t>L261205</t>
  </si>
  <si>
    <t>L261206</t>
  </si>
  <si>
    <t>L261207</t>
  </si>
  <si>
    <t>L261208</t>
  </si>
  <si>
    <t>L261209</t>
  </si>
  <si>
    <t>L261210</t>
  </si>
  <si>
    <t>L261211</t>
  </si>
  <si>
    <t>L261212</t>
  </si>
  <si>
    <t>L261213</t>
  </si>
  <si>
    <t>L261214</t>
  </si>
  <si>
    <t>G261301</t>
  </si>
  <si>
    <t>G261302</t>
  </si>
  <si>
    <t>G261303</t>
  </si>
  <si>
    <t>G261304</t>
  </si>
  <si>
    <t>G261305</t>
  </si>
  <si>
    <t>G261306</t>
  </si>
  <si>
    <t>G261307</t>
  </si>
  <si>
    <t>G261308</t>
  </si>
  <si>
    <t>G261309</t>
  </si>
  <si>
    <t>G261310</t>
  </si>
  <si>
    <t>G261311</t>
  </si>
  <si>
    <t>G261312</t>
  </si>
  <si>
    <t>G261313</t>
  </si>
  <si>
    <t>G261314</t>
  </si>
  <si>
    <t>G261315</t>
  </si>
  <si>
    <t>G261316</t>
  </si>
  <si>
    <t>G261317</t>
  </si>
  <si>
    <t>G261318</t>
  </si>
  <si>
    <t>G261319</t>
  </si>
  <si>
    <t>G261320</t>
  </si>
  <si>
    <t>G261321</t>
  </si>
  <si>
    <t>G261322</t>
  </si>
  <si>
    <t>G261323</t>
  </si>
  <si>
    <t>R261301</t>
  </si>
  <si>
    <t>R261302</t>
  </si>
  <si>
    <t>R261303</t>
  </si>
  <si>
    <t>R261304</t>
  </si>
  <si>
    <t>R261305</t>
  </si>
  <si>
    <t>R261306</t>
  </si>
  <si>
    <t>R261307</t>
  </si>
  <si>
    <t>R261308</t>
  </si>
  <si>
    <t>R261309</t>
  </si>
  <si>
    <t>R261310</t>
  </si>
  <si>
    <t>R261311</t>
  </si>
  <si>
    <t>R261312</t>
  </si>
  <si>
    <t>R261313</t>
  </si>
  <si>
    <t>R261314</t>
  </si>
  <si>
    <t>M261301</t>
  </si>
  <si>
    <t>M261302</t>
  </si>
  <si>
    <t>V261301</t>
  </si>
  <si>
    <t>V261302</t>
  </si>
  <si>
    <t>V261303</t>
  </si>
  <si>
    <t>V261304</t>
  </si>
  <si>
    <t>V261305</t>
  </si>
  <si>
    <t>P261301</t>
  </si>
  <si>
    <t>P261302</t>
  </si>
  <si>
    <t>P261303</t>
  </si>
  <si>
    <t>P261304</t>
  </si>
  <si>
    <t>P261305</t>
  </si>
  <si>
    <t>P261306</t>
  </si>
  <si>
    <t>P261307</t>
  </si>
  <si>
    <t>P261308</t>
  </si>
  <si>
    <t>P261309</t>
  </si>
  <si>
    <t>P261310</t>
  </si>
  <si>
    <t>P261311</t>
  </si>
  <si>
    <t>P261312</t>
  </si>
  <si>
    <t>L261301</t>
  </si>
  <si>
    <t>L261302</t>
  </si>
  <si>
    <t>L261303</t>
  </si>
  <si>
    <t>L261304</t>
  </si>
  <si>
    <t>L261305</t>
  </si>
  <si>
    <t>L261306</t>
  </si>
  <si>
    <t>L261307</t>
  </si>
  <si>
    <t>L261308</t>
  </si>
  <si>
    <t>L261309</t>
  </si>
  <si>
    <t>L261310</t>
  </si>
  <si>
    <t>L261311</t>
  </si>
  <si>
    <t>L261312</t>
  </si>
  <si>
    <t>29/04/026</t>
  </si>
  <si>
    <t>G261401</t>
  </si>
  <si>
    <t>G261402</t>
  </si>
  <si>
    <t>G261403</t>
  </si>
  <si>
    <t>G261404</t>
  </si>
  <si>
    <t>G261405</t>
  </si>
  <si>
    <t>G261406</t>
  </si>
  <si>
    <t>G261407</t>
  </si>
  <si>
    <t>G261408</t>
  </si>
  <si>
    <t>G261409</t>
  </si>
  <si>
    <t>G261410</t>
  </si>
  <si>
    <t>G261411</t>
  </si>
  <si>
    <t>G261412</t>
  </si>
  <si>
    <t>G261413</t>
  </si>
  <si>
    <t>G261414</t>
  </si>
  <si>
    <t>G261415</t>
  </si>
  <si>
    <t>G261416</t>
  </si>
  <si>
    <t>G261417</t>
  </si>
  <si>
    <t>G261418</t>
  </si>
  <si>
    <t>G261419</t>
  </si>
  <si>
    <t>G261420</t>
  </si>
  <si>
    <t>G261421</t>
  </si>
  <si>
    <t>G261422</t>
  </si>
  <si>
    <t>G261423</t>
  </si>
  <si>
    <t>R261401</t>
  </si>
  <si>
    <t>R261402</t>
  </si>
  <si>
    <t>R261403</t>
  </si>
  <si>
    <t>R261404</t>
  </si>
  <si>
    <t>R261405</t>
  </si>
  <si>
    <t>R261406</t>
  </si>
  <si>
    <t>R261407</t>
  </si>
  <si>
    <t>R261408</t>
  </si>
  <si>
    <t>R261409</t>
  </si>
  <si>
    <t>R261410</t>
  </si>
  <si>
    <t>R261411</t>
  </si>
  <si>
    <t>R261412</t>
  </si>
  <si>
    <t>R261413</t>
  </si>
  <si>
    <t>R261414</t>
  </si>
  <si>
    <t>M261401</t>
  </si>
  <si>
    <t>M261402</t>
  </si>
  <si>
    <t>V261401</t>
  </si>
  <si>
    <t>V261402</t>
  </si>
  <si>
    <t>V261403</t>
  </si>
  <si>
    <t>V261404</t>
  </si>
  <si>
    <t>V261405</t>
  </si>
  <si>
    <t>P261401</t>
  </si>
  <si>
    <t>P261402</t>
  </si>
  <si>
    <t>P261403</t>
  </si>
  <si>
    <t>P261404</t>
  </si>
  <si>
    <t>P261405</t>
  </si>
  <si>
    <t>P261406</t>
  </si>
  <si>
    <t>P261407</t>
  </si>
  <si>
    <t>P261408</t>
  </si>
  <si>
    <t>P261409</t>
  </si>
  <si>
    <t>P261410</t>
  </si>
  <si>
    <t>P261411</t>
  </si>
  <si>
    <t>P261412</t>
  </si>
  <si>
    <t>L261401</t>
  </si>
  <si>
    <t>L261402</t>
  </si>
  <si>
    <t>L261403</t>
  </si>
  <si>
    <t>L261404</t>
  </si>
  <si>
    <t>L261405</t>
  </si>
  <si>
    <t>L261406</t>
  </si>
  <si>
    <t>L261407</t>
  </si>
  <si>
    <t>L261408</t>
  </si>
  <si>
    <t>L261409</t>
  </si>
  <si>
    <t>L261410</t>
  </si>
  <si>
    <t>L261411</t>
  </si>
  <si>
    <t>L261412</t>
  </si>
  <si>
    <t>L261413</t>
  </si>
  <si>
    <t>G261501</t>
  </si>
  <si>
    <t>G261502</t>
  </si>
  <si>
    <t>G261503</t>
  </si>
  <si>
    <t>G261504</t>
  </si>
  <si>
    <t>G261505</t>
  </si>
  <si>
    <t>G261506</t>
  </si>
  <si>
    <t>G261507</t>
  </si>
  <si>
    <t>G261508</t>
  </si>
  <si>
    <t>G261509</t>
  </si>
  <si>
    <t>G261510</t>
  </si>
  <si>
    <t>G261511</t>
  </si>
  <si>
    <t>G261512</t>
  </si>
  <si>
    <t>G261513</t>
  </si>
  <si>
    <t>G261514</t>
  </si>
  <si>
    <t>G261515</t>
  </si>
  <si>
    <t>G261516</t>
  </si>
  <si>
    <t>possible hernia</t>
  </si>
  <si>
    <t>R261501</t>
  </si>
  <si>
    <t>R261502</t>
  </si>
  <si>
    <t>R261503</t>
  </si>
  <si>
    <t>R261504</t>
  </si>
  <si>
    <t>R261505</t>
  </si>
  <si>
    <t>R261506</t>
  </si>
  <si>
    <t>R261507</t>
  </si>
  <si>
    <t>R261508</t>
  </si>
  <si>
    <t>R261509</t>
  </si>
  <si>
    <t>M261501</t>
  </si>
  <si>
    <t>M261502</t>
  </si>
  <si>
    <t>V261501</t>
  </si>
  <si>
    <t>V261502</t>
  </si>
  <si>
    <t>V261503</t>
  </si>
  <si>
    <t>V261504</t>
  </si>
  <si>
    <t>V261505</t>
  </si>
  <si>
    <t>P261501</t>
  </si>
  <si>
    <t>P261502</t>
  </si>
  <si>
    <t>P261503</t>
  </si>
  <si>
    <t>P261504</t>
  </si>
  <si>
    <t>P261505</t>
  </si>
  <si>
    <t>P261506</t>
  </si>
  <si>
    <t>P261507</t>
  </si>
  <si>
    <t>P261508</t>
  </si>
  <si>
    <t>P261509</t>
  </si>
  <si>
    <t>L261501</t>
  </si>
  <si>
    <t>L261502</t>
  </si>
  <si>
    <t>L261503</t>
  </si>
  <si>
    <t>L261504</t>
  </si>
  <si>
    <t>L261505</t>
  </si>
  <si>
    <t>L261506</t>
  </si>
  <si>
    <t>L261507</t>
  </si>
  <si>
    <t>L261508</t>
  </si>
  <si>
    <t>L261509</t>
  </si>
  <si>
    <t>G261601</t>
  </si>
  <si>
    <t>G261602</t>
  </si>
  <si>
    <t>G261603</t>
  </si>
  <si>
    <t>G261604</t>
  </si>
  <si>
    <t>G261605</t>
  </si>
  <si>
    <t>G261606</t>
  </si>
  <si>
    <t>G261607</t>
  </si>
  <si>
    <t>G261608</t>
  </si>
  <si>
    <t>G261609</t>
  </si>
  <si>
    <t>G261610</t>
  </si>
  <si>
    <t>G261611</t>
  </si>
  <si>
    <t>G261612</t>
  </si>
  <si>
    <t>G261613</t>
  </si>
  <si>
    <t>G261614</t>
  </si>
  <si>
    <t>G261615</t>
  </si>
  <si>
    <t>G261616</t>
  </si>
  <si>
    <t>G261617</t>
  </si>
  <si>
    <t>G261618</t>
  </si>
  <si>
    <t>G261619</t>
  </si>
  <si>
    <t>G261620</t>
  </si>
  <si>
    <t>G261621</t>
  </si>
  <si>
    <t>G261622</t>
  </si>
  <si>
    <t>G261623</t>
  </si>
  <si>
    <t>G261624</t>
  </si>
  <si>
    <t>G261625</t>
  </si>
  <si>
    <t>G261626</t>
  </si>
  <si>
    <t>G261627</t>
  </si>
  <si>
    <t>G261628</t>
  </si>
  <si>
    <t>R261601</t>
  </si>
  <si>
    <t>R261602</t>
  </si>
  <si>
    <t>R261603</t>
  </si>
  <si>
    <t>R261604</t>
  </si>
  <si>
    <t>R261605</t>
  </si>
  <si>
    <t>R261606</t>
  </si>
  <si>
    <t>R261607</t>
  </si>
  <si>
    <t>R261608</t>
  </si>
  <si>
    <t>R261609</t>
  </si>
  <si>
    <t>R261610</t>
  </si>
  <si>
    <t>R261611</t>
  </si>
  <si>
    <t>R261612</t>
  </si>
  <si>
    <t>R261613</t>
  </si>
  <si>
    <t>R261614</t>
  </si>
  <si>
    <t>R261615</t>
  </si>
  <si>
    <t>R261616</t>
  </si>
  <si>
    <t>R261617</t>
  </si>
  <si>
    <t>R261618</t>
  </si>
  <si>
    <t>R261619</t>
  </si>
  <si>
    <t>M261601</t>
  </si>
  <si>
    <t>M261602</t>
  </si>
  <si>
    <t>V261601</t>
  </si>
  <si>
    <t>V261602</t>
  </si>
  <si>
    <t>V261603</t>
  </si>
  <si>
    <t>V261604</t>
  </si>
  <si>
    <t>V261605</t>
  </si>
  <si>
    <t>P261601</t>
  </si>
  <si>
    <t>P261602</t>
  </si>
  <si>
    <t>P261603</t>
  </si>
  <si>
    <t>P261604</t>
  </si>
  <si>
    <t>P261605</t>
  </si>
  <si>
    <t>P261606</t>
  </si>
  <si>
    <t>P261607</t>
  </si>
  <si>
    <t>P261608</t>
  </si>
  <si>
    <t>P261609</t>
  </si>
  <si>
    <t>P261610</t>
  </si>
  <si>
    <t>P261611</t>
  </si>
  <si>
    <t>P261612</t>
  </si>
  <si>
    <t>P261613</t>
  </si>
  <si>
    <t>P261614</t>
  </si>
  <si>
    <t>P261615</t>
  </si>
  <si>
    <t>L261601</t>
  </si>
  <si>
    <t>L261602</t>
  </si>
  <si>
    <t>L261603</t>
  </si>
  <si>
    <t>L261604</t>
  </si>
  <si>
    <t>L261605</t>
  </si>
  <si>
    <t>L261606</t>
  </si>
  <si>
    <t>L261607</t>
  </si>
  <si>
    <t>L261608</t>
  </si>
  <si>
    <t>L261609</t>
  </si>
  <si>
    <t>L261610</t>
  </si>
  <si>
    <t>L261611</t>
  </si>
  <si>
    <t>L261612</t>
  </si>
  <si>
    <t>L261613</t>
  </si>
  <si>
    <t>L261614</t>
  </si>
  <si>
    <t>L261615</t>
  </si>
  <si>
    <t>L261616</t>
  </si>
  <si>
    <t>L261617</t>
  </si>
  <si>
    <t>G261701</t>
  </si>
  <si>
    <t>G261702</t>
  </si>
  <si>
    <t>G261703</t>
  </si>
  <si>
    <t>G261704</t>
  </si>
  <si>
    <t>G261705</t>
  </si>
  <si>
    <t>G261706</t>
  </si>
  <si>
    <t>G261707</t>
  </si>
  <si>
    <t>G261708</t>
  </si>
  <si>
    <t>G261709</t>
  </si>
  <si>
    <t>G261710</t>
  </si>
  <si>
    <t>G261711</t>
  </si>
  <si>
    <t>G261712</t>
  </si>
  <si>
    <t>G261713</t>
  </si>
  <si>
    <t>G261714</t>
  </si>
  <si>
    <t>G261715</t>
  </si>
  <si>
    <t>G261716</t>
  </si>
  <si>
    <t>G261717</t>
  </si>
  <si>
    <t>G261718</t>
  </si>
  <si>
    <t>G261719</t>
  </si>
  <si>
    <t>G261720</t>
  </si>
  <si>
    <t>G261721</t>
  </si>
  <si>
    <t>G261722</t>
  </si>
  <si>
    <t>G261723</t>
  </si>
  <si>
    <t>G261724</t>
  </si>
  <si>
    <t>G261725</t>
  </si>
  <si>
    <t>G261726</t>
  </si>
  <si>
    <t>G261727</t>
  </si>
  <si>
    <t>G261728</t>
  </si>
  <si>
    <t>R2611701</t>
  </si>
  <si>
    <t>R2611702</t>
  </si>
  <si>
    <t>R2611703</t>
  </si>
  <si>
    <t>R2611704</t>
  </si>
  <si>
    <t>R2611705</t>
  </si>
  <si>
    <t>R2611706</t>
  </si>
  <si>
    <t>R2611707</t>
  </si>
  <si>
    <t>R2611708</t>
  </si>
  <si>
    <t>R2611709</t>
  </si>
  <si>
    <t>R2611710</t>
  </si>
  <si>
    <t>R2611711</t>
  </si>
  <si>
    <t>R2611712</t>
  </si>
  <si>
    <t>R2611713</t>
  </si>
  <si>
    <t>R2611714</t>
  </si>
  <si>
    <t>M261701</t>
  </si>
  <si>
    <t>M261702</t>
  </si>
  <si>
    <t>V261701</t>
  </si>
  <si>
    <t>V261702</t>
  </si>
  <si>
    <t>V261703</t>
  </si>
  <si>
    <t>V261704</t>
  </si>
  <si>
    <t>V261705</t>
  </si>
  <si>
    <t>P261701</t>
  </si>
  <si>
    <t>P261702</t>
  </si>
  <si>
    <t>P261703</t>
  </si>
  <si>
    <t>P261704</t>
  </si>
  <si>
    <t>P261705</t>
  </si>
  <si>
    <t>P261706</t>
  </si>
  <si>
    <t>P261707</t>
  </si>
  <si>
    <t>P261708</t>
  </si>
  <si>
    <t>P261709</t>
  </si>
  <si>
    <t>P261710</t>
  </si>
  <si>
    <t>P261711</t>
  </si>
  <si>
    <t>P261712</t>
  </si>
  <si>
    <t>L261701</t>
  </si>
  <si>
    <t>L261702</t>
  </si>
  <si>
    <t>L261703</t>
  </si>
  <si>
    <t>L261704</t>
  </si>
  <si>
    <t>L261705</t>
  </si>
  <si>
    <t>L261706</t>
  </si>
  <si>
    <t>L261707</t>
  </si>
  <si>
    <t>L261708</t>
  </si>
  <si>
    <t>L261709</t>
  </si>
  <si>
    <t>L261710</t>
  </si>
  <si>
    <t>L261711</t>
  </si>
  <si>
    <t>L261712</t>
  </si>
  <si>
    <t>L261713</t>
  </si>
  <si>
    <t>L261714</t>
  </si>
  <si>
    <t>G261801</t>
  </si>
  <si>
    <t>G261802</t>
  </si>
  <si>
    <t>G261803</t>
  </si>
  <si>
    <t>G261804</t>
  </si>
  <si>
    <t>G261805</t>
  </si>
  <si>
    <t>G261806</t>
  </si>
  <si>
    <t>G261807</t>
  </si>
  <si>
    <t>G261808</t>
  </si>
  <si>
    <t>G261809</t>
  </si>
  <si>
    <t>G261810</t>
  </si>
  <si>
    <t>G261811</t>
  </si>
  <si>
    <t>G261812</t>
  </si>
  <si>
    <t>G261813</t>
  </si>
  <si>
    <t>G261814</t>
  </si>
  <si>
    <t>G261815</t>
  </si>
  <si>
    <t>G261816</t>
  </si>
  <si>
    <t>G261817</t>
  </si>
  <si>
    <t>G261818</t>
  </si>
  <si>
    <t>G261819</t>
  </si>
  <si>
    <t>G261820</t>
  </si>
  <si>
    <t>G261821</t>
  </si>
  <si>
    <t>G261822</t>
  </si>
  <si>
    <t>G261823</t>
  </si>
  <si>
    <t>G261824</t>
  </si>
  <si>
    <t>G261825</t>
  </si>
  <si>
    <t>G261826</t>
  </si>
  <si>
    <t>G261827</t>
  </si>
  <si>
    <t>G261828</t>
  </si>
  <si>
    <t>G261829</t>
  </si>
  <si>
    <t>R261801</t>
  </si>
  <si>
    <t>R261802</t>
  </si>
  <si>
    <t>R261803</t>
  </si>
  <si>
    <t>R261804</t>
  </si>
  <si>
    <t>R261805</t>
  </si>
  <si>
    <t>R261806</t>
  </si>
  <si>
    <t>R261807</t>
  </si>
  <si>
    <t>R261808</t>
  </si>
  <si>
    <t>R261809</t>
  </si>
  <si>
    <t>R261810</t>
  </si>
  <si>
    <t>R261811</t>
  </si>
  <si>
    <t>R261812</t>
  </si>
  <si>
    <t>R261813</t>
  </si>
  <si>
    <t>R261814</t>
  </si>
  <si>
    <t>M261801</t>
  </si>
  <si>
    <t>M261802</t>
  </si>
  <si>
    <t>V261801</t>
  </si>
  <si>
    <t>V261802</t>
  </si>
  <si>
    <t>V261803</t>
  </si>
  <si>
    <t>V261804</t>
  </si>
  <si>
    <t>V261805</t>
  </si>
  <si>
    <t>P261801</t>
  </si>
  <si>
    <t>P261802</t>
  </si>
  <si>
    <t>P261803</t>
  </si>
  <si>
    <t>P261804</t>
  </si>
  <si>
    <t>P261805</t>
  </si>
  <si>
    <t>P261806</t>
  </si>
  <si>
    <t>P261807</t>
  </si>
  <si>
    <t>P261808</t>
  </si>
  <si>
    <t>P261809</t>
  </si>
  <si>
    <t>P261810</t>
  </si>
  <si>
    <t>P261811</t>
  </si>
  <si>
    <t>P261812</t>
  </si>
  <si>
    <t>L261801</t>
  </si>
  <si>
    <t>L261802</t>
  </si>
  <si>
    <t>L261803</t>
  </si>
  <si>
    <t>L261804</t>
  </si>
  <si>
    <t>L261805</t>
  </si>
  <si>
    <t>L261806</t>
  </si>
  <si>
    <t>L261807</t>
  </si>
  <si>
    <t>L261808</t>
  </si>
  <si>
    <t>L261809</t>
  </si>
  <si>
    <t>L261810</t>
  </si>
  <si>
    <t>L261811</t>
  </si>
  <si>
    <t>L261812</t>
  </si>
  <si>
    <t>G261901</t>
  </si>
  <si>
    <t>G261902</t>
  </si>
  <si>
    <t>G261903</t>
  </si>
  <si>
    <t>G261904</t>
  </si>
  <si>
    <t>G261905</t>
  </si>
  <si>
    <t>G261906</t>
  </si>
  <si>
    <t>G261907</t>
  </si>
  <si>
    <t>G261908</t>
  </si>
  <si>
    <t>G261909</t>
  </si>
  <si>
    <t>G261910</t>
  </si>
  <si>
    <t>G261911</t>
  </si>
  <si>
    <t>G261912</t>
  </si>
  <si>
    <t>G261913</t>
  </si>
  <si>
    <t>G261914</t>
  </si>
  <si>
    <t>total gilts available / sow</t>
  </si>
  <si>
    <t>G261915</t>
  </si>
  <si>
    <t>total green / sow</t>
  </si>
  <si>
    <t>G261916</t>
  </si>
  <si>
    <t>total selected per sow</t>
  </si>
  <si>
    <t>G261917</t>
  </si>
  <si>
    <t>G261918</t>
  </si>
  <si>
    <t>G261919</t>
  </si>
  <si>
    <t>G261920</t>
  </si>
  <si>
    <t>G261921</t>
  </si>
  <si>
    <t>G261922</t>
  </si>
  <si>
    <t>G261923</t>
  </si>
  <si>
    <t>G261924</t>
  </si>
  <si>
    <t>R261901</t>
  </si>
  <si>
    <t>R261902</t>
  </si>
  <si>
    <t>R261903</t>
  </si>
  <si>
    <t>R261904</t>
  </si>
  <si>
    <t>R261905</t>
  </si>
  <si>
    <t>R261906</t>
  </si>
  <si>
    <t>R261907</t>
  </si>
  <si>
    <t>R261908</t>
  </si>
  <si>
    <t>R261909</t>
  </si>
  <si>
    <t>R261910</t>
  </si>
  <si>
    <t>R261911</t>
  </si>
  <si>
    <t>R261912</t>
  </si>
  <si>
    <t>R261913</t>
  </si>
  <si>
    <t>R261914</t>
  </si>
  <si>
    <t>M261901</t>
  </si>
  <si>
    <t>M261902</t>
  </si>
  <si>
    <t>V261901</t>
  </si>
  <si>
    <t>V261902</t>
  </si>
  <si>
    <t>V261903</t>
  </si>
  <si>
    <t>V261904</t>
  </si>
  <si>
    <t>V261905</t>
  </si>
  <si>
    <t>P261901</t>
  </si>
  <si>
    <t>P261902</t>
  </si>
  <si>
    <t>P261903</t>
  </si>
  <si>
    <t>P261904</t>
  </si>
  <si>
    <t>P261905</t>
  </si>
  <si>
    <t>P261906</t>
  </si>
  <si>
    <t>P261907</t>
  </si>
  <si>
    <t>P261908</t>
  </si>
  <si>
    <t>P261909</t>
  </si>
  <si>
    <t>P261910</t>
  </si>
  <si>
    <t>P261911</t>
  </si>
  <si>
    <t>P261912</t>
  </si>
  <si>
    <t>L261901</t>
  </si>
  <si>
    <t>L261902</t>
  </si>
  <si>
    <t>L261903</t>
  </si>
  <si>
    <t>L261904</t>
  </si>
  <si>
    <t>L261905</t>
  </si>
  <si>
    <t>L261906</t>
  </si>
  <si>
    <t>L261907</t>
  </si>
  <si>
    <t>L261908</t>
  </si>
  <si>
    <t>L261909</t>
  </si>
  <si>
    <t>L261910</t>
  </si>
  <si>
    <t>L261911</t>
  </si>
  <si>
    <t>L261912</t>
  </si>
  <si>
    <t>G262001</t>
  </si>
  <si>
    <t>G262002</t>
  </si>
  <si>
    <t>G262003</t>
  </si>
  <si>
    <t>G262004</t>
  </si>
  <si>
    <t>G262005</t>
  </si>
  <si>
    <t>G262006</t>
  </si>
  <si>
    <t>G262007</t>
  </si>
  <si>
    <t>G262008</t>
  </si>
  <si>
    <t>G262009</t>
  </si>
  <si>
    <t>G262010</t>
  </si>
  <si>
    <t>G262011</t>
  </si>
  <si>
    <t>G262012</t>
  </si>
  <si>
    <t>G262013</t>
  </si>
  <si>
    <t>G262014</t>
  </si>
  <si>
    <t>G262015</t>
  </si>
  <si>
    <t>G262016</t>
  </si>
  <si>
    <t>G262017</t>
  </si>
  <si>
    <t>G262018</t>
  </si>
  <si>
    <t>G262019</t>
  </si>
  <si>
    <t>G262020</t>
  </si>
  <si>
    <t>G262021</t>
  </si>
  <si>
    <t>G262022</t>
  </si>
  <si>
    <t>G262023</t>
  </si>
  <si>
    <t>G262024</t>
  </si>
  <si>
    <t>G262025</t>
  </si>
  <si>
    <t>G262026</t>
  </si>
  <si>
    <t>R262001</t>
  </si>
  <si>
    <t>R262002</t>
  </si>
  <si>
    <t>R262003</t>
  </si>
  <si>
    <t>R262004</t>
  </si>
  <si>
    <t>R262005</t>
  </si>
  <si>
    <t>R262006</t>
  </si>
  <si>
    <t>R262007</t>
  </si>
  <si>
    <t>R262008</t>
  </si>
  <si>
    <t>R262009</t>
  </si>
  <si>
    <t>R262010</t>
  </si>
  <si>
    <t>R262011</t>
  </si>
  <si>
    <t>R262012</t>
  </si>
  <si>
    <t>R262013</t>
  </si>
  <si>
    <t>R262014</t>
  </si>
  <si>
    <t>M262001</t>
  </si>
  <si>
    <t>M262002</t>
  </si>
  <si>
    <t>V262001</t>
  </si>
  <si>
    <t>V262002</t>
  </si>
  <si>
    <t>V262003</t>
  </si>
  <si>
    <t>V262004</t>
  </si>
  <si>
    <t>V262005</t>
  </si>
  <si>
    <t>P262001</t>
  </si>
  <si>
    <t>P262002</t>
  </si>
  <si>
    <t>P262003</t>
  </si>
  <si>
    <t>P262004</t>
  </si>
  <si>
    <t>P262005</t>
  </si>
  <si>
    <t>P262006</t>
  </si>
  <si>
    <t>P262007</t>
  </si>
  <si>
    <t>P262008</t>
  </si>
  <si>
    <t>P262009</t>
  </si>
  <si>
    <t>P262010</t>
  </si>
  <si>
    <t>P262011</t>
  </si>
  <si>
    <t>P262012</t>
  </si>
  <si>
    <t>L262001</t>
  </si>
  <si>
    <t>L262002</t>
  </si>
  <si>
    <t>L262003</t>
  </si>
  <si>
    <t>L262004</t>
  </si>
  <si>
    <t>L262005</t>
  </si>
  <si>
    <t>L262006</t>
  </si>
  <si>
    <t>L262007</t>
  </si>
  <si>
    <t>L262008</t>
  </si>
  <si>
    <t>L262009</t>
  </si>
  <si>
    <t>L262010</t>
  </si>
  <si>
    <t>L262011</t>
  </si>
  <si>
    <t>L262012</t>
  </si>
  <si>
    <t>G262101</t>
  </si>
  <si>
    <t>G262102</t>
  </si>
  <si>
    <t>G262103</t>
  </si>
  <si>
    <t>G262104</t>
  </si>
  <si>
    <t>G262105</t>
  </si>
  <si>
    <t>G262106</t>
  </si>
  <si>
    <t>G262107</t>
  </si>
  <si>
    <t>G262108</t>
  </si>
  <si>
    <t>G262109</t>
  </si>
  <si>
    <t>G262110</t>
  </si>
  <si>
    <t>G262111</t>
  </si>
  <si>
    <t>G262112</t>
  </si>
  <si>
    <t>G262113</t>
  </si>
  <si>
    <t>G262114</t>
  </si>
  <si>
    <t>G262115</t>
  </si>
  <si>
    <t>G262116</t>
  </si>
  <si>
    <t>G262117</t>
  </si>
  <si>
    <t>G262118</t>
  </si>
  <si>
    <t>G262119</t>
  </si>
  <si>
    <t>G262120</t>
  </si>
  <si>
    <t>G262121</t>
  </si>
  <si>
    <t>G262122</t>
  </si>
  <si>
    <t>G262123</t>
  </si>
  <si>
    <t>G262124</t>
  </si>
  <si>
    <t>G262125</t>
  </si>
  <si>
    <t>G262126</t>
  </si>
  <si>
    <t>R262101</t>
  </si>
  <si>
    <t>R262102</t>
  </si>
  <si>
    <t>R262103</t>
  </si>
  <si>
    <t>R262104</t>
  </si>
  <si>
    <t>R262105</t>
  </si>
  <si>
    <t>R262106</t>
  </si>
  <si>
    <t>R262107</t>
  </si>
  <si>
    <t>R262108</t>
  </si>
  <si>
    <t>R262109</t>
  </si>
  <si>
    <t>R262110</t>
  </si>
  <si>
    <t>R262111</t>
  </si>
  <si>
    <t>R262112</t>
  </si>
  <si>
    <t>R262113</t>
  </si>
  <si>
    <t>R262114</t>
  </si>
  <si>
    <t>M262101</t>
  </si>
  <si>
    <t>M262102</t>
  </si>
  <si>
    <t>V262101</t>
  </si>
  <si>
    <t>V262102</t>
  </si>
  <si>
    <t>V262103</t>
  </si>
  <si>
    <t>V262104</t>
  </si>
  <si>
    <t>V262105</t>
  </si>
  <si>
    <t>P262101</t>
  </si>
  <si>
    <t>P262102</t>
  </si>
  <si>
    <t>P262103</t>
  </si>
  <si>
    <t>P262104</t>
  </si>
  <si>
    <t>P262105</t>
  </si>
  <si>
    <t>P262106</t>
  </si>
  <si>
    <t>P262107</t>
  </si>
  <si>
    <t>P262108</t>
  </si>
  <si>
    <t>P262109</t>
  </si>
  <si>
    <t>P262110</t>
  </si>
  <si>
    <t>P262111</t>
  </si>
  <si>
    <t>P262112</t>
  </si>
  <si>
    <t>L262101</t>
  </si>
  <si>
    <t>L262102</t>
  </si>
  <si>
    <t>L262103</t>
  </si>
  <si>
    <t>L262104</t>
  </si>
  <si>
    <t>L262105</t>
  </si>
  <si>
    <t>L262106</t>
  </si>
  <si>
    <t>L262107</t>
  </si>
  <si>
    <t>L262108</t>
  </si>
  <si>
    <t>L262109</t>
  </si>
  <si>
    <t>L262110</t>
  </si>
  <si>
    <t>L262111</t>
  </si>
  <si>
    <t>L262112</t>
  </si>
  <si>
    <t>G262201</t>
  </si>
  <si>
    <t>G262202</t>
  </si>
  <si>
    <t>G262203</t>
  </si>
  <si>
    <t>G262204</t>
  </si>
  <si>
    <t>G262205</t>
  </si>
  <si>
    <t>G262206</t>
  </si>
  <si>
    <t>G262207</t>
  </si>
  <si>
    <t>G262208</t>
  </si>
  <si>
    <t>G262209</t>
  </si>
  <si>
    <t>G262210</t>
  </si>
  <si>
    <t>G262211</t>
  </si>
  <si>
    <t>G262212</t>
  </si>
  <si>
    <t>G262213</t>
  </si>
  <si>
    <t>G262214</t>
  </si>
  <si>
    <t>G262215</t>
  </si>
  <si>
    <t>G262216</t>
  </si>
  <si>
    <t>G262217</t>
  </si>
  <si>
    <t>G262218</t>
  </si>
  <si>
    <t>G262219</t>
  </si>
  <si>
    <t>G262220</t>
  </si>
  <si>
    <t>G262221</t>
  </si>
  <si>
    <t>G262222</t>
  </si>
  <si>
    <t>G262223</t>
  </si>
  <si>
    <t>G262224</t>
  </si>
  <si>
    <t>G262225</t>
  </si>
  <si>
    <t>G262226</t>
  </si>
  <si>
    <t>G262227</t>
  </si>
  <si>
    <t>G262228</t>
  </si>
  <si>
    <t>R262201</t>
  </si>
  <si>
    <t>R262202</t>
  </si>
  <si>
    <t>R262203</t>
  </si>
  <si>
    <t>R262204</t>
  </si>
  <si>
    <t>R262205</t>
  </si>
  <si>
    <t>R262206</t>
  </si>
  <si>
    <t>R262207</t>
  </si>
  <si>
    <t>R262208</t>
  </si>
  <si>
    <t>R262209</t>
  </si>
  <si>
    <t>R262210</t>
  </si>
  <si>
    <t>R262211</t>
  </si>
  <si>
    <t>R262212</t>
  </si>
  <si>
    <t>R262213</t>
  </si>
  <si>
    <t>R262214</t>
  </si>
  <si>
    <t>M262201</t>
  </si>
  <si>
    <t>M262202</t>
  </si>
  <si>
    <t>V262201</t>
  </si>
  <si>
    <t>V262202</t>
  </si>
  <si>
    <t>V262203</t>
  </si>
  <si>
    <t>V262204</t>
  </si>
  <si>
    <t>V262205</t>
  </si>
  <si>
    <t>P262201</t>
  </si>
  <si>
    <t>P262202</t>
  </si>
  <si>
    <t>P262203</t>
  </si>
  <si>
    <t>P262204</t>
  </si>
  <si>
    <t>P262205</t>
  </si>
  <si>
    <t>P262206</t>
  </si>
  <si>
    <t>P262207</t>
  </si>
  <si>
    <t>P262208</t>
  </si>
  <si>
    <t>P262209</t>
  </si>
  <si>
    <t>P262210</t>
  </si>
  <si>
    <t>P262211</t>
  </si>
  <si>
    <t>P262212</t>
  </si>
  <si>
    <t>L262201</t>
  </si>
  <si>
    <t>L262202</t>
  </si>
  <si>
    <t>L262203</t>
  </si>
  <si>
    <t>L262204</t>
  </si>
  <si>
    <t>L262205</t>
  </si>
  <si>
    <t>L262206</t>
  </si>
  <si>
    <t>L262207</t>
  </si>
  <si>
    <t>L262208</t>
  </si>
  <si>
    <t>L262209</t>
  </si>
  <si>
    <t>L262210</t>
  </si>
  <si>
    <t>L262211</t>
  </si>
  <si>
    <t>L262212</t>
  </si>
  <si>
    <t>G262301</t>
  </si>
  <si>
    <t>G262302</t>
  </si>
  <si>
    <t>G262303</t>
  </si>
  <si>
    <t>G262304</t>
  </si>
  <si>
    <t>G262305</t>
  </si>
  <si>
    <t>G262306</t>
  </si>
  <si>
    <t>G262307</t>
  </si>
  <si>
    <t>G262308</t>
  </si>
  <si>
    <t>G262309</t>
  </si>
  <si>
    <t>G262310</t>
  </si>
  <si>
    <t>G262311</t>
  </si>
  <si>
    <t>G262312</t>
  </si>
  <si>
    <t>G262313</t>
  </si>
  <si>
    <t>G262314</t>
  </si>
  <si>
    <t>G262315</t>
  </si>
  <si>
    <t>G262316</t>
  </si>
  <si>
    <t>G262317</t>
  </si>
  <si>
    <t>G262318</t>
  </si>
  <si>
    <t>G262319</t>
  </si>
  <si>
    <t>G262320</t>
  </si>
  <si>
    <t>G262321</t>
  </si>
  <si>
    <t>G262322</t>
  </si>
  <si>
    <t>G262323</t>
  </si>
  <si>
    <t>possoble hernia</t>
  </si>
  <si>
    <t>G262324</t>
  </si>
  <si>
    <t>G262325</t>
  </si>
  <si>
    <t>G262326</t>
  </si>
  <si>
    <t>R262301</t>
  </si>
  <si>
    <t>R262302</t>
  </si>
  <si>
    <t>R262303</t>
  </si>
  <si>
    <t>R262304</t>
  </si>
  <si>
    <t>R262305</t>
  </si>
  <si>
    <t>R262306</t>
  </si>
  <si>
    <t>R262307</t>
  </si>
  <si>
    <t>R262308</t>
  </si>
  <si>
    <t>R262309</t>
  </si>
  <si>
    <t>R262310</t>
  </si>
  <si>
    <t>R262311</t>
  </si>
  <si>
    <t>R262312</t>
  </si>
  <si>
    <t>R262313</t>
  </si>
  <si>
    <t>R262314</t>
  </si>
  <si>
    <t>M262301</t>
  </si>
  <si>
    <t>M262302</t>
  </si>
  <si>
    <t>V262301</t>
  </si>
  <si>
    <t>V262302</t>
  </si>
  <si>
    <t>V262303</t>
  </si>
  <si>
    <t>V262304</t>
  </si>
  <si>
    <t>V262305</t>
  </si>
  <si>
    <t>P262301</t>
  </si>
  <si>
    <t>P262302</t>
  </si>
  <si>
    <t>P262303</t>
  </si>
  <si>
    <t>P262304</t>
  </si>
  <si>
    <t>P262305</t>
  </si>
  <si>
    <t>P262306</t>
  </si>
  <si>
    <t>P262307</t>
  </si>
  <si>
    <t>P262308</t>
  </si>
  <si>
    <t>P262309</t>
  </si>
  <si>
    <t>P262310</t>
  </si>
  <si>
    <t>P262311</t>
  </si>
  <si>
    <t>P262312</t>
  </si>
  <si>
    <t>L262301</t>
  </si>
  <si>
    <t>L262302</t>
  </si>
  <si>
    <t>L262303</t>
  </si>
  <si>
    <t>L262304</t>
  </si>
  <si>
    <t>L262305</t>
  </si>
  <si>
    <t>L262306</t>
  </si>
  <si>
    <t>L262307</t>
  </si>
  <si>
    <t>L262308</t>
  </si>
  <si>
    <t>L262309</t>
  </si>
  <si>
    <t>L262310</t>
  </si>
  <si>
    <t>L262311</t>
  </si>
  <si>
    <t>L262312</t>
  </si>
  <si>
    <t>G262401</t>
  </si>
  <si>
    <t>G262402</t>
  </si>
  <si>
    <t>G262403</t>
  </si>
  <si>
    <t>G262404</t>
  </si>
  <si>
    <t>hoove problem</t>
  </si>
  <si>
    <t>G262405</t>
  </si>
  <si>
    <t>G262406</t>
  </si>
  <si>
    <t>G262407</t>
  </si>
  <si>
    <t>G262408</t>
  </si>
  <si>
    <t>G262409</t>
  </si>
  <si>
    <t>G262410</t>
  </si>
  <si>
    <t>G262411</t>
  </si>
  <si>
    <t>G262412</t>
  </si>
  <si>
    <t>G262413</t>
  </si>
  <si>
    <t>R262401</t>
  </si>
  <si>
    <t>R262402</t>
  </si>
  <si>
    <t>R262403</t>
  </si>
  <si>
    <t>R262404</t>
  </si>
  <si>
    <t>R262405</t>
  </si>
  <si>
    <t>R262406</t>
  </si>
  <si>
    <t>R262407</t>
  </si>
  <si>
    <t>R262408</t>
  </si>
  <si>
    <t>R262409</t>
  </si>
  <si>
    <t>R262410</t>
  </si>
  <si>
    <t>M262401</t>
  </si>
  <si>
    <t>V262401</t>
  </si>
  <si>
    <t>V262402</t>
  </si>
  <si>
    <t>V262403</t>
  </si>
  <si>
    <t>P262401</t>
  </si>
  <si>
    <t>P262402</t>
  </si>
  <si>
    <t>P262403</t>
  </si>
  <si>
    <t>P262404</t>
  </si>
  <si>
    <t>P262405</t>
  </si>
  <si>
    <t>P262406</t>
  </si>
  <si>
    <t>L262401</t>
  </si>
  <si>
    <t>L262402</t>
  </si>
  <si>
    <t>L262403</t>
  </si>
  <si>
    <t>L262404</t>
  </si>
  <si>
    <t>L262405</t>
  </si>
  <si>
    <t>L262406</t>
  </si>
  <si>
    <t>L262407</t>
  </si>
  <si>
    <t>L262408</t>
  </si>
  <si>
    <t>G262501</t>
  </si>
  <si>
    <t>G262502</t>
  </si>
  <si>
    <t>G262503</t>
  </si>
  <si>
    <t>G262504</t>
  </si>
  <si>
    <t>G262505</t>
  </si>
  <si>
    <t>G262506</t>
  </si>
  <si>
    <t>G262507</t>
  </si>
  <si>
    <t>G262508</t>
  </si>
  <si>
    <t>G262509</t>
  </si>
  <si>
    <t>Y</t>
  </si>
  <si>
    <t>G262510</t>
  </si>
  <si>
    <t>G262511</t>
  </si>
  <si>
    <t>G262512</t>
  </si>
  <si>
    <t>G262513</t>
  </si>
  <si>
    <t>G262514</t>
  </si>
  <si>
    <t>G262515</t>
  </si>
  <si>
    <t>G262516</t>
  </si>
  <si>
    <t>G262517</t>
  </si>
  <si>
    <t>G262518</t>
  </si>
  <si>
    <t>G262519</t>
  </si>
  <si>
    <t>G262520</t>
  </si>
  <si>
    <t>R262501</t>
  </si>
  <si>
    <t>R262502</t>
  </si>
  <si>
    <t>R262503</t>
  </si>
  <si>
    <t>R262504</t>
  </si>
  <si>
    <t>R262505</t>
  </si>
  <si>
    <t>R262506</t>
  </si>
  <si>
    <t>R262507</t>
  </si>
  <si>
    <t>R262508</t>
  </si>
  <si>
    <t>R262509</t>
  </si>
  <si>
    <t>M262501</t>
  </si>
  <si>
    <t>M262502</t>
  </si>
  <si>
    <t>V262501</t>
  </si>
  <si>
    <t>V262502</t>
  </si>
  <si>
    <t>V262503</t>
  </si>
  <si>
    <t>V262504</t>
  </si>
  <si>
    <t>V262505</t>
  </si>
  <si>
    <t>P262501</t>
  </si>
  <si>
    <t>P262502</t>
  </si>
  <si>
    <t>P262503</t>
  </si>
  <si>
    <t>P262504</t>
  </si>
  <si>
    <t>P262505</t>
  </si>
  <si>
    <t>P262506</t>
  </si>
  <si>
    <t>P262507</t>
  </si>
  <si>
    <t>P262508</t>
  </si>
  <si>
    <t>P262509</t>
  </si>
  <si>
    <t>P262510</t>
  </si>
  <si>
    <t>P262511</t>
  </si>
  <si>
    <t>P262512</t>
  </si>
  <si>
    <t>P262513</t>
  </si>
  <si>
    <t>P262514</t>
  </si>
  <si>
    <t>GILT EAR TAG COLOURS SELECTED USING TSI VALUES</t>
  </si>
  <si>
    <t>G262601</t>
  </si>
  <si>
    <t>G262602</t>
  </si>
  <si>
    <t>G262603</t>
  </si>
  <si>
    <t>G262604</t>
  </si>
  <si>
    <t>G262605</t>
  </si>
  <si>
    <t>G262606</t>
  </si>
  <si>
    <t>G262607</t>
  </si>
  <si>
    <t>G262608</t>
  </si>
  <si>
    <t>G262609</t>
  </si>
  <si>
    <t>G262610</t>
  </si>
  <si>
    <t>G262611</t>
  </si>
  <si>
    <t>G262612</t>
  </si>
  <si>
    <t>G262613</t>
  </si>
  <si>
    <t>G262614</t>
  </si>
  <si>
    <t>G262615</t>
  </si>
  <si>
    <t>G262616</t>
  </si>
  <si>
    <t>G262617</t>
  </si>
  <si>
    <t>G262618</t>
  </si>
  <si>
    <t>G262619</t>
  </si>
  <si>
    <t>G262620</t>
  </si>
  <si>
    <t>G262621</t>
  </si>
  <si>
    <t>G262622</t>
  </si>
  <si>
    <t>G262623</t>
  </si>
  <si>
    <t>G262624</t>
  </si>
  <si>
    <t>G262625</t>
  </si>
  <si>
    <t>G262626</t>
  </si>
  <si>
    <t>G262627</t>
  </si>
  <si>
    <t>G262628</t>
  </si>
  <si>
    <t>G262629</t>
  </si>
  <si>
    <t>G262630</t>
  </si>
  <si>
    <t>G262631</t>
  </si>
  <si>
    <t>G262632</t>
  </si>
  <si>
    <t>G262633</t>
  </si>
  <si>
    <t>G262634</t>
  </si>
  <si>
    <t>G262635</t>
  </si>
  <si>
    <t>G262636</t>
  </si>
  <si>
    <t>R262601</t>
  </si>
  <si>
    <t>R262602</t>
  </si>
  <si>
    <t>R262603</t>
  </si>
  <si>
    <t>R262604</t>
  </si>
  <si>
    <t>R262605</t>
  </si>
  <si>
    <t>R262606</t>
  </si>
  <si>
    <t>R262607</t>
  </si>
  <si>
    <t>R262608</t>
  </si>
  <si>
    <t>R262609</t>
  </si>
  <si>
    <t>R262610</t>
  </si>
  <si>
    <t>R262611</t>
  </si>
  <si>
    <t>R262612</t>
  </si>
  <si>
    <t>M262601</t>
  </si>
  <si>
    <t>M262602</t>
  </si>
  <si>
    <t>M262603</t>
  </si>
  <si>
    <t>V262601</t>
  </si>
  <si>
    <t>V262602</t>
  </si>
  <si>
    <t>V262603</t>
  </si>
  <si>
    <t>V262604</t>
  </si>
  <si>
    <t>P262601</t>
  </si>
  <si>
    <t>P262602</t>
  </si>
  <si>
    <t>P262603</t>
  </si>
  <si>
    <t>P262604</t>
  </si>
  <si>
    <t>P262605</t>
  </si>
  <si>
    <t>P262606</t>
  </si>
  <si>
    <t>P262607</t>
  </si>
  <si>
    <t>P262608</t>
  </si>
  <si>
    <t>P262609</t>
  </si>
  <si>
    <t>P262610</t>
  </si>
  <si>
    <t>P262611</t>
  </si>
  <si>
    <t>P262612</t>
  </si>
  <si>
    <t>P262613</t>
  </si>
  <si>
    <t>P262614</t>
  </si>
  <si>
    <t>P262615</t>
  </si>
  <si>
    <t>L262601</t>
  </si>
  <si>
    <t>L262602</t>
  </si>
  <si>
    <t>L262603</t>
  </si>
  <si>
    <t>L262604</t>
  </si>
  <si>
    <t>L262605</t>
  </si>
  <si>
    <t>L262606</t>
  </si>
  <si>
    <t>L262607</t>
  </si>
  <si>
    <t>L262608</t>
  </si>
  <si>
    <t>L262609</t>
  </si>
  <si>
    <t>L262610</t>
  </si>
  <si>
    <t>L262611</t>
  </si>
  <si>
    <t>L262612</t>
  </si>
  <si>
    <t>G262701</t>
  </si>
  <si>
    <t>G262702</t>
  </si>
  <si>
    <t>G262703</t>
  </si>
  <si>
    <t>G262704</t>
  </si>
  <si>
    <t>G262705</t>
  </si>
  <si>
    <t>G262706</t>
  </si>
  <si>
    <t>possible  hernia</t>
  </si>
  <si>
    <t>G262707</t>
  </si>
  <si>
    <t>G262708</t>
  </si>
  <si>
    <t>G262709</t>
  </si>
  <si>
    <t>G262710</t>
  </si>
  <si>
    <t>G262711</t>
  </si>
  <si>
    <t>G262712</t>
  </si>
  <si>
    <t>G262713</t>
  </si>
  <si>
    <t>G262714</t>
  </si>
  <si>
    <t>G262715</t>
  </si>
  <si>
    <t>G262716</t>
  </si>
  <si>
    <t>G262717</t>
  </si>
  <si>
    <t>G262718</t>
  </si>
  <si>
    <t>G262719</t>
  </si>
  <si>
    <t>G262720</t>
  </si>
  <si>
    <t>G262721</t>
  </si>
  <si>
    <t>G262722</t>
  </si>
  <si>
    <t>G262723</t>
  </si>
  <si>
    <t>0..9</t>
  </si>
  <si>
    <t>G262724</t>
  </si>
  <si>
    <t>G262725</t>
  </si>
  <si>
    <t>G262726</t>
  </si>
  <si>
    <t>G262727</t>
  </si>
  <si>
    <t>L262715</t>
  </si>
  <si>
    <t>R262701</t>
  </si>
  <si>
    <t>R262702</t>
  </si>
  <si>
    <t>R262703</t>
  </si>
  <si>
    <t>R262704</t>
  </si>
  <si>
    <t>R262705</t>
  </si>
  <si>
    <t>R262706</t>
  </si>
  <si>
    <t>R262707</t>
  </si>
  <si>
    <t>R262708</t>
  </si>
  <si>
    <t>R262709</t>
  </si>
  <si>
    <t>R262710</t>
  </si>
  <si>
    <t>R262711</t>
  </si>
  <si>
    <t>R262712</t>
  </si>
  <si>
    <t>R262713</t>
  </si>
  <si>
    <t>R262714</t>
  </si>
  <si>
    <t>R262715</t>
  </si>
  <si>
    <t>M262701</t>
  </si>
  <si>
    <t>M262702</t>
  </si>
  <si>
    <t>V262701</t>
  </si>
  <si>
    <t>V262702</t>
  </si>
  <si>
    <t>V262703</t>
  </si>
  <si>
    <t>V262704</t>
  </si>
  <si>
    <t>V262705</t>
  </si>
  <si>
    <t>V262706</t>
  </si>
  <si>
    <t>V262707</t>
  </si>
  <si>
    <t>V262708</t>
  </si>
  <si>
    <t>P262701</t>
  </si>
  <si>
    <t>P262702</t>
  </si>
  <si>
    <t>P262703</t>
  </si>
  <si>
    <t>P262704</t>
  </si>
  <si>
    <t>P262705</t>
  </si>
  <si>
    <t>P262706</t>
  </si>
  <si>
    <t>P262707</t>
  </si>
  <si>
    <t>P262708</t>
  </si>
  <si>
    <t>P262709</t>
  </si>
  <si>
    <t>P262710</t>
  </si>
  <si>
    <t>P262711</t>
  </si>
  <si>
    <t>P262712</t>
  </si>
  <si>
    <t>P262713</t>
  </si>
  <si>
    <t>L262701</t>
  </si>
  <si>
    <t>L262702</t>
  </si>
  <si>
    <t>L262703</t>
  </si>
  <si>
    <t>L262704</t>
  </si>
  <si>
    <t>L262705</t>
  </si>
  <si>
    <t>L262706</t>
  </si>
  <si>
    <t>L262707</t>
  </si>
  <si>
    <t>L262708</t>
  </si>
  <si>
    <t>L262709</t>
  </si>
  <si>
    <t>L262710</t>
  </si>
  <si>
    <t>L262711</t>
  </si>
  <si>
    <t>L262712</t>
  </si>
  <si>
    <t>L262713</t>
  </si>
  <si>
    <t>L262714</t>
  </si>
  <si>
    <t>G262801</t>
  </si>
  <si>
    <t>G262802</t>
  </si>
  <si>
    <t>G262803</t>
  </si>
  <si>
    <t>G262804</t>
  </si>
  <si>
    <t>G262805</t>
  </si>
  <si>
    <t>G262806</t>
  </si>
  <si>
    <t>G262807</t>
  </si>
  <si>
    <t>G262808</t>
  </si>
  <si>
    <t>G262809</t>
  </si>
  <si>
    <t>G262810</t>
  </si>
  <si>
    <t>G262811</t>
  </si>
  <si>
    <t>G262812</t>
  </si>
  <si>
    <t>G262813</t>
  </si>
  <si>
    <t>G262814</t>
  </si>
  <si>
    <t>G262815</t>
  </si>
  <si>
    <t>G262816</t>
  </si>
  <si>
    <t>G262817</t>
  </si>
  <si>
    <t>G262818</t>
  </si>
  <si>
    <t>G262819</t>
  </si>
  <si>
    <t>G262820</t>
  </si>
  <si>
    <t>G262821</t>
  </si>
  <si>
    <t>G262822</t>
  </si>
  <si>
    <t>G262823</t>
  </si>
  <si>
    <t>R262801</t>
  </si>
  <si>
    <t>R262802</t>
  </si>
  <si>
    <t>R262803</t>
  </si>
  <si>
    <t>R262804</t>
  </si>
  <si>
    <t>R262805</t>
  </si>
  <si>
    <t>R262806</t>
  </si>
  <si>
    <t>R262807</t>
  </si>
  <si>
    <t>R262808</t>
  </si>
  <si>
    <t>R262809</t>
  </si>
  <si>
    <t>R262810</t>
  </si>
  <si>
    <t>R262811</t>
  </si>
  <si>
    <t>R262812</t>
  </si>
  <si>
    <t>R262813</t>
  </si>
  <si>
    <t>R262814</t>
  </si>
  <si>
    <t>M262801</t>
  </si>
  <si>
    <t>M262802</t>
  </si>
  <si>
    <t>V262801</t>
  </si>
  <si>
    <t>V262802</t>
  </si>
  <si>
    <t>V262803</t>
  </si>
  <si>
    <t>V262804</t>
  </si>
  <si>
    <t>V262805</t>
  </si>
  <si>
    <t>P262801</t>
  </si>
  <si>
    <t>P262802</t>
  </si>
  <si>
    <t>P262803</t>
  </si>
  <si>
    <t>P262804</t>
  </si>
  <si>
    <t>P262805</t>
  </si>
  <si>
    <t>P262806</t>
  </si>
  <si>
    <t>P262807</t>
  </si>
  <si>
    <t>P262808</t>
  </si>
  <si>
    <t>P262809</t>
  </si>
  <si>
    <t>P262810</t>
  </si>
  <si>
    <t>P262811</t>
  </si>
  <si>
    <t>P262812</t>
  </si>
  <si>
    <t>P262813</t>
  </si>
  <si>
    <t>P262814</t>
  </si>
  <si>
    <t>P262815</t>
  </si>
  <si>
    <t>P262816</t>
  </si>
  <si>
    <t>L262801</t>
  </si>
  <si>
    <t>L262802</t>
  </si>
  <si>
    <t>L262803</t>
  </si>
  <si>
    <t>L262804</t>
  </si>
  <si>
    <t>L262805</t>
  </si>
  <si>
    <t>L262806</t>
  </si>
  <si>
    <t>L262807</t>
  </si>
  <si>
    <t>L262808</t>
  </si>
  <si>
    <t>L262809</t>
  </si>
  <si>
    <t>L262810</t>
  </si>
  <si>
    <t>L262811</t>
  </si>
  <si>
    <t>L262812</t>
  </si>
  <si>
    <t>L262813</t>
  </si>
  <si>
    <t>L262814</t>
  </si>
  <si>
    <t xml:space="preserve"> </t>
  </si>
  <si>
    <t>G262901</t>
  </si>
  <si>
    <t>G262902</t>
  </si>
  <si>
    <t>G262903</t>
  </si>
  <si>
    <t>G262904</t>
  </si>
  <si>
    <t>G262905</t>
  </si>
  <si>
    <t>G262906</t>
  </si>
  <si>
    <t>G262907</t>
  </si>
  <si>
    <t>G262908</t>
  </si>
  <si>
    <t>G262909</t>
  </si>
  <si>
    <t>G262910</t>
  </si>
  <si>
    <t>G262911</t>
  </si>
  <si>
    <t>G262912</t>
  </si>
  <si>
    <t>G262913</t>
  </si>
  <si>
    <t>G262914</t>
  </si>
  <si>
    <t>G262915</t>
  </si>
  <si>
    <t>G262916</t>
  </si>
  <si>
    <t>G262917</t>
  </si>
  <si>
    <t>G262918</t>
  </si>
  <si>
    <t>G262919</t>
  </si>
  <si>
    <t>G262920</t>
  </si>
  <si>
    <t>G262921</t>
  </si>
  <si>
    <t>G262922</t>
  </si>
  <si>
    <t>G262923</t>
  </si>
  <si>
    <t>R262901</t>
  </si>
  <si>
    <t>R262902</t>
  </si>
  <si>
    <t>R262903</t>
  </si>
  <si>
    <t>R262904</t>
  </si>
  <si>
    <t>R262905</t>
  </si>
  <si>
    <t>R262906</t>
  </si>
  <si>
    <t>R262907</t>
  </si>
  <si>
    <t>R262908</t>
  </si>
  <si>
    <t>R262909</t>
  </si>
  <si>
    <t>R262910</t>
  </si>
  <si>
    <t>R262911</t>
  </si>
  <si>
    <t>R262912</t>
  </si>
  <si>
    <t>M262901</t>
  </si>
  <si>
    <t>M262902</t>
  </si>
  <si>
    <t>V262901</t>
  </si>
  <si>
    <t>V262902</t>
  </si>
  <si>
    <t>V262903</t>
  </si>
  <si>
    <t>V262904</t>
  </si>
  <si>
    <t>V262905</t>
  </si>
  <si>
    <t>P262901</t>
  </si>
  <si>
    <t>P262902</t>
  </si>
  <si>
    <t>P262903</t>
  </si>
  <si>
    <t>P262904</t>
  </si>
  <si>
    <t>P262905</t>
  </si>
  <si>
    <t>P262906</t>
  </si>
  <si>
    <t>P262907</t>
  </si>
  <si>
    <t>P262908</t>
  </si>
  <si>
    <t>P262909</t>
  </si>
  <si>
    <t>P262910</t>
  </si>
  <si>
    <t>P262911</t>
  </si>
  <si>
    <t>P262912</t>
  </si>
  <si>
    <t>P262913</t>
  </si>
  <si>
    <t>L262901</t>
  </si>
  <si>
    <t>L262902</t>
  </si>
  <si>
    <t>L262903</t>
  </si>
  <si>
    <t>L262904</t>
  </si>
  <si>
    <t>L262905</t>
  </si>
  <si>
    <t>L262906</t>
  </si>
  <si>
    <t>L262907</t>
  </si>
  <si>
    <t>L262908</t>
  </si>
  <si>
    <t>L262909</t>
  </si>
  <si>
    <t>L262910</t>
  </si>
  <si>
    <t>L262911</t>
  </si>
  <si>
    <t>L262912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</si>
</sst>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1" fontId="0" fillId="0" borderId="0" xfId="0" applyNumberFormat="1"/>
    <xf numFmtId="14" fontId="0" fillId="0" borderId="0" xfId="0" applyNumberFormat="1"/>
    <xf numFmtId="0" fontId="1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1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" fontId="0" fillId="0" borderId="9" xfId="0" applyNumberFormat="1" applyBorder="1"/>
    <xf numFmtId="164" fontId="0" fillId="0" borderId="9" xfId="0" applyNumberFormat="1" applyBorder="1"/>
    <xf numFmtId="9" fontId="0" fillId="0" borderId="10" xfId="0" applyNumberFormat="1" applyBorder="1"/>
    <xf numFmtId="164" fontId="0" fillId="0" borderId="0" xfId="0" applyNumberFormat="1"/>
    <xf numFmtId="0" fontId="0" fillId="0" borderId="11" xfId="0" applyBorder="1"/>
    <xf numFmtId="0" fontId="1" fillId="3" borderId="1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0" fillId="0" borderId="13" xfId="0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/>
    <xf numFmtId="0" fontId="0" fillId="0" borderId="15" xfId="0" applyBorder="1"/>
    <xf numFmtId="164" fontId="0" fillId="0" borderId="16" xfId="0" applyNumberFormat="1" applyBorder="1"/>
    <xf numFmtId="1" fontId="0" fillId="0" borderId="16" xfId="0" applyNumberFormat="1" applyBorder="1"/>
    <xf numFmtId="0" fontId="0" fillId="0" borderId="16" xfId="0" applyBorder="1"/>
    <xf numFmtId="0" fontId="0" fillId="0" borderId="17" xfId="0" applyBorder="1"/>
    <xf numFmtId="164" fontId="0" fillId="0" borderId="7" xfId="0" applyNumberFormat="1" applyBorder="1"/>
    <xf numFmtId="2" fontId="0" fillId="0" borderId="9" xfId="0" applyNumberFormat="1" applyBorder="1"/>
    <xf numFmtId="1" fontId="0" fillId="0" borderId="7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center"/>
    </xf>
    <xf numFmtId="0" fontId="3" fillId="0" borderId="12" xfId="0" applyFont="1" applyBorder="1"/>
    <xf numFmtId="0" fontId="0" fillId="0" borderId="14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4" borderId="1" xfId="0" applyFill="1" applyBorder="1" applyAlignment="1">
      <alignment horizontal="center"/>
    </xf>
    <xf numFmtId="164" fontId="0" fillId="0" borderId="1" xfId="0" applyNumberFormat="1" applyBorder="1"/>
    <xf numFmtId="0" fontId="5" fillId="0" borderId="0" xfId="0" applyFont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EAA5F-AAC1-4E6C-AE70-E402F5217039}">
  <dimension ref="A1:E76"/>
  <sheetViews>
    <sheetView workbookViewId="0">
      <pane ySplit="3" topLeftCell="A25" activePane="bottomLeft" state="frozen"/>
      <selection pane="bottomLeft" activeCell="D68" sqref="D68"/>
    </sheetView>
  </sheetViews>
  <sheetFormatPr defaultRowHeight="14.45"/>
  <cols>
    <col min="2" max="2" width="12.140625" customWidth="1"/>
    <col min="3" max="3" width="13.140625" customWidth="1"/>
    <col min="4" max="4" width="22.28515625" customWidth="1"/>
    <col min="5" max="5" width="20.28515625" customWidth="1"/>
  </cols>
  <sheetData>
    <row r="1" spans="1:5">
      <c r="A1" t="s">
        <v>0</v>
      </c>
    </row>
    <row r="3" spans="1: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>
      <c r="A4" s="2" t="s">
        <v>6</v>
      </c>
      <c r="B4" s="2">
        <v>18</v>
      </c>
      <c r="C4" s="2" t="s">
        <v>7</v>
      </c>
      <c r="D4" s="2">
        <v>1.2</v>
      </c>
      <c r="E4" s="2">
        <v>6.5</v>
      </c>
    </row>
    <row r="5" spans="1:5">
      <c r="A5" s="2" t="s">
        <v>8</v>
      </c>
      <c r="B5" s="2">
        <v>16</v>
      </c>
      <c r="C5" s="2" t="s">
        <v>7</v>
      </c>
      <c r="D5" s="2">
        <v>1.3</v>
      </c>
      <c r="E5" s="2">
        <v>6.7</v>
      </c>
    </row>
    <row r="6" spans="1:5">
      <c r="A6" s="2" t="s">
        <v>9</v>
      </c>
      <c r="B6" s="2">
        <v>15</v>
      </c>
      <c r="C6" s="2" t="s">
        <v>7</v>
      </c>
      <c r="D6" s="2">
        <v>1.4</v>
      </c>
      <c r="E6" s="2">
        <v>6.9</v>
      </c>
    </row>
    <row r="7" spans="1:5">
      <c r="A7" s="2" t="s">
        <v>10</v>
      </c>
      <c r="B7" s="2">
        <v>17</v>
      </c>
      <c r="C7" s="2" t="s">
        <v>7</v>
      </c>
      <c r="D7" s="2">
        <v>1.3</v>
      </c>
      <c r="E7" s="2">
        <v>6.6</v>
      </c>
    </row>
    <row r="8" spans="1:5">
      <c r="A8" s="2" t="s">
        <v>11</v>
      </c>
      <c r="B8" s="2">
        <v>18</v>
      </c>
      <c r="C8" s="2" t="s">
        <v>7</v>
      </c>
      <c r="D8" s="2">
        <v>1.2</v>
      </c>
      <c r="E8" s="2">
        <v>7</v>
      </c>
    </row>
    <row r="9" spans="1:5">
      <c r="A9" s="2" t="s">
        <v>12</v>
      </c>
      <c r="B9" s="2">
        <v>16</v>
      </c>
      <c r="C9" s="2" t="s">
        <v>7</v>
      </c>
      <c r="D9" s="2">
        <v>1.6</v>
      </c>
      <c r="E9" s="2">
        <v>7.5</v>
      </c>
    </row>
    <row r="10" spans="1:5">
      <c r="A10" s="2" t="s">
        <v>13</v>
      </c>
      <c r="B10" s="2">
        <v>16</v>
      </c>
      <c r="C10" s="2" t="s">
        <v>7</v>
      </c>
      <c r="D10" s="2">
        <v>1.4</v>
      </c>
      <c r="E10" s="2">
        <v>6.9</v>
      </c>
    </row>
    <row r="11" spans="1:5">
      <c r="A11" s="2" t="s">
        <v>14</v>
      </c>
      <c r="B11" s="2">
        <v>16</v>
      </c>
      <c r="C11" s="2" t="s">
        <v>7</v>
      </c>
      <c r="D11" s="2">
        <v>1</v>
      </c>
      <c r="E11" s="2">
        <v>7.6</v>
      </c>
    </row>
    <row r="12" spans="1:5">
      <c r="A12" s="2" t="s">
        <v>15</v>
      </c>
      <c r="B12" s="2">
        <v>16</v>
      </c>
      <c r="C12" s="2" t="s">
        <v>7</v>
      </c>
      <c r="D12" s="2">
        <v>2</v>
      </c>
      <c r="E12" s="2">
        <v>7.4</v>
      </c>
    </row>
    <row r="13" spans="1:5">
      <c r="A13" s="2" t="s">
        <v>16</v>
      </c>
      <c r="B13" s="2">
        <v>15</v>
      </c>
      <c r="C13" s="2" t="s">
        <v>7</v>
      </c>
      <c r="D13" s="2">
        <v>1.5</v>
      </c>
      <c r="E13" s="2">
        <v>7.4</v>
      </c>
    </row>
    <row r="14" spans="1:5">
      <c r="A14" s="2" t="s">
        <v>17</v>
      </c>
      <c r="B14" s="2">
        <v>16</v>
      </c>
      <c r="C14" s="2" t="s">
        <v>7</v>
      </c>
      <c r="D14" s="2">
        <v>1.5</v>
      </c>
      <c r="E14" s="2">
        <v>6.3</v>
      </c>
    </row>
    <row r="15" spans="1:5">
      <c r="A15" s="2" t="s">
        <v>18</v>
      </c>
      <c r="B15" s="2">
        <v>16</v>
      </c>
      <c r="C15" s="2" t="s">
        <v>7</v>
      </c>
      <c r="D15" s="2">
        <v>1.4</v>
      </c>
      <c r="E15" s="2">
        <v>6.7</v>
      </c>
    </row>
    <row r="16" spans="1:5">
      <c r="A16" s="2" t="s">
        <v>19</v>
      </c>
      <c r="B16" s="2">
        <v>16</v>
      </c>
      <c r="C16" s="2" t="s">
        <v>7</v>
      </c>
      <c r="D16" s="2">
        <v>1.3</v>
      </c>
      <c r="E16" s="2">
        <v>6.6</v>
      </c>
    </row>
    <row r="17" spans="1:5">
      <c r="A17" s="2" t="s">
        <v>20</v>
      </c>
      <c r="B17" s="2">
        <v>16</v>
      </c>
      <c r="C17" s="2" t="s">
        <v>7</v>
      </c>
      <c r="D17" s="2">
        <v>2</v>
      </c>
      <c r="E17" s="2">
        <v>7.2</v>
      </c>
    </row>
    <row r="18" spans="1:5">
      <c r="A18" s="2" t="s">
        <v>21</v>
      </c>
      <c r="B18" s="2">
        <v>16</v>
      </c>
      <c r="C18" s="2" t="s">
        <v>7</v>
      </c>
      <c r="D18" s="2">
        <v>1.3</v>
      </c>
      <c r="E18" s="2">
        <v>7</v>
      </c>
    </row>
    <row r="19" spans="1:5">
      <c r="A19" s="2" t="s">
        <v>22</v>
      </c>
      <c r="B19" s="2">
        <v>17</v>
      </c>
      <c r="C19" s="2" t="s">
        <v>7</v>
      </c>
      <c r="D19" s="2">
        <v>1.5</v>
      </c>
      <c r="E19" s="2">
        <v>7.5</v>
      </c>
    </row>
    <row r="20" spans="1:5">
      <c r="A20" s="2" t="s">
        <v>23</v>
      </c>
      <c r="B20" s="2">
        <v>16</v>
      </c>
      <c r="C20" s="2" t="s">
        <v>7</v>
      </c>
      <c r="D20" s="2">
        <v>0.9</v>
      </c>
      <c r="E20" s="2">
        <v>6.4</v>
      </c>
    </row>
    <row r="21" spans="1:5">
      <c r="A21" s="2" t="s">
        <v>24</v>
      </c>
      <c r="B21" s="2">
        <v>16</v>
      </c>
      <c r="C21" s="2" t="s">
        <v>7</v>
      </c>
      <c r="D21" s="2">
        <v>1.8</v>
      </c>
      <c r="E21" s="2">
        <v>6.5</v>
      </c>
    </row>
    <row r="22" spans="1:5">
      <c r="A22" s="2" t="s">
        <v>25</v>
      </c>
      <c r="B22" s="2">
        <v>18</v>
      </c>
      <c r="C22" s="2" t="s">
        <v>7</v>
      </c>
      <c r="D22" s="2">
        <v>1.8</v>
      </c>
      <c r="E22" s="2">
        <v>6.3</v>
      </c>
    </row>
    <row r="23" spans="1:5">
      <c r="A23" s="2" t="s">
        <v>26</v>
      </c>
      <c r="B23" s="2">
        <v>16</v>
      </c>
      <c r="C23" s="2" t="s">
        <v>7</v>
      </c>
      <c r="D23" s="2">
        <v>1.6</v>
      </c>
      <c r="E23" s="2">
        <v>5.8</v>
      </c>
    </row>
    <row r="24" spans="1:5">
      <c r="A24" s="2" t="s">
        <v>27</v>
      </c>
      <c r="B24" s="2">
        <v>17</v>
      </c>
      <c r="C24" s="2" t="s">
        <v>28</v>
      </c>
      <c r="D24" s="2">
        <v>1.1000000000000001</v>
      </c>
      <c r="E24" s="2">
        <v>7.6</v>
      </c>
    </row>
    <row r="25" spans="1:5">
      <c r="A25" s="2" t="s">
        <v>29</v>
      </c>
      <c r="B25" s="2">
        <v>17</v>
      </c>
      <c r="C25" s="2" t="s">
        <v>28</v>
      </c>
      <c r="D25" s="2">
        <v>1.7</v>
      </c>
      <c r="E25" s="2">
        <v>8.1999999999999993</v>
      </c>
    </row>
    <row r="26" spans="1:5">
      <c r="A26" s="2" t="s">
        <v>30</v>
      </c>
      <c r="B26" s="2">
        <v>16</v>
      </c>
      <c r="C26" s="2" t="s">
        <v>28</v>
      </c>
      <c r="D26" s="2">
        <v>1.3</v>
      </c>
      <c r="E26" s="2">
        <v>6.1</v>
      </c>
    </row>
    <row r="27" spans="1:5">
      <c r="A27" s="2"/>
      <c r="B27" s="2"/>
      <c r="C27" s="2"/>
      <c r="D27" s="2"/>
      <c r="E27" s="2"/>
    </row>
    <row r="28" spans="1:5">
      <c r="A28" s="2" t="s">
        <v>31</v>
      </c>
      <c r="B28" s="2">
        <v>16</v>
      </c>
      <c r="C28" s="2" t="s">
        <v>7</v>
      </c>
      <c r="D28" s="2">
        <v>1.4</v>
      </c>
      <c r="E28" s="2">
        <v>8.1</v>
      </c>
    </row>
    <row r="29" spans="1:5">
      <c r="A29" s="2" t="s">
        <v>32</v>
      </c>
      <c r="B29" s="2">
        <v>16</v>
      </c>
      <c r="C29" s="2" t="s">
        <v>7</v>
      </c>
      <c r="D29" s="2">
        <v>1.4</v>
      </c>
      <c r="E29" s="2">
        <v>9.1999999999999993</v>
      </c>
    </row>
    <row r="30" spans="1:5">
      <c r="A30" s="2" t="s">
        <v>33</v>
      </c>
      <c r="B30" s="2">
        <v>14</v>
      </c>
      <c r="C30" s="2" t="s">
        <v>7</v>
      </c>
      <c r="D30" s="2">
        <v>1.3</v>
      </c>
      <c r="E30" s="2">
        <v>8.1</v>
      </c>
    </row>
    <row r="31" spans="1:5">
      <c r="A31" s="2" t="s">
        <v>34</v>
      </c>
      <c r="B31" s="2">
        <v>17</v>
      </c>
      <c r="C31" s="2" t="s">
        <v>7</v>
      </c>
      <c r="D31" s="2">
        <v>1.6</v>
      </c>
      <c r="E31" s="2">
        <v>7.2</v>
      </c>
    </row>
    <row r="32" spans="1:5">
      <c r="A32" s="2" t="s">
        <v>35</v>
      </c>
      <c r="B32" s="2">
        <v>16</v>
      </c>
      <c r="C32" s="2" t="s">
        <v>7</v>
      </c>
      <c r="D32" s="2">
        <v>1.6</v>
      </c>
      <c r="E32" s="2">
        <v>7.7</v>
      </c>
    </row>
    <row r="33" spans="1:5">
      <c r="A33" s="2" t="s">
        <v>36</v>
      </c>
      <c r="B33" s="2">
        <v>15</v>
      </c>
      <c r="C33" s="2" t="s">
        <v>7</v>
      </c>
      <c r="D33" s="2">
        <v>1.8</v>
      </c>
      <c r="E33" s="2">
        <v>9.9</v>
      </c>
    </row>
    <row r="34" spans="1:5">
      <c r="A34" s="2" t="s">
        <v>37</v>
      </c>
      <c r="B34" s="2">
        <v>16</v>
      </c>
      <c r="C34" s="2" t="s">
        <v>7</v>
      </c>
      <c r="D34" s="2">
        <v>1.4</v>
      </c>
      <c r="E34" s="2">
        <v>8.9</v>
      </c>
    </row>
    <row r="35" spans="1:5">
      <c r="A35" s="2" t="s">
        <v>38</v>
      </c>
      <c r="B35" s="2">
        <v>15</v>
      </c>
      <c r="C35" s="2" t="s">
        <v>7</v>
      </c>
      <c r="D35" s="2">
        <v>1.3</v>
      </c>
      <c r="E35" s="2">
        <v>9.4</v>
      </c>
    </row>
    <row r="36" spans="1:5">
      <c r="A36" s="2" t="s">
        <v>39</v>
      </c>
      <c r="B36" s="2">
        <v>16</v>
      </c>
      <c r="C36" s="2" t="s">
        <v>7</v>
      </c>
      <c r="D36" s="2">
        <v>1.6</v>
      </c>
      <c r="E36" s="2">
        <v>8</v>
      </c>
    </row>
    <row r="37" spans="1:5">
      <c r="A37" s="2" t="s">
        <v>40</v>
      </c>
      <c r="B37" s="2">
        <v>15</v>
      </c>
      <c r="C37" s="2" t="s">
        <v>7</v>
      </c>
      <c r="D37" s="2">
        <v>1.2</v>
      </c>
      <c r="E37" s="2">
        <v>8</v>
      </c>
    </row>
    <row r="38" spans="1:5">
      <c r="A38" s="2" t="s">
        <v>41</v>
      </c>
      <c r="B38" s="2">
        <v>18</v>
      </c>
      <c r="C38" s="2" t="s">
        <v>7</v>
      </c>
      <c r="D38" s="2">
        <v>0.8</v>
      </c>
      <c r="E38" s="2">
        <v>7.2</v>
      </c>
    </row>
    <row r="39" spans="1:5">
      <c r="A39" s="2" t="s">
        <v>42</v>
      </c>
      <c r="B39" s="2">
        <v>16</v>
      </c>
      <c r="C39" s="2" t="s">
        <v>7</v>
      </c>
      <c r="D39" s="2">
        <v>2</v>
      </c>
      <c r="E39" s="2">
        <v>9.3000000000000007</v>
      </c>
    </row>
    <row r="40" spans="1:5">
      <c r="A40" s="2" t="s">
        <v>43</v>
      </c>
      <c r="B40" s="2">
        <v>18</v>
      </c>
      <c r="C40" s="2" t="s">
        <v>7</v>
      </c>
      <c r="D40" s="2">
        <v>1.7</v>
      </c>
      <c r="E40" s="2">
        <v>10.3</v>
      </c>
    </row>
    <row r="41" spans="1:5">
      <c r="A41" s="2" t="s">
        <v>44</v>
      </c>
      <c r="B41" s="2">
        <v>16</v>
      </c>
      <c r="C41" s="2" t="s">
        <v>7</v>
      </c>
      <c r="D41" s="2">
        <v>1.6</v>
      </c>
      <c r="E41" s="2">
        <v>9.5</v>
      </c>
    </row>
    <row r="42" spans="1:5">
      <c r="A42" s="2"/>
      <c r="B42" s="2"/>
      <c r="C42" s="2"/>
      <c r="D42" s="2"/>
      <c r="E42" s="2"/>
    </row>
    <row r="43" spans="1:5">
      <c r="A43" s="2" t="s">
        <v>45</v>
      </c>
      <c r="B43" s="2">
        <v>16</v>
      </c>
      <c r="C43" s="2" t="s">
        <v>7</v>
      </c>
      <c r="D43" s="2">
        <v>1.8</v>
      </c>
      <c r="E43" s="2">
        <v>7.5</v>
      </c>
    </row>
    <row r="44" spans="1:5">
      <c r="A44" s="2" t="s">
        <v>46</v>
      </c>
      <c r="B44" s="2">
        <v>18</v>
      </c>
      <c r="C44" s="2" t="s">
        <v>7</v>
      </c>
      <c r="D44" s="2">
        <v>1.4</v>
      </c>
      <c r="E44" s="2">
        <v>7.4</v>
      </c>
    </row>
    <row r="45" spans="1:5">
      <c r="A45" s="2"/>
      <c r="B45" s="2"/>
      <c r="C45" s="2"/>
      <c r="D45" s="2"/>
      <c r="E45" s="2"/>
    </row>
    <row r="46" spans="1:5">
      <c r="A46" s="2" t="s">
        <v>47</v>
      </c>
      <c r="B46" s="2">
        <v>15</v>
      </c>
      <c r="C46" s="2" t="s">
        <v>7</v>
      </c>
      <c r="D46" s="2">
        <v>1.2</v>
      </c>
      <c r="E46" s="2">
        <v>7</v>
      </c>
    </row>
    <row r="47" spans="1:5">
      <c r="A47" s="2" t="s">
        <v>48</v>
      </c>
      <c r="B47" s="2">
        <v>16</v>
      </c>
      <c r="C47" s="2" t="s">
        <v>7</v>
      </c>
      <c r="D47" s="2">
        <v>1.5</v>
      </c>
      <c r="E47" s="2">
        <v>6.7</v>
      </c>
    </row>
    <row r="48" spans="1:5">
      <c r="A48" s="2" t="s">
        <v>49</v>
      </c>
      <c r="B48" s="2">
        <v>16</v>
      </c>
      <c r="C48" s="2" t="s">
        <v>7</v>
      </c>
      <c r="D48" s="2">
        <v>1.3</v>
      </c>
      <c r="E48" s="2">
        <v>6.7</v>
      </c>
    </row>
    <row r="49" spans="1:5">
      <c r="A49" s="2" t="s">
        <v>50</v>
      </c>
      <c r="B49" s="2">
        <v>14</v>
      </c>
      <c r="C49" s="2" t="s">
        <v>7</v>
      </c>
      <c r="D49" s="2">
        <v>0.9</v>
      </c>
      <c r="E49" s="2">
        <v>6.4</v>
      </c>
    </row>
    <row r="50" spans="1:5">
      <c r="A50" s="2" t="s">
        <v>51</v>
      </c>
      <c r="B50" s="2">
        <v>18</v>
      </c>
      <c r="C50" s="2" t="s">
        <v>7</v>
      </c>
      <c r="D50" s="2">
        <v>1.3</v>
      </c>
      <c r="E50" s="2">
        <v>7.9</v>
      </c>
    </row>
    <row r="51" spans="1:5">
      <c r="A51" s="2"/>
      <c r="B51" s="2"/>
      <c r="C51" s="2"/>
      <c r="D51" s="2"/>
      <c r="E51" s="2"/>
    </row>
    <row r="52" spans="1:5">
      <c r="A52" s="2" t="s">
        <v>52</v>
      </c>
      <c r="B52" s="2">
        <v>14</v>
      </c>
      <c r="C52" s="2" t="s">
        <v>7</v>
      </c>
      <c r="D52" s="2">
        <v>1.8</v>
      </c>
      <c r="E52" s="2">
        <v>7.5</v>
      </c>
    </row>
    <row r="53" spans="1:5">
      <c r="A53" s="2" t="s">
        <v>53</v>
      </c>
      <c r="B53" s="2">
        <v>14</v>
      </c>
      <c r="C53" s="2" t="s">
        <v>7</v>
      </c>
      <c r="D53" s="2">
        <v>1</v>
      </c>
      <c r="E53" s="2">
        <v>7</v>
      </c>
    </row>
    <row r="54" spans="1:5">
      <c r="A54" s="2" t="s">
        <v>54</v>
      </c>
      <c r="B54" s="2">
        <v>16</v>
      </c>
      <c r="C54" s="2" t="s">
        <v>7</v>
      </c>
      <c r="D54" s="2">
        <v>1</v>
      </c>
      <c r="E54" s="2">
        <v>7.2</v>
      </c>
    </row>
    <row r="55" spans="1:5">
      <c r="A55" s="2" t="s">
        <v>55</v>
      </c>
      <c r="B55" s="2">
        <v>14</v>
      </c>
      <c r="C55" s="2" t="s">
        <v>7</v>
      </c>
      <c r="D55" s="2">
        <v>1.4</v>
      </c>
      <c r="E55" s="2">
        <v>6.7</v>
      </c>
    </row>
    <row r="56" spans="1:5">
      <c r="A56" s="2" t="s">
        <v>56</v>
      </c>
      <c r="B56" s="2">
        <v>16</v>
      </c>
      <c r="C56" s="2" t="s">
        <v>7</v>
      </c>
      <c r="D56" s="2">
        <v>1.3</v>
      </c>
      <c r="E56" s="2">
        <v>6.5</v>
      </c>
    </row>
    <row r="57" spans="1:5">
      <c r="A57" s="2" t="s">
        <v>36</v>
      </c>
      <c r="B57" s="2">
        <v>18</v>
      </c>
      <c r="C57" s="2" t="s">
        <v>7</v>
      </c>
      <c r="D57" s="2">
        <v>1.3</v>
      </c>
      <c r="E57" s="2">
        <v>6.5</v>
      </c>
    </row>
    <row r="58" spans="1:5">
      <c r="A58" s="2" t="s">
        <v>57</v>
      </c>
      <c r="B58" s="2">
        <v>16</v>
      </c>
      <c r="C58" s="2" t="s">
        <v>7</v>
      </c>
      <c r="D58" s="2">
        <v>1.7</v>
      </c>
      <c r="E58" s="2">
        <v>6.9</v>
      </c>
    </row>
    <row r="59" spans="1:5">
      <c r="A59" s="2" t="s">
        <v>58</v>
      </c>
      <c r="B59" s="2">
        <v>16</v>
      </c>
      <c r="C59" s="2" t="s">
        <v>7</v>
      </c>
      <c r="D59" s="2">
        <v>1.8</v>
      </c>
      <c r="E59" s="2">
        <v>7.9</v>
      </c>
    </row>
    <row r="60" spans="1:5">
      <c r="A60" s="2" t="s">
        <v>59</v>
      </c>
      <c r="B60" s="2">
        <v>16</v>
      </c>
      <c r="C60" s="2" t="s">
        <v>7</v>
      </c>
      <c r="D60" s="2">
        <v>1.6</v>
      </c>
      <c r="E60" s="2">
        <v>7</v>
      </c>
    </row>
    <row r="61" spans="1:5">
      <c r="A61" s="2" t="s">
        <v>60</v>
      </c>
      <c r="B61" s="2">
        <v>18</v>
      </c>
      <c r="C61" s="2" t="s">
        <v>7</v>
      </c>
      <c r="D61" s="2">
        <v>1.3</v>
      </c>
      <c r="E61" s="2">
        <v>6.7</v>
      </c>
    </row>
    <row r="62" spans="1:5">
      <c r="A62" s="2" t="s">
        <v>61</v>
      </c>
      <c r="B62" s="2">
        <v>17</v>
      </c>
      <c r="C62" s="2" t="s">
        <v>7</v>
      </c>
      <c r="D62" s="2">
        <v>1.4</v>
      </c>
      <c r="E62" s="2">
        <v>5.6</v>
      </c>
    </row>
    <row r="63" spans="1:5">
      <c r="A63" s="2" t="s">
        <v>62</v>
      </c>
      <c r="B63" s="2">
        <v>16</v>
      </c>
      <c r="C63" s="2" t="s">
        <v>7</v>
      </c>
      <c r="D63" s="2">
        <v>1.3</v>
      </c>
      <c r="E63" s="2">
        <v>7.4</v>
      </c>
    </row>
    <row r="64" spans="1:5">
      <c r="A64" s="2"/>
      <c r="B64" s="2"/>
      <c r="C64" s="2"/>
      <c r="D64" s="2"/>
      <c r="E64" s="2"/>
    </row>
    <row r="65" spans="1:5">
      <c r="A65" s="2" t="s">
        <v>63</v>
      </c>
      <c r="B65" s="2">
        <v>16</v>
      </c>
      <c r="C65" s="2" t="s">
        <v>7</v>
      </c>
      <c r="D65" s="2">
        <v>1.3</v>
      </c>
      <c r="E65" s="2">
        <v>8.4</v>
      </c>
    </row>
    <row r="66" spans="1:5">
      <c r="A66" s="2" t="s">
        <v>64</v>
      </c>
      <c r="B66" s="2">
        <v>15</v>
      </c>
      <c r="C66" s="2" t="s">
        <v>7</v>
      </c>
      <c r="D66" s="2">
        <v>1.5</v>
      </c>
      <c r="E66" s="2">
        <v>7.9</v>
      </c>
    </row>
    <row r="67" spans="1:5">
      <c r="A67" s="2" t="s">
        <v>65</v>
      </c>
      <c r="B67" s="2">
        <v>15</v>
      </c>
      <c r="C67" s="2" t="s">
        <v>7</v>
      </c>
      <c r="D67" s="2">
        <v>1.9</v>
      </c>
      <c r="E67" s="2">
        <v>10.5</v>
      </c>
    </row>
    <row r="68" spans="1:5">
      <c r="A68" s="2" t="s">
        <v>66</v>
      </c>
      <c r="B68" s="2">
        <v>16</v>
      </c>
      <c r="C68" s="2" t="s">
        <v>7</v>
      </c>
      <c r="D68" s="2">
        <v>1.4</v>
      </c>
      <c r="E68" s="2">
        <v>8.6</v>
      </c>
    </row>
    <row r="69" spans="1:5">
      <c r="A69" s="2" t="s">
        <v>67</v>
      </c>
      <c r="B69" s="2">
        <v>17</v>
      </c>
      <c r="C69" s="2" t="s">
        <v>7</v>
      </c>
      <c r="D69" s="2">
        <v>1.4</v>
      </c>
      <c r="E69" s="2">
        <v>7.5</v>
      </c>
    </row>
    <row r="70" spans="1:5">
      <c r="A70" s="2" t="s">
        <v>68</v>
      </c>
      <c r="B70" s="2">
        <v>16</v>
      </c>
      <c r="C70" s="2" t="s">
        <v>7</v>
      </c>
      <c r="D70" s="2">
        <v>1.1000000000000001</v>
      </c>
      <c r="E70" s="2">
        <v>9.9</v>
      </c>
    </row>
    <row r="71" spans="1:5">
      <c r="A71" s="2" t="s">
        <v>69</v>
      </c>
      <c r="B71" s="2">
        <v>16</v>
      </c>
      <c r="C71" s="2" t="s">
        <v>7</v>
      </c>
      <c r="D71" s="2">
        <v>1.8</v>
      </c>
      <c r="E71" s="2">
        <v>8.6</v>
      </c>
    </row>
    <row r="72" spans="1:5">
      <c r="A72" s="2" t="s">
        <v>70</v>
      </c>
      <c r="B72" s="2">
        <v>15</v>
      </c>
      <c r="C72" s="2" t="s">
        <v>7</v>
      </c>
      <c r="D72" s="2">
        <v>1.4</v>
      </c>
      <c r="E72" s="2">
        <v>9</v>
      </c>
    </row>
    <row r="73" spans="1:5">
      <c r="A73" s="2" t="s">
        <v>71</v>
      </c>
      <c r="B73" s="2">
        <v>16</v>
      </c>
      <c r="C73" s="2" t="s">
        <v>7</v>
      </c>
      <c r="D73" s="2">
        <v>1.4</v>
      </c>
      <c r="E73" s="2">
        <v>7.8</v>
      </c>
    </row>
    <row r="74" spans="1:5">
      <c r="A74" s="2" t="s">
        <v>72</v>
      </c>
      <c r="B74" s="2">
        <v>16</v>
      </c>
      <c r="C74" s="2" t="s">
        <v>7</v>
      </c>
      <c r="D74" s="2">
        <v>1.2</v>
      </c>
      <c r="E74" s="2">
        <v>8</v>
      </c>
    </row>
    <row r="75" spans="1:5">
      <c r="A75" s="2" t="s">
        <v>73</v>
      </c>
      <c r="B75" s="2">
        <v>18</v>
      </c>
      <c r="C75" s="2" t="s">
        <v>7</v>
      </c>
      <c r="D75" s="2">
        <v>1.3</v>
      </c>
      <c r="E75" s="2">
        <v>6.8</v>
      </c>
    </row>
    <row r="76" spans="1:5">
      <c r="A76" s="2" t="s">
        <v>74</v>
      </c>
      <c r="B76" s="2">
        <v>15</v>
      </c>
      <c r="C76" s="2" t="s">
        <v>7</v>
      </c>
      <c r="D76" s="2">
        <v>1.6</v>
      </c>
      <c r="E76" s="2">
        <v>9.4</v>
      </c>
    </row>
  </sheetData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ABD78-4B39-4BD6-B0DA-94F4FDE800B4}">
  <dimension ref="A2:E74"/>
  <sheetViews>
    <sheetView topLeftCell="A2" workbookViewId="0">
      <pane ySplit="1" topLeftCell="A3" activePane="bottomLeft" state="frozen"/>
      <selection pane="bottomLeft" activeCell="A2" sqref="A2:E2"/>
      <selection activeCell="A2" sqref="A2"/>
    </sheetView>
  </sheetViews>
  <sheetFormatPr defaultRowHeight="14.45"/>
  <cols>
    <col min="2" max="2" width="10.28515625" customWidth="1"/>
    <col min="4" max="5" width="21.140625" customWidth="1"/>
  </cols>
  <sheetData>
    <row r="2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>
      <c r="A3" s="1" t="s">
        <v>75</v>
      </c>
      <c r="B3" s="2">
        <v>16</v>
      </c>
      <c r="C3" s="2" t="s">
        <v>7</v>
      </c>
      <c r="D3" s="2">
        <v>1</v>
      </c>
      <c r="E3" s="2">
        <v>5.6</v>
      </c>
    </row>
    <row r="4" spans="1:5">
      <c r="A4" s="1" t="s">
        <v>76</v>
      </c>
      <c r="B4" s="2">
        <v>15</v>
      </c>
      <c r="C4" s="2" t="s">
        <v>7</v>
      </c>
      <c r="D4" s="2">
        <v>1.4</v>
      </c>
      <c r="E4" s="2">
        <v>5.7</v>
      </c>
    </row>
    <row r="5" spans="1:5">
      <c r="A5" s="1" t="s">
        <v>77</v>
      </c>
      <c r="B5" s="2">
        <v>14</v>
      </c>
      <c r="C5" s="2" t="s">
        <v>7</v>
      </c>
      <c r="D5" s="2">
        <v>1.1000000000000001</v>
      </c>
      <c r="E5" s="2">
        <v>5.3</v>
      </c>
    </row>
    <row r="6" spans="1:5">
      <c r="A6" s="1" t="s">
        <v>78</v>
      </c>
      <c r="B6" s="2">
        <v>15</v>
      </c>
      <c r="C6" s="2" t="s">
        <v>7</v>
      </c>
      <c r="D6" s="2">
        <v>1</v>
      </c>
      <c r="E6" s="2">
        <v>5.2</v>
      </c>
    </row>
    <row r="7" spans="1:5">
      <c r="A7" s="1" t="s">
        <v>79</v>
      </c>
      <c r="B7" s="2">
        <v>16</v>
      </c>
      <c r="C7" s="2" t="s">
        <v>7</v>
      </c>
      <c r="D7" s="2">
        <v>1.4</v>
      </c>
      <c r="E7" s="2">
        <v>6.2</v>
      </c>
    </row>
    <row r="8" spans="1:5">
      <c r="A8" s="1" t="s">
        <v>80</v>
      </c>
      <c r="B8" s="2">
        <v>16</v>
      </c>
      <c r="C8" s="2" t="s">
        <v>7</v>
      </c>
      <c r="D8" s="2">
        <v>0.9</v>
      </c>
      <c r="E8" s="2">
        <v>5.7</v>
      </c>
    </row>
    <row r="9" spans="1:5">
      <c r="A9" s="1" t="s">
        <v>81</v>
      </c>
      <c r="B9" s="2">
        <v>15</v>
      </c>
      <c r="C9" s="2" t="s">
        <v>7</v>
      </c>
      <c r="D9" s="2">
        <v>0.9</v>
      </c>
      <c r="E9" s="2">
        <v>6.1</v>
      </c>
    </row>
    <row r="10" spans="1:5">
      <c r="A10" s="1" t="s">
        <v>82</v>
      </c>
      <c r="B10" s="2">
        <v>16</v>
      </c>
      <c r="C10" s="2" t="s">
        <v>7</v>
      </c>
      <c r="D10" s="2">
        <v>0.9</v>
      </c>
      <c r="E10" s="2">
        <v>5.4</v>
      </c>
    </row>
    <row r="11" spans="1:5">
      <c r="A11" s="1" t="s">
        <v>83</v>
      </c>
      <c r="B11" s="2">
        <v>16</v>
      </c>
      <c r="C11" s="2" t="s">
        <v>7</v>
      </c>
      <c r="D11" s="2">
        <v>1.1000000000000001</v>
      </c>
      <c r="E11" s="2">
        <v>6.3</v>
      </c>
    </row>
    <row r="12" spans="1:5">
      <c r="A12" s="1" t="s">
        <v>84</v>
      </c>
      <c r="B12" s="2">
        <v>16</v>
      </c>
      <c r="C12" s="2" t="s">
        <v>7</v>
      </c>
      <c r="D12" s="2">
        <v>1.2</v>
      </c>
      <c r="E12" s="2">
        <v>5.8</v>
      </c>
    </row>
    <row r="13" spans="1:5">
      <c r="A13" s="1" t="s">
        <v>85</v>
      </c>
      <c r="B13" s="2">
        <v>16</v>
      </c>
      <c r="C13" s="2" t="s">
        <v>7</v>
      </c>
      <c r="D13" s="2">
        <v>1.3</v>
      </c>
      <c r="E13" s="2">
        <v>5.6</v>
      </c>
    </row>
    <row r="14" spans="1:5">
      <c r="A14" s="1" t="s">
        <v>86</v>
      </c>
      <c r="B14" s="2">
        <v>16</v>
      </c>
      <c r="C14" s="2" t="s">
        <v>7</v>
      </c>
      <c r="D14" s="2">
        <v>1.1000000000000001</v>
      </c>
      <c r="E14" s="2">
        <v>6.7</v>
      </c>
    </row>
    <row r="15" spans="1:5">
      <c r="A15" s="1" t="s">
        <v>87</v>
      </c>
      <c r="B15" s="2">
        <v>16</v>
      </c>
      <c r="C15" s="2" t="s">
        <v>7</v>
      </c>
      <c r="D15" s="2">
        <v>1.1000000000000001</v>
      </c>
      <c r="E15" s="2">
        <v>6.6</v>
      </c>
    </row>
    <row r="16" spans="1:5">
      <c r="A16" s="1" t="s">
        <v>88</v>
      </c>
      <c r="B16" s="2">
        <v>17</v>
      </c>
      <c r="C16" s="2" t="s">
        <v>7</v>
      </c>
      <c r="D16" s="2">
        <v>1.4</v>
      </c>
      <c r="E16" s="2">
        <v>6.4</v>
      </c>
    </row>
    <row r="17" spans="1:5">
      <c r="A17" s="1" t="s">
        <v>89</v>
      </c>
      <c r="B17" s="2">
        <v>16</v>
      </c>
      <c r="C17" s="2" t="s">
        <v>7</v>
      </c>
      <c r="D17" s="2">
        <v>1.5</v>
      </c>
      <c r="E17" s="2">
        <v>6</v>
      </c>
    </row>
    <row r="18" spans="1:5">
      <c r="A18" s="1" t="s">
        <v>90</v>
      </c>
      <c r="B18" s="2">
        <v>16</v>
      </c>
      <c r="C18" s="2" t="s">
        <v>7</v>
      </c>
      <c r="D18" s="2">
        <v>1.4</v>
      </c>
      <c r="E18" s="2">
        <v>6.7</v>
      </c>
    </row>
    <row r="19" spans="1:5">
      <c r="A19" s="1" t="s">
        <v>91</v>
      </c>
      <c r="B19" s="2">
        <v>16</v>
      </c>
      <c r="C19" s="2" t="s">
        <v>7</v>
      </c>
      <c r="D19" s="2">
        <v>1.1000000000000001</v>
      </c>
      <c r="E19" s="2">
        <v>6.3</v>
      </c>
    </row>
    <row r="20" spans="1:5">
      <c r="A20" s="1" t="s">
        <v>92</v>
      </c>
      <c r="B20" s="2">
        <v>15</v>
      </c>
      <c r="C20" s="2" t="s">
        <v>7</v>
      </c>
      <c r="D20" s="2">
        <v>0.9</v>
      </c>
      <c r="E20" s="2">
        <v>6.7</v>
      </c>
    </row>
    <row r="21" spans="1:5">
      <c r="A21" s="1" t="s">
        <v>93</v>
      </c>
      <c r="B21" s="2">
        <v>15</v>
      </c>
      <c r="C21" s="2" t="s">
        <v>7</v>
      </c>
      <c r="D21" s="2">
        <v>1.4</v>
      </c>
      <c r="E21" s="2">
        <v>7</v>
      </c>
    </row>
    <row r="22" spans="1:5">
      <c r="A22" s="1" t="s">
        <v>94</v>
      </c>
      <c r="B22" s="2">
        <v>16</v>
      </c>
      <c r="C22" s="2" t="s">
        <v>7</v>
      </c>
      <c r="D22" s="2">
        <v>1.6</v>
      </c>
      <c r="E22" s="2">
        <v>6</v>
      </c>
    </row>
    <row r="23" spans="1:5">
      <c r="A23" s="1" t="s">
        <v>95</v>
      </c>
      <c r="B23" s="2">
        <v>15</v>
      </c>
      <c r="C23" s="2" t="s">
        <v>7</v>
      </c>
      <c r="D23" s="2">
        <v>1.8</v>
      </c>
      <c r="E23" s="2">
        <v>7.4</v>
      </c>
    </row>
    <row r="24" spans="1:5">
      <c r="A24" s="1" t="s">
        <v>96</v>
      </c>
      <c r="B24" s="2">
        <v>16</v>
      </c>
      <c r="C24" s="2" t="s">
        <v>7</v>
      </c>
      <c r="D24" s="2">
        <v>1.2</v>
      </c>
      <c r="E24" s="2">
        <v>7.1</v>
      </c>
    </row>
    <row r="25" spans="1:5">
      <c r="A25" s="1"/>
      <c r="B25" s="2"/>
      <c r="C25" s="2"/>
      <c r="D25" s="2"/>
      <c r="E25" s="2"/>
    </row>
    <row r="26" spans="1:5">
      <c r="A26" s="1" t="s">
        <v>97</v>
      </c>
      <c r="B26" s="2">
        <v>16</v>
      </c>
      <c r="C26" s="2" t="s">
        <v>7</v>
      </c>
      <c r="D26" s="2">
        <v>1.2</v>
      </c>
      <c r="E26" s="2">
        <v>7.9</v>
      </c>
    </row>
    <row r="27" spans="1:5">
      <c r="A27" s="1" t="s">
        <v>98</v>
      </c>
      <c r="B27" s="2">
        <v>14</v>
      </c>
      <c r="C27" s="2" t="s">
        <v>7</v>
      </c>
      <c r="D27" s="2">
        <v>1.6</v>
      </c>
      <c r="E27" s="2">
        <v>8.3000000000000007</v>
      </c>
    </row>
    <row r="28" spans="1:5">
      <c r="A28" s="1" t="s">
        <v>99</v>
      </c>
      <c r="B28" s="2">
        <v>14</v>
      </c>
      <c r="C28" s="2" t="s">
        <v>7</v>
      </c>
      <c r="D28" s="2">
        <v>1.4</v>
      </c>
      <c r="E28" s="2">
        <v>8.1</v>
      </c>
    </row>
    <row r="29" spans="1:5">
      <c r="A29" s="1" t="s">
        <v>100</v>
      </c>
      <c r="B29" s="2">
        <v>16</v>
      </c>
      <c r="C29" s="2" t="s">
        <v>7</v>
      </c>
      <c r="D29" s="2">
        <v>1.4</v>
      </c>
      <c r="E29" s="2">
        <v>8</v>
      </c>
    </row>
    <row r="30" spans="1:5">
      <c r="A30" s="1" t="s">
        <v>101</v>
      </c>
      <c r="B30" s="2">
        <v>18</v>
      </c>
      <c r="C30" s="2" t="s">
        <v>7</v>
      </c>
      <c r="D30" s="2">
        <v>1.2</v>
      </c>
      <c r="E30" s="2">
        <v>8.8000000000000007</v>
      </c>
    </row>
    <row r="31" spans="1:5">
      <c r="A31" s="1" t="s">
        <v>102</v>
      </c>
      <c r="B31" s="2">
        <v>17</v>
      </c>
      <c r="C31" s="2" t="s">
        <v>7</v>
      </c>
      <c r="D31" s="2">
        <v>1.2</v>
      </c>
      <c r="E31" s="2">
        <v>7.6</v>
      </c>
    </row>
    <row r="32" spans="1:5">
      <c r="A32" s="1" t="s">
        <v>103</v>
      </c>
      <c r="B32" s="2">
        <v>14</v>
      </c>
      <c r="C32" s="2" t="s">
        <v>7</v>
      </c>
      <c r="D32" s="2">
        <v>2</v>
      </c>
      <c r="E32" s="2">
        <v>9.1</v>
      </c>
    </row>
    <row r="33" spans="1:5">
      <c r="A33" s="1" t="s">
        <v>104</v>
      </c>
      <c r="B33" s="2">
        <v>15</v>
      </c>
      <c r="C33" s="2" t="s">
        <v>7</v>
      </c>
      <c r="D33" s="2">
        <v>1</v>
      </c>
      <c r="E33" s="2">
        <v>6.9</v>
      </c>
    </row>
    <row r="34" spans="1:5">
      <c r="A34" s="1" t="s">
        <v>105</v>
      </c>
      <c r="B34" s="2">
        <v>15</v>
      </c>
      <c r="C34" s="2" t="s">
        <v>7</v>
      </c>
      <c r="D34" s="2">
        <v>1.4</v>
      </c>
      <c r="E34" s="2">
        <v>9.1999999999999993</v>
      </c>
    </row>
    <row r="35" spans="1:5">
      <c r="A35" s="1" t="s">
        <v>106</v>
      </c>
      <c r="B35" s="2">
        <v>17</v>
      </c>
      <c r="C35" s="2" t="s">
        <v>7</v>
      </c>
      <c r="D35" s="2">
        <v>1.6</v>
      </c>
      <c r="E35" s="2">
        <v>7.9</v>
      </c>
    </row>
    <row r="36" spans="1:5">
      <c r="A36" s="1" t="s">
        <v>107</v>
      </c>
      <c r="B36" s="2">
        <v>16</v>
      </c>
      <c r="C36" s="2" t="s">
        <v>7</v>
      </c>
      <c r="D36" s="2">
        <v>1.4</v>
      </c>
      <c r="E36" s="2">
        <v>8.4</v>
      </c>
    </row>
    <row r="37" spans="1:5">
      <c r="A37" s="1" t="s">
        <v>108</v>
      </c>
      <c r="B37" s="2">
        <v>15</v>
      </c>
      <c r="C37" s="2" t="s">
        <v>7</v>
      </c>
      <c r="D37" s="2">
        <v>1.6</v>
      </c>
      <c r="E37" s="2">
        <v>7.3</v>
      </c>
    </row>
    <row r="38" spans="1:5">
      <c r="A38" s="1" t="s">
        <v>109</v>
      </c>
      <c r="B38" s="2">
        <v>17</v>
      </c>
      <c r="C38" s="2" t="s">
        <v>7</v>
      </c>
      <c r="D38" s="2">
        <v>1.5</v>
      </c>
      <c r="E38" s="2">
        <v>8.1</v>
      </c>
    </row>
    <row r="39" spans="1:5">
      <c r="A39" s="1" t="s">
        <v>110</v>
      </c>
      <c r="B39" s="2">
        <v>16</v>
      </c>
      <c r="C39" s="2" t="s">
        <v>7</v>
      </c>
      <c r="D39" s="2">
        <v>1.6</v>
      </c>
      <c r="E39" s="2">
        <v>7.4</v>
      </c>
    </row>
    <row r="40" spans="1:5">
      <c r="A40" s="1"/>
      <c r="B40" s="2"/>
      <c r="C40" s="2"/>
      <c r="D40" s="2"/>
      <c r="E40" s="2"/>
    </row>
    <row r="41" spans="1:5">
      <c r="A41" s="1" t="s">
        <v>111</v>
      </c>
      <c r="B41" s="2">
        <v>16</v>
      </c>
      <c r="C41" s="2" t="s">
        <v>7</v>
      </c>
      <c r="D41" s="2">
        <v>1.6</v>
      </c>
      <c r="E41" s="2">
        <v>7.4</v>
      </c>
    </row>
    <row r="42" spans="1:5">
      <c r="A42" s="1" t="s">
        <v>112</v>
      </c>
      <c r="B42" s="2">
        <v>17</v>
      </c>
      <c r="C42" s="2" t="s">
        <v>7</v>
      </c>
      <c r="D42" s="2">
        <v>1.1000000000000001</v>
      </c>
      <c r="E42" s="2">
        <v>7.3</v>
      </c>
    </row>
    <row r="43" spans="1:5">
      <c r="A43" s="1"/>
      <c r="B43" s="2"/>
      <c r="C43" s="2"/>
      <c r="D43" s="2"/>
      <c r="E43" s="2"/>
    </row>
    <row r="44" spans="1:5">
      <c r="A44" s="1" t="s">
        <v>113</v>
      </c>
      <c r="B44" s="2">
        <v>16</v>
      </c>
      <c r="C44" s="2" t="s">
        <v>7</v>
      </c>
      <c r="D44" s="2">
        <v>1.2</v>
      </c>
      <c r="E44" s="2">
        <v>7.3</v>
      </c>
    </row>
    <row r="45" spans="1:5">
      <c r="A45" s="1" t="s">
        <v>114</v>
      </c>
      <c r="B45" s="2">
        <v>17</v>
      </c>
      <c r="C45" s="2" t="s">
        <v>7</v>
      </c>
      <c r="D45" s="2">
        <v>1</v>
      </c>
      <c r="E45" s="2">
        <v>7</v>
      </c>
    </row>
    <row r="46" spans="1:5">
      <c r="A46" s="1" t="s">
        <v>115</v>
      </c>
      <c r="B46" s="2">
        <v>18</v>
      </c>
      <c r="C46" s="2" t="s">
        <v>7</v>
      </c>
      <c r="D46" s="2">
        <v>1.1000000000000001</v>
      </c>
      <c r="E46" s="2">
        <v>7.5</v>
      </c>
    </row>
    <row r="47" spans="1:5">
      <c r="A47" s="1" t="s">
        <v>116</v>
      </c>
      <c r="B47" s="2">
        <v>14</v>
      </c>
      <c r="C47" s="2" t="s">
        <v>7</v>
      </c>
      <c r="D47" s="2">
        <v>1</v>
      </c>
      <c r="E47" s="2">
        <v>7.6</v>
      </c>
    </row>
    <row r="48" spans="1:5">
      <c r="A48" s="1"/>
      <c r="B48" s="2"/>
      <c r="C48" s="2"/>
      <c r="D48" s="2"/>
      <c r="E48" s="2"/>
    </row>
    <row r="49" spans="1:5">
      <c r="A49" s="1" t="s">
        <v>117</v>
      </c>
      <c r="B49" s="2">
        <v>16</v>
      </c>
      <c r="C49" s="2" t="s">
        <v>7</v>
      </c>
      <c r="D49" s="2">
        <v>1.6</v>
      </c>
      <c r="E49" s="2">
        <v>6.5</v>
      </c>
    </row>
    <row r="50" spans="1:5">
      <c r="A50" s="1" t="s">
        <v>118</v>
      </c>
      <c r="B50" s="2">
        <v>17</v>
      </c>
      <c r="C50" s="2" t="s">
        <v>7</v>
      </c>
      <c r="D50" s="2">
        <v>1.6</v>
      </c>
      <c r="E50" s="2">
        <v>6.9</v>
      </c>
    </row>
    <row r="51" spans="1:5">
      <c r="A51" s="1" t="s">
        <v>119</v>
      </c>
      <c r="B51" s="2">
        <v>18</v>
      </c>
      <c r="C51" s="2" t="s">
        <v>7</v>
      </c>
      <c r="D51" s="2">
        <v>1.1000000000000001</v>
      </c>
      <c r="E51" s="2">
        <v>5.6</v>
      </c>
    </row>
    <row r="52" spans="1:5">
      <c r="A52" s="1" t="s">
        <v>120</v>
      </c>
      <c r="B52" s="2">
        <v>16</v>
      </c>
      <c r="C52" s="2" t="s">
        <v>7</v>
      </c>
      <c r="D52" s="2">
        <v>1.1000000000000001</v>
      </c>
      <c r="E52" s="2">
        <v>6.9</v>
      </c>
    </row>
    <row r="53" spans="1:5">
      <c r="A53" s="1" t="s">
        <v>121</v>
      </c>
      <c r="B53" s="2">
        <v>15</v>
      </c>
      <c r="C53" s="2" t="s">
        <v>7</v>
      </c>
      <c r="D53" s="2">
        <v>0.7</v>
      </c>
      <c r="E53" s="2">
        <v>6.2</v>
      </c>
    </row>
    <row r="54" spans="1:5">
      <c r="A54" s="1" t="s">
        <v>102</v>
      </c>
      <c r="B54" s="2">
        <v>16</v>
      </c>
      <c r="C54" s="2" t="s">
        <v>7</v>
      </c>
      <c r="D54" s="2">
        <v>1.4</v>
      </c>
      <c r="E54" s="2">
        <v>6.3</v>
      </c>
    </row>
    <row r="55" spans="1:5">
      <c r="A55" s="1" t="s">
        <v>122</v>
      </c>
      <c r="B55" s="2">
        <v>16</v>
      </c>
      <c r="C55" s="2" t="s">
        <v>7</v>
      </c>
      <c r="D55" s="2">
        <v>1.2</v>
      </c>
      <c r="E55" s="2">
        <v>6.6</v>
      </c>
    </row>
    <row r="56" spans="1:5">
      <c r="A56" s="1" t="s">
        <v>123</v>
      </c>
      <c r="B56" s="2">
        <v>16</v>
      </c>
      <c r="C56" s="2" t="s">
        <v>7</v>
      </c>
      <c r="D56" s="2">
        <v>1.2</v>
      </c>
      <c r="E56" s="2">
        <v>6.9</v>
      </c>
    </row>
    <row r="57" spans="1:5">
      <c r="A57" s="1" t="s">
        <v>124</v>
      </c>
      <c r="B57" s="2">
        <v>16</v>
      </c>
      <c r="C57" s="2" t="s">
        <v>7</v>
      </c>
      <c r="D57" s="2">
        <v>0.9</v>
      </c>
      <c r="E57" s="2">
        <v>5.7</v>
      </c>
    </row>
    <row r="58" spans="1:5">
      <c r="A58" s="1" t="s">
        <v>125</v>
      </c>
      <c r="B58" s="2">
        <v>15</v>
      </c>
      <c r="C58" s="2" t="s">
        <v>7</v>
      </c>
      <c r="D58" s="2">
        <v>1.2</v>
      </c>
      <c r="E58" s="2">
        <v>6.5</v>
      </c>
    </row>
    <row r="59" spans="1:5">
      <c r="A59" s="1" t="s">
        <v>126</v>
      </c>
      <c r="B59" s="2">
        <v>18</v>
      </c>
      <c r="C59" s="2" t="s">
        <v>7</v>
      </c>
      <c r="D59" s="2">
        <v>1.3</v>
      </c>
      <c r="E59" s="2">
        <v>5.6</v>
      </c>
    </row>
    <row r="60" spans="1:5">
      <c r="A60" s="1" t="s">
        <v>127</v>
      </c>
      <c r="B60" s="2">
        <v>16</v>
      </c>
      <c r="C60" s="2" t="s">
        <v>7</v>
      </c>
      <c r="D60" s="2">
        <v>1.3</v>
      </c>
      <c r="E60" s="2">
        <v>6.9</v>
      </c>
    </row>
    <row r="61" spans="1:5">
      <c r="A61" s="1" t="s">
        <v>128</v>
      </c>
      <c r="B61" s="2">
        <v>16</v>
      </c>
      <c r="C61" s="2" t="s">
        <v>7</v>
      </c>
      <c r="D61" s="2">
        <v>1.3</v>
      </c>
      <c r="E61" s="2">
        <v>6.4</v>
      </c>
    </row>
    <row r="62" spans="1:5">
      <c r="A62" s="1"/>
      <c r="B62" s="2"/>
      <c r="C62" s="2"/>
      <c r="D62" s="2"/>
      <c r="E62" s="2"/>
    </row>
    <row r="63" spans="1:5">
      <c r="A63" s="2" t="s">
        <v>129</v>
      </c>
      <c r="B63" s="2">
        <v>18</v>
      </c>
      <c r="C63" s="2" t="s">
        <v>7</v>
      </c>
      <c r="D63" s="2">
        <v>1.2</v>
      </c>
      <c r="E63" s="2">
        <v>7</v>
      </c>
    </row>
    <row r="64" spans="1:5">
      <c r="A64" s="2" t="s">
        <v>130</v>
      </c>
      <c r="B64" s="2">
        <v>16</v>
      </c>
      <c r="C64" s="2" t="s">
        <v>7</v>
      </c>
      <c r="D64" s="2">
        <v>1.6</v>
      </c>
      <c r="E64" s="2">
        <v>7.7</v>
      </c>
    </row>
    <row r="65" spans="1:5">
      <c r="A65" s="2" t="s">
        <v>131</v>
      </c>
      <c r="B65" s="2">
        <v>14</v>
      </c>
      <c r="C65" s="2" t="s">
        <v>7</v>
      </c>
      <c r="D65" s="2">
        <v>1.3</v>
      </c>
      <c r="E65" s="2">
        <v>7.6</v>
      </c>
    </row>
    <row r="66" spans="1:5">
      <c r="A66" s="2" t="s">
        <v>132</v>
      </c>
      <c r="B66" s="2">
        <v>16</v>
      </c>
      <c r="C66" s="2" t="s">
        <v>7</v>
      </c>
      <c r="D66" s="2">
        <v>1.8</v>
      </c>
      <c r="E66" s="2">
        <v>7.8</v>
      </c>
    </row>
    <row r="67" spans="1:5">
      <c r="A67" s="2" t="s">
        <v>133</v>
      </c>
      <c r="B67" s="2">
        <v>16</v>
      </c>
      <c r="C67" s="2" t="s">
        <v>7</v>
      </c>
      <c r="D67" s="2">
        <v>1.5</v>
      </c>
      <c r="E67" s="2">
        <v>7.5</v>
      </c>
    </row>
    <row r="68" spans="1:5">
      <c r="A68" s="2" t="s">
        <v>134</v>
      </c>
      <c r="B68" s="2">
        <v>16</v>
      </c>
      <c r="C68" s="2" t="s">
        <v>7</v>
      </c>
      <c r="D68" s="2">
        <v>1.7</v>
      </c>
      <c r="E68" s="2">
        <v>8.6999999999999993</v>
      </c>
    </row>
    <row r="69" spans="1:5">
      <c r="A69" s="2" t="s">
        <v>135</v>
      </c>
      <c r="B69" s="2">
        <v>15</v>
      </c>
      <c r="C69" s="2" t="s">
        <v>7</v>
      </c>
      <c r="D69" s="2">
        <v>1.8</v>
      </c>
      <c r="E69" s="2">
        <v>8.1999999999999993</v>
      </c>
    </row>
    <row r="70" spans="1:5">
      <c r="A70" s="2" t="s">
        <v>136</v>
      </c>
      <c r="B70" s="2">
        <v>15</v>
      </c>
      <c r="C70" s="2" t="s">
        <v>7</v>
      </c>
      <c r="D70" s="2">
        <v>1.7</v>
      </c>
      <c r="E70" s="2">
        <v>11.4</v>
      </c>
    </row>
    <row r="71" spans="1:5">
      <c r="A71" s="2" t="s">
        <v>137</v>
      </c>
      <c r="B71" s="2">
        <v>14</v>
      </c>
      <c r="C71" s="2" t="s">
        <v>7</v>
      </c>
      <c r="D71" s="2">
        <v>1.7</v>
      </c>
      <c r="E71" s="2">
        <v>7.2</v>
      </c>
    </row>
    <row r="72" spans="1:5">
      <c r="A72" s="2" t="s">
        <v>138</v>
      </c>
      <c r="B72" s="2">
        <v>14</v>
      </c>
      <c r="C72" s="2" t="s">
        <v>7</v>
      </c>
      <c r="D72" s="2">
        <v>1</v>
      </c>
      <c r="E72" s="2">
        <v>7.6</v>
      </c>
    </row>
    <row r="73" spans="1:5">
      <c r="A73" s="2" t="s">
        <v>139</v>
      </c>
      <c r="B73" s="2">
        <v>14</v>
      </c>
      <c r="C73" s="2" t="s">
        <v>28</v>
      </c>
      <c r="D73" s="2">
        <v>1.6</v>
      </c>
      <c r="E73" s="2">
        <v>8.9</v>
      </c>
    </row>
    <row r="74" spans="1:5">
      <c r="A74" s="2" t="s">
        <v>140</v>
      </c>
      <c r="B74" s="2">
        <v>17</v>
      </c>
      <c r="C74" s="2" t="s">
        <v>28</v>
      </c>
      <c r="D74" s="2">
        <v>1.8</v>
      </c>
      <c r="E74" s="2">
        <v>8.6</v>
      </c>
    </row>
  </sheetData>
  <conditionalFormatting sqref="A3:A25">
    <cfRule type="duplicateValues" dxfId="7" priority="5"/>
  </conditionalFormatting>
  <conditionalFormatting sqref="H56:H57">
    <cfRule type="duplicateValues" dxfId="6" priority="4"/>
  </conditionalFormatting>
  <conditionalFormatting sqref="H60:H84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43102-5141-4473-92A1-9C50A034A092}">
  <dimension ref="A1:E74"/>
  <sheetViews>
    <sheetView workbookViewId="0">
      <pane ySplit="1" topLeftCell="A2" activePane="bottomLeft" state="frozen"/>
      <selection pane="bottomLeft" sqref="A1:E1"/>
      <selection activeCell="B1" sqref="B1"/>
    </sheetView>
  </sheetViews>
  <sheetFormatPr defaultRowHeight="14.45"/>
  <cols>
    <col min="2" max="3" width="13.28515625" customWidth="1"/>
    <col min="4" max="4" width="19.28515625" customWidth="1"/>
    <col min="5" max="5" width="21" customWidth="1"/>
  </cols>
  <sheetData>
    <row r="1" spans="1: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</row>
    <row r="2" spans="1:5">
      <c r="A2" s="2" t="s">
        <v>141</v>
      </c>
      <c r="B2" s="2">
        <v>15</v>
      </c>
      <c r="C2" s="2" t="s">
        <v>7</v>
      </c>
      <c r="D2" s="2">
        <v>1.4</v>
      </c>
      <c r="E2" s="2">
        <v>7.2</v>
      </c>
    </row>
    <row r="3" spans="1:5">
      <c r="A3" s="2" t="s">
        <v>142</v>
      </c>
      <c r="B3" s="2">
        <v>16</v>
      </c>
      <c r="C3" s="2" t="s">
        <v>7</v>
      </c>
      <c r="D3" s="2">
        <v>1</v>
      </c>
      <c r="E3" s="2">
        <v>6</v>
      </c>
    </row>
    <row r="4" spans="1:5">
      <c r="A4" s="2" t="s">
        <v>143</v>
      </c>
      <c r="B4" s="2">
        <v>17</v>
      </c>
      <c r="C4" s="2" t="s">
        <v>7</v>
      </c>
      <c r="D4" s="2">
        <v>0.9</v>
      </c>
      <c r="E4" s="2">
        <v>6</v>
      </c>
    </row>
    <row r="5" spans="1:5">
      <c r="A5" s="2" t="s">
        <v>144</v>
      </c>
      <c r="B5" s="2">
        <v>16</v>
      </c>
      <c r="C5" s="2" t="s">
        <v>7</v>
      </c>
      <c r="D5" s="2">
        <v>1.3</v>
      </c>
      <c r="E5" s="2">
        <v>6.2</v>
      </c>
    </row>
    <row r="6" spans="1:5">
      <c r="A6" s="2" t="s">
        <v>145</v>
      </c>
      <c r="B6" s="2">
        <v>16</v>
      </c>
      <c r="C6" s="2" t="s">
        <v>7</v>
      </c>
      <c r="D6" s="2">
        <v>1.2</v>
      </c>
      <c r="E6" s="2">
        <v>6.1</v>
      </c>
    </row>
    <row r="7" spans="1:5">
      <c r="A7" s="2" t="s">
        <v>146</v>
      </c>
      <c r="B7" s="2">
        <v>16</v>
      </c>
      <c r="C7" s="2" t="s">
        <v>7</v>
      </c>
      <c r="D7" s="2">
        <v>1.3</v>
      </c>
      <c r="E7" s="2">
        <v>7.4</v>
      </c>
    </row>
    <row r="8" spans="1:5">
      <c r="A8" s="2" t="s">
        <v>147</v>
      </c>
      <c r="B8" s="2">
        <v>18</v>
      </c>
      <c r="C8" s="2" t="s">
        <v>7</v>
      </c>
      <c r="D8" s="2">
        <v>1.1000000000000001</v>
      </c>
      <c r="E8" s="2">
        <v>6.9</v>
      </c>
    </row>
    <row r="9" spans="1:5">
      <c r="A9" s="2" t="s">
        <v>148</v>
      </c>
      <c r="B9" s="2">
        <v>17</v>
      </c>
      <c r="C9" s="2" t="s">
        <v>7</v>
      </c>
      <c r="D9" s="2">
        <v>1.4</v>
      </c>
      <c r="E9" s="2">
        <v>7.4</v>
      </c>
    </row>
    <row r="10" spans="1:5">
      <c r="A10" s="2" t="s">
        <v>149</v>
      </c>
      <c r="B10" s="2">
        <v>17</v>
      </c>
      <c r="C10" s="2" t="s">
        <v>7</v>
      </c>
      <c r="D10" s="2">
        <v>1.5</v>
      </c>
      <c r="E10" s="2">
        <v>7.6</v>
      </c>
    </row>
    <row r="11" spans="1:5">
      <c r="A11" s="2" t="s">
        <v>150</v>
      </c>
      <c r="B11" s="2">
        <v>16</v>
      </c>
      <c r="C11" s="2" t="s">
        <v>7</v>
      </c>
      <c r="D11" s="2">
        <v>1.3</v>
      </c>
      <c r="E11" s="2">
        <v>7.3</v>
      </c>
    </row>
    <row r="12" spans="1:5">
      <c r="A12" s="2" t="s">
        <v>151</v>
      </c>
      <c r="B12" s="2">
        <v>17</v>
      </c>
      <c r="C12" s="2" t="s">
        <v>7</v>
      </c>
      <c r="D12" s="2">
        <v>1.6</v>
      </c>
      <c r="E12" s="2">
        <v>7.7</v>
      </c>
    </row>
    <row r="13" spans="1:5">
      <c r="A13" s="2" t="s">
        <v>152</v>
      </c>
      <c r="B13" s="2">
        <v>17</v>
      </c>
      <c r="C13" s="2" t="s">
        <v>7</v>
      </c>
      <c r="D13" s="2">
        <v>1.6</v>
      </c>
      <c r="E13" s="2">
        <v>8</v>
      </c>
    </row>
    <row r="14" spans="1:5">
      <c r="A14" s="2" t="s">
        <v>153</v>
      </c>
      <c r="B14" s="2">
        <v>15</v>
      </c>
      <c r="C14" s="2" t="s">
        <v>7</v>
      </c>
      <c r="D14" s="2">
        <v>1.3</v>
      </c>
      <c r="E14" s="2">
        <v>8</v>
      </c>
    </row>
    <row r="15" spans="1:5">
      <c r="A15" s="2" t="s">
        <v>154</v>
      </c>
      <c r="B15" s="2">
        <v>16</v>
      </c>
      <c r="C15" s="2" t="s">
        <v>7</v>
      </c>
      <c r="D15" s="2">
        <v>1.3</v>
      </c>
      <c r="E15" s="2">
        <v>8.1999999999999993</v>
      </c>
    </row>
    <row r="16" spans="1:5">
      <c r="A16" s="2" t="s">
        <v>155</v>
      </c>
      <c r="B16" s="2">
        <v>16</v>
      </c>
      <c r="C16" s="2" t="s">
        <v>7</v>
      </c>
      <c r="D16" s="2">
        <v>1.3</v>
      </c>
      <c r="E16" s="2">
        <v>7.3</v>
      </c>
    </row>
    <row r="17" spans="1:5" ht="15" customHeight="1">
      <c r="A17" s="2" t="s">
        <v>156</v>
      </c>
      <c r="B17" s="2">
        <v>17</v>
      </c>
      <c r="C17" s="2" t="s">
        <v>7</v>
      </c>
      <c r="D17" s="2">
        <v>1.7</v>
      </c>
      <c r="E17" s="2">
        <v>8.6</v>
      </c>
    </row>
    <row r="18" spans="1:5">
      <c r="A18" s="2" t="s">
        <v>157</v>
      </c>
      <c r="B18" s="2">
        <v>16</v>
      </c>
      <c r="C18" s="2" t="s">
        <v>7</v>
      </c>
      <c r="D18" s="2">
        <v>1.1000000000000001</v>
      </c>
      <c r="E18" s="2">
        <v>7.3</v>
      </c>
    </row>
    <row r="19" spans="1:5">
      <c r="A19" s="2" t="s">
        <v>158</v>
      </c>
      <c r="B19" s="2">
        <v>16</v>
      </c>
      <c r="C19" s="2" t="s">
        <v>7</v>
      </c>
      <c r="D19" s="2">
        <v>2</v>
      </c>
      <c r="E19" s="2">
        <v>7.2</v>
      </c>
    </row>
    <row r="20" spans="1:5">
      <c r="A20" s="2" t="s">
        <v>159</v>
      </c>
      <c r="B20" s="2">
        <v>16</v>
      </c>
      <c r="C20" s="2" t="s">
        <v>7</v>
      </c>
      <c r="D20" s="2">
        <v>1.1000000000000001</v>
      </c>
      <c r="E20" s="2">
        <v>7.4</v>
      </c>
    </row>
    <row r="21" spans="1:5">
      <c r="A21" s="2" t="s">
        <v>160</v>
      </c>
      <c r="B21" s="2">
        <v>17</v>
      </c>
      <c r="C21" s="2" t="s">
        <v>7</v>
      </c>
      <c r="D21" s="2">
        <v>1.1000000000000001</v>
      </c>
      <c r="E21" s="2">
        <v>7.2</v>
      </c>
    </row>
    <row r="22" spans="1:5">
      <c r="A22" s="2" t="s">
        <v>161</v>
      </c>
      <c r="B22" s="2">
        <v>16</v>
      </c>
      <c r="C22" s="2" t="s">
        <v>7</v>
      </c>
      <c r="D22" s="2">
        <v>1.3</v>
      </c>
      <c r="E22" s="2">
        <v>7.8</v>
      </c>
    </row>
    <row r="23" spans="1:5">
      <c r="A23" s="2" t="s">
        <v>162</v>
      </c>
      <c r="B23" s="2">
        <v>16</v>
      </c>
      <c r="C23" s="2" t="s">
        <v>7</v>
      </c>
      <c r="D23" s="2">
        <v>1.5</v>
      </c>
      <c r="E23" s="2">
        <v>7.7</v>
      </c>
    </row>
    <row r="24" spans="1:5">
      <c r="A24" s="2" t="s">
        <v>163</v>
      </c>
      <c r="B24" s="2">
        <v>16</v>
      </c>
      <c r="C24" s="2" t="s">
        <v>7</v>
      </c>
      <c r="D24" s="2">
        <v>1.8</v>
      </c>
      <c r="E24" s="2">
        <v>9.1</v>
      </c>
    </row>
    <row r="25" spans="1:5">
      <c r="A25" s="2"/>
      <c r="B25" s="2"/>
      <c r="C25" s="2"/>
      <c r="D25" s="2"/>
      <c r="E25" s="2"/>
    </row>
    <row r="26" spans="1:5">
      <c r="A26" s="2" t="s">
        <v>164</v>
      </c>
      <c r="B26" s="2">
        <v>16</v>
      </c>
      <c r="C26" s="2" t="s">
        <v>7</v>
      </c>
      <c r="D26" s="2">
        <v>1.2</v>
      </c>
      <c r="E26" s="2">
        <v>7.7</v>
      </c>
    </row>
    <row r="27" spans="1:5">
      <c r="A27" s="2" t="s">
        <v>165</v>
      </c>
      <c r="B27" s="2">
        <v>16</v>
      </c>
      <c r="C27" s="2" t="s">
        <v>7</v>
      </c>
      <c r="D27" s="2">
        <v>1.5</v>
      </c>
      <c r="E27" s="2">
        <v>7.8</v>
      </c>
    </row>
    <row r="28" spans="1:5">
      <c r="A28" s="2" t="s">
        <v>166</v>
      </c>
      <c r="B28" s="2">
        <v>15</v>
      </c>
      <c r="C28" s="2" t="s">
        <v>7</v>
      </c>
      <c r="D28" s="2">
        <v>1.5</v>
      </c>
      <c r="E28" s="2">
        <v>8.6</v>
      </c>
    </row>
    <row r="29" spans="1:5">
      <c r="A29" s="2" t="s">
        <v>167</v>
      </c>
      <c r="B29" s="2">
        <v>16</v>
      </c>
      <c r="C29" s="2" t="s">
        <v>7</v>
      </c>
      <c r="D29" s="2">
        <v>1.2</v>
      </c>
      <c r="E29" s="2">
        <v>7.5</v>
      </c>
    </row>
    <row r="30" spans="1:5">
      <c r="A30" s="2" t="s">
        <v>168</v>
      </c>
      <c r="B30" s="2">
        <v>16</v>
      </c>
      <c r="C30" s="2" t="s">
        <v>7</v>
      </c>
      <c r="D30" s="2">
        <v>1.4</v>
      </c>
      <c r="E30" s="2">
        <v>7.8</v>
      </c>
    </row>
    <row r="31" spans="1:5">
      <c r="A31" s="2" t="s">
        <v>169</v>
      </c>
      <c r="B31" s="2">
        <v>14</v>
      </c>
      <c r="C31" s="2" t="s">
        <v>7</v>
      </c>
      <c r="D31" s="2">
        <v>1.4</v>
      </c>
      <c r="E31" s="2">
        <v>8.1</v>
      </c>
    </row>
    <row r="32" spans="1:5">
      <c r="A32" s="2" t="s">
        <v>170</v>
      </c>
      <c r="B32" s="2">
        <v>17</v>
      </c>
      <c r="C32" s="2" t="s">
        <v>7</v>
      </c>
      <c r="D32" s="2">
        <v>1.2</v>
      </c>
      <c r="E32" s="2">
        <v>7.6</v>
      </c>
    </row>
    <row r="33" spans="1:5">
      <c r="A33" s="2" t="s">
        <v>171</v>
      </c>
      <c r="B33" s="2">
        <v>14</v>
      </c>
      <c r="C33" s="2" t="s">
        <v>7</v>
      </c>
      <c r="D33" s="2">
        <v>1.3</v>
      </c>
      <c r="E33" s="2">
        <v>7.5</v>
      </c>
    </row>
    <row r="34" spans="1:5">
      <c r="A34" s="2" t="s">
        <v>172</v>
      </c>
      <c r="B34" s="2">
        <v>14</v>
      </c>
      <c r="C34" s="2" t="s">
        <v>7</v>
      </c>
      <c r="D34" s="2">
        <v>1.4</v>
      </c>
      <c r="E34" s="2">
        <v>7.6</v>
      </c>
    </row>
    <row r="35" spans="1:5">
      <c r="A35" s="2" t="s">
        <v>173</v>
      </c>
      <c r="B35" s="2">
        <v>16</v>
      </c>
      <c r="C35" s="2" t="s">
        <v>7</v>
      </c>
      <c r="D35" s="2">
        <v>0.8</v>
      </c>
      <c r="E35" s="2">
        <v>7.2</v>
      </c>
    </row>
    <row r="36" spans="1:5">
      <c r="A36" s="2" t="s">
        <v>174</v>
      </c>
      <c r="B36" s="2">
        <v>14</v>
      </c>
      <c r="C36" s="2" t="s">
        <v>7</v>
      </c>
      <c r="D36" s="2">
        <v>1.1000000000000001</v>
      </c>
      <c r="E36" s="2">
        <v>7.9</v>
      </c>
    </row>
    <row r="37" spans="1:5">
      <c r="A37" s="2" t="s">
        <v>175</v>
      </c>
      <c r="B37" s="2">
        <v>14</v>
      </c>
      <c r="C37" s="2" t="s">
        <v>7</v>
      </c>
      <c r="D37" s="2">
        <v>1.3</v>
      </c>
      <c r="E37" s="2">
        <v>7.3</v>
      </c>
    </row>
    <row r="38" spans="1:5">
      <c r="A38" s="2" t="s">
        <v>176</v>
      </c>
      <c r="B38" s="2">
        <v>15</v>
      </c>
      <c r="C38" s="2" t="s">
        <v>7</v>
      </c>
      <c r="D38" s="2">
        <v>1.5</v>
      </c>
      <c r="E38" s="2">
        <v>7.1</v>
      </c>
    </row>
    <row r="39" spans="1:5">
      <c r="A39" s="2" t="s">
        <v>177</v>
      </c>
      <c r="B39" s="2">
        <v>15</v>
      </c>
      <c r="C39" s="2" t="s">
        <v>7</v>
      </c>
      <c r="D39" s="2">
        <v>1.2</v>
      </c>
      <c r="E39" s="2">
        <v>7.5</v>
      </c>
    </row>
    <row r="40" spans="1:5">
      <c r="A40" s="2"/>
      <c r="B40" s="2"/>
      <c r="C40" s="2"/>
      <c r="D40" s="2"/>
      <c r="E40" s="2"/>
    </row>
    <row r="41" spans="1:5">
      <c r="A41" s="2" t="s">
        <v>178</v>
      </c>
      <c r="B41" s="2">
        <v>16</v>
      </c>
      <c r="C41" s="2" t="s">
        <v>28</v>
      </c>
      <c r="D41" s="2">
        <v>1.4</v>
      </c>
      <c r="E41" s="2">
        <v>5.9</v>
      </c>
    </row>
    <row r="42" spans="1:5">
      <c r="A42" s="2" t="s">
        <v>179</v>
      </c>
      <c r="B42" s="2">
        <v>17</v>
      </c>
      <c r="C42" s="2" t="s">
        <v>7</v>
      </c>
      <c r="D42" s="2">
        <v>1.2</v>
      </c>
      <c r="E42" s="2">
        <v>5.9</v>
      </c>
    </row>
    <row r="43" spans="1:5">
      <c r="A43" s="2"/>
      <c r="B43" s="2"/>
      <c r="C43" s="2"/>
      <c r="D43" s="2"/>
      <c r="E43" s="2"/>
    </row>
    <row r="44" spans="1:5">
      <c r="A44" s="2" t="s">
        <v>180</v>
      </c>
      <c r="B44" s="2">
        <v>16</v>
      </c>
      <c r="C44" s="2" t="s">
        <v>7</v>
      </c>
      <c r="D44" s="2">
        <v>0.8</v>
      </c>
      <c r="E44" s="2">
        <v>6.7</v>
      </c>
    </row>
    <row r="45" spans="1:5">
      <c r="A45" s="2" t="s">
        <v>181</v>
      </c>
      <c r="B45" s="2">
        <v>16</v>
      </c>
      <c r="C45" s="2" t="s">
        <v>7</v>
      </c>
      <c r="D45" s="2">
        <v>1.3</v>
      </c>
      <c r="E45" s="2">
        <v>7.9</v>
      </c>
    </row>
    <row r="46" spans="1:5">
      <c r="A46" s="2" t="s">
        <v>182</v>
      </c>
      <c r="B46" s="2">
        <v>14</v>
      </c>
      <c r="C46" s="2" t="s">
        <v>7</v>
      </c>
      <c r="D46" s="2">
        <v>13</v>
      </c>
      <c r="E46" s="2">
        <v>6.7</v>
      </c>
    </row>
    <row r="47" spans="1:5">
      <c r="A47" s="2" t="s">
        <v>183</v>
      </c>
      <c r="B47" s="2">
        <v>16</v>
      </c>
      <c r="C47" s="2" t="s">
        <v>7</v>
      </c>
      <c r="D47" s="2">
        <v>15</v>
      </c>
      <c r="E47" s="2">
        <v>6.9</v>
      </c>
    </row>
    <row r="48" spans="1:5">
      <c r="A48" s="2" t="s">
        <v>184</v>
      </c>
      <c r="B48" s="2">
        <v>17</v>
      </c>
      <c r="C48" s="2" t="s">
        <v>7</v>
      </c>
      <c r="D48" s="2">
        <v>1.8</v>
      </c>
      <c r="E48" s="2">
        <v>7.8</v>
      </c>
    </row>
    <row r="49" spans="1:5">
      <c r="A49" s="2"/>
      <c r="B49" s="2"/>
      <c r="C49" s="2"/>
      <c r="D49" s="2"/>
      <c r="E49" s="2"/>
    </row>
    <row r="50" spans="1:5">
      <c r="A50" s="2" t="s">
        <v>185</v>
      </c>
      <c r="B50" s="2">
        <v>16</v>
      </c>
      <c r="C50" s="2" t="s">
        <v>7</v>
      </c>
      <c r="D50" s="2">
        <v>1.3</v>
      </c>
      <c r="E50" s="2">
        <v>7.1</v>
      </c>
    </row>
    <row r="51" spans="1:5">
      <c r="A51" s="2" t="s">
        <v>186</v>
      </c>
      <c r="B51" s="2">
        <v>17</v>
      </c>
      <c r="C51" s="2" t="s">
        <v>7</v>
      </c>
      <c r="D51" s="2">
        <v>1.6</v>
      </c>
      <c r="E51" s="2">
        <v>6.2</v>
      </c>
    </row>
    <row r="52" spans="1:5">
      <c r="A52" s="2" t="s">
        <v>187</v>
      </c>
      <c r="B52" s="2">
        <v>15</v>
      </c>
      <c r="C52" s="2" t="s">
        <v>7</v>
      </c>
      <c r="D52" s="2">
        <v>1.2</v>
      </c>
      <c r="E52" s="2">
        <v>6</v>
      </c>
    </row>
    <row r="53" spans="1:5">
      <c r="A53" s="2" t="s">
        <v>188</v>
      </c>
      <c r="B53" s="2">
        <v>16</v>
      </c>
      <c r="C53" s="2" t="s">
        <v>7</v>
      </c>
      <c r="D53" s="2">
        <v>1.7</v>
      </c>
      <c r="E53" s="2">
        <v>7.8</v>
      </c>
    </row>
    <row r="54" spans="1:5">
      <c r="A54" s="2" t="s">
        <v>189</v>
      </c>
      <c r="B54" s="2">
        <v>17</v>
      </c>
      <c r="C54" s="2" t="s">
        <v>7</v>
      </c>
      <c r="D54" s="2">
        <v>1.5</v>
      </c>
      <c r="E54" s="2">
        <v>7.6</v>
      </c>
    </row>
    <row r="55" spans="1:5">
      <c r="A55" s="2" t="s">
        <v>169</v>
      </c>
      <c r="B55" s="2">
        <v>16</v>
      </c>
      <c r="C55" s="2" t="s">
        <v>7</v>
      </c>
      <c r="D55" s="2">
        <v>1.7</v>
      </c>
      <c r="E55" s="2">
        <v>6.9</v>
      </c>
    </row>
    <row r="56" spans="1:5">
      <c r="A56" s="2" t="s">
        <v>190</v>
      </c>
      <c r="B56" s="2">
        <v>16</v>
      </c>
      <c r="C56" s="2" t="s">
        <v>7</v>
      </c>
      <c r="D56" s="2">
        <v>1.4</v>
      </c>
      <c r="E56" s="2">
        <v>6.7</v>
      </c>
    </row>
    <row r="57" spans="1:5">
      <c r="A57" s="2" t="s">
        <v>191</v>
      </c>
      <c r="B57" s="2">
        <v>16</v>
      </c>
      <c r="C57" s="2" t="s">
        <v>7</v>
      </c>
      <c r="D57" s="2">
        <v>1.2</v>
      </c>
      <c r="E57" s="2">
        <v>7.1</v>
      </c>
    </row>
    <row r="58" spans="1:5">
      <c r="A58" s="2" t="s">
        <v>192</v>
      </c>
      <c r="B58" s="2">
        <v>16</v>
      </c>
      <c r="C58" s="2" t="s">
        <v>7</v>
      </c>
      <c r="D58" s="2">
        <v>1.4</v>
      </c>
      <c r="E58" s="2">
        <v>7.4</v>
      </c>
    </row>
    <row r="59" spans="1:5">
      <c r="A59" s="2" t="s">
        <v>193</v>
      </c>
      <c r="B59" s="2">
        <v>14</v>
      </c>
      <c r="C59" s="2" t="s">
        <v>7</v>
      </c>
      <c r="D59" s="2">
        <v>1.5</v>
      </c>
      <c r="E59" s="2">
        <v>6.2</v>
      </c>
    </row>
    <row r="60" spans="1:5">
      <c r="A60" s="2" t="s">
        <v>194</v>
      </c>
      <c r="B60" s="2">
        <v>14</v>
      </c>
      <c r="C60" s="2" t="s">
        <v>7</v>
      </c>
      <c r="D60" s="2">
        <v>1.6</v>
      </c>
      <c r="E60" s="2">
        <v>6.1</v>
      </c>
    </row>
    <row r="61" spans="1:5">
      <c r="A61" s="2" t="s">
        <v>195</v>
      </c>
      <c r="B61" s="2">
        <v>16</v>
      </c>
      <c r="C61" s="2" t="s">
        <v>7</v>
      </c>
      <c r="D61" s="2">
        <v>1.1000000000000001</v>
      </c>
      <c r="E61" s="2">
        <v>5.3</v>
      </c>
    </row>
    <row r="62" spans="1:5">
      <c r="A62" s="2"/>
      <c r="B62" s="2"/>
      <c r="C62" s="2"/>
      <c r="D62" s="2"/>
      <c r="E62" s="2"/>
    </row>
    <row r="63" spans="1:5">
      <c r="A63" s="2" t="s">
        <v>196</v>
      </c>
      <c r="B63" s="2">
        <v>16</v>
      </c>
      <c r="C63" s="2" t="s">
        <v>7</v>
      </c>
      <c r="D63" s="2">
        <v>1.5</v>
      </c>
      <c r="E63" s="2">
        <v>7.2</v>
      </c>
    </row>
    <row r="64" spans="1:5">
      <c r="A64" s="2" t="s">
        <v>197</v>
      </c>
      <c r="B64" s="2">
        <v>16</v>
      </c>
      <c r="C64" s="2" t="s">
        <v>7</v>
      </c>
      <c r="D64" s="2">
        <v>1.4</v>
      </c>
      <c r="E64" s="2">
        <v>9.5</v>
      </c>
    </row>
    <row r="65" spans="1:5">
      <c r="A65" s="2" t="s">
        <v>198</v>
      </c>
      <c r="B65" s="2">
        <v>16</v>
      </c>
      <c r="C65" s="2" t="s">
        <v>7</v>
      </c>
      <c r="D65" s="2">
        <v>1.3</v>
      </c>
      <c r="E65" s="2">
        <v>8.1</v>
      </c>
    </row>
    <row r="66" spans="1:5">
      <c r="A66" s="2" t="s">
        <v>199</v>
      </c>
      <c r="B66" s="2">
        <v>16</v>
      </c>
      <c r="C66" s="2" t="s">
        <v>7</v>
      </c>
      <c r="D66" s="2">
        <v>1.7</v>
      </c>
      <c r="E66" s="2">
        <v>9.6</v>
      </c>
    </row>
    <row r="67" spans="1:5">
      <c r="A67" s="2" t="s">
        <v>200</v>
      </c>
      <c r="B67" s="2">
        <v>16</v>
      </c>
      <c r="C67" s="2" t="s">
        <v>7</v>
      </c>
      <c r="D67" s="2">
        <v>1</v>
      </c>
      <c r="E67" s="2">
        <v>7.1</v>
      </c>
    </row>
    <row r="68" spans="1:5">
      <c r="A68" s="2" t="s">
        <v>201</v>
      </c>
      <c r="B68" s="2">
        <v>16</v>
      </c>
      <c r="C68" s="2" t="s">
        <v>7</v>
      </c>
      <c r="D68" s="2">
        <v>1.2</v>
      </c>
      <c r="E68" s="2">
        <v>8.1999999999999993</v>
      </c>
    </row>
    <row r="69" spans="1:5">
      <c r="A69" s="2" t="s">
        <v>202</v>
      </c>
      <c r="B69" s="2">
        <v>16</v>
      </c>
      <c r="C69" s="2" t="s">
        <v>7</v>
      </c>
      <c r="D69" s="2">
        <v>1.5</v>
      </c>
      <c r="E69" s="2">
        <v>7.8</v>
      </c>
    </row>
    <row r="70" spans="1:5">
      <c r="A70" s="2" t="s">
        <v>203</v>
      </c>
      <c r="B70" s="2">
        <v>16</v>
      </c>
      <c r="C70" s="2" t="s">
        <v>7</v>
      </c>
      <c r="D70" s="2">
        <v>1.7</v>
      </c>
      <c r="E70" s="2">
        <v>7.4</v>
      </c>
    </row>
    <row r="71" spans="1:5">
      <c r="A71" s="2" t="s">
        <v>204</v>
      </c>
      <c r="B71" s="2">
        <v>16</v>
      </c>
      <c r="C71" s="2" t="s">
        <v>7</v>
      </c>
      <c r="D71" s="2">
        <v>1.4</v>
      </c>
      <c r="E71" s="2">
        <v>7.4</v>
      </c>
    </row>
    <row r="72" spans="1:5">
      <c r="A72" s="2" t="s">
        <v>205</v>
      </c>
      <c r="B72" s="2">
        <v>14</v>
      </c>
      <c r="C72" s="2" t="s">
        <v>7</v>
      </c>
      <c r="D72" s="2">
        <v>1.3</v>
      </c>
      <c r="E72" s="2">
        <v>6.7</v>
      </c>
    </row>
    <row r="73" spans="1:5">
      <c r="A73" s="2" t="s">
        <v>206</v>
      </c>
      <c r="B73" s="2">
        <v>14</v>
      </c>
      <c r="C73" s="2" t="s">
        <v>7</v>
      </c>
      <c r="D73" s="2">
        <v>1.4</v>
      </c>
      <c r="E73" s="2">
        <v>7.4</v>
      </c>
    </row>
    <row r="74" spans="1:5">
      <c r="A74" s="2" t="s">
        <v>207</v>
      </c>
      <c r="B74" s="2">
        <v>16</v>
      </c>
      <c r="C74" s="2" t="s">
        <v>28</v>
      </c>
      <c r="D74" s="2">
        <v>1.4</v>
      </c>
      <c r="E74" s="2">
        <v>7.8</v>
      </c>
    </row>
  </sheetData>
  <conditionalFormatting sqref="A2:A25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216D-852E-4C4B-ADC8-A884B349746B}">
  <dimension ref="A1:E73"/>
  <sheetViews>
    <sheetView workbookViewId="0">
      <selection sqref="A1:E1"/>
    </sheetView>
  </sheetViews>
  <sheetFormatPr defaultRowHeight="14.45"/>
  <cols>
    <col min="2" max="3" width="10.28515625" customWidth="1"/>
    <col min="4" max="4" width="18.28515625" customWidth="1"/>
    <col min="5" max="5" width="20" customWidth="1"/>
  </cols>
  <sheetData>
    <row r="1" spans="1: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</row>
    <row r="2" spans="1:5">
      <c r="A2" s="2" t="s">
        <v>208</v>
      </c>
      <c r="B2" s="2">
        <v>14</v>
      </c>
      <c r="C2" s="2" t="s">
        <v>7</v>
      </c>
      <c r="D2" s="2">
        <v>1.2</v>
      </c>
      <c r="E2" s="2">
        <v>5.8</v>
      </c>
    </row>
    <row r="3" spans="1:5">
      <c r="A3" s="2" t="s">
        <v>209</v>
      </c>
      <c r="B3" s="2">
        <v>16</v>
      </c>
      <c r="C3" s="2" t="s">
        <v>7</v>
      </c>
      <c r="D3" s="2">
        <v>1</v>
      </c>
      <c r="E3" s="2">
        <v>7.3</v>
      </c>
    </row>
    <row r="4" spans="1:5">
      <c r="A4" s="2" t="s">
        <v>210</v>
      </c>
      <c r="B4" s="2">
        <v>16</v>
      </c>
      <c r="C4" s="2" t="s">
        <v>7</v>
      </c>
      <c r="D4" s="2">
        <v>1.1000000000000001</v>
      </c>
      <c r="E4" s="2">
        <v>6.7</v>
      </c>
    </row>
    <row r="5" spans="1:5">
      <c r="A5" s="2" t="s">
        <v>211</v>
      </c>
      <c r="B5" s="2">
        <v>16</v>
      </c>
      <c r="C5" s="2" t="s">
        <v>7</v>
      </c>
      <c r="D5" s="2">
        <v>1.3</v>
      </c>
      <c r="E5" s="2">
        <v>6.4</v>
      </c>
    </row>
    <row r="6" spans="1:5">
      <c r="A6" s="2" t="s">
        <v>212</v>
      </c>
      <c r="B6" s="2">
        <v>16</v>
      </c>
      <c r="C6" s="2" t="s">
        <v>7</v>
      </c>
      <c r="D6" s="2">
        <v>1.5</v>
      </c>
      <c r="E6" s="2">
        <v>7.5</v>
      </c>
    </row>
    <row r="7" spans="1:5">
      <c r="A7" s="2" t="s">
        <v>213</v>
      </c>
      <c r="B7" s="2">
        <v>14</v>
      </c>
      <c r="C7" s="2" t="s">
        <v>7</v>
      </c>
      <c r="D7" s="2">
        <v>1.1000000000000001</v>
      </c>
      <c r="E7" s="2">
        <v>7.4</v>
      </c>
    </row>
    <row r="8" spans="1:5">
      <c r="A8" s="2" t="s">
        <v>214</v>
      </c>
      <c r="B8" s="2">
        <v>17</v>
      </c>
      <c r="C8" s="2" t="s">
        <v>7</v>
      </c>
      <c r="D8" s="2">
        <v>1</v>
      </c>
      <c r="E8" s="2">
        <v>7.2</v>
      </c>
    </row>
    <row r="9" spans="1:5">
      <c r="A9" s="2" t="s">
        <v>215</v>
      </c>
      <c r="B9" s="2">
        <v>15</v>
      </c>
      <c r="C9" s="2" t="s">
        <v>7</v>
      </c>
      <c r="D9" s="2">
        <v>1.1000000000000001</v>
      </c>
      <c r="E9" s="2">
        <v>6</v>
      </c>
    </row>
    <row r="10" spans="1:5">
      <c r="A10" s="2" t="s">
        <v>216</v>
      </c>
      <c r="B10" s="2">
        <v>17</v>
      </c>
      <c r="C10" s="2" t="s">
        <v>7</v>
      </c>
      <c r="D10" s="2">
        <v>2</v>
      </c>
      <c r="E10" s="2">
        <v>7.5</v>
      </c>
    </row>
    <row r="11" spans="1:5">
      <c r="A11" s="2" t="s">
        <v>217</v>
      </c>
      <c r="B11" s="2">
        <v>15</v>
      </c>
      <c r="C11" s="2" t="s">
        <v>7</v>
      </c>
      <c r="D11" s="2">
        <v>1.2</v>
      </c>
      <c r="E11" s="2">
        <v>6.9</v>
      </c>
    </row>
    <row r="12" spans="1:5">
      <c r="A12" s="2" t="s">
        <v>218</v>
      </c>
      <c r="B12" s="2">
        <v>18</v>
      </c>
      <c r="C12" s="2" t="s">
        <v>7</v>
      </c>
      <c r="D12" s="2">
        <v>1.5</v>
      </c>
      <c r="E12" s="2">
        <v>7.4</v>
      </c>
    </row>
    <row r="13" spans="1:5">
      <c r="A13" s="2" t="s">
        <v>219</v>
      </c>
      <c r="B13" s="2">
        <v>16</v>
      </c>
      <c r="C13" s="2" t="s">
        <v>7</v>
      </c>
      <c r="D13" s="2">
        <v>1.4</v>
      </c>
      <c r="E13" s="2">
        <v>6.6</v>
      </c>
    </row>
    <row r="14" spans="1:5">
      <c r="A14" s="2" t="s">
        <v>220</v>
      </c>
      <c r="B14" s="2">
        <v>15</v>
      </c>
      <c r="C14" s="2" t="s">
        <v>7</v>
      </c>
      <c r="D14" s="2">
        <v>1.5</v>
      </c>
      <c r="E14" s="2">
        <v>8.6999999999999993</v>
      </c>
    </row>
    <row r="15" spans="1:5">
      <c r="A15" s="2" t="s">
        <v>221</v>
      </c>
      <c r="B15" s="2">
        <v>14</v>
      </c>
      <c r="C15" s="2" t="s">
        <v>7</v>
      </c>
      <c r="D15" s="2">
        <v>1.3</v>
      </c>
      <c r="E15" s="2">
        <v>7.7</v>
      </c>
    </row>
    <row r="16" spans="1:5">
      <c r="A16" s="2" t="s">
        <v>222</v>
      </c>
      <c r="B16" s="2">
        <v>16</v>
      </c>
      <c r="C16" s="2" t="s">
        <v>7</v>
      </c>
      <c r="D16" s="2">
        <v>1</v>
      </c>
      <c r="E16" s="2">
        <v>7.8</v>
      </c>
    </row>
    <row r="17" spans="1:5">
      <c r="A17" s="2" t="s">
        <v>223</v>
      </c>
      <c r="B17" s="2">
        <v>16</v>
      </c>
      <c r="C17" s="2" t="s">
        <v>7</v>
      </c>
      <c r="D17" s="2">
        <v>1.7</v>
      </c>
      <c r="E17" s="2">
        <v>7.8</v>
      </c>
    </row>
    <row r="18" spans="1:5">
      <c r="A18" s="2" t="s">
        <v>224</v>
      </c>
      <c r="B18" s="2">
        <v>18</v>
      </c>
      <c r="C18" s="2" t="s">
        <v>7</v>
      </c>
      <c r="D18" s="2">
        <v>1.3</v>
      </c>
      <c r="E18" s="2">
        <v>7.6</v>
      </c>
    </row>
    <row r="19" spans="1:5">
      <c r="A19" s="2" t="s">
        <v>225</v>
      </c>
      <c r="B19" s="2">
        <v>16</v>
      </c>
      <c r="C19" s="2" t="s">
        <v>7</v>
      </c>
      <c r="D19" s="2">
        <v>1.7</v>
      </c>
      <c r="E19" s="2">
        <v>7.5</v>
      </c>
    </row>
    <row r="20" spans="1:5">
      <c r="A20" s="2" t="s">
        <v>226</v>
      </c>
      <c r="B20" s="2">
        <v>16</v>
      </c>
      <c r="C20" s="2" t="s">
        <v>28</v>
      </c>
      <c r="D20" s="2">
        <v>1.5</v>
      </c>
      <c r="E20" s="2">
        <v>7</v>
      </c>
    </row>
    <row r="21" spans="1:5">
      <c r="A21" s="2" t="s">
        <v>227</v>
      </c>
      <c r="B21" s="2">
        <v>15</v>
      </c>
      <c r="C21" s="2" t="s">
        <v>28</v>
      </c>
      <c r="D21" s="2">
        <v>1.3</v>
      </c>
      <c r="E21" s="2">
        <v>6.8</v>
      </c>
    </row>
    <row r="22" spans="1:5">
      <c r="A22" s="2" t="s">
        <v>228</v>
      </c>
      <c r="B22" s="2">
        <v>16</v>
      </c>
      <c r="C22" s="2" t="s">
        <v>28</v>
      </c>
      <c r="D22" s="2">
        <v>1.4</v>
      </c>
      <c r="E22" s="2">
        <v>7.2</v>
      </c>
    </row>
    <row r="23" spans="1:5">
      <c r="A23" s="2" t="s">
        <v>229</v>
      </c>
      <c r="B23" s="2">
        <v>16</v>
      </c>
      <c r="C23" s="2" t="s">
        <v>28</v>
      </c>
      <c r="D23" s="2">
        <v>1.4</v>
      </c>
      <c r="E23" s="2">
        <v>7.4</v>
      </c>
    </row>
    <row r="24" spans="1:5">
      <c r="A24" s="2" t="s">
        <v>230</v>
      </c>
      <c r="B24" s="2">
        <v>18</v>
      </c>
      <c r="C24" s="2" t="s">
        <v>28</v>
      </c>
      <c r="D24" s="2">
        <v>1.8</v>
      </c>
      <c r="E24" s="2">
        <v>6.7</v>
      </c>
    </row>
    <row r="25" spans="1:5">
      <c r="A25" s="2"/>
      <c r="B25" s="2"/>
      <c r="C25" s="2"/>
      <c r="D25" s="2"/>
      <c r="E25" s="2"/>
    </row>
    <row r="26" spans="1:5">
      <c r="A26" s="2" t="s">
        <v>231</v>
      </c>
      <c r="B26" s="2">
        <v>16</v>
      </c>
      <c r="C26" s="2" t="s">
        <v>7</v>
      </c>
      <c r="D26" s="2">
        <v>1.4</v>
      </c>
      <c r="E26" s="2">
        <v>9.6999999999999993</v>
      </c>
    </row>
    <row r="27" spans="1:5">
      <c r="A27" s="2" t="s">
        <v>232</v>
      </c>
      <c r="B27" s="2">
        <v>17</v>
      </c>
      <c r="C27" s="2" t="s">
        <v>7</v>
      </c>
      <c r="D27" s="2">
        <v>1.5</v>
      </c>
      <c r="E27" s="2">
        <v>8.3000000000000007</v>
      </c>
    </row>
    <row r="28" spans="1:5">
      <c r="A28" s="2" t="s">
        <v>233</v>
      </c>
      <c r="B28" s="2">
        <v>17</v>
      </c>
      <c r="C28" s="2" t="s">
        <v>7</v>
      </c>
      <c r="D28" s="2">
        <v>1.3</v>
      </c>
      <c r="E28" s="2">
        <v>9.1</v>
      </c>
    </row>
    <row r="29" spans="1:5">
      <c r="A29" s="2" t="s">
        <v>234</v>
      </c>
      <c r="B29" s="2">
        <v>16</v>
      </c>
      <c r="C29" s="2" t="s">
        <v>7</v>
      </c>
      <c r="D29" s="2">
        <v>1.5</v>
      </c>
      <c r="E29" s="2">
        <v>9</v>
      </c>
    </row>
    <row r="30" spans="1:5">
      <c r="A30" s="2" t="s">
        <v>235</v>
      </c>
      <c r="B30" s="2">
        <v>18</v>
      </c>
      <c r="C30" s="2" t="s">
        <v>7</v>
      </c>
      <c r="D30" s="2">
        <v>1.7</v>
      </c>
      <c r="E30" s="2">
        <v>9.4</v>
      </c>
    </row>
    <row r="31" spans="1:5">
      <c r="A31" s="2" t="s">
        <v>236</v>
      </c>
      <c r="B31" s="2">
        <v>16</v>
      </c>
      <c r="C31" s="2" t="s">
        <v>7</v>
      </c>
      <c r="D31" s="2">
        <v>1.2</v>
      </c>
      <c r="E31" s="2">
        <v>8.6999999999999993</v>
      </c>
    </row>
    <row r="32" spans="1:5">
      <c r="A32" s="2" t="s">
        <v>237</v>
      </c>
      <c r="B32" s="2">
        <v>16</v>
      </c>
      <c r="C32" s="2" t="s">
        <v>7</v>
      </c>
      <c r="D32" s="2">
        <v>1.4</v>
      </c>
      <c r="E32" s="2">
        <v>9.1999999999999993</v>
      </c>
    </row>
    <row r="33" spans="1:5">
      <c r="A33" s="2" t="s">
        <v>238</v>
      </c>
      <c r="B33" s="2">
        <v>16</v>
      </c>
      <c r="C33" s="2" t="s">
        <v>7</v>
      </c>
      <c r="D33" s="2">
        <v>1.5</v>
      </c>
      <c r="E33" s="2">
        <v>1.5</v>
      </c>
    </row>
    <row r="34" spans="1:5">
      <c r="A34" s="2" t="s">
        <v>239</v>
      </c>
      <c r="B34" s="2">
        <v>16</v>
      </c>
      <c r="C34" s="2" t="s">
        <v>7</v>
      </c>
      <c r="D34" s="2">
        <v>1.5</v>
      </c>
      <c r="E34" s="2">
        <v>1.5</v>
      </c>
    </row>
    <row r="35" spans="1:5">
      <c r="A35" s="2" t="s">
        <v>240</v>
      </c>
      <c r="B35" s="2">
        <v>16</v>
      </c>
      <c r="C35" s="2" t="s">
        <v>7</v>
      </c>
      <c r="D35" s="2">
        <v>1.5</v>
      </c>
      <c r="E35" s="2">
        <v>1.5</v>
      </c>
    </row>
    <row r="36" spans="1:5">
      <c r="A36" s="2" t="s">
        <v>241</v>
      </c>
      <c r="B36" s="2">
        <v>16</v>
      </c>
      <c r="C36" s="2" t="s">
        <v>7</v>
      </c>
      <c r="D36" s="2">
        <v>1.6</v>
      </c>
      <c r="E36" s="2">
        <v>1.6</v>
      </c>
    </row>
    <row r="37" spans="1:5">
      <c r="A37" s="2" t="s">
        <v>242</v>
      </c>
      <c r="B37" s="2">
        <v>15</v>
      </c>
      <c r="C37" s="2" t="s">
        <v>7</v>
      </c>
      <c r="D37" s="2">
        <v>1.4</v>
      </c>
      <c r="E37" s="2">
        <v>1.4</v>
      </c>
    </row>
    <row r="38" spans="1:5">
      <c r="A38" s="2" t="s">
        <v>243</v>
      </c>
      <c r="B38" s="2">
        <v>15</v>
      </c>
      <c r="C38" s="2" t="s">
        <v>7</v>
      </c>
      <c r="D38" s="2">
        <v>1.3</v>
      </c>
      <c r="E38" s="2">
        <v>1.3</v>
      </c>
    </row>
    <row r="39" spans="1:5">
      <c r="A39" s="2" t="s">
        <v>244</v>
      </c>
      <c r="B39" s="2">
        <v>14</v>
      </c>
      <c r="C39" s="2" t="s">
        <v>7</v>
      </c>
      <c r="D39" s="2">
        <v>1.6</v>
      </c>
      <c r="E39" s="2">
        <v>1.6</v>
      </c>
    </row>
    <row r="40" spans="1:5">
      <c r="A40" s="2"/>
      <c r="B40" s="2"/>
      <c r="C40" s="2"/>
      <c r="D40" s="2"/>
      <c r="E40" s="2"/>
    </row>
    <row r="41" spans="1:5">
      <c r="A41" s="2" t="s">
        <v>245</v>
      </c>
      <c r="B41" s="2">
        <v>16</v>
      </c>
      <c r="C41" s="2" t="s">
        <v>7</v>
      </c>
      <c r="D41" s="2">
        <v>1.6</v>
      </c>
      <c r="E41" s="2">
        <v>9.4</v>
      </c>
    </row>
    <row r="42" spans="1:5">
      <c r="A42" s="2" t="s">
        <v>246</v>
      </c>
      <c r="B42" s="2">
        <v>18</v>
      </c>
      <c r="C42" s="2" t="s">
        <v>7</v>
      </c>
      <c r="D42" s="2">
        <v>1.1000000000000001</v>
      </c>
      <c r="E42" s="2">
        <v>9.4</v>
      </c>
    </row>
    <row r="43" spans="1:5">
      <c r="A43" s="2" t="s">
        <v>247</v>
      </c>
      <c r="B43" s="2">
        <v>15</v>
      </c>
      <c r="C43" s="2" t="s">
        <v>7</v>
      </c>
      <c r="D43" s="2">
        <v>1.2</v>
      </c>
      <c r="E43" s="2">
        <v>7.2</v>
      </c>
    </row>
    <row r="44" spans="1:5">
      <c r="A44" s="2" t="s">
        <v>248</v>
      </c>
      <c r="B44" s="2">
        <v>16</v>
      </c>
      <c r="C44" s="2" t="s">
        <v>7</v>
      </c>
      <c r="D44" s="2">
        <v>1.8</v>
      </c>
      <c r="E44" s="2">
        <v>7.3</v>
      </c>
    </row>
    <row r="45" spans="1:5">
      <c r="A45" s="2" t="s">
        <v>249</v>
      </c>
      <c r="B45" s="2">
        <v>16</v>
      </c>
      <c r="C45" s="2" t="s">
        <v>7</v>
      </c>
      <c r="D45" s="2">
        <v>1.3</v>
      </c>
      <c r="E45" s="2">
        <v>7.9</v>
      </c>
    </row>
    <row r="46" spans="1:5">
      <c r="A46" s="2" t="s">
        <v>250</v>
      </c>
      <c r="B46" s="2">
        <v>15</v>
      </c>
      <c r="C46" s="2" t="s">
        <v>7</v>
      </c>
      <c r="D46" s="2">
        <v>1.3</v>
      </c>
      <c r="E46" s="2">
        <v>6.1</v>
      </c>
    </row>
    <row r="47" spans="1:5">
      <c r="A47" s="2" t="s">
        <v>251</v>
      </c>
      <c r="B47" s="2">
        <v>16</v>
      </c>
      <c r="C47" s="2" t="s">
        <v>7</v>
      </c>
      <c r="D47" s="2">
        <v>0.8</v>
      </c>
      <c r="E47" s="2">
        <v>6</v>
      </c>
    </row>
    <row r="48" spans="1:5">
      <c r="A48" s="2"/>
      <c r="B48" s="2"/>
      <c r="C48" s="2"/>
      <c r="D48" s="2"/>
      <c r="E48" s="2"/>
    </row>
    <row r="49" spans="1:5">
      <c r="A49" s="2" t="s">
        <v>252</v>
      </c>
      <c r="B49" s="2">
        <v>17</v>
      </c>
      <c r="C49" s="2" t="s">
        <v>7</v>
      </c>
      <c r="D49" s="2">
        <v>1.7</v>
      </c>
      <c r="E49" s="2">
        <v>7</v>
      </c>
    </row>
    <row r="50" spans="1:5">
      <c r="A50" s="2" t="s">
        <v>253</v>
      </c>
      <c r="B50" s="2">
        <v>16</v>
      </c>
      <c r="C50" s="2" t="s">
        <v>7</v>
      </c>
      <c r="D50" s="2">
        <v>1.4</v>
      </c>
      <c r="E50" s="2">
        <v>6.7</v>
      </c>
    </row>
    <row r="51" spans="1:5">
      <c r="A51" s="2" t="s">
        <v>254</v>
      </c>
      <c r="B51" s="2">
        <v>17</v>
      </c>
      <c r="C51" s="2" t="s">
        <v>7</v>
      </c>
      <c r="D51" s="2">
        <v>1.5</v>
      </c>
      <c r="E51" s="2">
        <v>7.1</v>
      </c>
    </row>
    <row r="52" spans="1:5">
      <c r="A52" s="2" t="s">
        <v>255</v>
      </c>
      <c r="B52" s="2">
        <v>18</v>
      </c>
      <c r="C52" s="2" t="s">
        <v>7</v>
      </c>
      <c r="D52" s="2">
        <v>1.7</v>
      </c>
      <c r="E52" s="2">
        <v>7.1</v>
      </c>
    </row>
    <row r="53" spans="1:5">
      <c r="A53" s="2" t="s">
        <v>256</v>
      </c>
      <c r="B53" s="2">
        <v>16</v>
      </c>
      <c r="C53" s="2" t="s">
        <v>7</v>
      </c>
      <c r="D53" s="2">
        <v>1.6</v>
      </c>
      <c r="E53" s="2">
        <v>7</v>
      </c>
    </row>
    <row r="54" spans="1:5">
      <c r="A54" s="2" t="s">
        <v>236</v>
      </c>
      <c r="B54" s="2">
        <v>16</v>
      </c>
      <c r="C54" s="2" t="s">
        <v>7</v>
      </c>
      <c r="D54" s="2">
        <v>1.2</v>
      </c>
      <c r="E54" s="2">
        <v>9.1999999999999993</v>
      </c>
    </row>
    <row r="55" spans="1:5">
      <c r="A55" s="2" t="s">
        <v>257</v>
      </c>
      <c r="B55" s="2">
        <v>16</v>
      </c>
      <c r="C55" s="2" t="s">
        <v>7</v>
      </c>
      <c r="D55" s="2">
        <v>1.6</v>
      </c>
      <c r="E55" s="2">
        <v>7</v>
      </c>
    </row>
    <row r="56" spans="1:5">
      <c r="A56" s="2" t="s">
        <v>258</v>
      </c>
      <c r="B56" s="2">
        <v>15</v>
      </c>
      <c r="C56" s="2" t="s">
        <v>7</v>
      </c>
      <c r="D56" s="2">
        <v>1.4</v>
      </c>
      <c r="E56" s="2">
        <v>6.7</v>
      </c>
    </row>
    <row r="57" spans="1:5">
      <c r="A57" s="2" t="s">
        <v>259</v>
      </c>
      <c r="B57" s="2">
        <v>16</v>
      </c>
      <c r="C57" s="2" t="s">
        <v>7</v>
      </c>
      <c r="D57" s="2">
        <v>1</v>
      </c>
      <c r="E57" s="2">
        <v>6.1</v>
      </c>
    </row>
    <row r="58" spans="1:5">
      <c r="A58" s="2" t="s">
        <v>260</v>
      </c>
      <c r="B58" s="2">
        <v>16</v>
      </c>
      <c r="C58" s="2" t="s">
        <v>7</v>
      </c>
      <c r="D58" s="2">
        <v>1.2</v>
      </c>
      <c r="E58" s="2">
        <v>6.2</v>
      </c>
    </row>
    <row r="59" spans="1:5">
      <c r="A59" s="2" t="s">
        <v>261</v>
      </c>
      <c r="B59" s="2">
        <v>18</v>
      </c>
      <c r="C59" s="2" t="s">
        <v>7</v>
      </c>
      <c r="D59" s="2">
        <v>1.3</v>
      </c>
      <c r="E59" s="2">
        <v>6</v>
      </c>
    </row>
    <row r="60" spans="1:5">
      <c r="A60" s="2" t="s">
        <v>262</v>
      </c>
      <c r="B60" s="2">
        <v>17</v>
      </c>
      <c r="C60" s="2" t="s">
        <v>7</v>
      </c>
      <c r="D60" s="2">
        <v>1.1000000000000001</v>
      </c>
      <c r="E60" s="2">
        <v>5.4</v>
      </c>
    </row>
    <row r="61" spans="1:5">
      <c r="A61" s="2"/>
      <c r="B61" s="2"/>
      <c r="C61" s="2"/>
      <c r="D61" s="2"/>
      <c r="E61" s="2"/>
    </row>
    <row r="62" spans="1:5">
      <c r="A62" s="2" t="s">
        <v>263</v>
      </c>
      <c r="B62" s="2">
        <v>16</v>
      </c>
      <c r="C62" s="2" t="s">
        <v>7</v>
      </c>
      <c r="D62" s="2">
        <v>1.5</v>
      </c>
      <c r="E62" s="2">
        <v>9.6</v>
      </c>
    </row>
    <row r="63" spans="1:5">
      <c r="A63" s="2" t="s">
        <v>264</v>
      </c>
      <c r="B63" s="2">
        <v>14</v>
      </c>
      <c r="C63" s="2" t="s">
        <v>7</v>
      </c>
      <c r="D63" s="2">
        <v>1.2</v>
      </c>
      <c r="E63" s="2">
        <v>9.3000000000000007</v>
      </c>
    </row>
    <row r="64" spans="1:5">
      <c r="A64" s="2" t="s">
        <v>265</v>
      </c>
      <c r="B64" s="2">
        <v>16</v>
      </c>
      <c r="C64" s="2" t="s">
        <v>7</v>
      </c>
      <c r="D64" s="2">
        <v>1.1000000000000001</v>
      </c>
      <c r="E64" s="2">
        <v>8.1999999999999993</v>
      </c>
    </row>
    <row r="65" spans="1:5">
      <c r="A65" s="2" t="s">
        <v>266</v>
      </c>
      <c r="B65" s="2">
        <v>15</v>
      </c>
      <c r="C65" s="2" t="s">
        <v>7</v>
      </c>
      <c r="D65" s="2">
        <v>1.1000000000000001</v>
      </c>
      <c r="E65" s="2">
        <v>7.9</v>
      </c>
    </row>
    <row r="66" spans="1:5">
      <c r="A66" s="2" t="s">
        <v>267</v>
      </c>
      <c r="B66" s="2">
        <v>14</v>
      </c>
      <c r="C66" s="2" t="s">
        <v>7</v>
      </c>
      <c r="D66" s="2">
        <v>1.4</v>
      </c>
      <c r="E66" s="2">
        <v>8.6</v>
      </c>
    </row>
    <row r="67" spans="1:5">
      <c r="A67" s="2" t="s">
        <v>268</v>
      </c>
      <c r="B67" s="2">
        <v>16</v>
      </c>
      <c r="C67" s="2" t="s">
        <v>7</v>
      </c>
      <c r="D67" s="2">
        <v>1.4</v>
      </c>
      <c r="E67" s="2">
        <v>9.6999999999999993</v>
      </c>
    </row>
    <row r="68" spans="1:5">
      <c r="A68" s="2" t="s">
        <v>269</v>
      </c>
      <c r="B68" s="2">
        <v>16</v>
      </c>
      <c r="C68" s="2" t="s">
        <v>7</v>
      </c>
      <c r="D68" s="2">
        <v>1.3</v>
      </c>
      <c r="E68" s="2">
        <v>7.4</v>
      </c>
    </row>
    <row r="69" spans="1:5">
      <c r="A69" s="2" t="s">
        <v>270</v>
      </c>
      <c r="B69" s="2">
        <v>16</v>
      </c>
      <c r="C69" s="2" t="s">
        <v>7</v>
      </c>
      <c r="D69" s="2">
        <v>1.4</v>
      </c>
      <c r="E69" s="2">
        <v>8</v>
      </c>
    </row>
    <row r="70" spans="1:5">
      <c r="A70" s="2" t="s">
        <v>271</v>
      </c>
      <c r="B70" s="2">
        <v>14</v>
      </c>
      <c r="C70" s="2" t="s">
        <v>7</v>
      </c>
      <c r="D70" s="2">
        <v>0.9</v>
      </c>
      <c r="E70" s="2">
        <v>8</v>
      </c>
    </row>
    <row r="71" spans="1:5">
      <c r="A71" s="2" t="s">
        <v>272</v>
      </c>
      <c r="B71" s="2">
        <v>16</v>
      </c>
      <c r="C71" s="2" t="s">
        <v>7</v>
      </c>
      <c r="D71" s="2">
        <v>1.6</v>
      </c>
      <c r="E71" s="2">
        <v>9.9</v>
      </c>
    </row>
    <row r="72" spans="1:5">
      <c r="A72" s="2" t="s">
        <v>273</v>
      </c>
      <c r="B72" s="2">
        <v>16</v>
      </c>
      <c r="C72" s="2" t="s">
        <v>7</v>
      </c>
      <c r="D72" s="2">
        <v>1.5</v>
      </c>
      <c r="E72" s="2">
        <v>8.8000000000000007</v>
      </c>
    </row>
    <row r="73" spans="1:5">
      <c r="A73" s="2" t="s">
        <v>274</v>
      </c>
      <c r="B73" s="2">
        <v>16</v>
      </c>
      <c r="C73" s="2" t="s">
        <v>7</v>
      </c>
      <c r="D73" s="2">
        <v>1.6</v>
      </c>
      <c r="E73" s="2">
        <v>10.1</v>
      </c>
    </row>
  </sheetData>
  <conditionalFormatting sqref="A2:A25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C9101-F52D-41BE-BD9B-D82EE8405A8D}">
  <dimension ref="A1:E94"/>
  <sheetViews>
    <sheetView workbookViewId="0">
      <selection sqref="A1:E1"/>
    </sheetView>
  </sheetViews>
  <sheetFormatPr defaultRowHeight="14.45"/>
  <cols>
    <col min="1" max="1" width="11.140625" customWidth="1"/>
    <col min="2" max="2" width="10.85546875" customWidth="1"/>
    <col min="3" max="3" width="11.28515625" customWidth="1"/>
    <col min="4" max="4" width="21.28515625" customWidth="1"/>
    <col min="5" max="5" width="20" customWidth="1"/>
  </cols>
  <sheetData>
    <row r="1" spans="1: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</row>
    <row r="2" spans="1:5">
      <c r="A2" s="2" t="s">
        <v>275</v>
      </c>
      <c r="B2" s="2">
        <v>16</v>
      </c>
      <c r="C2" s="2" t="s">
        <v>7</v>
      </c>
      <c r="D2" s="2">
        <v>1.4</v>
      </c>
      <c r="E2" s="2">
        <v>7.5</v>
      </c>
    </row>
    <row r="3" spans="1:5">
      <c r="A3" s="2" t="s">
        <v>276</v>
      </c>
      <c r="B3" s="2">
        <v>15</v>
      </c>
      <c r="C3" s="2" t="s">
        <v>7</v>
      </c>
      <c r="D3" s="2">
        <v>0.8</v>
      </c>
      <c r="E3" s="2">
        <v>6.2</v>
      </c>
    </row>
    <row r="4" spans="1:5">
      <c r="A4" s="2" t="s">
        <v>277</v>
      </c>
      <c r="B4" s="2">
        <v>16</v>
      </c>
      <c r="C4" s="2" t="s">
        <v>7</v>
      </c>
      <c r="D4" s="2">
        <v>1.6</v>
      </c>
      <c r="E4" s="2">
        <v>5.9</v>
      </c>
    </row>
    <row r="5" spans="1:5">
      <c r="A5" s="2" t="s">
        <v>278</v>
      </c>
      <c r="B5" s="2">
        <v>15</v>
      </c>
      <c r="C5" s="2" t="s">
        <v>7</v>
      </c>
      <c r="D5" s="2">
        <v>1.3</v>
      </c>
      <c r="E5" s="2">
        <v>5.8</v>
      </c>
    </row>
    <row r="6" spans="1:5">
      <c r="A6" s="2" t="s">
        <v>279</v>
      </c>
      <c r="B6" s="2">
        <v>14</v>
      </c>
      <c r="C6" s="2" t="s">
        <v>7</v>
      </c>
      <c r="D6" s="2">
        <v>0.7</v>
      </c>
      <c r="E6" s="2">
        <v>6.7</v>
      </c>
    </row>
    <row r="7" spans="1:5">
      <c r="A7" s="2" t="s">
        <v>280</v>
      </c>
      <c r="B7" s="2">
        <v>18</v>
      </c>
      <c r="C7" s="2" t="s">
        <v>7</v>
      </c>
      <c r="D7" s="2">
        <v>1.9</v>
      </c>
      <c r="E7" s="2">
        <v>9.8000000000000007</v>
      </c>
    </row>
    <row r="8" spans="1:5">
      <c r="A8" s="2" t="s">
        <v>281</v>
      </c>
      <c r="B8" s="2">
        <v>17</v>
      </c>
      <c r="C8" s="2" t="s">
        <v>7</v>
      </c>
      <c r="D8" s="2">
        <v>1.7</v>
      </c>
      <c r="E8" s="2">
        <v>8.5</v>
      </c>
    </row>
    <row r="9" spans="1:5">
      <c r="A9" s="2" t="s">
        <v>282</v>
      </c>
      <c r="B9" s="2">
        <v>16</v>
      </c>
      <c r="C9" s="2" t="s">
        <v>7</v>
      </c>
      <c r="D9" s="2">
        <v>1.4</v>
      </c>
      <c r="E9" s="2">
        <v>8.5</v>
      </c>
    </row>
    <row r="10" spans="1:5">
      <c r="A10" s="2" t="s">
        <v>283</v>
      </c>
      <c r="B10" s="2">
        <v>16</v>
      </c>
      <c r="C10" s="2" t="s">
        <v>7</v>
      </c>
      <c r="D10" s="2">
        <v>1.5</v>
      </c>
      <c r="E10" s="2">
        <v>7.2</v>
      </c>
    </row>
    <row r="11" spans="1:5">
      <c r="A11" s="2" t="s">
        <v>284</v>
      </c>
      <c r="B11" s="2">
        <v>16</v>
      </c>
      <c r="C11" s="2" t="s">
        <v>7</v>
      </c>
      <c r="D11" s="2">
        <v>1.3</v>
      </c>
      <c r="E11" s="2">
        <v>6.4</v>
      </c>
    </row>
    <row r="12" spans="1:5">
      <c r="A12" s="2" t="s">
        <v>285</v>
      </c>
      <c r="B12" s="2">
        <v>16</v>
      </c>
      <c r="C12" s="2" t="s">
        <v>7</v>
      </c>
      <c r="D12" s="2">
        <v>1.2</v>
      </c>
      <c r="E12" s="2">
        <v>6.7</v>
      </c>
    </row>
    <row r="13" spans="1:5">
      <c r="A13" s="2" t="s">
        <v>286</v>
      </c>
      <c r="B13" s="2">
        <v>17</v>
      </c>
      <c r="C13" s="2" t="s">
        <v>7</v>
      </c>
      <c r="D13" s="2">
        <v>1.1000000000000001</v>
      </c>
      <c r="E13" s="2">
        <v>6.4</v>
      </c>
    </row>
    <row r="14" spans="1:5">
      <c r="A14" s="2" t="s">
        <v>287</v>
      </c>
      <c r="B14" s="2">
        <v>16</v>
      </c>
      <c r="C14" s="2" t="s">
        <v>7</v>
      </c>
      <c r="D14" s="2">
        <v>1.6</v>
      </c>
      <c r="E14" s="2">
        <v>6.8</v>
      </c>
    </row>
    <row r="15" spans="1:5">
      <c r="A15" s="2" t="s">
        <v>288</v>
      </c>
      <c r="B15" s="2">
        <v>16</v>
      </c>
      <c r="C15" s="2" t="s">
        <v>7</v>
      </c>
      <c r="D15" s="2">
        <v>1.1000000000000001</v>
      </c>
      <c r="E15" s="2">
        <v>6.3</v>
      </c>
    </row>
    <row r="16" spans="1:5">
      <c r="A16" s="2" t="s">
        <v>289</v>
      </c>
      <c r="B16" s="2">
        <v>16</v>
      </c>
      <c r="C16" s="2" t="s">
        <v>7</v>
      </c>
      <c r="D16" s="2">
        <v>1.7</v>
      </c>
      <c r="E16" s="2">
        <v>5.6</v>
      </c>
    </row>
    <row r="17" spans="1:5">
      <c r="A17" s="2" t="s">
        <v>290</v>
      </c>
      <c r="B17" s="2">
        <v>16</v>
      </c>
      <c r="C17" s="2" t="s">
        <v>7</v>
      </c>
      <c r="D17" s="2">
        <v>1.1000000000000001</v>
      </c>
      <c r="E17" s="2">
        <v>6.6</v>
      </c>
    </row>
    <row r="18" spans="1:5">
      <c r="A18" s="2" t="s">
        <v>291</v>
      </c>
      <c r="B18" s="2">
        <v>16</v>
      </c>
      <c r="C18" s="2" t="s">
        <v>7</v>
      </c>
      <c r="D18" s="2">
        <v>1.1000000000000001</v>
      </c>
      <c r="E18" s="2">
        <v>5.5</v>
      </c>
    </row>
    <row r="19" spans="1:5">
      <c r="A19" s="2" t="s">
        <v>292</v>
      </c>
      <c r="B19" s="2">
        <v>15</v>
      </c>
      <c r="C19" s="2" t="s">
        <v>7</v>
      </c>
      <c r="D19" s="2">
        <v>1</v>
      </c>
      <c r="E19" s="2">
        <v>5.6</v>
      </c>
    </row>
    <row r="20" spans="1:5">
      <c r="A20" s="2" t="s">
        <v>293</v>
      </c>
      <c r="B20" s="2">
        <v>16</v>
      </c>
      <c r="C20" s="2" t="s">
        <v>28</v>
      </c>
      <c r="D20" s="2">
        <v>1.3</v>
      </c>
      <c r="E20" s="2">
        <v>8.1999999999999993</v>
      </c>
    </row>
    <row r="21" spans="1:5">
      <c r="A21" s="2" t="s">
        <v>294</v>
      </c>
      <c r="B21" s="2">
        <v>17</v>
      </c>
      <c r="C21" s="2" t="s">
        <v>28</v>
      </c>
      <c r="D21" s="2">
        <v>2</v>
      </c>
      <c r="E21" s="2">
        <v>8.6999999999999993</v>
      </c>
    </row>
    <row r="22" spans="1:5">
      <c r="A22" s="2" t="s">
        <v>295</v>
      </c>
      <c r="B22" s="2">
        <v>15</v>
      </c>
      <c r="C22" s="2" t="s">
        <v>28</v>
      </c>
      <c r="D22" s="2">
        <v>1.7</v>
      </c>
      <c r="E22" s="2">
        <v>8.5</v>
      </c>
    </row>
    <row r="23" spans="1:5">
      <c r="A23" s="2" t="s">
        <v>296</v>
      </c>
      <c r="B23" s="2">
        <v>17</v>
      </c>
      <c r="C23" s="2" t="s">
        <v>28</v>
      </c>
      <c r="D23" s="2">
        <v>1.8</v>
      </c>
      <c r="E23" s="2">
        <v>9</v>
      </c>
    </row>
    <row r="24" spans="1:5">
      <c r="A24" s="2" t="s">
        <v>297</v>
      </c>
      <c r="B24" s="2">
        <v>16</v>
      </c>
      <c r="C24" s="2" t="s">
        <v>28</v>
      </c>
      <c r="D24" s="2">
        <v>2</v>
      </c>
      <c r="E24" s="2">
        <v>8.1</v>
      </c>
    </row>
    <row r="25" spans="1:5">
      <c r="A25" s="2" t="s">
        <v>298</v>
      </c>
      <c r="B25" s="2">
        <v>18</v>
      </c>
      <c r="C25" s="2" t="s">
        <v>28</v>
      </c>
      <c r="D25" s="2">
        <v>1.6</v>
      </c>
      <c r="E25" s="2">
        <v>8</v>
      </c>
    </row>
    <row r="26" spans="1:5">
      <c r="A26" s="2" t="s">
        <v>299</v>
      </c>
      <c r="B26" s="2">
        <v>14</v>
      </c>
      <c r="C26" s="2" t="s">
        <v>28</v>
      </c>
      <c r="D26" s="2">
        <v>1.7</v>
      </c>
      <c r="E26" s="2">
        <v>7.8</v>
      </c>
    </row>
    <row r="27" spans="1:5">
      <c r="A27" s="2" t="s">
        <v>300</v>
      </c>
      <c r="B27" s="2">
        <v>15</v>
      </c>
      <c r="C27" s="2" t="s">
        <v>28</v>
      </c>
      <c r="D27" s="2">
        <v>1.2</v>
      </c>
      <c r="E27" s="2">
        <v>6.9</v>
      </c>
    </row>
    <row r="28" spans="1:5">
      <c r="A28" s="2"/>
      <c r="B28" s="2"/>
      <c r="C28" s="2"/>
      <c r="D28" s="2"/>
      <c r="E28" s="2"/>
    </row>
    <row r="29" spans="1:5">
      <c r="A29" s="2" t="s">
        <v>301</v>
      </c>
      <c r="B29" s="2">
        <v>17</v>
      </c>
      <c r="C29" s="2" t="s">
        <v>7</v>
      </c>
      <c r="D29" s="2">
        <v>1.5</v>
      </c>
      <c r="E29" s="2">
        <v>7.3</v>
      </c>
    </row>
    <row r="30" spans="1:5">
      <c r="A30" s="2" t="s">
        <v>302</v>
      </c>
      <c r="B30" s="2">
        <v>18</v>
      </c>
      <c r="C30" s="2" t="s">
        <v>7</v>
      </c>
      <c r="D30" s="2">
        <v>1.4</v>
      </c>
      <c r="E30" s="2">
        <v>8</v>
      </c>
    </row>
    <row r="31" spans="1:5">
      <c r="A31" s="2" t="s">
        <v>303</v>
      </c>
      <c r="B31" s="2">
        <v>16</v>
      </c>
      <c r="C31" s="2" t="s">
        <v>7</v>
      </c>
      <c r="D31" s="2">
        <v>1.6</v>
      </c>
      <c r="E31" s="2">
        <v>8</v>
      </c>
    </row>
    <row r="32" spans="1:5">
      <c r="A32" s="2" t="s">
        <v>304</v>
      </c>
      <c r="B32" s="2">
        <v>16</v>
      </c>
      <c r="C32" s="2" t="s">
        <v>7</v>
      </c>
      <c r="D32" s="2">
        <v>1.4</v>
      </c>
      <c r="E32" s="2">
        <v>10.1</v>
      </c>
    </row>
    <row r="33" spans="1:5">
      <c r="A33" s="2" t="s">
        <v>305</v>
      </c>
      <c r="B33" s="2">
        <v>16</v>
      </c>
      <c r="C33" s="2" t="s">
        <v>7</v>
      </c>
      <c r="D33" s="2">
        <v>1.6</v>
      </c>
      <c r="E33" s="2" t="s">
        <v>306</v>
      </c>
    </row>
    <row r="34" spans="1:5">
      <c r="A34" s="2" t="s">
        <v>307</v>
      </c>
      <c r="B34" s="2">
        <v>16</v>
      </c>
      <c r="C34" s="2" t="s">
        <v>7</v>
      </c>
      <c r="D34" s="2">
        <v>1.6</v>
      </c>
      <c r="E34" s="2">
        <v>10.3</v>
      </c>
    </row>
    <row r="35" spans="1:5">
      <c r="A35" s="2" t="s">
        <v>308</v>
      </c>
      <c r="B35" s="2">
        <v>16</v>
      </c>
      <c r="C35" s="2" t="s">
        <v>7</v>
      </c>
      <c r="D35" s="2">
        <v>2.1</v>
      </c>
      <c r="E35" s="2">
        <v>9</v>
      </c>
    </row>
    <row r="36" spans="1:5">
      <c r="A36" s="2" t="s">
        <v>309</v>
      </c>
      <c r="B36" s="2">
        <v>17</v>
      </c>
      <c r="C36" s="2" t="s">
        <v>7</v>
      </c>
      <c r="D36" s="2">
        <v>1.3</v>
      </c>
      <c r="E36" s="2">
        <v>7.5</v>
      </c>
    </row>
    <row r="37" spans="1:5">
      <c r="A37" s="2" t="s">
        <v>310</v>
      </c>
      <c r="B37" s="2">
        <v>16</v>
      </c>
      <c r="C37" s="2" t="s">
        <v>7</v>
      </c>
      <c r="D37" s="2">
        <v>1.6</v>
      </c>
      <c r="E37" s="2">
        <v>7.5</v>
      </c>
    </row>
    <row r="38" spans="1:5">
      <c r="A38" s="2" t="s">
        <v>311</v>
      </c>
      <c r="B38" s="2">
        <v>16</v>
      </c>
      <c r="C38" s="2" t="s">
        <v>7</v>
      </c>
      <c r="D38" s="2">
        <v>1.6</v>
      </c>
      <c r="E38" s="2">
        <v>7.5</v>
      </c>
    </row>
    <row r="39" spans="1:5">
      <c r="A39" s="2" t="s">
        <v>312</v>
      </c>
      <c r="B39" s="2">
        <v>17</v>
      </c>
      <c r="C39" s="2" t="s">
        <v>7</v>
      </c>
      <c r="D39" s="2">
        <v>1.3</v>
      </c>
      <c r="E39" s="2">
        <v>7.5</v>
      </c>
    </row>
    <row r="40" spans="1:5">
      <c r="A40" s="2" t="s">
        <v>313</v>
      </c>
      <c r="B40" s="2">
        <v>16</v>
      </c>
      <c r="C40" s="2" t="s">
        <v>28</v>
      </c>
      <c r="D40" s="2">
        <v>1.5</v>
      </c>
      <c r="E40" s="2">
        <v>10.8</v>
      </c>
    </row>
    <row r="41" spans="1:5">
      <c r="A41" s="2" t="s">
        <v>314</v>
      </c>
      <c r="B41" s="2">
        <v>15</v>
      </c>
      <c r="C41" s="2" t="s">
        <v>28</v>
      </c>
      <c r="D41" s="2">
        <v>1.9</v>
      </c>
      <c r="E41" s="2">
        <v>8.6999999999999993</v>
      </c>
    </row>
    <row r="42" spans="1:5">
      <c r="A42" s="2" t="s">
        <v>315</v>
      </c>
      <c r="B42" s="2">
        <v>16</v>
      </c>
      <c r="C42" s="2" t="s">
        <v>28</v>
      </c>
      <c r="D42" s="2">
        <v>1.8</v>
      </c>
      <c r="E42" s="2">
        <v>9.1</v>
      </c>
    </row>
    <row r="43" spans="1:5">
      <c r="A43" s="2"/>
      <c r="B43" s="2"/>
      <c r="C43" s="2"/>
      <c r="D43" s="2"/>
      <c r="E43" s="2"/>
    </row>
    <row r="44" spans="1:5">
      <c r="A44" s="2" t="s">
        <v>316</v>
      </c>
      <c r="B44" s="2">
        <v>16</v>
      </c>
      <c r="C44" s="2" t="s">
        <v>7</v>
      </c>
      <c r="D44" s="2">
        <v>1.2</v>
      </c>
      <c r="E44" s="2">
        <v>6.8</v>
      </c>
    </row>
    <row r="45" spans="1:5">
      <c r="A45" s="2" t="s">
        <v>317</v>
      </c>
      <c r="B45" s="2">
        <v>16</v>
      </c>
      <c r="C45" s="2" t="s">
        <v>7</v>
      </c>
      <c r="D45" s="2">
        <v>0.7</v>
      </c>
      <c r="E45" s="2">
        <v>6.5</v>
      </c>
    </row>
    <row r="46" spans="1:5">
      <c r="A46" s="2"/>
      <c r="B46" s="2"/>
      <c r="C46" s="2"/>
      <c r="D46" s="2"/>
      <c r="E46" s="2"/>
    </row>
    <row r="47" spans="1:5">
      <c r="A47" s="2" t="s">
        <v>318</v>
      </c>
      <c r="B47" s="2">
        <v>16</v>
      </c>
      <c r="C47" s="2" t="s">
        <v>7</v>
      </c>
      <c r="D47" s="2">
        <v>1.2</v>
      </c>
      <c r="E47" s="2">
        <v>6.7</v>
      </c>
    </row>
    <row r="48" spans="1:5">
      <c r="A48" s="2" t="s">
        <v>319</v>
      </c>
      <c r="B48" s="2">
        <v>17</v>
      </c>
      <c r="C48" s="2" t="s">
        <v>7</v>
      </c>
      <c r="D48" s="2">
        <v>1.6</v>
      </c>
      <c r="E48" s="2">
        <v>7.4</v>
      </c>
    </row>
    <row r="49" spans="1:5">
      <c r="A49" s="2" t="s">
        <v>320</v>
      </c>
      <c r="B49" s="2">
        <v>17</v>
      </c>
      <c r="C49" s="2" t="s">
        <v>7</v>
      </c>
      <c r="D49" s="2">
        <v>1.1000000000000001</v>
      </c>
      <c r="E49" s="2">
        <v>7</v>
      </c>
    </row>
    <row r="50" spans="1:5">
      <c r="A50" s="2" t="s">
        <v>321</v>
      </c>
      <c r="B50" s="2">
        <v>14</v>
      </c>
      <c r="C50" s="2" t="s">
        <v>7</v>
      </c>
      <c r="D50" s="2">
        <v>1.3</v>
      </c>
      <c r="E50" s="2">
        <v>7</v>
      </c>
    </row>
    <row r="51" spans="1:5">
      <c r="A51" s="2" t="s">
        <v>322</v>
      </c>
      <c r="B51" s="2">
        <v>16</v>
      </c>
      <c r="C51" s="2" t="s">
        <v>7</v>
      </c>
      <c r="D51" s="2">
        <v>1.2</v>
      </c>
      <c r="E51" s="2">
        <v>6.5</v>
      </c>
    </row>
    <row r="52" spans="1:5">
      <c r="A52" s="2"/>
      <c r="B52" s="2"/>
      <c r="C52" s="2"/>
      <c r="D52" s="2"/>
      <c r="E52" s="2"/>
    </row>
    <row r="53" spans="1:5">
      <c r="A53" s="2" t="s">
        <v>323</v>
      </c>
      <c r="B53" s="2">
        <v>17</v>
      </c>
      <c r="C53" s="2" t="s">
        <v>7</v>
      </c>
      <c r="D53" s="2">
        <v>1.2</v>
      </c>
      <c r="E53" s="2">
        <v>7.4</v>
      </c>
    </row>
    <row r="54" spans="1:5">
      <c r="A54" s="2" t="s">
        <v>253</v>
      </c>
      <c r="B54" s="2">
        <v>16</v>
      </c>
      <c r="C54" s="2" t="s">
        <v>7</v>
      </c>
      <c r="D54" s="2">
        <v>1.3</v>
      </c>
      <c r="E54" s="2">
        <v>6.7</v>
      </c>
    </row>
    <row r="55" spans="1:5">
      <c r="A55" s="2" t="s">
        <v>324</v>
      </c>
      <c r="B55" s="2">
        <v>15</v>
      </c>
      <c r="C55" s="2" t="s">
        <v>7</v>
      </c>
      <c r="D55" s="2">
        <v>1.3</v>
      </c>
      <c r="E55" s="2">
        <v>6.1</v>
      </c>
    </row>
    <row r="56" spans="1:5">
      <c r="A56" s="2" t="s">
        <v>325</v>
      </c>
      <c r="B56" s="2">
        <v>16</v>
      </c>
      <c r="C56" s="2" t="s">
        <v>7</v>
      </c>
      <c r="D56" s="2">
        <v>0.9</v>
      </c>
      <c r="E56" s="2">
        <v>7.4</v>
      </c>
    </row>
    <row r="57" spans="1:5">
      <c r="A57" s="2" t="s">
        <v>326</v>
      </c>
      <c r="B57" s="2">
        <v>17</v>
      </c>
      <c r="C57" s="2" t="s">
        <v>7</v>
      </c>
      <c r="D57" s="2">
        <v>1.3</v>
      </c>
      <c r="E57" s="2">
        <v>6.3</v>
      </c>
    </row>
    <row r="58" spans="1:5">
      <c r="A58" s="2" t="s">
        <v>327</v>
      </c>
      <c r="B58" s="2">
        <v>16</v>
      </c>
      <c r="C58" s="2" t="s">
        <v>7</v>
      </c>
      <c r="D58" s="2">
        <v>1.5</v>
      </c>
      <c r="E58" s="2">
        <v>6.4</v>
      </c>
    </row>
    <row r="59" spans="1:5">
      <c r="A59" s="2" t="s">
        <v>328</v>
      </c>
      <c r="B59" s="2">
        <v>16</v>
      </c>
      <c r="C59" s="2" t="s">
        <v>28</v>
      </c>
      <c r="D59" s="2">
        <v>1.1000000000000001</v>
      </c>
      <c r="E59" s="2">
        <v>6.3</v>
      </c>
    </row>
    <row r="60" spans="1:5">
      <c r="A60" s="2" t="s">
        <v>329</v>
      </c>
      <c r="B60" s="2">
        <v>16</v>
      </c>
      <c r="C60" s="2" t="s">
        <v>28</v>
      </c>
      <c r="D60" s="2">
        <v>1.5</v>
      </c>
      <c r="E60" s="2">
        <v>7.4</v>
      </c>
    </row>
    <row r="61" spans="1:5">
      <c r="A61" s="2" t="s">
        <v>330</v>
      </c>
      <c r="B61" s="2">
        <v>18</v>
      </c>
      <c r="C61" s="2" t="s">
        <v>28</v>
      </c>
      <c r="D61" s="2">
        <v>1.2</v>
      </c>
      <c r="E61" s="2">
        <v>5.4</v>
      </c>
    </row>
    <row r="62" spans="1:5">
      <c r="A62" s="2" t="s">
        <v>331</v>
      </c>
      <c r="B62" s="2">
        <v>15</v>
      </c>
      <c r="C62" s="2" t="s">
        <v>28</v>
      </c>
      <c r="D62" s="2">
        <v>0.6</v>
      </c>
      <c r="E62" s="2">
        <v>6.4</v>
      </c>
    </row>
    <row r="63" spans="1:5">
      <c r="A63" s="2" t="s">
        <v>332</v>
      </c>
      <c r="B63" s="2">
        <v>16</v>
      </c>
      <c r="C63" s="2" t="s">
        <v>28</v>
      </c>
      <c r="D63" s="2">
        <v>1.1000000000000001</v>
      </c>
      <c r="E63" s="2">
        <v>7.5</v>
      </c>
    </row>
    <row r="64" spans="1:5">
      <c r="A64" s="2" t="s">
        <v>333</v>
      </c>
      <c r="B64" s="2">
        <v>17</v>
      </c>
      <c r="C64" s="2" t="s">
        <v>28</v>
      </c>
      <c r="D64" s="2">
        <v>1.2</v>
      </c>
      <c r="E64" s="2">
        <v>6.9</v>
      </c>
    </row>
    <row r="65" spans="1:5">
      <c r="A65" s="2"/>
      <c r="B65" s="2"/>
      <c r="C65" s="2"/>
      <c r="D65" s="2"/>
      <c r="E65" s="2"/>
    </row>
    <row r="66" spans="1:5">
      <c r="A66" s="2" t="s">
        <v>334</v>
      </c>
      <c r="B66" s="2">
        <v>16</v>
      </c>
      <c r="C66" s="2" t="s">
        <v>7</v>
      </c>
      <c r="D66" s="2">
        <v>1.5</v>
      </c>
      <c r="E66" s="2">
        <v>7.4</v>
      </c>
    </row>
    <row r="67" spans="1:5">
      <c r="A67" s="2" t="s">
        <v>335</v>
      </c>
      <c r="B67" s="2">
        <v>16</v>
      </c>
      <c r="C67" s="2" t="s">
        <v>7</v>
      </c>
      <c r="D67" s="2">
        <v>1.6</v>
      </c>
      <c r="E67" s="2">
        <v>8.9</v>
      </c>
    </row>
    <row r="68" spans="1:5">
      <c r="A68" s="2" t="s">
        <v>336</v>
      </c>
      <c r="B68" s="2">
        <v>16</v>
      </c>
      <c r="C68" s="2" t="s">
        <v>7</v>
      </c>
      <c r="D68" s="2">
        <v>1.1000000000000001</v>
      </c>
      <c r="E68" s="2">
        <v>8.6</v>
      </c>
    </row>
    <row r="69" spans="1:5">
      <c r="A69" s="2" t="s">
        <v>337</v>
      </c>
      <c r="B69" s="2">
        <v>16</v>
      </c>
      <c r="C69" s="2" t="s">
        <v>28</v>
      </c>
      <c r="D69" s="2">
        <v>1.5</v>
      </c>
      <c r="E69" s="2">
        <v>8.1999999999999993</v>
      </c>
    </row>
    <row r="70" spans="1:5">
      <c r="A70" s="2" t="s">
        <v>338</v>
      </c>
      <c r="B70" s="2">
        <v>15</v>
      </c>
      <c r="C70" s="2" t="s">
        <v>28</v>
      </c>
      <c r="D70" s="2">
        <v>1.2</v>
      </c>
      <c r="E70" s="2">
        <v>7.9</v>
      </c>
    </row>
    <row r="71" spans="1:5">
      <c r="A71" s="2" t="s">
        <v>339</v>
      </c>
      <c r="B71" s="2">
        <v>16</v>
      </c>
      <c r="C71" s="2" t="s">
        <v>7</v>
      </c>
      <c r="D71" s="2">
        <v>1.5</v>
      </c>
      <c r="E71" s="2">
        <v>7.9</v>
      </c>
    </row>
    <row r="72" spans="1:5">
      <c r="A72" s="2" t="s">
        <v>340</v>
      </c>
      <c r="B72" s="2">
        <v>16</v>
      </c>
      <c r="C72" s="2" t="s">
        <v>7</v>
      </c>
      <c r="D72" s="2">
        <v>1.6</v>
      </c>
      <c r="E72" s="2">
        <v>8.6</v>
      </c>
    </row>
    <row r="73" spans="1:5">
      <c r="A73" s="2" t="s">
        <v>341</v>
      </c>
      <c r="B73" s="2">
        <v>15</v>
      </c>
      <c r="C73" s="2" t="s">
        <v>7</v>
      </c>
      <c r="D73" s="2">
        <v>1.2</v>
      </c>
      <c r="E73" s="2">
        <v>8.1</v>
      </c>
    </row>
    <row r="74" spans="1:5">
      <c r="A74" s="2" t="s">
        <v>342</v>
      </c>
      <c r="B74" s="2">
        <v>15</v>
      </c>
      <c r="C74" s="2" t="s">
        <v>7</v>
      </c>
      <c r="D74" s="2">
        <v>1</v>
      </c>
      <c r="E74" s="2">
        <v>7.8</v>
      </c>
    </row>
    <row r="75" spans="1:5">
      <c r="A75" s="2" t="s">
        <v>343</v>
      </c>
      <c r="B75" s="2">
        <v>16</v>
      </c>
      <c r="C75" s="2" t="s">
        <v>7</v>
      </c>
      <c r="D75" s="2">
        <v>1.7</v>
      </c>
      <c r="E75" s="2">
        <v>8.1999999999999993</v>
      </c>
    </row>
    <row r="76" spans="1:5">
      <c r="A76" s="2" t="s">
        <v>344</v>
      </c>
      <c r="B76" s="2">
        <v>18</v>
      </c>
      <c r="C76" s="2" t="s">
        <v>7</v>
      </c>
      <c r="D76" s="2">
        <v>1.9</v>
      </c>
      <c r="E76" s="2">
        <v>8.8000000000000007</v>
      </c>
    </row>
    <row r="77" spans="1:5">
      <c r="A77" s="2" t="s">
        <v>345</v>
      </c>
      <c r="B77" s="2">
        <v>16</v>
      </c>
      <c r="C77" s="2" t="s">
        <v>7</v>
      </c>
      <c r="D77" s="2">
        <v>0.9</v>
      </c>
      <c r="E77" s="2">
        <v>7</v>
      </c>
    </row>
    <row r="78" spans="1:5">
      <c r="A78" s="4"/>
      <c r="B78" s="4"/>
      <c r="C78" s="4"/>
      <c r="D78" s="4"/>
      <c r="E78" s="4"/>
    </row>
    <row r="79" spans="1:5">
      <c r="A79" s="4"/>
      <c r="B79" s="4"/>
      <c r="C79" s="4"/>
      <c r="D79" s="4"/>
      <c r="E79" s="4"/>
    </row>
    <row r="80" spans="1:5">
      <c r="A80" s="4"/>
      <c r="B80" s="4"/>
      <c r="C80" s="4"/>
      <c r="D80" s="4"/>
      <c r="E80" s="4"/>
    </row>
    <row r="81" spans="1:5">
      <c r="A81" s="4"/>
      <c r="B81" s="4"/>
      <c r="C81" s="4"/>
      <c r="D81" s="4"/>
      <c r="E81" s="4"/>
    </row>
    <row r="82" spans="1:5">
      <c r="A82" s="4"/>
      <c r="B82" s="4"/>
      <c r="C82" s="4"/>
      <c r="D82" s="4"/>
      <c r="E82" s="4"/>
    </row>
    <row r="83" spans="1:5">
      <c r="A83" s="4"/>
      <c r="B83" s="4"/>
      <c r="C83" s="4"/>
      <c r="D83" s="4"/>
      <c r="E83" s="4"/>
    </row>
    <row r="84" spans="1:5">
      <c r="A84" s="4"/>
      <c r="B84" s="4"/>
      <c r="C84" s="4"/>
      <c r="D84" s="4"/>
      <c r="E84" s="4"/>
    </row>
    <row r="85" spans="1:5">
      <c r="A85" s="4"/>
      <c r="B85" s="4"/>
      <c r="C85" s="4"/>
      <c r="D85" s="4"/>
      <c r="E85" s="4"/>
    </row>
    <row r="86" spans="1:5">
      <c r="A86" s="4"/>
      <c r="B86" s="4"/>
      <c r="C86" s="4"/>
      <c r="D86" s="4"/>
      <c r="E86" s="4"/>
    </row>
    <row r="87" spans="1:5">
      <c r="A87" s="4"/>
      <c r="B87" s="4"/>
      <c r="C87" s="4"/>
      <c r="D87" s="4"/>
      <c r="E87" s="4"/>
    </row>
    <row r="88" spans="1:5">
      <c r="A88" s="4"/>
      <c r="B88" s="4"/>
      <c r="C88" s="4"/>
      <c r="D88" s="4"/>
      <c r="E88" s="4"/>
    </row>
    <row r="89" spans="1:5">
      <c r="A89" s="4"/>
      <c r="B89" s="4"/>
      <c r="C89" s="4"/>
      <c r="D89" s="4"/>
      <c r="E89" s="4"/>
    </row>
    <row r="90" spans="1:5">
      <c r="A90" s="4"/>
      <c r="B90" s="4"/>
      <c r="C90" s="4"/>
      <c r="D90" s="4"/>
      <c r="E90" s="4"/>
    </row>
    <row r="91" spans="1:5">
      <c r="A91" s="4"/>
      <c r="B91" s="4"/>
      <c r="C91" s="4"/>
      <c r="D91" s="4"/>
      <c r="E91" s="4"/>
    </row>
    <row r="92" spans="1:5">
      <c r="A92" s="4"/>
      <c r="B92" s="4"/>
      <c r="C92" s="4"/>
      <c r="D92" s="4"/>
      <c r="E92" s="4"/>
    </row>
    <row r="93" spans="1:5">
      <c r="A93" s="4"/>
      <c r="B93" s="4"/>
      <c r="C93" s="4"/>
      <c r="D93" s="4"/>
      <c r="E93" s="4"/>
    </row>
    <row r="94" spans="1:5">
      <c r="A94" s="4"/>
      <c r="B94" s="4"/>
      <c r="C94" s="4"/>
      <c r="D94" s="4"/>
      <c r="E94" s="4"/>
    </row>
  </sheetData>
  <conditionalFormatting sqref="A2:A28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D5B8D-EA61-4213-A0D5-94B33634F11D}">
  <dimension ref="A1:E77"/>
  <sheetViews>
    <sheetView workbookViewId="0">
      <pane ySplit="1" topLeftCell="A47" activePane="bottomLeft" state="frozen"/>
      <selection pane="bottomLeft" sqref="A1:E77"/>
    </sheetView>
  </sheetViews>
  <sheetFormatPr defaultRowHeight="14.45"/>
  <cols>
    <col min="1" max="1" width="12" customWidth="1"/>
    <col min="2" max="2" width="12.28515625" customWidth="1"/>
    <col min="3" max="3" width="11.28515625" customWidth="1"/>
    <col min="4" max="4" width="26.7109375" customWidth="1"/>
    <col min="5" max="5" width="36.140625" customWidth="1"/>
  </cols>
  <sheetData>
    <row r="1" spans="1: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</row>
    <row r="2" spans="1:5">
      <c r="A2" s="2" t="s">
        <v>346</v>
      </c>
      <c r="B2" s="2">
        <v>17</v>
      </c>
      <c r="C2" s="2" t="s">
        <v>7</v>
      </c>
      <c r="D2" s="2">
        <v>1.8</v>
      </c>
      <c r="E2" s="2">
        <v>6.7</v>
      </c>
    </row>
    <row r="3" spans="1:5">
      <c r="A3" s="2" t="s">
        <v>347</v>
      </c>
      <c r="B3" s="2">
        <v>17</v>
      </c>
      <c r="C3" s="2" t="s">
        <v>7</v>
      </c>
      <c r="D3" s="2">
        <v>0.8</v>
      </c>
      <c r="E3" s="2">
        <v>6.1</v>
      </c>
    </row>
    <row r="4" spans="1:5">
      <c r="A4" s="2" t="s">
        <v>348</v>
      </c>
      <c r="B4" s="2">
        <v>17</v>
      </c>
      <c r="C4" s="2" t="s">
        <v>7</v>
      </c>
      <c r="D4" s="2">
        <v>1.4</v>
      </c>
      <c r="E4" s="2">
        <v>5.6</v>
      </c>
    </row>
    <row r="5" spans="1:5">
      <c r="A5" s="2" t="s">
        <v>349</v>
      </c>
      <c r="B5" s="2">
        <v>17</v>
      </c>
      <c r="C5" s="2" t="s">
        <v>7</v>
      </c>
      <c r="D5" s="2">
        <v>1.4</v>
      </c>
      <c r="E5" s="2">
        <v>6.5</v>
      </c>
    </row>
    <row r="6" spans="1:5">
      <c r="A6" s="2" t="s">
        <v>350</v>
      </c>
      <c r="B6" s="2">
        <v>16</v>
      </c>
      <c r="C6" s="2" t="s">
        <v>7</v>
      </c>
      <c r="D6" s="2">
        <v>1.3</v>
      </c>
      <c r="E6" s="2">
        <v>6.3</v>
      </c>
    </row>
    <row r="7" spans="1:5">
      <c r="A7" s="2" t="s">
        <v>351</v>
      </c>
      <c r="B7" s="2">
        <v>15</v>
      </c>
      <c r="C7" s="2" t="s">
        <v>7</v>
      </c>
      <c r="D7" s="2">
        <v>1.1000000000000001</v>
      </c>
      <c r="E7" s="2">
        <v>6.3</v>
      </c>
    </row>
    <row r="8" spans="1:5">
      <c r="A8" s="2" t="s">
        <v>352</v>
      </c>
      <c r="B8" s="2">
        <v>14</v>
      </c>
      <c r="C8" s="2" t="s">
        <v>7</v>
      </c>
      <c r="D8" s="2">
        <v>1.3</v>
      </c>
      <c r="E8" s="2">
        <v>5</v>
      </c>
    </row>
    <row r="9" spans="1:5">
      <c r="A9" s="2" t="s">
        <v>353</v>
      </c>
      <c r="B9" s="2">
        <v>17</v>
      </c>
      <c r="C9" s="2" t="s">
        <v>7</v>
      </c>
      <c r="D9" s="2">
        <v>1.2</v>
      </c>
      <c r="E9" s="2">
        <v>5.5</v>
      </c>
    </row>
    <row r="10" spans="1:5">
      <c r="A10" s="2" t="s">
        <v>354</v>
      </c>
      <c r="B10" s="2">
        <v>16</v>
      </c>
      <c r="C10" s="2" t="s">
        <v>7</v>
      </c>
      <c r="D10" s="2">
        <v>1.2</v>
      </c>
      <c r="E10" s="2">
        <v>5</v>
      </c>
    </row>
    <row r="11" spans="1:5">
      <c r="A11" s="2" t="s">
        <v>355</v>
      </c>
      <c r="B11" s="2">
        <v>15</v>
      </c>
      <c r="C11" s="2" t="s">
        <v>7</v>
      </c>
      <c r="D11" s="2">
        <v>1.4</v>
      </c>
      <c r="E11" s="2">
        <v>6.3</v>
      </c>
    </row>
    <row r="12" spans="1:5">
      <c r="A12" s="2" t="s">
        <v>356</v>
      </c>
      <c r="B12" s="2">
        <v>16</v>
      </c>
      <c r="C12" s="2" t="s">
        <v>7</v>
      </c>
      <c r="D12" s="2">
        <v>1.4</v>
      </c>
      <c r="E12" s="2">
        <v>5.8</v>
      </c>
    </row>
    <row r="13" spans="1:5">
      <c r="A13" s="2" t="s">
        <v>357</v>
      </c>
      <c r="B13" s="2">
        <v>16</v>
      </c>
      <c r="C13" s="2" t="s">
        <v>7</v>
      </c>
      <c r="D13" s="2">
        <v>1.1000000000000001</v>
      </c>
      <c r="E13" s="2">
        <v>6.9</v>
      </c>
    </row>
    <row r="14" spans="1:5">
      <c r="A14" s="2" t="s">
        <v>358</v>
      </c>
      <c r="B14" s="2">
        <v>16</v>
      </c>
      <c r="C14" s="2" t="s">
        <v>7</v>
      </c>
      <c r="D14" s="2">
        <v>1.5</v>
      </c>
      <c r="E14" s="2">
        <v>5.7</v>
      </c>
    </row>
    <row r="15" spans="1:5">
      <c r="A15" s="2" t="s">
        <v>359</v>
      </c>
      <c r="B15" s="2">
        <v>16</v>
      </c>
      <c r="C15" s="2" t="s">
        <v>7</v>
      </c>
      <c r="D15" s="2">
        <v>1.3</v>
      </c>
      <c r="E15" s="2">
        <v>5.6</v>
      </c>
    </row>
    <row r="16" spans="1:5">
      <c r="A16" s="2" t="s">
        <v>360</v>
      </c>
      <c r="B16" s="2">
        <v>16</v>
      </c>
      <c r="C16" s="2" t="s">
        <v>7</v>
      </c>
      <c r="D16" s="2">
        <v>1.4</v>
      </c>
      <c r="E16" s="2">
        <v>5.9</v>
      </c>
    </row>
    <row r="17" spans="1:5">
      <c r="A17" s="2" t="s">
        <v>361</v>
      </c>
      <c r="B17" s="2">
        <v>16</v>
      </c>
      <c r="C17" s="2" t="s">
        <v>7</v>
      </c>
      <c r="D17" s="2">
        <v>1</v>
      </c>
      <c r="E17" s="2">
        <v>4.8</v>
      </c>
    </row>
    <row r="18" spans="1:5">
      <c r="A18" s="2" t="s">
        <v>362</v>
      </c>
      <c r="B18" s="2">
        <v>17</v>
      </c>
      <c r="C18" s="2" t="s">
        <v>7</v>
      </c>
      <c r="D18" s="2">
        <v>1.1000000000000001</v>
      </c>
      <c r="E18" s="2">
        <v>5.4</v>
      </c>
    </row>
    <row r="19" spans="1:5">
      <c r="A19" s="2" t="s">
        <v>363</v>
      </c>
      <c r="B19" s="2">
        <v>16</v>
      </c>
      <c r="C19" s="2" t="s">
        <v>7</v>
      </c>
      <c r="D19" s="2">
        <v>0.8</v>
      </c>
      <c r="E19" s="2">
        <v>6.9</v>
      </c>
    </row>
    <row r="20" spans="1:5">
      <c r="A20" s="2" t="s">
        <v>364</v>
      </c>
      <c r="B20" s="2">
        <v>17</v>
      </c>
      <c r="C20" s="2" t="s">
        <v>7</v>
      </c>
      <c r="D20" s="2">
        <v>1.5</v>
      </c>
      <c r="E20" s="2">
        <v>5.7</v>
      </c>
    </row>
    <row r="21" spans="1:5">
      <c r="A21" s="2" t="s">
        <v>365</v>
      </c>
      <c r="B21" s="2">
        <v>16</v>
      </c>
      <c r="C21" s="2" t="s">
        <v>7</v>
      </c>
      <c r="D21" s="2">
        <v>0.8</v>
      </c>
      <c r="E21" s="2">
        <v>5.0999999999999996</v>
      </c>
    </row>
    <row r="22" spans="1:5">
      <c r="A22" s="2" t="s">
        <v>366</v>
      </c>
      <c r="B22" s="2">
        <v>16</v>
      </c>
      <c r="C22" s="2" t="s">
        <v>7</v>
      </c>
      <c r="D22" s="2">
        <v>0.8</v>
      </c>
      <c r="E22" s="2">
        <v>5</v>
      </c>
    </row>
    <row r="23" spans="1:5">
      <c r="A23" s="2" t="s">
        <v>367</v>
      </c>
      <c r="B23" s="2">
        <v>15</v>
      </c>
      <c r="C23" s="2" t="s">
        <v>7</v>
      </c>
      <c r="D23" s="2">
        <v>1.6</v>
      </c>
      <c r="E23" s="2">
        <v>6.9</v>
      </c>
    </row>
    <row r="24" spans="1:5">
      <c r="A24" s="2" t="s">
        <v>368</v>
      </c>
      <c r="B24" s="2">
        <v>17</v>
      </c>
      <c r="C24" s="2" t="s">
        <v>28</v>
      </c>
      <c r="D24" s="2">
        <v>1.4</v>
      </c>
      <c r="E24" s="2">
        <v>7.6</v>
      </c>
    </row>
    <row r="25" spans="1:5">
      <c r="A25" s="2" t="s">
        <v>369</v>
      </c>
      <c r="B25" s="2">
        <v>16</v>
      </c>
      <c r="C25" s="2" t="s">
        <v>28</v>
      </c>
      <c r="D25" s="2">
        <v>1.9</v>
      </c>
      <c r="E25" s="2">
        <v>8.5</v>
      </c>
    </row>
    <row r="26" spans="1:5">
      <c r="A26" s="2" t="s">
        <v>370</v>
      </c>
      <c r="B26" s="2">
        <v>16</v>
      </c>
      <c r="C26" s="2" t="s">
        <v>28</v>
      </c>
      <c r="D26" s="2">
        <v>1.3</v>
      </c>
      <c r="E26" s="2">
        <v>8.6</v>
      </c>
    </row>
    <row r="27" spans="1:5">
      <c r="A27" s="2" t="s">
        <v>371</v>
      </c>
      <c r="B27" s="2">
        <v>15</v>
      </c>
      <c r="C27" s="2" t="s">
        <v>28</v>
      </c>
      <c r="D27" s="2">
        <v>1.3</v>
      </c>
      <c r="E27" s="2">
        <v>7.5</v>
      </c>
    </row>
    <row r="28" spans="1:5">
      <c r="A28" s="2"/>
      <c r="B28" s="2"/>
      <c r="C28" s="2"/>
      <c r="D28" s="2"/>
      <c r="E28" s="2"/>
    </row>
    <row r="29" spans="1:5">
      <c r="A29" s="2" t="s">
        <v>372</v>
      </c>
      <c r="B29" s="2">
        <v>14</v>
      </c>
      <c r="C29" s="2" t="s">
        <v>7</v>
      </c>
      <c r="D29" s="2">
        <v>1.3</v>
      </c>
      <c r="E29" s="2">
        <v>8.6</v>
      </c>
    </row>
    <row r="30" spans="1:5">
      <c r="A30" s="2" t="s">
        <v>373</v>
      </c>
      <c r="B30" s="2">
        <v>18</v>
      </c>
      <c r="C30" s="2" t="s">
        <v>7</v>
      </c>
      <c r="D30" s="2">
        <v>1.3</v>
      </c>
      <c r="E30" s="2">
        <v>10.8</v>
      </c>
    </row>
    <row r="31" spans="1:5">
      <c r="A31" s="2" t="s">
        <v>374</v>
      </c>
      <c r="B31" s="2">
        <v>19</v>
      </c>
      <c r="C31" s="2" t="s">
        <v>7</v>
      </c>
      <c r="D31" s="2">
        <v>2.2000000000000002</v>
      </c>
      <c r="E31" s="2">
        <v>9.1999999999999993</v>
      </c>
    </row>
    <row r="32" spans="1:5">
      <c r="A32" s="2" t="s">
        <v>375</v>
      </c>
      <c r="B32" s="2">
        <v>15</v>
      </c>
      <c r="C32" s="2" t="s">
        <v>7</v>
      </c>
      <c r="D32" s="2">
        <v>1.4</v>
      </c>
      <c r="E32" s="2">
        <v>8.6</v>
      </c>
    </row>
    <row r="33" spans="1:5">
      <c r="A33" s="2" t="s">
        <v>376</v>
      </c>
      <c r="B33" s="2">
        <v>16</v>
      </c>
      <c r="C33" s="2" t="s">
        <v>7</v>
      </c>
      <c r="D33" s="2">
        <v>1.6</v>
      </c>
      <c r="E33" s="2">
        <v>8.8000000000000007</v>
      </c>
    </row>
    <row r="34" spans="1:5">
      <c r="A34" s="2" t="s">
        <v>307</v>
      </c>
      <c r="B34" s="2">
        <v>15</v>
      </c>
      <c r="C34" s="2" t="s">
        <v>7</v>
      </c>
      <c r="D34" s="2">
        <v>1.7</v>
      </c>
      <c r="E34" s="2">
        <v>10.1</v>
      </c>
    </row>
    <row r="35" spans="1:5">
      <c r="A35" s="2" t="s">
        <v>377</v>
      </c>
      <c r="B35" s="2">
        <v>16</v>
      </c>
      <c r="C35" s="2" t="s">
        <v>7</v>
      </c>
      <c r="D35" s="2">
        <v>1.3</v>
      </c>
      <c r="E35" s="2">
        <v>9.1</v>
      </c>
    </row>
    <row r="36" spans="1:5">
      <c r="A36" s="2" t="s">
        <v>378</v>
      </c>
      <c r="B36" s="2">
        <v>18</v>
      </c>
      <c r="C36" s="2" t="s">
        <v>7</v>
      </c>
      <c r="D36" s="2">
        <v>1.7</v>
      </c>
      <c r="E36" s="2">
        <v>10.1</v>
      </c>
    </row>
    <row r="37" spans="1:5">
      <c r="A37" s="2" t="s">
        <v>379</v>
      </c>
      <c r="B37" s="2">
        <v>16</v>
      </c>
      <c r="C37" s="2" t="s">
        <v>7</v>
      </c>
      <c r="D37" s="2">
        <v>1.6</v>
      </c>
      <c r="E37" s="2">
        <v>9.6</v>
      </c>
    </row>
    <row r="38" spans="1:5">
      <c r="A38" s="2" t="s">
        <v>380</v>
      </c>
      <c r="B38" s="2">
        <v>18</v>
      </c>
      <c r="C38" s="2" t="s">
        <v>7</v>
      </c>
      <c r="D38" s="2">
        <v>1.7</v>
      </c>
      <c r="E38" s="2">
        <v>11.6</v>
      </c>
    </row>
    <row r="39" spans="1:5">
      <c r="A39" s="2" t="s">
        <v>381</v>
      </c>
      <c r="B39" s="2">
        <v>16</v>
      </c>
      <c r="C39" s="2" t="s">
        <v>7</v>
      </c>
      <c r="D39" s="2">
        <v>1.4</v>
      </c>
      <c r="E39" s="2">
        <v>10.1</v>
      </c>
    </row>
    <row r="40" spans="1:5">
      <c r="A40" s="2" t="s">
        <v>382</v>
      </c>
      <c r="B40" s="2">
        <v>16</v>
      </c>
      <c r="C40" s="2" t="s">
        <v>7</v>
      </c>
      <c r="D40" s="2">
        <v>1.4</v>
      </c>
      <c r="E40" s="2">
        <v>9.5</v>
      </c>
    </row>
    <row r="41" spans="1:5">
      <c r="A41" s="2" t="s">
        <v>383</v>
      </c>
      <c r="B41" s="2">
        <v>17</v>
      </c>
      <c r="C41" s="2" t="s">
        <v>7</v>
      </c>
      <c r="D41" s="2">
        <v>1.8</v>
      </c>
      <c r="E41" s="2">
        <v>11.3</v>
      </c>
    </row>
    <row r="42" spans="1:5">
      <c r="A42" s="2" t="s">
        <v>384</v>
      </c>
      <c r="B42" s="2">
        <v>17</v>
      </c>
      <c r="C42" s="2" t="s">
        <v>7</v>
      </c>
      <c r="D42" s="2">
        <v>1.6</v>
      </c>
      <c r="E42" s="2">
        <v>9.6</v>
      </c>
    </row>
    <row r="43" spans="1:5">
      <c r="A43" s="2"/>
      <c r="B43" s="2"/>
      <c r="C43" s="2"/>
      <c r="D43" s="2"/>
      <c r="E43" s="2"/>
    </row>
    <row r="44" spans="1:5">
      <c r="A44" s="2" t="s">
        <v>385</v>
      </c>
      <c r="B44" s="2">
        <v>15</v>
      </c>
      <c r="C44" s="2" t="s">
        <v>7</v>
      </c>
      <c r="D44" s="2">
        <v>1.1000000000000001</v>
      </c>
      <c r="E44" s="2">
        <v>7.4</v>
      </c>
    </row>
    <row r="45" spans="1:5">
      <c r="A45" s="2" t="s">
        <v>386</v>
      </c>
      <c r="B45" s="2">
        <v>16</v>
      </c>
      <c r="C45" s="2" t="s">
        <v>7</v>
      </c>
      <c r="D45" s="2">
        <v>1</v>
      </c>
      <c r="E45" s="2">
        <v>7.8</v>
      </c>
    </row>
    <row r="46" spans="1:5">
      <c r="A46" s="2"/>
      <c r="B46" s="2"/>
      <c r="C46" s="2"/>
      <c r="D46" s="2"/>
      <c r="E46" s="2"/>
    </row>
    <row r="47" spans="1:5">
      <c r="A47" s="2" t="s">
        <v>387</v>
      </c>
      <c r="B47" s="2">
        <v>16</v>
      </c>
      <c r="C47" s="2" t="s">
        <v>7</v>
      </c>
      <c r="D47" s="2">
        <v>1.3</v>
      </c>
      <c r="E47" s="2">
        <v>7.2</v>
      </c>
    </row>
    <row r="48" spans="1:5">
      <c r="A48" s="2" t="s">
        <v>388</v>
      </c>
      <c r="B48" s="2">
        <v>16</v>
      </c>
      <c r="C48" s="2" t="s">
        <v>7</v>
      </c>
      <c r="D48" s="2">
        <v>1.6</v>
      </c>
      <c r="E48" s="2">
        <v>7.36</v>
      </c>
    </row>
    <row r="49" spans="1:5">
      <c r="A49" s="2" t="s">
        <v>389</v>
      </c>
      <c r="B49" s="2">
        <v>16</v>
      </c>
      <c r="C49" s="2" t="s">
        <v>7</v>
      </c>
      <c r="D49" s="2">
        <v>1.2</v>
      </c>
      <c r="E49" s="2">
        <v>7</v>
      </c>
    </row>
    <row r="50" spans="1:5">
      <c r="A50" s="2" t="s">
        <v>390</v>
      </c>
      <c r="B50" s="2">
        <v>16</v>
      </c>
      <c r="C50" s="2" t="s">
        <v>7</v>
      </c>
      <c r="D50" s="2">
        <v>1.6</v>
      </c>
      <c r="E50" s="2">
        <v>7.3</v>
      </c>
    </row>
    <row r="51" spans="1:5">
      <c r="A51" s="2" t="s">
        <v>391</v>
      </c>
      <c r="B51" s="2">
        <v>16</v>
      </c>
      <c r="C51" s="2" t="s">
        <v>7</v>
      </c>
      <c r="D51" s="2">
        <v>1.8</v>
      </c>
      <c r="E51" s="2">
        <v>6.6</v>
      </c>
    </row>
    <row r="52" spans="1:5">
      <c r="A52" s="2"/>
      <c r="B52" s="2"/>
      <c r="C52" s="2"/>
      <c r="D52" s="2"/>
      <c r="E52" s="2"/>
    </row>
    <row r="53" spans="1:5">
      <c r="A53" s="2" t="s">
        <v>392</v>
      </c>
      <c r="B53" s="2">
        <v>16</v>
      </c>
      <c r="C53" s="2" t="s">
        <v>7</v>
      </c>
      <c r="D53" s="2">
        <v>1.3</v>
      </c>
      <c r="E53" s="2">
        <v>8.1999999999999993</v>
      </c>
    </row>
    <row r="54" spans="1:5">
      <c r="A54" s="2" t="s">
        <v>393</v>
      </c>
      <c r="B54" s="2">
        <v>16</v>
      </c>
      <c r="C54" s="2" t="s">
        <v>7</v>
      </c>
      <c r="D54" s="2">
        <v>1.3</v>
      </c>
      <c r="E54" s="2">
        <v>7.7</v>
      </c>
    </row>
    <row r="55" spans="1:5">
      <c r="A55" s="2" t="s">
        <v>394</v>
      </c>
      <c r="B55" s="2">
        <v>17</v>
      </c>
      <c r="C55" s="2" t="s">
        <v>7</v>
      </c>
      <c r="D55" s="2">
        <v>1.4</v>
      </c>
      <c r="E55" s="2">
        <v>8.9</v>
      </c>
    </row>
    <row r="56" spans="1:5">
      <c r="A56" s="2" t="s">
        <v>395</v>
      </c>
      <c r="B56" s="2">
        <v>14</v>
      </c>
      <c r="C56" s="2" t="s">
        <v>7</v>
      </c>
      <c r="D56" s="2">
        <v>0.9</v>
      </c>
      <c r="E56" s="2">
        <v>7.6</v>
      </c>
    </row>
    <row r="57" spans="1:5">
      <c r="A57" s="2" t="s">
        <v>396</v>
      </c>
      <c r="B57" s="2">
        <v>16</v>
      </c>
      <c r="C57" s="2" t="s">
        <v>7</v>
      </c>
      <c r="D57" s="2">
        <v>1.3</v>
      </c>
      <c r="E57" s="2">
        <v>9.6999999999999993</v>
      </c>
    </row>
    <row r="58" spans="1:5">
      <c r="A58" s="2" t="s">
        <v>397</v>
      </c>
      <c r="B58" s="2">
        <v>18</v>
      </c>
      <c r="C58" s="2" t="s">
        <v>7</v>
      </c>
      <c r="D58" s="2">
        <v>2.5</v>
      </c>
      <c r="E58" s="2">
        <v>8.1999999999999993</v>
      </c>
    </row>
    <row r="59" spans="1:5">
      <c r="A59" s="2" t="s">
        <v>398</v>
      </c>
      <c r="B59" s="2">
        <v>18</v>
      </c>
      <c r="C59" s="2" t="s">
        <v>7</v>
      </c>
      <c r="D59" s="2">
        <v>1.3</v>
      </c>
      <c r="E59" s="2">
        <v>7.4</v>
      </c>
    </row>
    <row r="60" spans="1:5">
      <c r="A60" s="2" t="s">
        <v>399</v>
      </c>
      <c r="B60" s="2">
        <v>16</v>
      </c>
      <c r="C60" s="2" t="s">
        <v>7</v>
      </c>
      <c r="D60" s="2">
        <v>0.9</v>
      </c>
      <c r="E60" s="2">
        <v>8.1</v>
      </c>
    </row>
    <row r="61" spans="1:5">
      <c r="A61" s="2" t="s">
        <v>400</v>
      </c>
      <c r="B61" s="2">
        <v>14</v>
      </c>
      <c r="C61" s="2" t="s">
        <v>7</v>
      </c>
      <c r="D61" s="2">
        <v>1.2</v>
      </c>
      <c r="E61" s="2">
        <v>8.5</v>
      </c>
    </row>
    <row r="62" spans="1:5">
      <c r="A62" s="2" t="s">
        <v>401</v>
      </c>
      <c r="B62" s="2">
        <v>17</v>
      </c>
      <c r="C62" s="2" t="s">
        <v>7</v>
      </c>
      <c r="D62" s="2">
        <v>1</v>
      </c>
      <c r="E62" s="2">
        <v>7.2</v>
      </c>
    </row>
    <row r="63" spans="1:5">
      <c r="A63" s="2" t="s">
        <v>402</v>
      </c>
      <c r="B63" s="2">
        <v>14</v>
      </c>
      <c r="C63" s="2" t="s">
        <v>28</v>
      </c>
      <c r="D63" s="2">
        <v>1.8</v>
      </c>
      <c r="E63" s="2">
        <v>7.6</v>
      </c>
    </row>
    <row r="64" spans="1:5">
      <c r="A64" s="2" t="s">
        <v>403</v>
      </c>
      <c r="B64" s="2">
        <v>15</v>
      </c>
      <c r="C64" s="2" t="s">
        <v>7</v>
      </c>
      <c r="D64" s="2">
        <v>1.3</v>
      </c>
      <c r="E64" s="2">
        <v>8.6999999999999993</v>
      </c>
    </row>
    <row r="65" spans="1:5">
      <c r="A65" s="2"/>
      <c r="B65" s="2"/>
      <c r="C65" s="2"/>
      <c r="D65" s="2"/>
      <c r="E65" s="2"/>
    </row>
    <row r="66" spans="1:5">
      <c r="A66" s="2" t="s">
        <v>404</v>
      </c>
      <c r="B66" s="2">
        <v>16</v>
      </c>
      <c r="C66" s="2" t="s">
        <v>7</v>
      </c>
      <c r="D66" s="2">
        <v>1.7</v>
      </c>
      <c r="E66" s="2">
        <v>16</v>
      </c>
    </row>
    <row r="67" spans="1:5">
      <c r="A67" s="2" t="s">
        <v>405</v>
      </c>
      <c r="B67" s="2">
        <v>16</v>
      </c>
      <c r="C67" s="2" t="s">
        <v>7</v>
      </c>
      <c r="D67" s="2">
        <v>1.3</v>
      </c>
      <c r="E67" s="2">
        <v>16</v>
      </c>
    </row>
    <row r="68" spans="1:5">
      <c r="A68" s="2" t="s">
        <v>406</v>
      </c>
      <c r="B68" s="2">
        <v>17</v>
      </c>
      <c r="C68" s="2" t="s">
        <v>7</v>
      </c>
      <c r="D68" s="2">
        <v>1.2</v>
      </c>
      <c r="E68" s="2">
        <v>18</v>
      </c>
    </row>
    <row r="69" spans="1:5">
      <c r="A69" s="2" t="s">
        <v>407</v>
      </c>
      <c r="B69" s="2">
        <v>14</v>
      </c>
      <c r="C69" s="2" t="s">
        <v>7</v>
      </c>
      <c r="D69" s="2">
        <v>1.3</v>
      </c>
      <c r="E69" s="2">
        <v>16</v>
      </c>
    </row>
    <row r="70" spans="1:5">
      <c r="A70" s="2" t="s">
        <v>408</v>
      </c>
      <c r="B70" s="2">
        <v>16</v>
      </c>
      <c r="C70" s="2" t="s">
        <v>7</v>
      </c>
      <c r="D70" s="2">
        <v>0.8</v>
      </c>
      <c r="E70" s="2">
        <v>16</v>
      </c>
    </row>
    <row r="71" spans="1:5">
      <c r="A71" s="2" t="s">
        <v>409</v>
      </c>
      <c r="B71" s="2">
        <v>18</v>
      </c>
      <c r="C71" s="2" t="s">
        <v>7</v>
      </c>
      <c r="D71" s="2">
        <v>1.2</v>
      </c>
      <c r="E71" s="2">
        <v>16</v>
      </c>
    </row>
    <row r="72" spans="1:5">
      <c r="A72" s="2" t="s">
        <v>410</v>
      </c>
      <c r="B72" s="2">
        <v>18</v>
      </c>
      <c r="C72" s="2" t="s">
        <v>7</v>
      </c>
      <c r="D72" s="2">
        <v>1.5</v>
      </c>
      <c r="E72" s="2">
        <v>18</v>
      </c>
    </row>
    <row r="73" spans="1:5">
      <c r="A73" s="2" t="s">
        <v>411</v>
      </c>
      <c r="B73" s="2">
        <v>16</v>
      </c>
      <c r="C73" s="2" t="s">
        <v>7</v>
      </c>
      <c r="D73" s="2">
        <v>2</v>
      </c>
      <c r="E73" s="2">
        <v>16</v>
      </c>
    </row>
    <row r="74" spans="1:5">
      <c r="A74" s="2" t="s">
        <v>412</v>
      </c>
      <c r="B74" s="2">
        <v>14</v>
      </c>
      <c r="C74" s="2" t="s">
        <v>7</v>
      </c>
      <c r="D74" s="2">
        <v>1.3</v>
      </c>
      <c r="E74" s="2" t="s">
        <v>413</v>
      </c>
    </row>
    <row r="75" spans="1:5">
      <c r="A75" s="2" t="s">
        <v>414</v>
      </c>
      <c r="B75" s="2">
        <v>17</v>
      </c>
      <c r="C75" s="2" t="s">
        <v>7</v>
      </c>
      <c r="D75" s="2">
        <v>1.4</v>
      </c>
      <c r="E75" s="2">
        <v>16</v>
      </c>
    </row>
    <row r="76" spans="1:5">
      <c r="A76" s="2" t="s">
        <v>415</v>
      </c>
      <c r="B76" s="2">
        <v>14</v>
      </c>
      <c r="C76" s="2" t="s">
        <v>28</v>
      </c>
      <c r="D76" s="2">
        <v>2.1</v>
      </c>
      <c r="E76" s="2">
        <v>17</v>
      </c>
    </row>
    <row r="77" spans="1:5">
      <c r="A77" s="2" t="s">
        <v>416</v>
      </c>
      <c r="B77" s="2">
        <v>15</v>
      </c>
      <c r="C77" s="2" t="s">
        <v>7</v>
      </c>
      <c r="D77" s="2">
        <v>1.6</v>
      </c>
      <c r="E77" s="2">
        <v>15</v>
      </c>
    </row>
  </sheetData>
  <conditionalFormatting sqref="A2:A28">
    <cfRule type="duplicateValues" dxfId="1" priority="1"/>
  </conditionalFormatting>
  <pageMargins left="0.7" right="0.7" top="0.75" bottom="0.75" header="0.3" footer="0.3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8101F-6DF8-4E84-A4D8-4D654D7C4DD2}">
  <dimension ref="A1:E82"/>
  <sheetViews>
    <sheetView workbookViewId="0">
      <pane ySplit="1" topLeftCell="A2" activePane="bottomLeft" state="frozen"/>
      <selection pane="bottomLeft" sqref="A1:E1"/>
    </sheetView>
  </sheetViews>
  <sheetFormatPr defaultRowHeight="14.45"/>
  <cols>
    <col min="1" max="1" width="10.85546875" customWidth="1"/>
    <col min="2" max="2" width="12" customWidth="1"/>
    <col min="3" max="3" width="11.85546875" customWidth="1"/>
    <col min="4" max="4" width="13.7109375" customWidth="1"/>
    <col min="5" max="5" width="16.28515625" customWidth="1"/>
    <col min="6" max="6" width="13.140625" customWidth="1"/>
    <col min="7" max="7" width="11.28515625" customWidth="1"/>
  </cols>
  <sheetData>
    <row r="1" spans="1: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</row>
    <row r="2" spans="1:5">
      <c r="A2" s="2" t="s">
        <v>417</v>
      </c>
      <c r="B2" s="2">
        <v>16</v>
      </c>
      <c r="C2" s="2" t="s">
        <v>7</v>
      </c>
      <c r="D2" s="2">
        <v>1.6</v>
      </c>
      <c r="E2" s="2">
        <v>7.8</v>
      </c>
    </row>
    <row r="3" spans="1:5">
      <c r="A3" s="2" t="s">
        <v>418</v>
      </c>
      <c r="B3" s="2">
        <v>17</v>
      </c>
      <c r="C3" s="2" t="s">
        <v>7</v>
      </c>
      <c r="D3" s="2">
        <v>1.5</v>
      </c>
      <c r="E3" s="2">
        <v>7.2</v>
      </c>
    </row>
    <row r="4" spans="1:5">
      <c r="A4" s="2" t="s">
        <v>419</v>
      </c>
      <c r="B4" s="2">
        <v>14</v>
      </c>
      <c r="C4" s="2" t="s">
        <v>7</v>
      </c>
      <c r="D4" s="2">
        <v>1.4</v>
      </c>
      <c r="E4" s="2">
        <v>7.1</v>
      </c>
    </row>
    <row r="5" spans="1:5">
      <c r="A5" s="2" t="s">
        <v>420</v>
      </c>
      <c r="B5" s="2">
        <v>16</v>
      </c>
      <c r="C5" s="2" t="s">
        <v>7</v>
      </c>
      <c r="D5" s="2">
        <v>1.3</v>
      </c>
      <c r="E5" s="2">
        <v>6</v>
      </c>
    </row>
    <row r="6" spans="1:5">
      <c r="A6" s="2" t="s">
        <v>421</v>
      </c>
      <c r="B6" s="2">
        <v>14</v>
      </c>
      <c r="C6" s="2" t="s">
        <v>7</v>
      </c>
      <c r="D6" s="2">
        <v>1</v>
      </c>
      <c r="E6" s="2">
        <v>6.8</v>
      </c>
    </row>
    <row r="7" spans="1:5">
      <c r="A7" s="2" t="s">
        <v>422</v>
      </c>
      <c r="B7" s="2">
        <v>14</v>
      </c>
      <c r="C7" s="2" t="s">
        <v>7</v>
      </c>
      <c r="D7" s="2">
        <v>1.2</v>
      </c>
      <c r="E7" s="2">
        <v>7.7</v>
      </c>
    </row>
    <row r="8" spans="1:5">
      <c r="A8" s="2" t="s">
        <v>423</v>
      </c>
      <c r="B8" s="2">
        <v>16</v>
      </c>
      <c r="C8" s="2" t="s">
        <v>7</v>
      </c>
      <c r="D8" s="2">
        <v>1.6</v>
      </c>
      <c r="E8" s="2">
        <v>7</v>
      </c>
    </row>
    <row r="9" spans="1:5">
      <c r="A9" s="2" t="s">
        <v>424</v>
      </c>
      <c r="B9" s="2">
        <v>14</v>
      </c>
      <c r="C9" s="2" t="s">
        <v>7</v>
      </c>
      <c r="D9" s="2">
        <v>1.1000000000000001</v>
      </c>
      <c r="E9" s="2">
        <v>6.4</v>
      </c>
    </row>
    <row r="10" spans="1:5">
      <c r="A10" s="2" t="s">
        <v>425</v>
      </c>
      <c r="B10" s="2">
        <v>16</v>
      </c>
      <c r="C10" s="2" t="s">
        <v>7</v>
      </c>
      <c r="D10" s="2">
        <v>1.2</v>
      </c>
      <c r="E10" s="2">
        <v>6.1</v>
      </c>
    </row>
    <row r="11" spans="1:5">
      <c r="A11" s="2" t="s">
        <v>426</v>
      </c>
      <c r="B11" s="2">
        <v>14</v>
      </c>
      <c r="C11" s="2" t="s">
        <v>7</v>
      </c>
      <c r="D11" s="2">
        <v>0.8</v>
      </c>
      <c r="E11" s="2">
        <v>7.9</v>
      </c>
    </row>
    <row r="12" spans="1:5">
      <c r="A12" s="2" t="s">
        <v>427</v>
      </c>
      <c r="B12" s="2">
        <v>16</v>
      </c>
      <c r="C12" s="2" t="s">
        <v>7</v>
      </c>
      <c r="D12" s="2">
        <v>1.2</v>
      </c>
      <c r="E12" s="2">
        <v>6.8</v>
      </c>
    </row>
    <row r="13" spans="1:5">
      <c r="A13" s="2" t="s">
        <v>428</v>
      </c>
      <c r="B13" s="2">
        <v>16</v>
      </c>
      <c r="C13" s="2" t="s">
        <v>7</v>
      </c>
      <c r="D13" s="2">
        <v>1.2</v>
      </c>
      <c r="E13" s="2">
        <v>6.7</v>
      </c>
    </row>
    <row r="14" spans="1:5">
      <c r="A14" s="2" t="s">
        <v>429</v>
      </c>
      <c r="B14" s="2">
        <v>15</v>
      </c>
      <c r="C14" s="2" t="s">
        <v>7</v>
      </c>
      <c r="D14" s="2">
        <v>1.4</v>
      </c>
      <c r="E14" s="2">
        <v>6.2</v>
      </c>
    </row>
    <row r="15" spans="1:5">
      <c r="A15" s="2" t="s">
        <v>430</v>
      </c>
      <c r="B15" s="2">
        <v>16</v>
      </c>
      <c r="C15" s="2" t="s">
        <v>7</v>
      </c>
      <c r="D15" s="2">
        <v>2</v>
      </c>
      <c r="E15" s="2">
        <v>7.3</v>
      </c>
    </row>
    <row r="16" spans="1:5">
      <c r="A16" s="2" t="s">
        <v>431</v>
      </c>
      <c r="B16" s="2">
        <v>16</v>
      </c>
      <c r="C16" s="2" t="s">
        <v>7</v>
      </c>
      <c r="D16" s="2">
        <v>1.3</v>
      </c>
      <c r="E16" s="2">
        <v>6.5</v>
      </c>
    </row>
    <row r="17" spans="1:5">
      <c r="A17" s="2" t="s">
        <v>432</v>
      </c>
      <c r="B17" s="2">
        <v>16</v>
      </c>
      <c r="C17" s="2" t="s">
        <v>7</v>
      </c>
      <c r="D17" s="2">
        <v>2.2000000000000002</v>
      </c>
      <c r="E17" s="2">
        <v>7.8</v>
      </c>
    </row>
    <row r="18" spans="1:5">
      <c r="A18" s="2" t="s">
        <v>433</v>
      </c>
      <c r="B18" s="2">
        <v>16</v>
      </c>
      <c r="C18" s="2" t="s">
        <v>7</v>
      </c>
      <c r="D18" s="2">
        <v>1.2</v>
      </c>
      <c r="E18" s="2">
        <v>6.3</v>
      </c>
    </row>
    <row r="19" spans="1:5">
      <c r="A19" s="2" t="s">
        <v>434</v>
      </c>
      <c r="B19" s="2">
        <v>17</v>
      </c>
      <c r="C19" s="2" t="s">
        <v>7</v>
      </c>
      <c r="D19" s="2">
        <v>1</v>
      </c>
      <c r="E19" s="2">
        <v>5.4</v>
      </c>
    </row>
    <row r="20" spans="1:5">
      <c r="A20" s="2" t="s">
        <v>435</v>
      </c>
      <c r="B20" s="2">
        <v>17</v>
      </c>
      <c r="C20" s="2" t="s">
        <v>7</v>
      </c>
      <c r="D20" s="2">
        <v>1.8</v>
      </c>
      <c r="E20" s="2">
        <v>6.7</v>
      </c>
    </row>
    <row r="21" spans="1:5">
      <c r="A21" s="2" t="s">
        <v>436</v>
      </c>
      <c r="B21" s="2">
        <v>18</v>
      </c>
      <c r="C21" s="2" t="s">
        <v>7</v>
      </c>
      <c r="D21" s="2">
        <v>1.2</v>
      </c>
      <c r="E21" s="2">
        <v>6.8</v>
      </c>
    </row>
    <row r="22" spans="1:5">
      <c r="A22" s="2" t="s">
        <v>437</v>
      </c>
      <c r="B22" s="2">
        <v>14</v>
      </c>
      <c r="C22" s="2" t="s">
        <v>28</v>
      </c>
      <c r="D22" s="2">
        <v>1</v>
      </c>
      <c r="E22" s="2">
        <v>7.1</v>
      </c>
    </row>
    <row r="23" spans="1:5">
      <c r="A23" s="2" t="s">
        <v>438</v>
      </c>
      <c r="B23" s="2">
        <v>15</v>
      </c>
      <c r="C23" s="2" t="s">
        <v>28</v>
      </c>
      <c r="D23" s="2">
        <v>1</v>
      </c>
      <c r="E23" s="2">
        <v>5.3</v>
      </c>
    </row>
    <row r="24" spans="1:5">
      <c r="A24" s="2" t="s">
        <v>439</v>
      </c>
      <c r="B24" s="2">
        <v>16</v>
      </c>
      <c r="C24" s="2" t="s">
        <v>28</v>
      </c>
      <c r="D24" s="2">
        <v>1.5</v>
      </c>
      <c r="E24" s="2">
        <v>7.5</v>
      </c>
    </row>
    <row r="25" spans="1:5">
      <c r="A25" s="2" t="s">
        <v>440</v>
      </c>
      <c r="B25" s="2">
        <v>16</v>
      </c>
      <c r="C25" s="2" t="s">
        <v>7</v>
      </c>
      <c r="D25" s="2">
        <v>1.4</v>
      </c>
      <c r="E25" s="2">
        <v>6.5</v>
      </c>
    </row>
    <row r="26" spans="1:5">
      <c r="A26" s="2" t="s">
        <v>441</v>
      </c>
      <c r="B26" s="2">
        <v>16</v>
      </c>
      <c r="C26" s="2" t="s">
        <v>442</v>
      </c>
      <c r="D26" s="2">
        <v>1.6</v>
      </c>
      <c r="E26" s="2">
        <v>6.1</v>
      </c>
    </row>
    <row r="27" spans="1:5">
      <c r="A27" s="2" t="s">
        <v>443</v>
      </c>
      <c r="B27" s="2">
        <v>16</v>
      </c>
      <c r="C27" s="2" t="s">
        <v>7</v>
      </c>
      <c r="D27" s="2">
        <v>1.6</v>
      </c>
      <c r="E27" s="2">
        <v>6.5</v>
      </c>
    </row>
    <row r="28" spans="1:5">
      <c r="A28" s="2" t="s">
        <v>444</v>
      </c>
      <c r="B28" s="2">
        <v>17</v>
      </c>
      <c r="C28" s="2" t="s">
        <v>7</v>
      </c>
      <c r="D28" s="2">
        <v>1.7</v>
      </c>
      <c r="E28" s="2">
        <v>6.3</v>
      </c>
    </row>
    <row r="29" spans="1:5">
      <c r="A29" s="2" t="s">
        <v>445</v>
      </c>
      <c r="B29" s="2">
        <v>15</v>
      </c>
      <c r="C29" s="2" t="s">
        <v>7</v>
      </c>
      <c r="D29" s="2">
        <v>0.7</v>
      </c>
      <c r="E29" s="2">
        <v>5.7</v>
      </c>
    </row>
    <row r="30" spans="1:5">
      <c r="A30" s="2" t="s">
        <v>446</v>
      </c>
      <c r="B30" s="2">
        <v>16</v>
      </c>
      <c r="C30" s="2" t="s">
        <v>7</v>
      </c>
      <c r="D30" s="2">
        <v>1.5</v>
      </c>
      <c r="E30" s="2">
        <v>6.2</v>
      </c>
    </row>
    <row r="31" spans="1:5">
      <c r="A31" s="2"/>
      <c r="B31" s="2"/>
      <c r="C31" s="2"/>
      <c r="D31" s="2"/>
      <c r="E31" s="2"/>
    </row>
    <row r="32" spans="1:5">
      <c r="A32" s="2" t="s">
        <v>447</v>
      </c>
      <c r="B32" s="2">
        <v>16</v>
      </c>
      <c r="C32" s="2" t="s">
        <v>7</v>
      </c>
      <c r="D32" s="2">
        <v>1.7</v>
      </c>
      <c r="E32" s="2">
        <v>9.3000000000000007</v>
      </c>
    </row>
    <row r="33" spans="1:5">
      <c r="A33" s="2" t="s">
        <v>448</v>
      </c>
      <c r="B33" s="2">
        <v>16</v>
      </c>
      <c r="C33" s="2" t="s">
        <v>7</v>
      </c>
      <c r="D33" s="2">
        <v>2.2000000000000002</v>
      </c>
      <c r="E33" s="2">
        <v>9.5</v>
      </c>
    </row>
    <row r="34" spans="1:5">
      <c r="A34" s="2" t="s">
        <v>449</v>
      </c>
      <c r="B34" s="2">
        <v>18</v>
      </c>
      <c r="C34" s="2" t="s">
        <v>7</v>
      </c>
      <c r="D34" s="2">
        <v>1.4</v>
      </c>
      <c r="E34" s="2">
        <v>8.9</v>
      </c>
    </row>
    <row r="35" spans="1:5">
      <c r="A35" s="2" t="s">
        <v>450</v>
      </c>
      <c r="B35" s="2">
        <v>15</v>
      </c>
      <c r="C35" s="2" t="s">
        <v>7</v>
      </c>
      <c r="D35" s="2">
        <v>1.8</v>
      </c>
      <c r="E35" s="2">
        <v>7.2</v>
      </c>
    </row>
    <row r="36" spans="1:5">
      <c r="A36" s="2" t="s">
        <v>451</v>
      </c>
      <c r="B36" s="2">
        <v>16</v>
      </c>
      <c r="C36" s="2" t="s">
        <v>28</v>
      </c>
      <c r="D36" s="2">
        <v>1.4</v>
      </c>
      <c r="E36" s="2">
        <v>9.6</v>
      </c>
    </row>
    <row r="37" spans="1:5">
      <c r="A37" s="2" t="s">
        <v>452</v>
      </c>
      <c r="B37" s="2">
        <v>16</v>
      </c>
      <c r="C37" s="2" t="s">
        <v>28</v>
      </c>
      <c r="D37" s="2">
        <v>1.4</v>
      </c>
      <c r="E37" s="2">
        <v>7.3</v>
      </c>
    </row>
    <row r="38" spans="1:5">
      <c r="A38" s="2" t="s">
        <v>453</v>
      </c>
      <c r="B38" s="2">
        <v>17</v>
      </c>
      <c r="C38" s="2" t="s">
        <v>28</v>
      </c>
      <c r="D38" s="2">
        <v>1.2</v>
      </c>
      <c r="E38" s="2">
        <v>7</v>
      </c>
    </row>
    <row r="39" spans="1:5">
      <c r="A39" s="2" t="s">
        <v>454</v>
      </c>
      <c r="B39" s="2">
        <v>16</v>
      </c>
      <c r="C39" s="2" t="s">
        <v>28</v>
      </c>
      <c r="D39" s="2">
        <v>1.2</v>
      </c>
      <c r="E39" s="2">
        <v>7.8</v>
      </c>
    </row>
    <row r="40" spans="1:5">
      <c r="A40" s="2" t="s">
        <v>455</v>
      </c>
      <c r="B40" s="2">
        <v>16</v>
      </c>
      <c r="C40" s="2" t="s">
        <v>28</v>
      </c>
      <c r="D40" s="2">
        <v>1.4</v>
      </c>
      <c r="E40" s="2">
        <v>7.8</v>
      </c>
    </row>
    <row r="41" spans="1:5">
      <c r="A41" s="2" t="s">
        <v>456</v>
      </c>
      <c r="B41" s="2">
        <v>16</v>
      </c>
      <c r="C41" s="2" t="s">
        <v>7</v>
      </c>
      <c r="D41" s="2">
        <v>1.3</v>
      </c>
      <c r="E41" s="2">
        <v>7</v>
      </c>
    </row>
    <row r="42" spans="1:5">
      <c r="A42" s="2" t="s">
        <v>457</v>
      </c>
      <c r="B42" s="2">
        <v>16</v>
      </c>
      <c r="C42" s="2" t="s">
        <v>28</v>
      </c>
      <c r="D42" s="2">
        <v>1</v>
      </c>
      <c r="E42" s="2">
        <v>7.5</v>
      </c>
    </row>
    <row r="43" spans="1:5">
      <c r="A43" s="2" t="s">
        <v>458</v>
      </c>
      <c r="B43" s="2">
        <v>15</v>
      </c>
      <c r="C43" s="2" t="s">
        <v>7</v>
      </c>
      <c r="D43" s="2">
        <v>1.2</v>
      </c>
      <c r="E43" s="2">
        <v>7</v>
      </c>
    </row>
    <row r="44" spans="1:5">
      <c r="A44" s="2" t="s">
        <v>459</v>
      </c>
      <c r="B44" s="2">
        <v>16</v>
      </c>
      <c r="C44" s="2" t="s">
        <v>28</v>
      </c>
      <c r="D44" s="2">
        <v>1.4</v>
      </c>
      <c r="E44" s="2">
        <v>7.3</v>
      </c>
    </row>
    <row r="45" spans="1:5">
      <c r="A45" s="2" t="s">
        <v>460</v>
      </c>
      <c r="B45" s="2">
        <v>16</v>
      </c>
      <c r="C45" s="2" t="s">
        <v>28</v>
      </c>
      <c r="D45" s="2">
        <v>1.2</v>
      </c>
      <c r="E45" s="2">
        <v>8.5</v>
      </c>
    </row>
    <row r="46" spans="1:5">
      <c r="A46" s="2"/>
      <c r="B46" s="2"/>
      <c r="C46" s="2"/>
      <c r="D46" s="2"/>
      <c r="E46" s="2"/>
    </row>
    <row r="47" spans="1:5">
      <c r="A47" s="2"/>
      <c r="B47" s="2"/>
      <c r="C47" s="2"/>
      <c r="D47" s="2"/>
      <c r="E47" s="2"/>
    </row>
    <row r="48" spans="1:5">
      <c r="A48" s="2" t="s">
        <v>461</v>
      </c>
      <c r="B48" s="2">
        <v>16</v>
      </c>
      <c r="C48" s="2" t="s">
        <v>7</v>
      </c>
      <c r="D48" s="2">
        <v>1.5</v>
      </c>
      <c r="E48" s="2">
        <v>8.1999999999999993</v>
      </c>
    </row>
    <row r="49" spans="1:5">
      <c r="A49" s="2" t="s">
        <v>462</v>
      </c>
      <c r="B49" s="2">
        <v>15</v>
      </c>
      <c r="C49" s="2" t="s">
        <v>7</v>
      </c>
      <c r="D49" s="2">
        <v>1.7</v>
      </c>
      <c r="E49" s="2">
        <v>8.1999999999999993</v>
      </c>
    </row>
    <row r="50" spans="1:5">
      <c r="A50" s="2"/>
      <c r="B50" s="2"/>
      <c r="C50" s="2"/>
      <c r="D50" s="2"/>
      <c r="E50" s="2"/>
    </row>
    <row r="51" spans="1:5">
      <c r="A51" s="2" t="s">
        <v>463</v>
      </c>
      <c r="B51" s="2">
        <v>16</v>
      </c>
      <c r="C51" s="2" t="s">
        <v>7</v>
      </c>
      <c r="D51" s="2">
        <v>1.2</v>
      </c>
      <c r="E51" s="2">
        <v>7.1</v>
      </c>
    </row>
    <row r="52" spans="1:5">
      <c r="A52" s="2" t="s">
        <v>464</v>
      </c>
      <c r="B52" s="2">
        <v>17</v>
      </c>
      <c r="C52" s="2" t="s">
        <v>7</v>
      </c>
      <c r="D52" s="2">
        <v>1.3</v>
      </c>
      <c r="E52" s="2">
        <v>7.3</v>
      </c>
    </row>
    <row r="53" spans="1:5">
      <c r="A53" s="2" t="s">
        <v>465</v>
      </c>
      <c r="B53" s="2">
        <v>15</v>
      </c>
      <c r="C53" s="2" t="s">
        <v>7</v>
      </c>
      <c r="D53" s="2">
        <v>1</v>
      </c>
      <c r="E53" s="2">
        <v>7.8</v>
      </c>
    </row>
    <row r="54" spans="1:5">
      <c r="A54" s="2" t="s">
        <v>466</v>
      </c>
      <c r="B54" s="2">
        <v>14</v>
      </c>
      <c r="C54" s="2" t="s">
        <v>7</v>
      </c>
      <c r="D54" s="2">
        <v>1.5</v>
      </c>
      <c r="E54" s="2">
        <v>7.2</v>
      </c>
    </row>
    <row r="55" spans="1:5">
      <c r="A55" s="2" t="s">
        <v>467</v>
      </c>
      <c r="B55" s="2">
        <v>18</v>
      </c>
      <c r="C55" s="2" t="s">
        <v>7</v>
      </c>
      <c r="D55" s="2">
        <v>1.5</v>
      </c>
      <c r="E55" s="2">
        <v>7.7</v>
      </c>
    </row>
    <row r="56" spans="1:5">
      <c r="A56" s="2"/>
      <c r="B56" s="2"/>
      <c r="C56" s="2"/>
      <c r="D56" s="2"/>
      <c r="E56" s="2"/>
    </row>
    <row r="57" spans="1:5">
      <c r="A57" s="2" t="s">
        <v>468</v>
      </c>
      <c r="B57" s="2">
        <v>16</v>
      </c>
      <c r="C57" s="2" t="s">
        <v>7</v>
      </c>
      <c r="D57" s="2">
        <v>1.3</v>
      </c>
      <c r="E57" s="2">
        <v>8.1</v>
      </c>
    </row>
    <row r="58" spans="1:5">
      <c r="A58" s="2" t="s">
        <v>469</v>
      </c>
      <c r="B58" s="2">
        <v>14</v>
      </c>
      <c r="C58" s="2" t="s">
        <v>7</v>
      </c>
      <c r="D58" s="2">
        <v>1.9</v>
      </c>
      <c r="E58" s="2">
        <v>10.6</v>
      </c>
    </row>
    <row r="59" spans="1:5">
      <c r="A59" s="2" t="s">
        <v>470</v>
      </c>
      <c r="B59" s="2">
        <v>16</v>
      </c>
      <c r="C59" s="2" t="s">
        <v>7</v>
      </c>
      <c r="D59" s="2">
        <v>1.4</v>
      </c>
      <c r="E59" s="2">
        <v>9.1</v>
      </c>
    </row>
    <row r="60" spans="1:5">
      <c r="A60" s="2" t="s">
        <v>471</v>
      </c>
      <c r="B60" s="2">
        <v>16</v>
      </c>
      <c r="C60" s="2" t="s">
        <v>7</v>
      </c>
      <c r="D60" s="2">
        <v>1.2</v>
      </c>
      <c r="E60" s="2">
        <v>9.1</v>
      </c>
    </row>
    <row r="61" spans="1:5">
      <c r="A61" s="2" t="s">
        <v>472</v>
      </c>
      <c r="B61" s="2">
        <v>17</v>
      </c>
      <c r="C61" s="2" t="s">
        <v>7</v>
      </c>
      <c r="D61" s="2">
        <v>1.4</v>
      </c>
      <c r="E61" s="2">
        <v>9</v>
      </c>
    </row>
    <row r="62" spans="1:5">
      <c r="A62" s="2" t="s">
        <v>473</v>
      </c>
      <c r="B62" s="2">
        <v>16</v>
      </c>
      <c r="C62" s="2" t="s">
        <v>7</v>
      </c>
      <c r="D62" s="2">
        <v>1.6</v>
      </c>
      <c r="E62" s="2">
        <v>8.1</v>
      </c>
    </row>
    <row r="63" spans="1:5">
      <c r="A63" s="2" t="s">
        <v>474</v>
      </c>
      <c r="B63" s="2">
        <v>17</v>
      </c>
      <c r="C63" s="2" t="s">
        <v>7</v>
      </c>
      <c r="D63" s="2">
        <v>1.4</v>
      </c>
      <c r="E63" s="2">
        <v>8.5</v>
      </c>
    </row>
    <row r="64" spans="1:5">
      <c r="A64" s="2" t="s">
        <v>475</v>
      </c>
      <c r="B64" s="2">
        <v>16</v>
      </c>
      <c r="C64" s="2" t="s">
        <v>7</v>
      </c>
      <c r="D64" s="2">
        <v>1.1000000000000001</v>
      </c>
      <c r="E64" s="2">
        <v>9.5</v>
      </c>
    </row>
    <row r="65" spans="1:5">
      <c r="A65" s="2" t="s">
        <v>476</v>
      </c>
      <c r="B65" s="2">
        <v>18</v>
      </c>
      <c r="C65" s="2" t="s">
        <v>7</v>
      </c>
      <c r="D65" s="2">
        <v>1.7</v>
      </c>
      <c r="E65" s="2">
        <v>10</v>
      </c>
    </row>
    <row r="66" spans="1:5">
      <c r="A66" s="2" t="s">
        <v>477</v>
      </c>
      <c r="B66" s="2">
        <v>16</v>
      </c>
      <c r="C66" s="2" t="s">
        <v>7</v>
      </c>
      <c r="D66" s="2">
        <v>1.7</v>
      </c>
      <c r="E66" s="2">
        <v>9.8000000000000007</v>
      </c>
    </row>
    <row r="67" spans="1:5">
      <c r="A67" s="2" t="s">
        <v>478</v>
      </c>
      <c r="B67" s="2">
        <v>16</v>
      </c>
      <c r="C67" s="2" t="s">
        <v>7</v>
      </c>
      <c r="D67" s="2">
        <v>1.2</v>
      </c>
      <c r="E67" s="2">
        <v>8.3000000000000007</v>
      </c>
    </row>
    <row r="68" spans="1:5">
      <c r="A68" s="2" t="s">
        <v>479</v>
      </c>
      <c r="B68" s="2">
        <v>16</v>
      </c>
      <c r="C68" s="2" t="s">
        <v>7</v>
      </c>
      <c r="D68" s="2">
        <v>1.6</v>
      </c>
      <c r="E68" s="2">
        <v>8.1999999999999993</v>
      </c>
    </row>
    <row r="69" spans="1:5">
      <c r="A69" s="2"/>
      <c r="B69" s="2"/>
      <c r="C69" s="2"/>
      <c r="D69" s="2"/>
      <c r="E69" s="2"/>
    </row>
    <row r="70" spans="1:5">
      <c r="A70" s="2" t="s">
        <v>480</v>
      </c>
      <c r="B70" s="2">
        <v>16</v>
      </c>
      <c r="C70" s="2" t="s">
        <v>7</v>
      </c>
      <c r="D70" s="2">
        <v>1.8</v>
      </c>
      <c r="E70" s="2">
        <v>1.8</v>
      </c>
    </row>
    <row r="71" spans="1:5">
      <c r="A71" s="2" t="s">
        <v>481</v>
      </c>
      <c r="B71" s="2">
        <v>16</v>
      </c>
      <c r="C71" s="2" t="s">
        <v>7</v>
      </c>
      <c r="D71" s="2">
        <v>1.7</v>
      </c>
      <c r="E71" s="2">
        <v>1.7</v>
      </c>
    </row>
    <row r="72" spans="1:5">
      <c r="A72" s="2" t="s">
        <v>482</v>
      </c>
      <c r="B72" s="2">
        <v>16</v>
      </c>
      <c r="C72" s="2" t="s">
        <v>7</v>
      </c>
      <c r="D72" s="2">
        <v>1.3</v>
      </c>
      <c r="E72" s="2">
        <v>1.3</v>
      </c>
    </row>
    <row r="73" spans="1:5">
      <c r="A73" s="2" t="s">
        <v>483</v>
      </c>
      <c r="B73" s="2">
        <v>16</v>
      </c>
      <c r="C73" s="2" t="s">
        <v>7</v>
      </c>
      <c r="D73" s="2">
        <v>1.5</v>
      </c>
      <c r="E73" s="2">
        <v>1.5</v>
      </c>
    </row>
    <row r="74" spans="1:5">
      <c r="A74" s="2" t="s">
        <v>484</v>
      </c>
      <c r="B74" s="2">
        <v>15</v>
      </c>
      <c r="C74" s="2" t="s">
        <v>7</v>
      </c>
      <c r="D74" s="2">
        <v>1.3</v>
      </c>
      <c r="E74" s="2">
        <v>1.3</v>
      </c>
    </row>
    <row r="75" spans="1:5">
      <c r="A75" s="2" t="s">
        <v>485</v>
      </c>
      <c r="B75" s="2">
        <v>16</v>
      </c>
      <c r="C75" s="2" t="s">
        <v>7</v>
      </c>
      <c r="D75" s="2">
        <v>1.3</v>
      </c>
      <c r="E75" s="2">
        <v>1.3</v>
      </c>
    </row>
    <row r="76" spans="1:5">
      <c r="A76" s="2" t="s">
        <v>486</v>
      </c>
      <c r="B76" s="2">
        <v>16</v>
      </c>
      <c r="C76" s="2" t="s">
        <v>7</v>
      </c>
      <c r="D76" s="2">
        <v>2</v>
      </c>
      <c r="E76" s="2">
        <v>2</v>
      </c>
    </row>
    <row r="77" spans="1:5">
      <c r="A77" s="2" t="s">
        <v>487</v>
      </c>
      <c r="B77" s="2">
        <v>15</v>
      </c>
      <c r="C77" s="2" t="s">
        <v>7</v>
      </c>
      <c r="D77" s="2">
        <v>1.6</v>
      </c>
      <c r="E77" s="2">
        <v>1.6</v>
      </c>
    </row>
    <row r="78" spans="1:5">
      <c r="A78" s="2" t="s">
        <v>488</v>
      </c>
      <c r="B78" s="2">
        <v>16</v>
      </c>
      <c r="C78" s="2" t="s">
        <v>7</v>
      </c>
      <c r="D78" s="2">
        <v>1.2</v>
      </c>
      <c r="E78" s="2">
        <v>1.2</v>
      </c>
    </row>
    <row r="79" spans="1:5">
      <c r="A79" s="2" t="s">
        <v>489</v>
      </c>
      <c r="B79" s="2">
        <v>16</v>
      </c>
      <c r="C79" s="2" t="s">
        <v>7</v>
      </c>
      <c r="D79" s="2">
        <v>1.6</v>
      </c>
      <c r="E79" s="2">
        <v>1.6</v>
      </c>
    </row>
    <row r="80" spans="1:5">
      <c r="A80" s="2" t="s">
        <v>490</v>
      </c>
      <c r="B80" s="2">
        <v>18</v>
      </c>
      <c r="C80" s="2" t="s">
        <v>7</v>
      </c>
      <c r="D80" s="2">
        <v>1.7</v>
      </c>
      <c r="E80" s="2">
        <v>1.7</v>
      </c>
    </row>
    <row r="81" spans="1:5">
      <c r="A81" s="2" t="s">
        <v>491</v>
      </c>
      <c r="B81" s="2">
        <v>17</v>
      </c>
      <c r="C81" s="2" t="s">
        <v>7</v>
      </c>
      <c r="D81" s="2">
        <v>1.5</v>
      </c>
      <c r="E81" s="2">
        <v>1.5</v>
      </c>
    </row>
    <row r="82" spans="1:5">
      <c r="A82" s="2" t="s">
        <v>492</v>
      </c>
      <c r="B82" s="2">
        <v>16</v>
      </c>
      <c r="C82" s="2" t="s">
        <v>7</v>
      </c>
      <c r="D82" s="2">
        <v>1.5</v>
      </c>
      <c r="E82" s="2">
        <v>1.5</v>
      </c>
    </row>
  </sheetData>
  <conditionalFormatting sqref="A2:A30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7B336-7DE6-4A43-B725-180B1B0852F2}">
  <dimension ref="A1:F80"/>
  <sheetViews>
    <sheetView topLeftCell="A22" workbookViewId="0">
      <selection activeCell="E77" sqref="E77"/>
    </sheetView>
  </sheetViews>
  <sheetFormatPr defaultRowHeight="14.45"/>
  <cols>
    <col min="2" max="2" width="22" customWidth="1"/>
    <col min="3" max="3" width="16" customWidth="1"/>
    <col min="4" max="4" width="15.28515625" customWidth="1"/>
    <col min="5" max="5" width="19.28515625" customWidth="1"/>
  </cols>
  <sheetData>
    <row r="1" spans="1:6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</row>
    <row r="2" spans="1:6">
      <c r="A2" s="1" t="s">
        <v>493</v>
      </c>
      <c r="B2" s="2">
        <v>15</v>
      </c>
      <c r="C2" s="2" t="s">
        <v>7</v>
      </c>
      <c r="D2" s="2">
        <v>1.1000000000000001</v>
      </c>
      <c r="E2" s="2">
        <v>8.1999999999999993</v>
      </c>
      <c r="F2" s="5"/>
    </row>
    <row r="3" spans="1:6">
      <c r="A3" s="1" t="s">
        <v>494</v>
      </c>
      <c r="B3" s="2">
        <v>14</v>
      </c>
      <c r="C3" s="2" t="s">
        <v>7</v>
      </c>
      <c r="D3" s="2">
        <v>1.2</v>
      </c>
      <c r="E3" s="2">
        <v>7</v>
      </c>
      <c r="F3" s="5"/>
    </row>
    <row r="4" spans="1:6">
      <c r="A4" s="1" t="s">
        <v>495</v>
      </c>
      <c r="B4" s="2">
        <v>16</v>
      </c>
      <c r="C4" s="2" t="s">
        <v>7</v>
      </c>
      <c r="D4" s="2">
        <v>1.2</v>
      </c>
      <c r="E4" s="2">
        <v>7.5</v>
      </c>
      <c r="F4" s="5"/>
    </row>
    <row r="5" spans="1:6">
      <c r="A5" s="1" t="s">
        <v>496</v>
      </c>
      <c r="B5" s="2">
        <v>16</v>
      </c>
      <c r="C5" s="2" t="s">
        <v>7</v>
      </c>
      <c r="D5" s="2">
        <v>1.3</v>
      </c>
      <c r="E5" s="2">
        <v>6.6</v>
      </c>
      <c r="F5" s="5"/>
    </row>
    <row r="6" spans="1:6">
      <c r="A6" s="1" t="s">
        <v>497</v>
      </c>
      <c r="B6" s="2">
        <v>16</v>
      </c>
      <c r="C6" s="2" t="s">
        <v>7</v>
      </c>
      <c r="D6" s="2">
        <v>0.9</v>
      </c>
      <c r="E6" s="2">
        <v>5.7</v>
      </c>
      <c r="F6" s="5"/>
    </row>
    <row r="7" spans="1:6">
      <c r="A7" s="1" t="s">
        <v>498</v>
      </c>
      <c r="B7" s="2">
        <v>16</v>
      </c>
      <c r="C7" s="2" t="s">
        <v>7</v>
      </c>
      <c r="D7" s="2">
        <v>1.3</v>
      </c>
      <c r="E7" s="2">
        <v>6.8</v>
      </c>
      <c r="F7" s="5"/>
    </row>
    <row r="8" spans="1:6">
      <c r="A8" s="1" t="s">
        <v>499</v>
      </c>
      <c r="B8" s="2">
        <v>17</v>
      </c>
      <c r="C8" s="2" t="s">
        <v>7</v>
      </c>
      <c r="D8" s="2">
        <v>1.3</v>
      </c>
      <c r="E8" s="2">
        <v>6.6</v>
      </c>
      <c r="F8" s="5"/>
    </row>
    <row r="9" spans="1:6">
      <c r="A9" s="1" t="s">
        <v>500</v>
      </c>
      <c r="B9" s="2">
        <v>16</v>
      </c>
      <c r="C9" s="2" t="s">
        <v>7</v>
      </c>
      <c r="D9" s="2">
        <v>1.3</v>
      </c>
      <c r="E9" s="2">
        <v>6.3</v>
      </c>
      <c r="F9" s="5"/>
    </row>
    <row r="10" spans="1:6">
      <c r="A10" s="1" t="s">
        <v>501</v>
      </c>
      <c r="B10" s="2">
        <v>16</v>
      </c>
      <c r="C10" s="2" t="s">
        <v>7</v>
      </c>
      <c r="D10" s="2">
        <v>1.4</v>
      </c>
      <c r="E10" s="2">
        <v>6</v>
      </c>
      <c r="F10" s="5"/>
    </row>
    <row r="11" spans="1:6">
      <c r="A11" s="1" t="s">
        <v>502</v>
      </c>
      <c r="B11" s="2">
        <v>16</v>
      </c>
      <c r="C11" s="2" t="s">
        <v>7</v>
      </c>
      <c r="D11" s="2">
        <v>1.2</v>
      </c>
      <c r="E11" s="2">
        <v>5.4</v>
      </c>
      <c r="F11" s="5"/>
    </row>
    <row r="12" spans="1:6">
      <c r="A12" s="1" t="s">
        <v>503</v>
      </c>
      <c r="B12" s="2">
        <v>15</v>
      </c>
      <c r="C12" s="2" t="s">
        <v>7</v>
      </c>
      <c r="D12" s="2">
        <v>1.3</v>
      </c>
      <c r="E12" s="2">
        <v>7.2</v>
      </c>
      <c r="F12" s="5"/>
    </row>
    <row r="13" spans="1:6">
      <c r="A13" s="1" t="s">
        <v>504</v>
      </c>
      <c r="B13" s="2">
        <v>16</v>
      </c>
      <c r="C13" s="2" t="s">
        <v>7</v>
      </c>
      <c r="D13" s="2">
        <v>1.3</v>
      </c>
      <c r="E13" s="2">
        <v>6.9</v>
      </c>
      <c r="F13" s="5"/>
    </row>
    <row r="14" spans="1:6">
      <c r="A14" s="1" t="s">
        <v>505</v>
      </c>
      <c r="B14" s="2">
        <v>16</v>
      </c>
      <c r="C14" s="2" t="s">
        <v>7</v>
      </c>
      <c r="D14" s="2">
        <v>1.1000000000000001</v>
      </c>
      <c r="E14" s="2">
        <v>5.9</v>
      </c>
      <c r="F14" s="5"/>
    </row>
    <row r="15" spans="1:6">
      <c r="A15" s="1" t="s">
        <v>506</v>
      </c>
      <c r="B15" s="2">
        <v>16</v>
      </c>
      <c r="C15" s="2" t="s">
        <v>7</v>
      </c>
      <c r="D15" s="2">
        <v>0.6</v>
      </c>
      <c r="E15" s="2">
        <v>5.8</v>
      </c>
      <c r="F15" s="5"/>
    </row>
    <row r="16" spans="1:6">
      <c r="A16" s="1" t="s">
        <v>507</v>
      </c>
      <c r="B16" s="2">
        <v>15</v>
      </c>
      <c r="C16" s="2" t="s">
        <v>7</v>
      </c>
      <c r="D16" s="2">
        <v>0.8</v>
      </c>
      <c r="E16" s="2">
        <v>5.6</v>
      </c>
      <c r="F16" s="5"/>
    </row>
    <row r="17" spans="1:6">
      <c r="A17" s="1" t="s">
        <v>508</v>
      </c>
      <c r="B17" s="2">
        <v>14</v>
      </c>
      <c r="C17" s="2" t="s">
        <v>7</v>
      </c>
      <c r="D17" s="2">
        <v>1.1000000000000001</v>
      </c>
      <c r="E17" s="2">
        <v>6</v>
      </c>
      <c r="F17" s="5"/>
    </row>
    <row r="18" spans="1:6">
      <c r="A18" s="1" t="s">
        <v>509</v>
      </c>
      <c r="B18" s="2">
        <v>18</v>
      </c>
      <c r="C18" s="2" t="s">
        <v>7</v>
      </c>
      <c r="D18" s="2">
        <v>1.2</v>
      </c>
      <c r="E18" s="2">
        <v>5.4</v>
      </c>
      <c r="F18" s="5"/>
    </row>
    <row r="19" spans="1:6">
      <c r="A19" s="1" t="s">
        <v>510</v>
      </c>
      <c r="B19" s="2">
        <v>16</v>
      </c>
      <c r="C19" s="2" t="s">
        <v>7</v>
      </c>
      <c r="D19" s="2">
        <v>1.6</v>
      </c>
      <c r="E19" s="2">
        <v>5.3</v>
      </c>
      <c r="F19" s="5"/>
    </row>
    <row r="20" spans="1:6">
      <c r="A20" s="1" t="s">
        <v>511</v>
      </c>
      <c r="B20" s="2">
        <v>17</v>
      </c>
      <c r="C20" s="2" t="s">
        <v>7</v>
      </c>
      <c r="D20" s="2">
        <v>1.2</v>
      </c>
      <c r="E20" s="2">
        <v>5.0999999999999996</v>
      </c>
      <c r="F20" s="5"/>
    </row>
    <row r="21" spans="1:6">
      <c r="A21" s="1" t="s">
        <v>512</v>
      </c>
      <c r="B21" s="2">
        <v>15</v>
      </c>
      <c r="C21" s="2" t="s">
        <v>7</v>
      </c>
      <c r="D21" s="2">
        <v>1</v>
      </c>
      <c r="E21" s="2">
        <v>5.5</v>
      </c>
      <c r="F21" s="5"/>
    </row>
    <row r="22" spans="1:6">
      <c r="A22" s="1" t="s">
        <v>513</v>
      </c>
      <c r="B22" s="2">
        <v>15</v>
      </c>
      <c r="C22" s="2" t="s">
        <v>7</v>
      </c>
      <c r="D22" s="2">
        <v>1.3</v>
      </c>
      <c r="E22" s="2">
        <v>5.6</v>
      </c>
      <c r="F22" s="5"/>
    </row>
    <row r="23" spans="1:6">
      <c r="A23" s="1" t="s">
        <v>514</v>
      </c>
      <c r="B23" s="2">
        <v>18</v>
      </c>
      <c r="C23" s="2" t="s">
        <v>7</v>
      </c>
      <c r="D23" s="2">
        <v>1.4</v>
      </c>
      <c r="E23" s="2">
        <v>5.7</v>
      </c>
      <c r="F23" s="5"/>
    </row>
    <row r="24" spans="1:6">
      <c r="A24" s="1" t="s">
        <v>515</v>
      </c>
      <c r="B24" s="2">
        <v>14</v>
      </c>
      <c r="C24" s="2" t="s">
        <v>7</v>
      </c>
      <c r="D24" s="2">
        <v>1.6</v>
      </c>
      <c r="E24" s="2">
        <v>6</v>
      </c>
      <c r="F24" s="5"/>
    </row>
    <row r="25" spans="1:6">
      <c r="A25" s="1" t="s">
        <v>516</v>
      </c>
      <c r="B25" s="2">
        <v>14</v>
      </c>
      <c r="C25" s="2" t="s">
        <v>7</v>
      </c>
      <c r="D25" s="2">
        <v>1.4</v>
      </c>
      <c r="E25" s="2">
        <v>5.6</v>
      </c>
      <c r="F25" s="5"/>
    </row>
    <row r="26" spans="1:6">
      <c r="A26" s="1" t="s">
        <v>517</v>
      </c>
      <c r="B26" s="2">
        <v>16</v>
      </c>
      <c r="C26" s="2" t="s">
        <v>7</v>
      </c>
      <c r="D26" s="2">
        <v>1.6</v>
      </c>
      <c r="E26" s="2">
        <v>6.4</v>
      </c>
      <c r="F26" s="5"/>
    </row>
    <row r="27" spans="1:6">
      <c r="A27" s="1" t="s">
        <v>518</v>
      </c>
      <c r="B27" s="2">
        <v>16</v>
      </c>
      <c r="C27" s="2" t="s">
        <v>7</v>
      </c>
      <c r="D27" s="2">
        <v>1.6</v>
      </c>
      <c r="E27" s="2">
        <v>5.4</v>
      </c>
      <c r="F27" s="5"/>
    </row>
    <row r="28" spans="1:6">
      <c r="A28" s="1" t="s">
        <v>519</v>
      </c>
      <c r="B28" s="2">
        <v>16</v>
      </c>
      <c r="C28" s="2" t="s">
        <v>7</v>
      </c>
      <c r="D28" s="2">
        <v>1.3</v>
      </c>
      <c r="E28" s="2">
        <v>5.4</v>
      </c>
      <c r="F28" s="5"/>
    </row>
    <row r="29" spans="1:6">
      <c r="A29" s="1" t="s">
        <v>520</v>
      </c>
      <c r="B29" s="2">
        <v>16</v>
      </c>
      <c r="C29" s="2" t="s">
        <v>7</v>
      </c>
      <c r="D29" s="2">
        <v>1.2</v>
      </c>
      <c r="E29" s="2">
        <v>5.0999999999999996</v>
      </c>
      <c r="F29" s="5"/>
    </row>
    <row r="30" spans="1:6">
      <c r="A30" s="1" t="s">
        <v>521</v>
      </c>
      <c r="B30" s="2">
        <v>14</v>
      </c>
      <c r="C30" s="2" t="s">
        <v>7</v>
      </c>
      <c r="D30" s="2">
        <v>1.6</v>
      </c>
      <c r="E30" s="2">
        <v>4.8</v>
      </c>
      <c r="F30" s="5"/>
    </row>
    <row r="31" spans="1:6">
      <c r="A31" s="1"/>
      <c r="B31" s="1"/>
      <c r="C31" s="1"/>
      <c r="D31" s="1"/>
      <c r="E31" s="1"/>
    </row>
    <row r="32" spans="1:6">
      <c r="A32" s="1" t="s">
        <v>522</v>
      </c>
      <c r="B32" s="2">
        <v>14</v>
      </c>
      <c r="C32" s="2" t="s">
        <v>7</v>
      </c>
      <c r="D32" s="2">
        <v>1.4</v>
      </c>
      <c r="E32" s="2">
        <v>9.3000000000000007</v>
      </c>
    </row>
    <row r="33" spans="1:5">
      <c r="A33" s="1" t="s">
        <v>523</v>
      </c>
      <c r="B33" s="2">
        <v>14</v>
      </c>
      <c r="C33" s="2" t="s">
        <v>7</v>
      </c>
      <c r="D33" s="2">
        <v>0.9</v>
      </c>
      <c r="E33" s="2">
        <v>8.4</v>
      </c>
    </row>
    <row r="34" spans="1:5">
      <c r="A34" s="1" t="s">
        <v>524</v>
      </c>
      <c r="B34" s="2">
        <v>15</v>
      </c>
      <c r="C34" s="2" t="s">
        <v>7</v>
      </c>
      <c r="D34" s="2">
        <v>1.8</v>
      </c>
      <c r="E34" s="2">
        <v>8.1999999999999993</v>
      </c>
    </row>
    <row r="35" spans="1:5">
      <c r="A35" s="1" t="s">
        <v>525</v>
      </c>
      <c r="B35" s="2">
        <v>16</v>
      </c>
      <c r="C35" s="2" t="s">
        <v>7</v>
      </c>
      <c r="D35" s="2">
        <v>1.2</v>
      </c>
      <c r="E35" s="2">
        <v>7.6</v>
      </c>
    </row>
    <row r="36" spans="1:5">
      <c r="A36" s="1" t="s">
        <v>526</v>
      </c>
      <c r="B36" s="2">
        <v>16</v>
      </c>
      <c r="C36" s="2" t="s">
        <v>7</v>
      </c>
      <c r="D36" s="2">
        <v>1.7</v>
      </c>
      <c r="E36" s="2">
        <v>8.6</v>
      </c>
    </row>
    <row r="37" spans="1:5">
      <c r="A37" s="1" t="s">
        <v>527</v>
      </c>
      <c r="B37" s="2">
        <v>16</v>
      </c>
      <c r="C37" s="2" t="s">
        <v>7</v>
      </c>
      <c r="D37" s="2">
        <v>2.1</v>
      </c>
      <c r="E37" s="2">
        <v>9.6</v>
      </c>
    </row>
    <row r="38" spans="1:5">
      <c r="A38" s="1" t="s">
        <v>528</v>
      </c>
      <c r="B38" s="2">
        <v>15</v>
      </c>
      <c r="C38" s="2" t="s">
        <v>7</v>
      </c>
      <c r="D38" s="2">
        <v>1.3</v>
      </c>
      <c r="E38" s="2">
        <v>8.1999999999999993</v>
      </c>
    </row>
    <row r="39" spans="1:5">
      <c r="A39" s="1" t="s">
        <v>529</v>
      </c>
      <c r="B39" s="2">
        <v>16</v>
      </c>
      <c r="C39" s="2" t="s">
        <v>7</v>
      </c>
      <c r="D39" s="2">
        <v>1.9</v>
      </c>
      <c r="E39" s="2">
        <v>8.5</v>
      </c>
    </row>
    <row r="40" spans="1:5">
      <c r="A40" s="1" t="s">
        <v>530</v>
      </c>
      <c r="B40" s="2">
        <v>14</v>
      </c>
      <c r="C40" s="2" t="s">
        <v>7</v>
      </c>
      <c r="D40" s="2">
        <v>1</v>
      </c>
      <c r="E40" s="2">
        <v>9</v>
      </c>
    </row>
    <row r="41" spans="1:5">
      <c r="A41" s="1" t="s">
        <v>531</v>
      </c>
      <c r="B41" s="2">
        <v>16</v>
      </c>
      <c r="C41" s="2" t="s">
        <v>7</v>
      </c>
      <c r="D41" s="2">
        <v>1.5</v>
      </c>
      <c r="E41" s="2">
        <v>8</v>
      </c>
    </row>
    <row r="42" spans="1:5">
      <c r="A42" s="1" t="s">
        <v>532</v>
      </c>
      <c r="B42" s="2">
        <v>15</v>
      </c>
      <c r="C42" s="2" t="s">
        <v>7</v>
      </c>
      <c r="D42" s="2">
        <v>1.3</v>
      </c>
      <c r="E42" s="2">
        <v>8.1</v>
      </c>
    </row>
    <row r="43" spans="1:5">
      <c r="A43" s="1" t="s">
        <v>533</v>
      </c>
      <c r="B43" s="2">
        <v>16</v>
      </c>
      <c r="C43" s="2" t="s">
        <v>7</v>
      </c>
      <c r="D43" s="2">
        <v>1.7</v>
      </c>
      <c r="E43" s="2">
        <v>8.3000000000000007</v>
      </c>
    </row>
    <row r="44" spans="1:5">
      <c r="A44" s="1" t="s">
        <v>534</v>
      </c>
      <c r="B44" s="2">
        <v>14</v>
      </c>
      <c r="C44" s="2" t="s">
        <v>442</v>
      </c>
      <c r="D44" s="2">
        <v>1.4</v>
      </c>
      <c r="E44" s="2">
        <v>10</v>
      </c>
    </row>
    <row r="45" spans="1:5">
      <c r="A45" s="1" t="s">
        <v>535</v>
      </c>
      <c r="B45" s="2">
        <v>16</v>
      </c>
      <c r="C45" s="2" t="s">
        <v>442</v>
      </c>
      <c r="D45" s="2">
        <v>1.2</v>
      </c>
      <c r="E45" s="2">
        <v>8</v>
      </c>
    </row>
    <row r="46" spans="1:5">
      <c r="A46" s="1"/>
      <c r="B46" s="1"/>
      <c r="C46" s="1"/>
      <c r="D46" s="1"/>
      <c r="E46" s="2"/>
    </row>
    <row r="47" spans="1:5">
      <c r="A47" s="1" t="s">
        <v>536</v>
      </c>
      <c r="B47" s="2">
        <v>16</v>
      </c>
      <c r="C47" s="2" t="s">
        <v>7</v>
      </c>
      <c r="D47" s="2">
        <v>1.6</v>
      </c>
      <c r="E47" s="2">
        <v>9</v>
      </c>
    </row>
    <row r="48" spans="1:5">
      <c r="A48" s="1" t="s">
        <v>537</v>
      </c>
      <c r="B48" s="2">
        <v>16</v>
      </c>
      <c r="C48" s="2" t="s">
        <v>7</v>
      </c>
      <c r="D48" s="2">
        <v>1.9</v>
      </c>
      <c r="E48" s="2">
        <v>9.1</v>
      </c>
    </row>
    <row r="49" spans="1:5">
      <c r="A49" s="1"/>
      <c r="B49" s="1"/>
      <c r="C49" s="1"/>
      <c r="D49" s="1"/>
      <c r="E49" s="1"/>
    </row>
    <row r="50" spans="1:5">
      <c r="A50" s="1" t="s">
        <v>538</v>
      </c>
      <c r="B50" s="2">
        <v>18</v>
      </c>
      <c r="C50" s="2" t="s">
        <v>7</v>
      </c>
      <c r="D50" s="2">
        <v>1.2</v>
      </c>
      <c r="E50" s="2">
        <v>7.2</v>
      </c>
    </row>
    <row r="51" spans="1:5">
      <c r="A51" s="1" t="s">
        <v>539</v>
      </c>
      <c r="B51" s="2">
        <v>14</v>
      </c>
      <c r="C51" s="2" t="s">
        <v>7</v>
      </c>
      <c r="D51" s="2">
        <v>1.3</v>
      </c>
      <c r="E51" s="2">
        <v>7.2</v>
      </c>
    </row>
    <row r="52" spans="1:5">
      <c r="A52" s="1" t="s">
        <v>540</v>
      </c>
      <c r="B52" s="2">
        <v>15</v>
      </c>
      <c r="C52" s="2" t="s">
        <v>7</v>
      </c>
      <c r="D52" s="2">
        <v>1.1000000000000001</v>
      </c>
      <c r="E52" s="2">
        <v>6.8</v>
      </c>
    </row>
    <row r="53" spans="1:5">
      <c r="A53" s="1" t="s">
        <v>541</v>
      </c>
      <c r="B53" s="2">
        <v>16</v>
      </c>
      <c r="C53" s="2" t="s">
        <v>7</v>
      </c>
      <c r="D53" s="2">
        <v>0.9</v>
      </c>
      <c r="E53" s="2">
        <v>6.6</v>
      </c>
    </row>
    <row r="54" spans="1:5">
      <c r="A54" s="1" t="s">
        <v>542</v>
      </c>
      <c r="B54" s="2">
        <v>17</v>
      </c>
      <c r="C54" s="2" t="s">
        <v>7</v>
      </c>
      <c r="D54" s="2">
        <v>1.2</v>
      </c>
      <c r="E54" s="2">
        <v>6.8</v>
      </c>
    </row>
    <row r="55" spans="1:5">
      <c r="A55" s="1"/>
      <c r="B55" s="1"/>
      <c r="C55" s="1"/>
      <c r="D55" s="1"/>
      <c r="E55" s="1"/>
    </row>
    <row r="56" spans="1:5">
      <c r="A56" s="1" t="s">
        <v>543</v>
      </c>
      <c r="B56" s="2">
        <v>16</v>
      </c>
      <c r="C56" s="2" t="s">
        <v>7</v>
      </c>
      <c r="D56" s="2">
        <v>1.2</v>
      </c>
      <c r="E56" s="2">
        <v>6.8</v>
      </c>
    </row>
    <row r="57" spans="1:5">
      <c r="A57" s="1" t="s">
        <v>544</v>
      </c>
      <c r="B57" s="2">
        <v>16</v>
      </c>
      <c r="C57" s="2" t="s">
        <v>7</v>
      </c>
      <c r="D57" s="2">
        <v>1.3</v>
      </c>
      <c r="E57" s="2">
        <v>5.5</v>
      </c>
    </row>
    <row r="58" spans="1:5">
      <c r="A58" s="1" t="s">
        <v>545</v>
      </c>
      <c r="B58" s="2">
        <v>15</v>
      </c>
      <c r="C58" s="2" t="s">
        <v>7</v>
      </c>
      <c r="D58" s="2">
        <v>1.2</v>
      </c>
      <c r="E58" s="2">
        <v>6.7</v>
      </c>
    </row>
    <row r="59" spans="1:5">
      <c r="A59" s="1" t="s">
        <v>546</v>
      </c>
      <c r="B59" s="2">
        <v>17</v>
      </c>
      <c r="C59" s="2" t="s">
        <v>7</v>
      </c>
      <c r="D59" s="2">
        <v>1.2</v>
      </c>
      <c r="E59" s="2">
        <v>6.9</v>
      </c>
    </row>
    <row r="60" spans="1:5">
      <c r="A60" s="1" t="s">
        <v>547</v>
      </c>
      <c r="B60" s="2">
        <v>16</v>
      </c>
      <c r="C60" s="2" t="s">
        <v>7</v>
      </c>
      <c r="D60" s="2">
        <v>1.4</v>
      </c>
      <c r="E60" s="2">
        <v>6.7</v>
      </c>
    </row>
    <row r="61" spans="1:5">
      <c r="A61" s="1" t="s">
        <v>548</v>
      </c>
      <c r="B61" s="2">
        <v>16</v>
      </c>
      <c r="C61" s="2" t="s">
        <v>7</v>
      </c>
      <c r="D61" s="2">
        <v>1.3</v>
      </c>
      <c r="E61" s="2">
        <v>6.7</v>
      </c>
    </row>
    <row r="62" spans="1:5">
      <c r="A62" s="1" t="s">
        <v>549</v>
      </c>
      <c r="B62" s="2">
        <v>14</v>
      </c>
      <c r="C62" s="2" t="s">
        <v>7</v>
      </c>
      <c r="D62" s="2">
        <v>0.8</v>
      </c>
      <c r="E62" s="2">
        <v>6.6</v>
      </c>
    </row>
    <row r="63" spans="1:5">
      <c r="A63" s="1" t="s">
        <v>550</v>
      </c>
      <c r="B63" s="2">
        <v>16</v>
      </c>
      <c r="C63" s="2" t="s">
        <v>7</v>
      </c>
      <c r="D63" s="2">
        <v>0.7</v>
      </c>
      <c r="E63" s="2">
        <v>5.9</v>
      </c>
    </row>
    <row r="64" spans="1:5">
      <c r="A64" s="1" t="s">
        <v>551</v>
      </c>
      <c r="B64" s="2">
        <v>17</v>
      </c>
      <c r="C64" s="2" t="s">
        <v>7</v>
      </c>
      <c r="D64" s="2">
        <v>1.1000000000000001</v>
      </c>
      <c r="E64" s="2">
        <v>6.1</v>
      </c>
    </row>
    <row r="65" spans="1:5">
      <c r="A65" s="1" t="s">
        <v>552</v>
      </c>
      <c r="B65" s="2">
        <v>16</v>
      </c>
      <c r="C65" s="2" t="s">
        <v>7</v>
      </c>
      <c r="D65" s="2">
        <v>1.3</v>
      </c>
      <c r="E65" s="2">
        <v>6.7</v>
      </c>
    </row>
    <row r="66" spans="1:5">
      <c r="A66" s="1" t="s">
        <v>553</v>
      </c>
      <c r="B66" s="2">
        <v>16</v>
      </c>
      <c r="C66" s="2" t="s">
        <v>7</v>
      </c>
      <c r="D66" s="2">
        <v>1.4</v>
      </c>
      <c r="E66" s="2">
        <v>5.4</v>
      </c>
    </row>
    <row r="67" spans="1:5">
      <c r="A67" s="1" t="s">
        <v>554</v>
      </c>
      <c r="B67" s="2">
        <v>16</v>
      </c>
      <c r="C67" s="2" t="s">
        <v>7</v>
      </c>
      <c r="D67" s="2">
        <v>1.3</v>
      </c>
      <c r="E67" s="2">
        <v>6.3</v>
      </c>
    </row>
    <row r="68" spans="1:5">
      <c r="A68" s="1"/>
      <c r="B68" s="1"/>
      <c r="C68" s="1"/>
      <c r="D68" s="1"/>
      <c r="E68" s="1"/>
    </row>
    <row r="69" spans="1:5">
      <c r="A69" s="1" t="s">
        <v>555</v>
      </c>
      <c r="B69" s="2">
        <v>17</v>
      </c>
      <c r="C69" s="2" t="s">
        <v>7</v>
      </c>
      <c r="D69" s="2">
        <v>1.2</v>
      </c>
      <c r="E69" s="2">
        <v>9.1999999999999993</v>
      </c>
    </row>
    <row r="70" spans="1:5">
      <c r="A70" s="1" t="s">
        <v>556</v>
      </c>
      <c r="B70" s="2">
        <v>16</v>
      </c>
      <c r="C70" s="2" t="s">
        <v>7</v>
      </c>
      <c r="D70" s="2">
        <v>1.2</v>
      </c>
      <c r="E70" s="2">
        <v>8.6999999999999993</v>
      </c>
    </row>
    <row r="71" spans="1:5">
      <c r="A71" s="1" t="s">
        <v>557</v>
      </c>
      <c r="B71" s="2">
        <v>16</v>
      </c>
      <c r="C71" s="2" t="s">
        <v>7</v>
      </c>
      <c r="D71" s="2">
        <v>1.5</v>
      </c>
      <c r="E71" s="2">
        <v>9.4</v>
      </c>
    </row>
    <row r="72" spans="1:5">
      <c r="A72" s="1" t="s">
        <v>558</v>
      </c>
      <c r="B72" s="2">
        <v>16</v>
      </c>
      <c r="C72" s="2" t="s">
        <v>7</v>
      </c>
      <c r="D72" s="2">
        <v>1.2</v>
      </c>
      <c r="E72" s="2">
        <v>9</v>
      </c>
    </row>
    <row r="73" spans="1:5">
      <c r="A73" s="1" t="s">
        <v>559</v>
      </c>
      <c r="B73" s="2">
        <v>16</v>
      </c>
      <c r="C73" s="2" t="s">
        <v>7</v>
      </c>
      <c r="D73" s="2">
        <v>1.9</v>
      </c>
      <c r="E73" s="2">
        <v>8.6999999999999993</v>
      </c>
    </row>
    <row r="74" spans="1:5">
      <c r="A74" s="1" t="s">
        <v>560</v>
      </c>
      <c r="B74" s="2">
        <v>16</v>
      </c>
      <c r="C74" s="2" t="s">
        <v>7</v>
      </c>
      <c r="D74" s="2">
        <v>1.6</v>
      </c>
      <c r="E74" s="2">
        <v>8.4</v>
      </c>
    </row>
    <row r="75" spans="1:5">
      <c r="A75" s="1" t="s">
        <v>561</v>
      </c>
      <c r="B75" s="2">
        <v>16</v>
      </c>
      <c r="C75" s="2" t="s">
        <v>7</v>
      </c>
      <c r="D75" s="2">
        <v>1.1000000000000001</v>
      </c>
      <c r="E75" s="2">
        <v>8.9</v>
      </c>
    </row>
    <row r="76" spans="1:5">
      <c r="A76" s="1" t="s">
        <v>562</v>
      </c>
      <c r="B76" s="2">
        <v>17</v>
      </c>
      <c r="C76" s="2" t="s">
        <v>7</v>
      </c>
      <c r="D76" s="2">
        <v>1.2</v>
      </c>
      <c r="E76" s="2">
        <v>8</v>
      </c>
    </row>
    <row r="77" spans="1:5">
      <c r="A77" s="1" t="s">
        <v>563</v>
      </c>
      <c r="B77" s="2">
        <v>16</v>
      </c>
      <c r="C77" s="2" t="s">
        <v>7</v>
      </c>
      <c r="D77" s="2">
        <v>1.2</v>
      </c>
      <c r="E77" s="2">
        <v>1</v>
      </c>
    </row>
    <row r="78" spans="1:5">
      <c r="A78" s="1" t="s">
        <v>564</v>
      </c>
      <c r="B78" s="2">
        <v>16</v>
      </c>
      <c r="C78" s="2" t="s">
        <v>7</v>
      </c>
      <c r="D78" s="2">
        <v>1.5</v>
      </c>
      <c r="E78" s="2">
        <v>8.4</v>
      </c>
    </row>
    <row r="79" spans="1:5">
      <c r="A79" s="1" t="s">
        <v>565</v>
      </c>
      <c r="B79" s="2">
        <v>14</v>
      </c>
      <c r="C79" s="2" t="s">
        <v>442</v>
      </c>
      <c r="D79" s="2">
        <v>1.8</v>
      </c>
      <c r="E79" s="2">
        <v>10.8</v>
      </c>
    </row>
    <row r="80" spans="1:5">
      <c r="A80" s="1" t="s">
        <v>566</v>
      </c>
      <c r="B80" s="2">
        <v>14</v>
      </c>
      <c r="C80" s="2" t="s">
        <v>442</v>
      </c>
      <c r="D80" s="2">
        <v>1.9</v>
      </c>
      <c r="E80" s="2">
        <v>11.5</v>
      </c>
    </row>
  </sheetData>
  <pageMargins left="0.7" right="0.7" top="0.75" bottom="0.75" header="0.3" footer="0.3"/>
  <pageSetup paperSize="9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A0D5-FCD2-4226-A881-908DEDF14BDA}">
  <dimension ref="A1:F78"/>
  <sheetViews>
    <sheetView workbookViewId="0">
      <selection activeCell="C76" sqref="C76"/>
    </sheetView>
  </sheetViews>
  <sheetFormatPr defaultRowHeight="14.45"/>
  <cols>
    <col min="2" max="2" width="9.28515625" bestFit="1" customWidth="1"/>
    <col min="3" max="3" width="16.7109375" customWidth="1"/>
    <col min="4" max="4" width="12.140625" customWidth="1"/>
    <col min="5" max="5" width="14.85546875" customWidth="1"/>
  </cols>
  <sheetData>
    <row r="1" spans="1:5">
      <c r="A1" s="3" t="s">
        <v>1</v>
      </c>
      <c r="B1" s="3">
        <v>16</v>
      </c>
      <c r="C1" s="3" t="s">
        <v>3</v>
      </c>
      <c r="D1" s="3" t="s">
        <v>4</v>
      </c>
      <c r="E1" s="3" t="s">
        <v>5</v>
      </c>
    </row>
    <row r="2" spans="1:5">
      <c r="A2" s="1" t="s">
        <v>567</v>
      </c>
      <c r="B2" s="2">
        <v>16</v>
      </c>
      <c r="C2" s="2" t="s">
        <v>7</v>
      </c>
      <c r="D2" s="2">
        <v>1.4</v>
      </c>
      <c r="E2" s="2">
        <v>7.7</v>
      </c>
    </row>
    <row r="3" spans="1:5">
      <c r="A3" s="1" t="s">
        <v>568</v>
      </c>
      <c r="B3" s="2">
        <v>16</v>
      </c>
      <c r="C3" s="2" t="s">
        <v>7</v>
      </c>
      <c r="D3" s="2">
        <v>0.9</v>
      </c>
      <c r="E3" s="2">
        <v>7.9</v>
      </c>
    </row>
    <row r="4" spans="1:5">
      <c r="A4" s="1" t="s">
        <v>569</v>
      </c>
      <c r="B4" s="2">
        <v>16</v>
      </c>
      <c r="C4" s="2" t="s">
        <v>7</v>
      </c>
      <c r="D4" s="2">
        <v>1.5</v>
      </c>
      <c r="E4" s="2">
        <v>9.1</v>
      </c>
    </row>
    <row r="5" spans="1:5">
      <c r="A5" s="1" t="s">
        <v>570</v>
      </c>
      <c r="B5" s="2">
        <v>17</v>
      </c>
      <c r="C5" s="2" t="s">
        <v>7</v>
      </c>
      <c r="D5" s="2">
        <v>2</v>
      </c>
      <c r="E5" s="2">
        <v>9.1999999999999993</v>
      </c>
    </row>
    <row r="6" spans="1:5">
      <c r="A6" s="1" t="s">
        <v>571</v>
      </c>
      <c r="B6" s="2">
        <v>14</v>
      </c>
      <c r="C6" s="2" t="s">
        <v>7</v>
      </c>
      <c r="D6" s="2">
        <v>1.3</v>
      </c>
      <c r="E6" s="2">
        <v>7.8</v>
      </c>
    </row>
    <row r="7" spans="1:5">
      <c r="A7" s="1" t="s">
        <v>572</v>
      </c>
      <c r="B7" s="2">
        <v>17</v>
      </c>
      <c r="C7" s="2" t="s">
        <v>7</v>
      </c>
      <c r="D7" s="2">
        <v>2</v>
      </c>
      <c r="E7" s="2">
        <v>7.9</v>
      </c>
    </row>
    <row r="8" spans="1:5">
      <c r="A8" s="1" t="s">
        <v>573</v>
      </c>
      <c r="B8" s="2">
        <v>15</v>
      </c>
      <c r="C8" s="2" t="s">
        <v>7</v>
      </c>
      <c r="D8" s="2">
        <v>0.9</v>
      </c>
      <c r="E8" s="2">
        <v>7.6</v>
      </c>
    </row>
    <row r="9" spans="1:5">
      <c r="A9" s="1" t="s">
        <v>574</v>
      </c>
      <c r="B9" s="2">
        <v>16</v>
      </c>
      <c r="C9" s="2" t="s">
        <v>7</v>
      </c>
      <c r="D9" s="2">
        <v>1.5</v>
      </c>
      <c r="E9" s="2">
        <v>7.4</v>
      </c>
    </row>
    <row r="10" spans="1:5">
      <c r="A10" s="1" t="s">
        <v>575</v>
      </c>
      <c r="B10" s="2">
        <v>15</v>
      </c>
      <c r="C10" s="2" t="s">
        <v>7</v>
      </c>
      <c r="D10" s="2">
        <v>1.4</v>
      </c>
      <c r="E10" s="2">
        <v>7.2</v>
      </c>
    </row>
    <row r="11" spans="1:5">
      <c r="A11" s="1" t="s">
        <v>576</v>
      </c>
      <c r="B11" s="2">
        <v>16</v>
      </c>
      <c r="C11" s="2" t="s">
        <v>7</v>
      </c>
      <c r="D11" s="2">
        <v>1.7</v>
      </c>
      <c r="E11" s="2">
        <v>9.6999999999999993</v>
      </c>
    </row>
    <row r="12" spans="1:5">
      <c r="A12" s="1" t="s">
        <v>577</v>
      </c>
      <c r="B12" s="2">
        <v>17</v>
      </c>
      <c r="C12" s="2" t="s">
        <v>7</v>
      </c>
      <c r="D12" s="2">
        <v>1.2</v>
      </c>
      <c r="E12" s="2">
        <v>6.4</v>
      </c>
    </row>
    <row r="13" spans="1:5">
      <c r="A13" s="1" t="s">
        <v>578</v>
      </c>
      <c r="B13" s="2">
        <v>16</v>
      </c>
      <c r="C13" s="2" t="s">
        <v>7</v>
      </c>
      <c r="D13" s="2">
        <v>1.1000000000000001</v>
      </c>
      <c r="E13" s="2">
        <v>6.2</v>
      </c>
    </row>
    <row r="14" spans="1:5">
      <c r="A14" s="1" t="s">
        <v>579</v>
      </c>
      <c r="B14" s="2">
        <v>15</v>
      </c>
      <c r="C14" s="2" t="s">
        <v>7</v>
      </c>
      <c r="D14" s="2">
        <v>1</v>
      </c>
      <c r="E14" s="2">
        <v>6.3</v>
      </c>
    </row>
    <row r="15" spans="1:5">
      <c r="A15" s="1" t="s">
        <v>580</v>
      </c>
      <c r="B15" s="2">
        <v>17</v>
      </c>
      <c r="C15" s="2" t="s">
        <v>7</v>
      </c>
      <c r="D15" s="2">
        <v>1.7</v>
      </c>
      <c r="E15" s="2">
        <v>7.6</v>
      </c>
    </row>
    <row r="16" spans="1:5">
      <c r="A16" s="1" t="s">
        <v>581</v>
      </c>
      <c r="B16" s="2">
        <v>17</v>
      </c>
      <c r="C16" s="2" t="s">
        <v>7</v>
      </c>
      <c r="D16" s="2">
        <v>1.6</v>
      </c>
      <c r="E16" s="2">
        <v>6.7</v>
      </c>
    </row>
    <row r="17" spans="1:5">
      <c r="A17" s="1" t="s">
        <v>582</v>
      </c>
      <c r="B17" s="2">
        <v>16</v>
      </c>
      <c r="C17" s="2" t="s">
        <v>7</v>
      </c>
      <c r="D17" s="2">
        <v>1</v>
      </c>
      <c r="E17" s="2">
        <v>6.4</v>
      </c>
    </row>
    <row r="18" spans="1:5">
      <c r="A18" s="1" t="s">
        <v>583</v>
      </c>
      <c r="B18" s="2">
        <v>15</v>
      </c>
      <c r="C18" s="2" t="s">
        <v>7</v>
      </c>
      <c r="D18" s="2">
        <v>1.2</v>
      </c>
      <c r="E18" s="2">
        <v>5.9</v>
      </c>
    </row>
    <row r="19" spans="1:5">
      <c r="A19" s="1" t="s">
        <v>584</v>
      </c>
      <c r="B19" s="2">
        <v>17</v>
      </c>
      <c r="C19" s="2" t="s">
        <v>7</v>
      </c>
      <c r="D19" s="2">
        <v>1.5</v>
      </c>
      <c r="E19" s="2">
        <v>7.1</v>
      </c>
    </row>
    <row r="20" spans="1:5">
      <c r="A20" s="1" t="s">
        <v>585</v>
      </c>
      <c r="B20" s="2">
        <v>15</v>
      </c>
      <c r="C20" s="2" t="s">
        <v>7</v>
      </c>
      <c r="D20" s="2">
        <v>0.7</v>
      </c>
      <c r="E20" s="2">
        <v>6.1</v>
      </c>
    </row>
    <row r="21" spans="1:5">
      <c r="A21" s="1" t="s">
        <v>586</v>
      </c>
      <c r="B21" s="2">
        <v>14</v>
      </c>
      <c r="C21" s="2" t="s">
        <v>28</v>
      </c>
      <c r="D21" s="2">
        <v>1.4</v>
      </c>
      <c r="E21" s="2">
        <v>5.7</v>
      </c>
    </row>
    <row r="22" spans="1:5">
      <c r="A22" s="1" t="s">
        <v>587</v>
      </c>
      <c r="B22" s="2">
        <v>15</v>
      </c>
      <c r="C22" s="2" t="s">
        <v>28</v>
      </c>
      <c r="D22" s="2">
        <v>1.5</v>
      </c>
      <c r="E22" s="2">
        <v>9.9</v>
      </c>
    </row>
    <row r="23" spans="1:5">
      <c r="A23" s="1" t="s">
        <v>588</v>
      </c>
      <c r="B23" s="2">
        <v>16</v>
      </c>
      <c r="C23" s="2" t="s">
        <v>28</v>
      </c>
      <c r="D23" s="2">
        <v>1.4</v>
      </c>
      <c r="E23" s="2">
        <v>6.6</v>
      </c>
    </row>
    <row r="24" spans="1:5">
      <c r="A24" s="1" t="s">
        <v>589</v>
      </c>
      <c r="B24" s="2">
        <v>15</v>
      </c>
      <c r="C24" s="2" t="s">
        <v>7</v>
      </c>
      <c r="D24" s="2">
        <v>0.9</v>
      </c>
      <c r="E24" s="2">
        <v>5</v>
      </c>
    </row>
    <row r="25" spans="1:5">
      <c r="A25" s="1" t="s">
        <v>590</v>
      </c>
      <c r="B25" s="2">
        <v>16</v>
      </c>
      <c r="C25" s="2" t="s">
        <v>7</v>
      </c>
      <c r="D25" s="2">
        <v>1.5</v>
      </c>
      <c r="E25" s="2">
        <v>6.4</v>
      </c>
    </row>
    <row r="26" spans="1:5">
      <c r="A26" s="1" t="s">
        <v>591</v>
      </c>
      <c r="B26" s="2">
        <v>16</v>
      </c>
      <c r="C26" s="2" t="s">
        <v>7</v>
      </c>
      <c r="D26" s="2">
        <v>1.4</v>
      </c>
      <c r="E26" s="2">
        <v>5.6</v>
      </c>
    </row>
    <row r="27" spans="1:5">
      <c r="A27" s="1" t="s">
        <v>592</v>
      </c>
      <c r="B27" s="2">
        <v>16</v>
      </c>
      <c r="C27" s="2" t="s">
        <v>7</v>
      </c>
      <c r="D27" s="2">
        <v>1</v>
      </c>
      <c r="E27" s="2">
        <v>5.3</v>
      </c>
    </row>
    <row r="28" spans="1:5">
      <c r="A28" s="1"/>
      <c r="B28" s="1"/>
      <c r="C28" s="1"/>
      <c r="D28" s="1"/>
      <c r="E28" s="1"/>
    </row>
    <row r="29" spans="1:5">
      <c r="A29" s="1" t="s">
        <v>593</v>
      </c>
      <c r="B29" s="2">
        <v>16</v>
      </c>
      <c r="C29" s="2" t="s">
        <v>7</v>
      </c>
      <c r="D29" s="2">
        <v>1.2</v>
      </c>
      <c r="E29" s="2">
        <v>8.1</v>
      </c>
    </row>
    <row r="30" spans="1:5">
      <c r="A30" s="1" t="s">
        <v>594</v>
      </c>
      <c r="B30" s="2">
        <v>16</v>
      </c>
      <c r="C30" s="2" t="s">
        <v>7</v>
      </c>
      <c r="D30" s="2">
        <v>1.3</v>
      </c>
      <c r="E30" s="2">
        <v>7.3</v>
      </c>
    </row>
    <row r="31" spans="1:5">
      <c r="A31" s="1" t="s">
        <v>595</v>
      </c>
      <c r="B31" s="2">
        <v>17</v>
      </c>
      <c r="C31" s="2" t="s">
        <v>7</v>
      </c>
      <c r="D31" s="2">
        <v>1.1000000000000001</v>
      </c>
      <c r="E31" s="2">
        <v>7.1</v>
      </c>
    </row>
    <row r="32" spans="1:5">
      <c r="A32" s="1" t="s">
        <v>596</v>
      </c>
      <c r="B32" s="2">
        <v>16</v>
      </c>
      <c r="C32" s="2" t="s">
        <v>7</v>
      </c>
      <c r="D32" s="2">
        <v>1.8</v>
      </c>
      <c r="E32" s="2">
        <v>8.1</v>
      </c>
    </row>
    <row r="33" spans="1:6">
      <c r="A33" s="1" t="s">
        <v>597</v>
      </c>
      <c r="B33" s="2">
        <v>16</v>
      </c>
      <c r="C33" s="2" t="s">
        <v>7</v>
      </c>
      <c r="D33" s="2">
        <v>1.2</v>
      </c>
      <c r="E33" s="2">
        <v>7.1</v>
      </c>
    </row>
    <row r="34" spans="1:6">
      <c r="A34" s="1" t="s">
        <v>598</v>
      </c>
      <c r="B34" s="2">
        <v>16</v>
      </c>
      <c r="C34" s="2" t="s">
        <v>7</v>
      </c>
      <c r="D34" s="2">
        <v>1.8</v>
      </c>
      <c r="E34" s="2">
        <v>7.9</v>
      </c>
    </row>
    <row r="35" spans="1:6">
      <c r="A35" s="1" t="s">
        <v>599</v>
      </c>
      <c r="B35" s="2">
        <v>17</v>
      </c>
      <c r="C35" s="2" t="s">
        <v>7</v>
      </c>
      <c r="D35" s="2">
        <v>1.3</v>
      </c>
      <c r="E35" s="2">
        <v>6.5</v>
      </c>
    </row>
    <row r="36" spans="1:6">
      <c r="A36" s="1" t="s">
        <v>600</v>
      </c>
      <c r="B36" s="2">
        <v>16</v>
      </c>
      <c r="C36" s="2" t="s">
        <v>7</v>
      </c>
      <c r="D36" s="2">
        <v>1.9</v>
      </c>
      <c r="E36" s="2">
        <v>9.5</v>
      </c>
    </row>
    <row r="37" spans="1:6">
      <c r="A37" s="1" t="s">
        <v>601</v>
      </c>
      <c r="B37" s="2">
        <v>15</v>
      </c>
      <c r="C37" s="2" t="s">
        <v>7</v>
      </c>
      <c r="D37" s="2">
        <v>1.6</v>
      </c>
      <c r="E37" s="2">
        <v>7.9</v>
      </c>
    </row>
    <row r="38" spans="1:6">
      <c r="A38" s="1" t="s">
        <v>602</v>
      </c>
      <c r="B38" s="2">
        <v>16</v>
      </c>
      <c r="C38" s="2" t="s">
        <v>7</v>
      </c>
      <c r="D38" s="2">
        <v>1.9</v>
      </c>
      <c r="E38" s="2">
        <v>7.4</v>
      </c>
    </row>
    <row r="39" spans="1:6">
      <c r="A39" s="1" t="s">
        <v>603</v>
      </c>
      <c r="B39" s="2">
        <v>15</v>
      </c>
      <c r="C39" s="2" t="s">
        <v>7</v>
      </c>
      <c r="D39" s="2">
        <v>2</v>
      </c>
      <c r="E39" s="2">
        <v>8.3000000000000007</v>
      </c>
    </row>
    <row r="40" spans="1:6">
      <c r="A40" s="1" t="s">
        <v>604</v>
      </c>
      <c r="B40" s="2">
        <v>15</v>
      </c>
      <c r="C40" s="2" t="s">
        <v>7</v>
      </c>
      <c r="D40" s="2">
        <v>2.2999999999999998</v>
      </c>
      <c r="E40" s="2">
        <v>7.7</v>
      </c>
    </row>
    <row r="41" spans="1:6">
      <c r="A41" s="1" t="s">
        <v>605</v>
      </c>
      <c r="B41" s="2">
        <v>16</v>
      </c>
      <c r="C41" s="2" t="s">
        <v>7</v>
      </c>
      <c r="D41" s="2">
        <v>1.7</v>
      </c>
      <c r="E41" s="2">
        <v>8.9</v>
      </c>
    </row>
    <row r="42" spans="1:6">
      <c r="A42" s="1" t="s">
        <v>606</v>
      </c>
      <c r="B42" s="2">
        <v>16</v>
      </c>
      <c r="C42" s="2" t="s">
        <v>7</v>
      </c>
      <c r="D42" s="2">
        <v>1.8</v>
      </c>
      <c r="E42" s="2">
        <v>9.3000000000000007</v>
      </c>
    </row>
    <row r="43" spans="1:6">
      <c r="A43" s="1"/>
      <c r="B43" s="1"/>
      <c r="C43" s="1"/>
      <c r="D43" s="1"/>
      <c r="E43" s="2"/>
    </row>
    <row r="44" spans="1:6">
      <c r="A44" s="1" t="s">
        <v>607</v>
      </c>
      <c r="B44" s="2">
        <v>16</v>
      </c>
      <c r="C44" s="2" t="s">
        <v>7</v>
      </c>
      <c r="D44" s="2">
        <v>1.3</v>
      </c>
      <c r="E44" s="2">
        <v>7.4</v>
      </c>
    </row>
    <row r="45" spans="1:6">
      <c r="A45" s="1" t="s">
        <v>608</v>
      </c>
      <c r="B45" s="2">
        <v>14</v>
      </c>
      <c r="C45" s="2" t="s">
        <v>7</v>
      </c>
      <c r="D45" s="2">
        <v>2</v>
      </c>
      <c r="E45" s="2">
        <v>7.4</v>
      </c>
    </row>
    <row r="46" spans="1:6">
      <c r="A46" s="1"/>
      <c r="B46" s="1"/>
      <c r="C46" s="1"/>
      <c r="D46" s="1"/>
      <c r="E46" s="1"/>
    </row>
    <row r="47" spans="1:6">
      <c r="A47" s="1" t="s">
        <v>609</v>
      </c>
      <c r="B47" s="2">
        <v>17</v>
      </c>
      <c r="C47" s="2" t="s">
        <v>7</v>
      </c>
      <c r="D47" s="2">
        <v>1.5</v>
      </c>
      <c r="E47" s="2">
        <v>6.6</v>
      </c>
      <c r="F47" s="7">
        <v>5</v>
      </c>
    </row>
    <row r="48" spans="1:6">
      <c r="A48" s="1" t="s">
        <v>610</v>
      </c>
      <c r="B48" s="2">
        <v>16</v>
      </c>
      <c r="C48" s="2" t="s">
        <v>7</v>
      </c>
      <c r="D48" s="2">
        <v>1.3</v>
      </c>
      <c r="E48" s="2">
        <v>6.4</v>
      </c>
      <c r="F48" s="7">
        <v>5</v>
      </c>
    </row>
    <row r="49" spans="1:6">
      <c r="A49" s="1" t="s">
        <v>611</v>
      </c>
      <c r="B49" s="2">
        <v>16</v>
      </c>
      <c r="C49" s="2" t="s">
        <v>7</v>
      </c>
      <c r="D49" s="2">
        <v>1.4</v>
      </c>
      <c r="E49" s="2">
        <v>6.8</v>
      </c>
      <c r="F49" s="7">
        <v>5</v>
      </c>
    </row>
    <row r="50" spans="1:6">
      <c r="A50" s="1" t="s">
        <v>612</v>
      </c>
      <c r="B50" s="2">
        <v>17</v>
      </c>
      <c r="C50" s="2" t="s">
        <v>7</v>
      </c>
      <c r="D50" s="2">
        <v>1.6</v>
      </c>
      <c r="E50" s="2">
        <v>7.3</v>
      </c>
      <c r="F50" s="10">
        <v>4</v>
      </c>
    </row>
    <row r="51" spans="1:6">
      <c r="A51" s="1" t="s">
        <v>613</v>
      </c>
      <c r="B51" s="2">
        <v>16</v>
      </c>
      <c r="C51" s="2" t="s">
        <v>7</v>
      </c>
      <c r="D51" s="2">
        <v>0.9</v>
      </c>
      <c r="E51" s="2">
        <v>6.8</v>
      </c>
      <c r="F51" s="10">
        <v>5</v>
      </c>
    </row>
    <row r="52" spans="1:6">
      <c r="A52" s="1"/>
      <c r="B52" s="1"/>
      <c r="C52" s="1"/>
      <c r="D52" s="1"/>
      <c r="E52" s="1"/>
    </row>
    <row r="53" spans="1:6">
      <c r="A53" s="1" t="s">
        <v>614</v>
      </c>
      <c r="B53" s="2">
        <v>16</v>
      </c>
      <c r="C53" s="2" t="s">
        <v>7</v>
      </c>
      <c r="D53" s="2">
        <v>1.1000000000000001</v>
      </c>
      <c r="E53" s="2">
        <v>7.8</v>
      </c>
    </row>
    <row r="54" spans="1:6">
      <c r="A54" s="1" t="s">
        <v>615</v>
      </c>
      <c r="B54" s="2">
        <v>17</v>
      </c>
      <c r="C54" s="2" t="s">
        <v>7</v>
      </c>
      <c r="D54" s="2">
        <v>1.2</v>
      </c>
      <c r="E54" s="2">
        <v>7.4</v>
      </c>
    </row>
    <row r="55" spans="1:6">
      <c r="A55" s="1" t="s">
        <v>616</v>
      </c>
      <c r="B55" s="2">
        <v>16</v>
      </c>
      <c r="C55" s="2" t="s">
        <v>7</v>
      </c>
      <c r="D55" s="2">
        <v>2</v>
      </c>
      <c r="E55" s="2">
        <v>7.2</v>
      </c>
    </row>
    <row r="56" spans="1:6">
      <c r="A56" s="1" t="s">
        <v>617</v>
      </c>
      <c r="B56" s="2">
        <v>17</v>
      </c>
      <c r="C56" s="2" t="s">
        <v>7</v>
      </c>
      <c r="D56" s="2">
        <v>1.6</v>
      </c>
      <c r="E56" s="2">
        <v>8.1999999999999993</v>
      </c>
    </row>
    <row r="57" spans="1:6">
      <c r="A57" s="1" t="s">
        <v>618</v>
      </c>
      <c r="B57" s="2">
        <v>15</v>
      </c>
      <c r="C57" s="2" t="s">
        <v>7</v>
      </c>
      <c r="D57" s="2">
        <v>1.2</v>
      </c>
      <c r="E57" s="2">
        <v>8.4</v>
      </c>
    </row>
    <row r="58" spans="1:6">
      <c r="A58" s="1" t="s">
        <v>619</v>
      </c>
      <c r="B58" s="2">
        <v>15</v>
      </c>
      <c r="C58" s="2" t="s">
        <v>7</v>
      </c>
      <c r="D58" s="2">
        <v>0.9</v>
      </c>
      <c r="E58" s="2">
        <v>6.9</v>
      </c>
    </row>
    <row r="59" spans="1:6">
      <c r="A59" s="1" t="s">
        <v>620</v>
      </c>
      <c r="B59" s="2">
        <v>17</v>
      </c>
      <c r="C59" s="2" t="s">
        <v>7</v>
      </c>
      <c r="D59" s="2">
        <v>1.4</v>
      </c>
      <c r="E59" s="2">
        <v>6.8</v>
      </c>
    </row>
    <row r="60" spans="1:6">
      <c r="A60" s="1" t="s">
        <v>621</v>
      </c>
      <c r="B60" s="2">
        <v>16</v>
      </c>
      <c r="C60" s="2" t="s">
        <v>7</v>
      </c>
      <c r="D60" s="2">
        <v>1.3</v>
      </c>
      <c r="E60" s="2">
        <v>6.4</v>
      </c>
    </row>
    <row r="61" spans="1:6">
      <c r="A61" s="1" t="s">
        <v>622</v>
      </c>
      <c r="B61" s="2">
        <v>17</v>
      </c>
      <c r="C61" s="2" t="s">
        <v>7</v>
      </c>
      <c r="D61" s="2">
        <v>1.4</v>
      </c>
      <c r="E61" s="2">
        <v>7.2</v>
      </c>
    </row>
    <row r="62" spans="1:6">
      <c r="A62" s="1" t="s">
        <v>623</v>
      </c>
      <c r="B62" s="2">
        <v>16</v>
      </c>
      <c r="C62" s="2" t="s">
        <v>7</v>
      </c>
      <c r="D62" s="2">
        <v>1.2</v>
      </c>
      <c r="E62" s="2">
        <v>6.2</v>
      </c>
    </row>
    <row r="63" spans="1:6">
      <c r="A63" s="1" t="s">
        <v>624</v>
      </c>
      <c r="B63" s="2">
        <v>16</v>
      </c>
      <c r="C63" s="2" t="s">
        <v>28</v>
      </c>
      <c r="D63" s="2">
        <v>1.6</v>
      </c>
      <c r="E63" s="2">
        <v>7.4</v>
      </c>
    </row>
    <row r="64" spans="1:6">
      <c r="A64" s="1" t="s">
        <v>625</v>
      </c>
      <c r="B64" s="2">
        <v>15</v>
      </c>
      <c r="C64" s="2" t="s">
        <v>28</v>
      </c>
      <c r="D64" s="2">
        <v>1.5</v>
      </c>
      <c r="E64" s="2">
        <v>6.7</v>
      </c>
    </row>
    <row r="65" spans="1:6">
      <c r="A65" s="1"/>
      <c r="B65" s="1"/>
      <c r="C65" s="1"/>
      <c r="D65" s="1"/>
      <c r="E65" s="1"/>
    </row>
    <row r="66" spans="1:6">
      <c r="A66" s="1" t="s">
        <v>626</v>
      </c>
      <c r="B66" s="2">
        <v>18</v>
      </c>
      <c r="C66" s="2" t="s">
        <v>7</v>
      </c>
      <c r="D66" s="2">
        <v>1.4</v>
      </c>
      <c r="E66" s="2">
        <v>7.6</v>
      </c>
      <c r="F66" s="7">
        <v>5</v>
      </c>
    </row>
    <row r="67" spans="1:6">
      <c r="A67" s="1" t="s">
        <v>627</v>
      </c>
      <c r="B67" s="2">
        <v>14</v>
      </c>
      <c r="C67" s="2" t="s">
        <v>7</v>
      </c>
      <c r="D67" s="2">
        <v>1.1000000000000001</v>
      </c>
      <c r="E67" s="2">
        <v>8.1</v>
      </c>
      <c r="F67" s="7">
        <v>5</v>
      </c>
    </row>
    <row r="68" spans="1:6">
      <c r="A68" s="1" t="s">
        <v>628</v>
      </c>
      <c r="B68" s="2">
        <v>17</v>
      </c>
      <c r="C68" s="2" t="s">
        <v>7</v>
      </c>
      <c r="D68" s="2">
        <v>1.9</v>
      </c>
      <c r="E68" s="2">
        <v>8.8000000000000007</v>
      </c>
      <c r="F68" s="7">
        <v>5</v>
      </c>
    </row>
    <row r="69" spans="1:6">
      <c r="A69" s="1" t="s">
        <v>629</v>
      </c>
      <c r="B69" s="2">
        <v>17</v>
      </c>
      <c r="C69" s="2" t="s">
        <v>7</v>
      </c>
      <c r="D69" s="2">
        <v>2</v>
      </c>
      <c r="E69" s="2">
        <v>7.3</v>
      </c>
      <c r="F69" s="10">
        <v>5</v>
      </c>
    </row>
    <row r="70" spans="1:6">
      <c r="A70" s="1" t="s">
        <v>630</v>
      </c>
      <c r="B70" s="2">
        <v>18</v>
      </c>
      <c r="C70" s="2" t="s">
        <v>7</v>
      </c>
      <c r="D70" s="2">
        <v>1.6</v>
      </c>
      <c r="E70" s="2">
        <v>8.4</v>
      </c>
      <c r="F70" s="10">
        <v>5</v>
      </c>
    </row>
    <row r="71" spans="1:6">
      <c r="A71" s="1" t="s">
        <v>631</v>
      </c>
      <c r="B71" s="2">
        <v>17</v>
      </c>
      <c r="C71" s="2" t="s">
        <v>28</v>
      </c>
      <c r="D71" s="2">
        <v>2</v>
      </c>
      <c r="E71" s="2">
        <v>8.6</v>
      </c>
      <c r="F71" s="10">
        <v>5</v>
      </c>
    </row>
    <row r="72" spans="1:6">
      <c r="A72" s="1" t="s">
        <v>632</v>
      </c>
      <c r="B72" s="2">
        <v>16</v>
      </c>
      <c r="C72" s="2" t="s">
        <v>28</v>
      </c>
      <c r="D72" s="2">
        <v>2</v>
      </c>
      <c r="E72" s="2">
        <v>8.5</v>
      </c>
      <c r="F72" s="10">
        <v>5</v>
      </c>
    </row>
    <row r="73" spans="1:6">
      <c r="A73" s="1" t="s">
        <v>633</v>
      </c>
      <c r="B73" s="2">
        <v>16</v>
      </c>
      <c r="C73" s="2" t="s">
        <v>28</v>
      </c>
      <c r="D73" s="2">
        <v>1.8</v>
      </c>
      <c r="E73" s="2">
        <v>8.1</v>
      </c>
      <c r="F73" s="10">
        <v>5</v>
      </c>
    </row>
    <row r="74" spans="1:6">
      <c r="A74" s="1" t="s">
        <v>634</v>
      </c>
      <c r="B74" s="2">
        <v>7.6</v>
      </c>
      <c r="C74" s="2" t="s">
        <v>7</v>
      </c>
      <c r="D74" s="2">
        <v>1.5</v>
      </c>
      <c r="E74" s="2">
        <v>7.6</v>
      </c>
      <c r="F74" s="10">
        <v>5</v>
      </c>
    </row>
    <row r="75" spans="1:6">
      <c r="A75" s="1" t="s">
        <v>635</v>
      </c>
      <c r="B75" s="2">
        <v>8</v>
      </c>
      <c r="C75" s="2" t="s">
        <v>7</v>
      </c>
      <c r="D75" s="2">
        <v>1.6</v>
      </c>
      <c r="E75" s="2">
        <v>8</v>
      </c>
      <c r="F75" s="10">
        <v>5</v>
      </c>
    </row>
    <row r="76" spans="1:6">
      <c r="A76" s="1" t="s">
        <v>636</v>
      </c>
      <c r="B76" s="2">
        <v>7.4</v>
      </c>
      <c r="C76" s="2" t="s">
        <v>442</v>
      </c>
      <c r="D76" s="2">
        <v>1.8</v>
      </c>
      <c r="E76" s="2">
        <v>7.4</v>
      </c>
      <c r="F76" s="10">
        <v>5</v>
      </c>
    </row>
    <row r="77" spans="1:6">
      <c r="A77" s="1" t="s">
        <v>637</v>
      </c>
      <c r="B77" s="2">
        <v>8.3000000000000007</v>
      </c>
      <c r="C77" s="2" t="s">
        <v>442</v>
      </c>
      <c r="D77" s="2">
        <v>1.1000000000000001</v>
      </c>
      <c r="E77" s="2">
        <v>8.3000000000000007</v>
      </c>
      <c r="F77" s="10">
        <v>5</v>
      </c>
    </row>
    <row r="78" spans="1:6">
      <c r="A78" s="1" t="s">
        <v>638</v>
      </c>
      <c r="B78" s="2">
        <v>7.4</v>
      </c>
      <c r="C78" s="2" t="s">
        <v>7</v>
      </c>
      <c r="D78" s="2">
        <v>1.3</v>
      </c>
      <c r="E78" s="2">
        <v>7.4</v>
      </c>
      <c r="F78" s="10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5EA2-98C3-47F6-993E-CF3FB3FF3EDA}">
  <dimension ref="A1:N78"/>
  <sheetViews>
    <sheetView workbookViewId="0">
      <pane ySplit="2" topLeftCell="A3" activePane="bottomLeft" state="frozen"/>
      <selection pane="bottomLeft" activeCell="K3" sqref="K3"/>
    </sheetView>
  </sheetViews>
  <sheetFormatPr defaultRowHeight="14.45"/>
  <cols>
    <col min="5" max="5" width="11.28515625" customWidth="1"/>
    <col min="6" max="6" width="14.28515625" customWidth="1"/>
    <col min="8" max="8" width="15.140625" customWidth="1"/>
    <col min="9" max="9" width="13.7109375" customWidth="1"/>
    <col min="10" max="10" width="15.7109375" customWidth="1"/>
    <col min="11" max="11" width="13.140625" customWidth="1"/>
    <col min="12" max="12" width="13.7109375" customWidth="1"/>
    <col min="13" max="13" width="13.85546875" customWidth="1"/>
    <col min="14" max="14" width="10.7109375" customWidth="1"/>
  </cols>
  <sheetData>
    <row r="1" spans="1:14" ht="15" thickBot="1">
      <c r="F1" t="s">
        <v>639</v>
      </c>
      <c r="H1" s="9">
        <v>46114</v>
      </c>
    </row>
    <row r="2" spans="1:14">
      <c r="A2" s="3" t="s">
        <v>1</v>
      </c>
      <c r="B2" s="3">
        <v>16</v>
      </c>
      <c r="C2" s="3" t="s">
        <v>3</v>
      </c>
      <c r="D2" s="3" t="s">
        <v>4</v>
      </c>
      <c r="E2" s="25" t="s">
        <v>5</v>
      </c>
      <c r="F2" s="59" t="s">
        <v>640</v>
      </c>
      <c r="H2" s="13"/>
      <c r="I2" s="16" t="s">
        <v>641</v>
      </c>
      <c r="J2" s="16" t="s">
        <v>3</v>
      </c>
      <c r="K2" s="16" t="s">
        <v>4</v>
      </c>
      <c r="L2" s="33" t="s">
        <v>5</v>
      </c>
      <c r="M2" s="16" t="s">
        <v>640</v>
      </c>
    </row>
    <row r="3" spans="1:14">
      <c r="A3" s="1" t="s">
        <v>642</v>
      </c>
      <c r="B3" s="2">
        <v>16</v>
      </c>
      <c r="C3" s="2" t="s">
        <v>7</v>
      </c>
      <c r="D3" s="2">
        <v>1.5</v>
      </c>
      <c r="E3" s="26">
        <v>6.5</v>
      </c>
      <c r="F3" s="28">
        <v>5</v>
      </c>
      <c r="H3" s="13" t="s">
        <v>643</v>
      </c>
      <c r="I3" s="20">
        <v>60.9</v>
      </c>
      <c r="J3" s="17">
        <v>100</v>
      </c>
      <c r="K3" s="20">
        <v>60.9</v>
      </c>
      <c r="L3" s="34">
        <v>8.6999999999999993</v>
      </c>
      <c r="M3" s="20">
        <f>AVERAGE(F3:F25)*20</f>
        <v>96.521739130434781</v>
      </c>
      <c r="N3" s="22">
        <f>SUM(I3:M3)/5</f>
        <v>65.404347826086948</v>
      </c>
    </row>
    <row r="4" spans="1:14">
      <c r="A4" s="1" t="s">
        <v>644</v>
      </c>
      <c r="B4" s="2">
        <v>16</v>
      </c>
      <c r="C4" s="2" t="s">
        <v>7</v>
      </c>
      <c r="D4" s="2">
        <v>1.6</v>
      </c>
      <c r="E4" s="26">
        <v>6.7</v>
      </c>
      <c r="F4" s="29">
        <v>5</v>
      </c>
      <c r="H4" s="13" t="s">
        <v>645</v>
      </c>
      <c r="I4" s="20">
        <v>68.8</v>
      </c>
      <c r="J4" s="17">
        <v>100</v>
      </c>
      <c r="K4" s="20">
        <v>68.900000000000006</v>
      </c>
      <c r="L4" s="35">
        <v>87.5</v>
      </c>
      <c r="M4" s="17">
        <f>AVERAGE(F27:F42)*20</f>
        <v>97.5</v>
      </c>
      <c r="N4" s="22">
        <f>SUM(I4:M4)/5</f>
        <v>84.54</v>
      </c>
    </row>
    <row r="5" spans="1:14">
      <c r="A5" s="1" t="s">
        <v>646</v>
      </c>
      <c r="B5" s="2">
        <v>17</v>
      </c>
      <c r="C5" s="2" t="s">
        <v>7</v>
      </c>
      <c r="D5" s="2">
        <v>1.6</v>
      </c>
      <c r="E5" s="26">
        <v>6.4</v>
      </c>
      <c r="F5" s="28">
        <v>5</v>
      </c>
      <c r="H5" s="13" t="s">
        <v>647</v>
      </c>
      <c r="I5" s="20">
        <v>100</v>
      </c>
      <c r="J5" s="17">
        <v>100</v>
      </c>
      <c r="K5" s="20">
        <v>50</v>
      </c>
      <c r="L5" s="35">
        <v>100</v>
      </c>
      <c r="M5" s="17">
        <f>AVERAGE(F45:F46)*20</f>
        <v>100</v>
      </c>
      <c r="N5" s="22">
        <f t="shared" ref="N5:N8" si="0">SUM(I5:M5)/5</f>
        <v>90</v>
      </c>
    </row>
    <row r="6" spans="1:14">
      <c r="A6" s="1" t="s">
        <v>648</v>
      </c>
      <c r="B6" s="2">
        <v>14</v>
      </c>
      <c r="C6" s="2" t="s">
        <v>7</v>
      </c>
      <c r="D6" s="2">
        <v>1.6</v>
      </c>
      <c r="E6" s="26">
        <v>6.6</v>
      </c>
      <c r="F6" s="28">
        <v>5</v>
      </c>
      <c r="H6" s="13" t="s">
        <v>649</v>
      </c>
      <c r="I6" s="20">
        <v>100</v>
      </c>
      <c r="J6" s="17">
        <v>100</v>
      </c>
      <c r="K6" s="20">
        <v>100</v>
      </c>
      <c r="L6" s="35">
        <v>40</v>
      </c>
      <c r="M6" s="17">
        <f>AVERAGE(F48:F52)*20</f>
        <v>100</v>
      </c>
      <c r="N6" s="22">
        <f t="shared" si="0"/>
        <v>88</v>
      </c>
    </row>
    <row r="7" spans="1:14">
      <c r="A7" s="1" t="s">
        <v>650</v>
      </c>
      <c r="B7" s="2">
        <v>17</v>
      </c>
      <c r="C7" s="2" t="s">
        <v>7</v>
      </c>
      <c r="D7" s="2">
        <v>1</v>
      </c>
      <c r="E7" s="26">
        <v>6.8</v>
      </c>
      <c r="F7" s="28">
        <v>5</v>
      </c>
      <c r="H7" s="13" t="s">
        <v>651</v>
      </c>
      <c r="I7" s="20">
        <v>75</v>
      </c>
      <c r="J7" s="17">
        <v>100</v>
      </c>
      <c r="K7" s="20">
        <v>75</v>
      </c>
      <c r="L7" s="34">
        <v>25</v>
      </c>
      <c r="M7" s="20">
        <f>AVERAGE(F51:F62)*20</f>
        <v>92.727272727272734</v>
      </c>
      <c r="N7" s="22">
        <f t="shared" si="0"/>
        <v>73.545454545454547</v>
      </c>
    </row>
    <row r="8" spans="1:14">
      <c r="A8" s="1" t="s">
        <v>652</v>
      </c>
      <c r="B8" s="2">
        <v>14</v>
      </c>
      <c r="C8" s="2" t="s">
        <v>7</v>
      </c>
      <c r="D8" s="2">
        <v>1.3</v>
      </c>
      <c r="E8" s="26">
        <v>5.5</v>
      </c>
      <c r="F8" s="28">
        <v>4</v>
      </c>
      <c r="H8" s="13" t="s">
        <v>653</v>
      </c>
      <c r="I8" s="20">
        <v>58</v>
      </c>
      <c r="J8" s="17">
        <v>100</v>
      </c>
      <c r="K8" s="20">
        <v>100</v>
      </c>
      <c r="L8" s="34">
        <v>100</v>
      </c>
      <c r="M8" s="20">
        <f>AVERAGE(F64:F75)*20</f>
        <v>96.363636363636374</v>
      </c>
      <c r="N8" s="22">
        <f t="shared" si="0"/>
        <v>90.872727272727275</v>
      </c>
    </row>
    <row r="9" spans="1:14">
      <c r="A9" s="1" t="s">
        <v>654</v>
      </c>
      <c r="B9" s="2">
        <v>16</v>
      </c>
      <c r="C9" s="2" t="s">
        <v>7</v>
      </c>
      <c r="D9" s="2">
        <v>1.1000000000000001</v>
      </c>
      <c r="E9" s="26">
        <v>5.7</v>
      </c>
      <c r="F9" s="28">
        <v>5</v>
      </c>
      <c r="H9" s="13"/>
      <c r="I9" s="17"/>
      <c r="J9" s="17"/>
      <c r="K9" s="17"/>
      <c r="L9" s="36"/>
      <c r="M9" s="17"/>
    </row>
    <row r="10" spans="1:14" ht="15" thickBot="1">
      <c r="A10" s="1" t="s">
        <v>655</v>
      </c>
      <c r="B10" s="2">
        <v>16</v>
      </c>
      <c r="C10" s="2" t="s">
        <v>7</v>
      </c>
      <c r="D10" s="2">
        <v>1.1000000000000001</v>
      </c>
      <c r="E10" s="26">
        <v>5.7</v>
      </c>
      <c r="F10" s="28">
        <v>5</v>
      </c>
      <c r="H10" s="13"/>
      <c r="I10" s="18" t="s">
        <v>656</v>
      </c>
      <c r="J10" s="18" t="s">
        <v>657</v>
      </c>
      <c r="K10" s="18" t="s">
        <v>658</v>
      </c>
      <c r="L10" s="37" t="s">
        <v>659</v>
      </c>
      <c r="M10" s="18"/>
    </row>
    <row r="11" spans="1:14">
      <c r="A11" s="1" t="s">
        <v>660</v>
      </c>
      <c r="B11" s="2">
        <v>15</v>
      </c>
      <c r="C11" s="2" t="s">
        <v>7</v>
      </c>
      <c r="D11" s="2">
        <v>0.9</v>
      </c>
      <c r="E11" s="26">
        <v>6</v>
      </c>
      <c r="F11" s="28">
        <v>4</v>
      </c>
    </row>
    <row r="12" spans="1:14">
      <c r="A12" s="1" t="s">
        <v>661</v>
      </c>
      <c r="B12" s="2">
        <v>16</v>
      </c>
      <c r="C12" s="2" t="s">
        <v>7</v>
      </c>
      <c r="D12" s="2">
        <v>0.9</v>
      </c>
      <c r="E12" s="26">
        <v>5.8</v>
      </c>
      <c r="F12" s="28">
        <v>5</v>
      </c>
    </row>
    <row r="13" spans="1:14">
      <c r="A13" s="1" t="s">
        <v>662</v>
      </c>
      <c r="B13" s="2">
        <v>16</v>
      </c>
      <c r="C13" s="2" t="s">
        <v>7</v>
      </c>
      <c r="D13" s="2">
        <v>1.3</v>
      </c>
      <c r="E13" s="26">
        <v>5.6</v>
      </c>
      <c r="F13" s="28">
        <v>5</v>
      </c>
    </row>
    <row r="14" spans="1:14">
      <c r="A14" s="1" t="s">
        <v>663</v>
      </c>
      <c r="B14" s="2">
        <v>18</v>
      </c>
      <c r="C14" s="2" t="s">
        <v>7</v>
      </c>
      <c r="D14" s="2">
        <v>1</v>
      </c>
      <c r="E14" s="26">
        <v>5.0999999999999996</v>
      </c>
      <c r="F14" s="28">
        <v>5</v>
      </c>
    </row>
    <row r="15" spans="1:14">
      <c r="A15" s="1" t="s">
        <v>664</v>
      </c>
      <c r="B15" s="2">
        <v>16</v>
      </c>
      <c r="C15" s="2" t="s">
        <v>7</v>
      </c>
      <c r="D15" s="2">
        <v>1</v>
      </c>
      <c r="E15" s="26">
        <v>5</v>
      </c>
      <c r="F15" s="28">
        <v>4</v>
      </c>
    </row>
    <row r="16" spans="1:14">
      <c r="A16" s="1" t="s">
        <v>665</v>
      </c>
      <c r="B16" s="2">
        <v>14</v>
      </c>
      <c r="C16" s="2" t="s">
        <v>7</v>
      </c>
      <c r="D16" s="2">
        <v>1.3</v>
      </c>
      <c r="E16" s="26">
        <v>5.3</v>
      </c>
      <c r="F16" s="28">
        <v>5</v>
      </c>
    </row>
    <row r="17" spans="1:6">
      <c r="A17" s="1" t="s">
        <v>666</v>
      </c>
      <c r="B17" s="2">
        <v>15</v>
      </c>
      <c r="C17" s="2" t="s">
        <v>7</v>
      </c>
      <c r="D17" s="2">
        <v>1.1000000000000001</v>
      </c>
      <c r="E17" s="26">
        <v>5.8</v>
      </c>
      <c r="F17" s="28">
        <v>5</v>
      </c>
    </row>
    <row r="18" spans="1:6">
      <c r="A18" s="1" t="s">
        <v>667</v>
      </c>
      <c r="B18" s="2">
        <v>17</v>
      </c>
      <c r="C18" s="2" t="s">
        <v>7</v>
      </c>
      <c r="D18" s="2">
        <v>1.2</v>
      </c>
      <c r="E18" s="26">
        <v>5.5</v>
      </c>
      <c r="F18" s="28">
        <v>5</v>
      </c>
    </row>
    <row r="19" spans="1:6">
      <c r="A19" s="1" t="s">
        <v>668</v>
      </c>
      <c r="B19" s="2">
        <v>14</v>
      </c>
      <c r="C19" s="2" t="s">
        <v>7</v>
      </c>
      <c r="D19" s="2">
        <v>1.5</v>
      </c>
      <c r="E19" s="26">
        <v>5.4</v>
      </c>
      <c r="F19" s="28">
        <v>5</v>
      </c>
    </row>
    <row r="20" spans="1:6">
      <c r="A20" s="1" t="s">
        <v>669</v>
      </c>
      <c r="B20" s="2">
        <v>16</v>
      </c>
      <c r="C20" s="2" t="s">
        <v>7</v>
      </c>
      <c r="D20" s="2">
        <v>1.4</v>
      </c>
      <c r="E20" s="26">
        <v>7.1</v>
      </c>
      <c r="F20" s="28">
        <v>5</v>
      </c>
    </row>
    <row r="21" spans="1:6">
      <c r="A21" s="1" t="s">
        <v>670</v>
      </c>
      <c r="B21" s="2">
        <v>16</v>
      </c>
      <c r="C21" s="2" t="s">
        <v>7</v>
      </c>
      <c r="D21" s="2">
        <v>1.3</v>
      </c>
      <c r="E21" s="26">
        <v>5</v>
      </c>
      <c r="F21" s="28">
        <v>4</v>
      </c>
    </row>
    <row r="22" spans="1:6">
      <c r="A22" s="1" t="s">
        <v>671</v>
      </c>
      <c r="B22" s="2">
        <v>14</v>
      </c>
      <c r="C22" s="2" t="s">
        <v>7</v>
      </c>
      <c r="D22" s="2">
        <v>1.1000000000000001</v>
      </c>
      <c r="E22" s="26">
        <v>6</v>
      </c>
      <c r="F22" s="28">
        <v>5</v>
      </c>
    </row>
    <row r="23" spans="1:6">
      <c r="A23" s="1" t="s">
        <v>672</v>
      </c>
      <c r="B23" s="2">
        <v>16</v>
      </c>
      <c r="C23" s="2" t="s">
        <v>7</v>
      </c>
      <c r="D23" s="2">
        <v>1.6</v>
      </c>
      <c r="E23" s="26">
        <v>5.0999999999999996</v>
      </c>
      <c r="F23" s="28">
        <v>5</v>
      </c>
    </row>
    <row r="24" spans="1:6">
      <c r="A24" s="1" t="s">
        <v>673</v>
      </c>
      <c r="B24" s="2">
        <v>15</v>
      </c>
      <c r="C24" s="2" t="s">
        <v>7</v>
      </c>
      <c r="D24" s="2">
        <v>1.4</v>
      </c>
      <c r="E24" s="26">
        <v>7</v>
      </c>
      <c r="F24" s="28">
        <v>5</v>
      </c>
    </row>
    <row r="25" spans="1:6">
      <c r="A25" s="1" t="s">
        <v>674</v>
      </c>
      <c r="B25" s="2">
        <v>14</v>
      </c>
      <c r="C25" s="2" t="s">
        <v>7</v>
      </c>
      <c r="D25" s="2">
        <v>1.5</v>
      </c>
      <c r="E25" s="26">
        <v>5.4</v>
      </c>
      <c r="F25" s="28">
        <v>5</v>
      </c>
    </row>
    <row r="26" spans="1:6">
      <c r="A26" s="1"/>
      <c r="B26" s="1"/>
      <c r="C26" s="1"/>
      <c r="D26" s="1"/>
      <c r="E26" s="27"/>
      <c r="F26" s="28"/>
    </row>
    <row r="27" spans="1:6">
      <c r="A27" s="1" t="s">
        <v>675</v>
      </c>
      <c r="B27" s="2">
        <v>17</v>
      </c>
      <c r="C27" s="2" t="s">
        <v>7</v>
      </c>
      <c r="D27" s="2">
        <v>1.1000000000000001</v>
      </c>
      <c r="E27" s="26">
        <v>7.5</v>
      </c>
      <c r="F27" s="29">
        <v>5</v>
      </c>
    </row>
    <row r="28" spans="1:6">
      <c r="A28" s="1" t="s">
        <v>676</v>
      </c>
      <c r="B28" s="2">
        <v>15</v>
      </c>
      <c r="C28" s="2" t="s">
        <v>7</v>
      </c>
      <c r="D28" s="2">
        <v>1.5</v>
      </c>
      <c r="E28" s="26">
        <v>6.7</v>
      </c>
      <c r="F28" s="29">
        <v>5</v>
      </c>
    </row>
    <row r="29" spans="1:6">
      <c r="A29" s="1" t="s">
        <v>677</v>
      </c>
      <c r="B29" s="2">
        <v>16</v>
      </c>
      <c r="C29" s="2" t="s">
        <v>7</v>
      </c>
      <c r="D29" s="2">
        <v>1.4</v>
      </c>
      <c r="E29" s="26">
        <v>7.3</v>
      </c>
      <c r="F29" s="29">
        <v>5</v>
      </c>
    </row>
    <row r="30" spans="1:6">
      <c r="A30" s="1" t="s">
        <v>678</v>
      </c>
      <c r="B30" s="2">
        <v>16</v>
      </c>
      <c r="C30" s="2" t="s">
        <v>7</v>
      </c>
      <c r="D30" s="2">
        <v>1.3</v>
      </c>
      <c r="E30" s="26">
        <v>8.5</v>
      </c>
      <c r="F30" s="29">
        <v>3</v>
      </c>
    </row>
    <row r="31" spans="1:6">
      <c r="A31" s="1" t="s">
        <v>679</v>
      </c>
      <c r="B31" s="2">
        <v>16</v>
      </c>
      <c r="C31" s="2" t="s">
        <v>7</v>
      </c>
      <c r="D31" s="2">
        <v>1.8</v>
      </c>
      <c r="E31" s="26">
        <v>8.1999999999999993</v>
      </c>
      <c r="F31" s="29">
        <v>5</v>
      </c>
    </row>
    <row r="32" spans="1:6">
      <c r="A32" s="1" t="s">
        <v>680</v>
      </c>
      <c r="B32" s="2">
        <v>15</v>
      </c>
      <c r="C32" s="2" t="s">
        <v>7</v>
      </c>
      <c r="D32" s="2">
        <v>1.7</v>
      </c>
      <c r="E32" s="26">
        <v>11.1</v>
      </c>
      <c r="F32" s="29">
        <v>5</v>
      </c>
    </row>
    <row r="33" spans="1:6">
      <c r="A33" s="1" t="s">
        <v>681</v>
      </c>
      <c r="B33" s="2">
        <v>17</v>
      </c>
      <c r="C33" s="2" t="s">
        <v>7</v>
      </c>
      <c r="D33" s="2">
        <v>1.6</v>
      </c>
      <c r="E33" s="26">
        <v>9.1</v>
      </c>
      <c r="F33" s="29">
        <v>5</v>
      </c>
    </row>
    <row r="34" spans="1:6">
      <c r="A34" s="1" t="s">
        <v>682</v>
      </c>
      <c r="B34" s="2">
        <v>16</v>
      </c>
      <c r="C34" s="2" t="s">
        <v>7</v>
      </c>
      <c r="D34" s="2">
        <v>1.6</v>
      </c>
      <c r="E34" s="26">
        <v>8.6</v>
      </c>
      <c r="F34" s="29">
        <v>5</v>
      </c>
    </row>
    <row r="35" spans="1:6">
      <c r="A35" s="1" t="s">
        <v>683</v>
      </c>
      <c r="B35" s="2">
        <v>14</v>
      </c>
      <c r="C35" s="2" t="s">
        <v>7</v>
      </c>
      <c r="D35" s="2">
        <v>1.1000000000000001</v>
      </c>
      <c r="E35" s="26">
        <v>6.4</v>
      </c>
      <c r="F35" s="29">
        <v>5</v>
      </c>
    </row>
    <row r="36" spans="1:6">
      <c r="A36" s="1" t="s">
        <v>684</v>
      </c>
      <c r="B36" s="2">
        <v>14</v>
      </c>
      <c r="C36" s="2" t="s">
        <v>7</v>
      </c>
      <c r="D36" s="2">
        <v>1.1000000000000001</v>
      </c>
      <c r="E36" s="26">
        <v>7.9</v>
      </c>
      <c r="F36" s="29">
        <v>5</v>
      </c>
    </row>
    <row r="37" spans="1:6">
      <c r="A37" s="1" t="s">
        <v>685</v>
      </c>
      <c r="B37" s="2">
        <v>16</v>
      </c>
      <c r="C37" s="2" t="s">
        <v>7</v>
      </c>
      <c r="D37" s="2">
        <v>1.3</v>
      </c>
      <c r="E37" s="26">
        <v>7.9</v>
      </c>
      <c r="F37" s="29">
        <v>5</v>
      </c>
    </row>
    <row r="38" spans="1:6">
      <c r="A38" s="1" t="s">
        <v>686</v>
      </c>
      <c r="B38" s="2">
        <v>18</v>
      </c>
      <c r="C38" s="2" t="s">
        <v>7</v>
      </c>
      <c r="D38" s="2">
        <v>1</v>
      </c>
      <c r="E38" s="26">
        <v>7.6</v>
      </c>
      <c r="F38" s="29">
        <v>5</v>
      </c>
    </row>
    <row r="39" spans="1:6">
      <c r="A39" s="1" t="s">
        <v>687</v>
      </c>
      <c r="B39" s="2">
        <v>16</v>
      </c>
      <c r="C39" s="2" t="s">
        <v>7</v>
      </c>
      <c r="D39" s="2">
        <v>1.2</v>
      </c>
      <c r="E39" s="26">
        <v>7</v>
      </c>
      <c r="F39" s="29">
        <v>5</v>
      </c>
    </row>
    <row r="40" spans="1:6">
      <c r="A40" s="1" t="s">
        <v>688</v>
      </c>
      <c r="B40" s="2">
        <v>16</v>
      </c>
      <c r="C40" s="2" t="s">
        <v>7</v>
      </c>
      <c r="D40" s="2">
        <v>1.5</v>
      </c>
      <c r="E40" s="26">
        <v>8.3000000000000007</v>
      </c>
      <c r="F40" s="29">
        <v>5</v>
      </c>
    </row>
    <row r="41" spans="1:6">
      <c r="A41" s="1" t="s">
        <v>689</v>
      </c>
      <c r="B41" s="2">
        <v>14</v>
      </c>
      <c r="C41" s="2" t="s">
        <v>7</v>
      </c>
      <c r="D41" s="2">
        <v>1.8</v>
      </c>
      <c r="E41" s="26">
        <v>7.6</v>
      </c>
      <c r="F41" s="29">
        <v>5</v>
      </c>
    </row>
    <row r="42" spans="1:6">
      <c r="A42" s="1" t="s">
        <v>690</v>
      </c>
      <c r="B42" s="2">
        <v>15</v>
      </c>
      <c r="C42" s="2" t="s">
        <v>7</v>
      </c>
      <c r="D42" s="2">
        <v>1.1000000000000001</v>
      </c>
      <c r="E42" s="26">
        <v>7.4</v>
      </c>
      <c r="F42" s="29">
        <v>5</v>
      </c>
    </row>
    <row r="43" spans="1:6">
      <c r="A43" s="1"/>
      <c r="B43" s="2"/>
      <c r="C43" s="2"/>
      <c r="D43" s="2"/>
      <c r="E43" s="26"/>
      <c r="F43" s="29"/>
    </row>
    <row r="44" spans="1:6">
      <c r="A44" s="1"/>
      <c r="B44" s="1"/>
      <c r="C44" s="1"/>
      <c r="D44" s="1"/>
      <c r="E44" s="26"/>
      <c r="F44" s="28"/>
    </row>
    <row r="45" spans="1:6">
      <c r="A45" s="1" t="s">
        <v>691</v>
      </c>
      <c r="B45" s="2">
        <v>16</v>
      </c>
      <c r="C45" s="2" t="s">
        <v>7</v>
      </c>
      <c r="D45" s="2">
        <v>1</v>
      </c>
      <c r="E45" s="26">
        <v>7.1</v>
      </c>
      <c r="F45" s="29">
        <v>5</v>
      </c>
    </row>
    <row r="46" spans="1:6">
      <c r="A46" s="1" t="s">
        <v>692</v>
      </c>
      <c r="B46" s="2">
        <v>16</v>
      </c>
      <c r="C46" s="2" t="s">
        <v>7</v>
      </c>
      <c r="D46" s="2">
        <v>1.2</v>
      </c>
      <c r="E46" s="26">
        <v>7.1</v>
      </c>
      <c r="F46" s="29">
        <v>5</v>
      </c>
    </row>
    <row r="47" spans="1:6">
      <c r="A47" s="1"/>
      <c r="B47" s="1"/>
      <c r="C47" s="1"/>
      <c r="D47" s="1"/>
      <c r="E47" s="27"/>
      <c r="F47" s="28"/>
    </row>
    <row r="48" spans="1:6">
      <c r="A48" s="1" t="s">
        <v>693</v>
      </c>
      <c r="B48" s="2">
        <v>17</v>
      </c>
      <c r="C48" s="2" t="s">
        <v>7</v>
      </c>
      <c r="D48" s="2">
        <v>1.4</v>
      </c>
      <c r="E48" s="26">
        <v>7.1</v>
      </c>
      <c r="F48" s="29">
        <v>5</v>
      </c>
    </row>
    <row r="49" spans="1:6">
      <c r="A49" s="1" t="s">
        <v>694</v>
      </c>
      <c r="B49" s="2">
        <v>16</v>
      </c>
      <c r="C49" s="2" t="s">
        <v>7</v>
      </c>
      <c r="D49" s="2">
        <v>1.5</v>
      </c>
      <c r="E49" s="26">
        <v>7</v>
      </c>
      <c r="F49" s="29">
        <v>5</v>
      </c>
    </row>
    <row r="50" spans="1:6">
      <c r="A50" s="1" t="s">
        <v>695</v>
      </c>
      <c r="B50" s="2">
        <v>16</v>
      </c>
      <c r="C50" s="2" t="s">
        <v>7</v>
      </c>
      <c r="D50" s="2">
        <v>1.4</v>
      </c>
      <c r="E50" s="26">
        <v>6.7</v>
      </c>
      <c r="F50" s="29">
        <v>5</v>
      </c>
    </row>
    <row r="51" spans="1:6">
      <c r="A51" s="1" t="s">
        <v>696</v>
      </c>
      <c r="B51" s="2">
        <v>16</v>
      </c>
      <c r="C51" s="2" t="s">
        <v>7</v>
      </c>
      <c r="D51" s="2">
        <v>1.2</v>
      </c>
      <c r="E51" s="26">
        <v>6</v>
      </c>
      <c r="F51" s="29">
        <v>5</v>
      </c>
    </row>
    <row r="52" spans="1:6">
      <c r="A52" s="1" t="s">
        <v>697</v>
      </c>
      <c r="B52" s="2">
        <v>16</v>
      </c>
      <c r="C52" s="2" t="s">
        <v>7</v>
      </c>
      <c r="D52" s="2">
        <v>1.2</v>
      </c>
      <c r="E52" s="26">
        <v>5.6</v>
      </c>
      <c r="F52" s="29">
        <v>5</v>
      </c>
    </row>
    <row r="53" spans="1:6">
      <c r="A53" s="1"/>
      <c r="B53" s="1"/>
      <c r="C53" s="1"/>
      <c r="D53" s="1"/>
      <c r="E53" s="27"/>
      <c r="F53" s="28"/>
    </row>
    <row r="54" spans="1:6">
      <c r="A54" s="1" t="s">
        <v>698</v>
      </c>
      <c r="B54" s="2">
        <v>16</v>
      </c>
      <c r="C54" s="2" t="s">
        <v>7</v>
      </c>
      <c r="D54" s="2">
        <v>1.2</v>
      </c>
      <c r="E54" s="26">
        <v>7.2</v>
      </c>
      <c r="F54" s="29">
        <v>5</v>
      </c>
    </row>
    <row r="55" spans="1:6">
      <c r="A55" s="1" t="s">
        <v>699</v>
      </c>
      <c r="B55" s="2">
        <v>16</v>
      </c>
      <c r="C55" s="2" t="s">
        <v>7</v>
      </c>
      <c r="D55" s="2">
        <v>1</v>
      </c>
      <c r="E55" s="26">
        <v>6.8</v>
      </c>
      <c r="F55" s="29">
        <v>5</v>
      </c>
    </row>
    <row r="56" spans="1:6">
      <c r="A56" s="1" t="s">
        <v>700</v>
      </c>
      <c r="B56" s="2">
        <v>15</v>
      </c>
      <c r="C56" s="2" t="s">
        <v>7</v>
      </c>
      <c r="D56" s="2">
        <v>1.6</v>
      </c>
      <c r="E56" s="26">
        <v>7.1</v>
      </c>
      <c r="F56" s="29">
        <v>5</v>
      </c>
    </row>
    <row r="57" spans="1:6">
      <c r="A57" s="1" t="s">
        <v>701</v>
      </c>
      <c r="B57" s="2">
        <v>18</v>
      </c>
      <c r="C57" s="2" t="s">
        <v>7</v>
      </c>
      <c r="D57" s="2">
        <v>0.9</v>
      </c>
      <c r="E57" s="26">
        <v>6.6</v>
      </c>
      <c r="F57" s="29">
        <v>5</v>
      </c>
    </row>
    <row r="58" spans="1:6">
      <c r="A58" s="1" t="s">
        <v>702</v>
      </c>
      <c r="B58" s="2">
        <v>16</v>
      </c>
      <c r="C58" s="2" t="s">
        <v>7</v>
      </c>
      <c r="D58" s="2">
        <v>1.3</v>
      </c>
      <c r="E58" s="26">
        <v>6.2</v>
      </c>
      <c r="F58" s="29">
        <v>5</v>
      </c>
    </row>
    <row r="59" spans="1:6">
      <c r="A59" s="1" t="s">
        <v>703</v>
      </c>
      <c r="B59" s="2">
        <v>16</v>
      </c>
      <c r="C59" s="2" t="s">
        <v>7</v>
      </c>
      <c r="D59" s="2">
        <v>1.3</v>
      </c>
      <c r="E59" s="26">
        <v>6.5</v>
      </c>
      <c r="F59" s="29">
        <v>5</v>
      </c>
    </row>
    <row r="60" spans="1:6">
      <c r="A60" s="1" t="s">
        <v>704</v>
      </c>
      <c r="B60" s="2">
        <v>16</v>
      </c>
      <c r="C60" s="2" t="s">
        <v>7</v>
      </c>
      <c r="D60" s="2">
        <v>1.3</v>
      </c>
      <c r="E60" s="26">
        <v>6.2</v>
      </c>
      <c r="F60" s="29">
        <v>5</v>
      </c>
    </row>
    <row r="61" spans="1:6">
      <c r="A61" s="1" t="s">
        <v>705</v>
      </c>
      <c r="B61" s="2">
        <v>16</v>
      </c>
      <c r="C61" s="2" t="s">
        <v>7</v>
      </c>
      <c r="D61" s="2">
        <v>1.2</v>
      </c>
      <c r="E61" s="26">
        <v>5.8</v>
      </c>
      <c r="F61" s="29">
        <v>1</v>
      </c>
    </row>
    <row r="62" spans="1:6">
      <c r="A62" s="1" t="s">
        <v>706</v>
      </c>
      <c r="B62" s="2">
        <v>16</v>
      </c>
      <c r="C62" s="2" t="s">
        <v>7</v>
      </c>
      <c r="D62" s="2">
        <v>1.2</v>
      </c>
      <c r="E62" s="26">
        <v>6.2</v>
      </c>
      <c r="F62" s="29">
        <v>5</v>
      </c>
    </row>
    <row r="63" spans="1:6">
      <c r="A63" s="1" t="s">
        <v>707</v>
      </c>
      <c r="B63" s="2">
        <v>15</v>
      </c>
      <c r="C63" s="2" t="s">
        <v>7</v>
      </c>
      <c r="D63" s="2">
        <v>1.2</v>
      </c>
      <c r="E63" s="26">
        <v>6.9</v>
      </c>
      <c r="F63" s="29">
        <v>5</v>
      </c>
    </row>
    <row r="64" spans="1:6">
      <c r="A64" s="1" t="s">
        <v>708</v>
      </c>
      <c r="B64" s="2">
        <v>16</v>
      </c>
      <c r="C64" s="2" t="s">
        <v>7</v>
      </c>
      <c r="D64" s="2">
        <v>1</v>
      </c>
      <c r="E64" s="26">
        <v>7.4</v>
      </c>
      <c r="F64" s="29">
        <v>5</v>
      </c>
    </row>
    <row r="65" spans="1:6">
      <c r="A65" s="1" t="s">
        <v>709</v>
      </c>
      <c r="B65" s="2">
        <v>14</v>
      </c>
      <c r="C65" s="2" t="s">
        <v>7</v>
      </c>
      <c r="D65" s="2">
        <v>1.6</v>
      </c>
      <c r="E65" s="26">
        <v>6.4</v>
      </c>
      <c r="F65" s="29">
        <v>5</v>
      </c>
    </row>
    <row r="66" spans="1:6">
      <c r="A66" s="1"/>
      <c r="B66" s="1"/>
      <c r="C66" s="1"/>
      <c r="D66" s="1"/>
      <c r="E66" s="27"/>
      <c r="F66" s="28"/>
    </row>
    <row r="67" spans="1:6">
      <c r="A67" s="1" t="s">
        <v>710</v>
      </c>
      <c r="B67" s="2">
        <v>15</v>
      </c>
      <c r="C67" s="2" t="s">
        <v>7</v>
      </c>
      <c r="D67" s="2">
        <v>1.8</v>
      </c>
      <c r="E67" s="26">
        <v>9.3000000000000007</v>
      </c>
      <c r="F67" s="29">
        <v>5</v>
      </c>
    </row>
    <row r="68" spans="1:6">
      <c r="A68" s="1" t="s">
        <v>711</v>
      </c>
      <c r="B68" s="2">
        <v>16</v>
      </c>
      <c r="C68" s="2" t="s">
        <v>7</v>
      </c>
      <c r="D68" s="2">
        <v>1.4</v>
      </c>
      <c r="E68" s="26">
        <v>9</v>
      </c>
      <c r="F68" s="29">
        <v>5</v>
      </c>
    </row>
    <row r="69" spans="1:6">
      <c r="A69" s="1" t="s">
        <v>712</v>
      </c>
      <c r="B69" s="2">
        <v>15</v>
      </c>
      <c r="C69" s="2" t="s">
        <v>7</v>
      </c>
      <c r="D69" s="2">
        <v>2</v>
      </c>
      <c r="E69" s="26">
        <v>8.4</v>
      </c>
      <c r="F69" s="29">
        <v>5</v>
      </c>
    </row>
    <row r="70" spans="1:6">
      <c r="A70" s="1" t="s">
        <v>713</v>
      </c>
      <c r="B70" s="2">
        <v>16</v>
      </c>
      <c r="C70" s="2" t="s">
        <v>7</v>
      </c>
      <c r="D70" s="2">
        <v>1.3</v>
      </c>
      <c r="E70" s="26">
        <v>9.1</v>
      </c>
      <c r="F70" s="29">
        <v>3</v>
      </c>
    </row>
    <row r="71" spans="1:6">
      <c r="A71" s="1" t="s">
        <v>714</v>
      </c>
      <c r="B71" s="2">
        <v>15</v>
      </c>
      <c r="C71" s="2" t="s">
        <v>7</v>
      </c>
      <c r="D71" s="2">
        <v>1.5</v>
      </c>
      <c r="E71" s="26">
        <v>8.5</v>
      </c>
      <c r="F71" s="29">
        <v>5</v>
      </c>
    </row>
    <row r="72" spans="1:6">
      <c r="A72" s="1" t="s">
        <v>715</v>
      </c>
      <c r="B72" s="2">
        <v>16</v>
      </c>
      <c r="C72" s="2" t="s">
        <v>7</v>
      </c>
      <c r="D72" s="2">
        <v>1.4</v>
      </c>
      <c r="E72" s="26">
        <v>9.1999999999999993</v>
      </c>
      <c r="F72" s="29">
        <v>5</v>
      </c>
    </row>
    <row r="73" spans="1:6">
      <c r="A73" s="1" t="s">
        <v>716</v>
      </c>
      <c r="B73" s="2">
        <v>15</v>
      </c>
      <c r="C73" s="2" t="s">
        <v>7</v>
      </c>
      <c r="D73" s="2">
        <v>1.7</v>
      </c>
      <c r="E73" s="26">
        <v>9</v>
      </c>
      <c r="F73" s="29">
        <v>5</v>
      </c>
    </row>
    <row r="74" spans="1:6">
      <c r="A74" s="1" t="s">
        <v>717</v>
      </c>
      <c r="B74" s="2">
        <v>16</v>
      </c>
      <c r="C74" s="2" t="s">
        <v>7</v>
      </c>
      <c r="D74" s="2">
        <v>1.9</v>
      </c>
      <c r="E74" s="26">
        <v>7.5</v>
      </c>
      <c r="F74" s="29">
        <v>5</v>
      </c>
    </row>
    <row r="75" spans="1:6">
      <c r="A75" s="1" t="s">
        <v>718</v>
      </c>
      <c r="B75" s="2">
        <v>14</v>
      </c>
      <c r="C75" s="2" t="s">
        <v>7</v>
      </c>
      <c r="D75" s="2">
        <v>1.8</v>
      </c>
      <c r="E75" s="26">
        <v>8.3000000000000007</v>
      </c>
      <c r="F75" s="29">
        <v>5</v>
      </c>
    </row>
    <row r="76" spans="1:6">
      <c r="A76" s="1" t="s">
        <v>719</v>
      </c>
      <c r="B76" s="2">
        <v>16</v>
      </c>
      <c r="C76" s="2" t="s">
        <v>7</v>
      </c>
      <c r="D76" s="2">
        <v>1.3</v>
      </c>
      <c r="E76" s="26">
        <v>7.1</v>
      </c>
      <c r="F76" s="29">
        <v>5</v>
      </c>
    </row>
    <row r="77" spans="1:6">
      <c r="A77" s="1" t="s">
        <v>720</v>
      </c>
      <c r="B77" s="2">
        <v>16</v>
      </c>
      <c r="C77" s="2" t="s">
        <v>7</v>
      </c>
      <c r="D77" s="2">
        <v>1.5</v>
      </c>
      <c r="E77" s="26">
        <v>8.1999999999999993</v>
      </c>
      <c r="F77" s="29">
        <v>5</v>
      </c>
    </row>
    <row r="78" spans="1:6" ht="15" thickBot="1">
      <c r="A78" s="1" t="s">
        <v>721</v>
      </c>
      <c r="B78" s="2">
        <v>16</v>
      </c>
      <c r="C78" s="2" t="s">
        <v>7</v>
      </c>
      <c r="D78" s="2">
        <v>1.5</v>
      </c>
      <c r="E78" s="26">
        <v>7.6</v>
      </c>
      <c r="F78" s="30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CFFF4-8E56-4A9C-869E-59098C7A9A46}">
  <dimension ref="A1:N82"/>
  <sheetViews>
    <sheetView workbookViewId="0">
      <pane ySplit="2" topLeftCell="A3" activePane="bottomLeft" state="frozen"/>
      <selection pane="bottomLeft" activeCell="K15" sqref="K15"/>
    </sheetView>
  </sheetViews>
  <sheetFormatPr defaultRowHeight="14.45"/>
  <cols>
    <col min="5" max="5" width="12.28515625" customWidth="1"/>
    <col min="6" max="6" width="19.28515625" customWidth="1"/>
    <col min="8" max="8" width="11.28515625" customWidth="1"/>
    <col min="11" max="11" width="11.28515625" customWidth="1"/>
    <col min="12" max="12" width="14" customWidth="1"/>
    <col min="13" max="13" width="13.28515625" bestFit="1" customWidth="1"/>
  </cols>
  <sheetData>
    <row r="1" spans="1:14" ht="15" thickBot="1">
      <c r="F1" t="s">
        <v>639</v>
      </c>
      <c r="G1" s="9">
        <v>46121</v>
      </c>
    </row>
    <row r="2" spans="1:14">
      <c r="A2" s="3" t="s">
        <v>1</v>
      </c>
      <c r="B2" s="3">
        <v>16</v>
      </c>
      <c r="C2" s="3" t="s">
        <v>3</v>
      </c>
      <c r="D2" s="3" t="s">
        <v>4</v>
      </c>
      <c r="E2" s="25" t="s">
        <v>5</v>
      </c>
      <c r="F2" s="59" t="s">
        <v>640</v>
      </c>
      <c r="H2" s="13"/>
      <c r="I2" s="16" t="s">
        <v>641</v>
      </c>
      <c r="J2" s="16" t="s">
        <v>3</v>
      </c>
      <c r="K2" s="16" t="s">
        <v>4</v>
      </c>
      <c r="L2" s="16" t="s">
        <v>5</v>
      </c>
      <c r="M2" s="16" t="s">
        <v>640</v>
      </c>
      <c r="N2" s="14" t="s">
        <v>722</v>
      </c>
    </row>
    <row r="3" spans="1:14">
      <c r="A3" s="1" t="s">
        <v>723</v>
      </c>
      <c r="B3" s="2">
        <v>14</v>
      </c>
      <c r="C3" s="2" t="s">
        <v>28</v>
      </c>
      <c r="D3" s="2">
        <v>1.4</v>
      </c>
      <c r="E3" s="26">
        <v>9.1999999999999993</v>
      </c>
      <c r="F3" s="46">
        <v>5</v>
      </c>
      <c r="H3" s="13" t="s">
        <v>643</v>
      </c>
      <c r="I3" s="20">
        <v>87</v>
      </c>
      <c r="J3" s="17">
        <v>78.3</v>
      </c>
      <c r="K3" s="20">
        <v>69.599999999999994</v>
      </c>
      <c r="L3" s="20">
        <v>4.5</v>
      </c>
      <c r="M3" s="20">
        <f>AVERAGE(F3:F25)*20</f>
        <v>98.260869565217376</v>
      </c>
      <c r="N3" s="38">
        <f>SUM(I3:M3)/5</f>
        <v>67.532173913043465</v>
      </c>
    </row>
    <row r="4" spans="1:14">
      <c r="A4" s="1" t="s">
        <v>724</v>
      </c>
      <c r="B4" s="2">
        <v>16</v>
      </c>
      <c r="C4" s="2" t="s">
        <v>28</v>
      </c>
      <c r="D4" s="2">
        <v>1</v>
      </c>
      <c r="E4" s="26">
        <v>6.4</v>
      </c>
      <c r="F4" s="46">
        <v>5</v>
      </c>
      <c r="H4" s="13" t="s">
        <v>645</v>
      </c>
      <c r="I4" s="20">
        <v>71</v>
      </c>
      <c r="J4" s="17">
        <v>92.9</v>
      </c>
      <c r="K4" s="20">
        <v>100</v>
      </c>
      <c r="L4" s="19">
        <v>100</v>
      </c>
      <c r="M4" s="17">
        <f>AVERAGE(F27:F40)*20</f>
        <v>100</v>
      </c>
      <c r="N4" s="14">
        <f>SUM(I4:M4)/5</f>
        <v>92.78</v>
      </c>
    </row>
    <row r="5" spans="1:14">
      <c r="A5" s="1" t="s">
        <v>725</v>
      </c>
      <c r="B5" s="2">
        <v>14</v>
      </c>
      <c r="C5" s="2" t="s">
        <v>28</v>
      </c>
      <c r="D5" s="2">
        <v>2</v>
      </c>
      <c r="E5" s="26">
        <v>8.4</v>
      </c>
      <c r="F5" s="46">
        <v>5</v>
      </c>
      <c r="H5" s="13" t="s">
        <v>647</v>
      </c>
      <c r="I5" s="20">
        <v>100</v>
      </c>
      <c r="J5" s="17">
        <v>100</v>
      </c>
      <c r="K5" s="20">
        <v>100</v>
      </c>
      <c r="L5" s="19">
        <v>100</v>
      </c>
      <c r="M5" s="17">
        <f>AVERAGE(F42:F43)*20</f>
        <v>100</v>
      </c>
      <c r="N5" s="14">
        <f t="shared" ref="N5:N8" si="0">SUM(I5:M5)/5</f>
        <v>100</v>
      </c>
    </row>
    <row r="6" spans="1:14">
      <c r="A6" s="1" t="s">
        <v>726</v>
      </c>
      <c r="B6" s="2">
        <v>16</v>
      </c>
      <c r="C6" s="2" t="s">
        <v>28</v>
      </c>
      <c r="D6" s="2">
        <v>0.8</v>
      </c>
      <c r="E6" s="26">
        <v>6.4</v>
      </c>
      <c r="F6" s="46">
        <v>5</v>
      </c>
      <c r="H6" s="13" t="s">
        <v>649</v>
      </c>
      <c r="I6" s="20">
        <v>100</v>
      </c>
      <c r="J6" s="17">
        <v>100</v>
      </c>
      <c r="K6" s="20">
        <v>100</v>
      </c>
      <c r="L6" s="19">
        <v>20</v>
      </c>
      <c r="M6" s="17">
        <f>AVERAGE(F45:F49)*20</f>
        <v>92</v>
      </c>
      <c r="N6" s="14">
        <f t="shared" si="0"/>
        <v>82.4</v>
      </c>
    </row>
    <row r="7" spans="1:14">
      <c r="A7" s="1" t="s">
        <v>727</v>
      </c>
      <c r="B7" s="2">
        <v>16</v>
      </c>
      <c r="C7" s="2" t="s">
        <v>7</v>
      </c>
      <c r="D7" s="2">
        <v>1.3</v>
      </c>
      <c r="E7" s="26">
        <v>6.5</v>
      </c>
      <c r="F7" s="46">
        <v>5</v>
      </c>
      <c r="H7" s="13" t="s">
        <v>651</v>
      </c>
      <c r="I7" s="20">
        <v>75</v>
      </c>
      <c r="J7" s="17">
        <v>83.3</v>
      </c>
      <c r="K7" s="20">
        <v>75</v>
      </c>
      <c r="L7" s="20">
        <v>75</v>
      </c>
      <c r="M7" s="20">
        <f>AVERAGE(F51:F62)*20</f>
        <v>93.333333333333343</v>
      </c>
      <c r="N7" s="38">
        <f t="shared" si="0"/>
        <v>80.326666666666668</v>
      </c>
    </row>
    <row r="8" spans="1:14">
      <c r="A8" s="1" t="s">
        <v>728</v>
      </c>
      <c r="B8" s="2">
        <v>16</v>
      </c>
      <c r="C8" s="2" t="s">
        <v>7</v>
      </c>
      <c r="D8" s="2">
        <v>1.2</v>
      </c>
      <c r="E8" s="26">
        <v>6.7</v>
      </c>
      <c r="F8" s="46">
        <v>5</v>
      </c>
      <c r="H8" s="13" t="s">
        <v>653</v>
      </c>
      <c r="I8" s="20">
        <v>68</v>
      </c>
      <c r="J8" s="17">
        <v>47.4</v>
      </c>
      <c r="K8" s="20">
        <v>100</v>
      </c>
      <c r="L8" s="20">
        <v>73.900000000000006</v>
      </c>
      <c r="M8" s="20">
        <f>AVERAGE(F64:F82)*20</f>
        <v>95.789473684210535</v>
      </c>
      <c r="N8" s="38">
        <f t="shared" si="0"/>
        <v>77.017894736842109</v>
      </c>
    </row>
    <row r="9" spans="1:14">
      <c r="A9" s="1" t="s">
        <v>729</v>
      </c>
      <c r="B9" s="2">
        <v>17</v>
      </c>
      <c r="C9" s="2" t="s">
        <v>7</v>
      </c>
      <c r="D9" s="2">
        <v>1.3</v>
      </c>
      <c r="E9" s="26">
        <v>6.9</v>
      </c>
      <c r="F9" s="46">
        <v>5</v>
      </c>
      <c r="H9" s="13"/>
      <c r="I9" s="17"/>
      <c r="J9" s="17"/>
      <c r="K9" s="17"/>
      <c r="L9" s="17"/>
      <c r="M9" s="17"/>
      <c r="N9" s="14"/>
    </row>
    <row r="10" spans="1:14" ht="15" thickBot="1">
      <c r="A10" s="1" t="s">
        <v>730</v>
      </c>
      <c r="B10" s="2">
        <v>17</v>
      </c>
      <c r="C10" s="2" t="s">
        <v>7</v>
      </c>
      <c r="D10" s="2">
        <v>1.2</v>
      </c>
      <c r="E10" s="26">
        <v>6.7</v>
      </c>
      <c r="F10" s="46">
        <v>5</v>
      </c>
      <c r="H10" s="13"/>
      <c r="I10" s="18" t="s">
        <v>656</v>
      </c>
      <c r="J10" s="18" t="s">
        <v>657</v>
      </c>
      <c r="K10" s="18" t="s">
        <v>658</v>
      </c>
      <c r="L10" s="18" t="s">
        <v>659</v>
      </c>
      <c r="M10" s="18"/>
      <c r="N10" s="14"/>
    </row>
    <row r="11" spans="1:14">
      <c r="A11" s="1" t="s">
        <v>731</v>
      </c>
      <c r="B11" s="2">
        <v>16</v>
      </c>
      <c r="C11" s="2" t="s">
        <v>7</v>
      </c>
      <c r="D11" s="2">
        <v>1.3</v>
      </c>
      <c r="E11" s="26">
        <v>5.7</v>
      </c>
      <c r="F11" s="46">
        <v>5</v>
      </c>
    </row>
    <row r="12" spans="1:14">
      <c r="A12" s="1" t="s">
        <v>732</v>
      </c>
      <c r="B12" s="2">
        <v>16</v>
      </c>
      <c r="C12" s="2" t="s">
        <v>7</v>
      </c>
      <c r="D12" s="2">
        <v>1.4</v>
      </c>
      <c r="E12" s="26">
        <v>5.9</v>
      </c>
      <c r="F12" s="46">
        <v>5</v>
      </c>
    </row>
    <row r="13" spans="1:14">
      <c r="A13" s="1" t="s">
        <v>733</v>
      </c>
      <c r="B13" s="2">
        <v>17</v>
      </c>
      <c r="C13" s="2" t="s">
        <v>7</v>
      </c>
      <c r="D13" s="2">
        <v>1.3</v>
      </c>
      <c r="E13" s="26">
        <v>6.1</v>
      </c>
      <c r="F13" s="46">
        <v>5</v>
      </c>
    </row>
    <row r="14" spans="1:14">
      <c r="A14" s="1" t="s">
        <v>734</v>
      </c>
      <c r="B14" s="2">
        <v>17</v>
      </c>
      <c r="C14" s="2" t="s">
        <v>7</v>
      </c>
      <c r="D14" s="2">
        <v>1.1000000000000001</v>
      </c>
      <c r="E14" s="26">
        <v>5.9</v>
      </c>
      <c r="F14" s="46">
        <v>5</v>
      </c>
    </row>
    <row r="15" spans="1:14">
      <c r="A15" s="1" t="s">
        <v>735</v>
      </c>
      <c r="B15" s="2">
        <v>16</v>
      </c>
      <c r="C15" s="2" t="s">
        <v>7</v>
      </c>
      <c r="D15" s="2">
        <v>1.4</v>
      </c>
      <c r="E15" s="26">
        <v>5.7</v>
      </c>
      <c r="F15" s="46">
        <v>5</v>
      </c>
    </row>
    <row r="16" spans="1:14">
      <c r="A16" s="1" t="s">
        <v>736</v>
      </c>
      <c r="B16" s="2">
        <v>16</v>
      </c>
      <c r="C16" s="2" t="s">
        <v>7</v>
      </c>
      <c r="D16" s="2">
        <v>1.3</v>
      </c>
      <c r="E16" s="26">
        <v>6.1</v>
      </c>
      <c r="F16" s="46">
        <v>5</v>
      </c>
    </row>
    <row r="17" spans="1:6">
      <c r="A17" s="1" t="s">
        <v>737</v>
      </c>
      <c r="B17" s="2">
        <v>16</v>
      </c>
      <c r="C17" s="2" t="s">
        <v>7</v>
      </c>
      <c r="D17" s="2">
        <v>1.4</v>
      </c>
      <c r="E17" s="26">
        <v>5.7</v>
      </c>
      <c r="F17" s="46">
        <v>5</v>
      </c>
    </row>
    <row r="18" spans="1:6">
      <c r="A18" s="1" t="s">
        <v>738</v>
      </c>
      <c r="B18" s="2">
        <v>16</v>
      </c>
      <c r="C18" s="2" t="s">
        <v>7</v>
      </c>
      <c r="D18" s="2">
        <v>1.8</v>
      </c>
      <c r="E18" s="26">
        <v>6.3</v>
      </c>
      <c r="F18" s="46">
        <v>5</v>
      </c>
    </row>
    <row r="19" spans="1:6">
      <c r="A19" s="1" t="s">
        <v>739</v>
      </c>
      <c r="B19" s="2">
        <v>17</v>
      </c>
      <c r="C19" s="2" t="s">
        <v>7</v>
      </c>
      <c r="D19" s="2">
        <v>1.6</v>
      </c>
      <c r="E19" s="26">
        <v>5.7</v>
      </c>
      <c r="F19" s="46">
        <v>4</v>
      </c>
    </row>
    <row r="20" spans="1:6">
      <c r="A20" s="1" t="s">
        <v>740</v>
      </c>
      <c r="B20" s="2">
        <v>19</v>
      </c>
      <c r="C20" s="2" t="s">
        <v>7</v>
      </c>
      <c r="D20" s="2">
        <v>1.3</v>
      </c>
      <c r="E20" s="26">
        <v>5.9</v>
      </c>
      <c r="F20" s="46">
        <v>5</v>
      </c>
    </row>
    <row r="21" spans="1:6">
      <c r="A21" s="1" t="s">
        <v>741</v>
      </c>
      <c r="B21" s="2">
        <v>16</v>
      </c>
      <c r="C21" s="2" t="s">
        <v>7</v>
      </c>
      <c r="D21" s="2">
        <v>0.7</v>
      </c>
      <c r="E21" s="26">
        <v>5.0999999999999996</v>
      </c>
      <c r="F21" s="46">
        <v>4</v>
      </c>
    </row>
    <row r="22" spans="1:6">
      <c r="A22" s="1" t="s">
        <v>742</v>
      </c>
      <c r="B22" s="2">
        <v>16</v>
      </c>
      <c r="C22" s="2" t="s">
        <v>7</v>
      </c>
      <c r="D22" s="2">
        <v>1</v>
      </c>
      <c r="E22" s="26">
        <v>5.4</v>
      </c>
      <c r="F22" s="46">
        <v>5</v>
      </c>
    </row>
    <row r="23" spans="1:6">
      <c r="A23" s="1" t="s">
        <v>743</v>
      </c>
      <c r="B23" s="2">
        <v>15</v>
      </c>
      <c r="C23" s="2" t="s">
        <v>7</v>
      </c>
      <c r="D23" s="2">
        <v>0.8</v>
      </c>
      <c r="E23" s="26">
        <v>5.5</v>
      </c>
      <c r="F23" s="46">
        <v>5</v>
      </c>
    </row>
    <row r="24" spans="1:6">
      <c r="A24" s="1" t="s">
        <v>744</v>
      </c>
      <c r="B24" s="2">
        <v>16</v>
      </c>
      <c r="C24" s="2" t="s">
        <v>7</v>
      </c>
      <c r="D24" s="2">
        <v>0.8</v>
      </c>
      <c r="E24" s="26">
        <v>5.7</v>
      </c>
      <c r="F24" s="46">
        <v>5</v>
      </c>
    </row>
    <row r="25" spans="1:6">
      <c r="A25" s="1" t="s">
        <v>745</v>
      </c>
      <c r="B25" s="2">
        <v>16</v>
      </c>
      <c r="C25" s="2" t="s">
        <v>28</v>
      </c>
      <c r="D25" s="2">
        <v>2</v>
      </c>
      <c r="E25" s="26">
        <v>5.4</v>
      </c>
      <c r="F25" s="46">
        <v>5</v>
      </c>
    </row>
    <row r="26" spans="1:6">
      <c r="A26" s="1"/>
      <c r="B26" s="1"/>
      <c r="C26" s="1"/>
      <c r="D26" s="1"/>
      <c r="E26" s="27"/>
      <c r="F26" s="46"/>
    </row>
    <row r="27" spans="1:6">
      <c r="A27" s="1" t="s">
        <v>746</v>
      </c>
      <c r="B27" s="2">
        <v>15</v>
      </c>
      <c r="C27" s="2" t="s">
        <v>7</v>
      </c>
      <c r="D27" s="2">
        <v>1.8</v>
      </c>
      <c r="E27" s="26">
        <v>10</v>
      </c>
      <c r="F27" s="29">
        <v>5</v>
      </c>
    </row>
    <row r="28" spans="1:6">
      <c r="A28" s="1" t="s">
        <v>747</v>
      </c>
      <c r="B28" s="2">
        <v>16</v>
      </c>
      <c r="C28" s="2" t="s">
        <v>7</v>
      </c>
      <c r="D28" s="2">
        <v>1.4</v>
      </c>
      <c r="E28" s="26">
        <v>7.4</v>
      </c>
      <c r="F28" s="29">
        <v>5</v>
      </c>
    </row>
    <row r="29" spans="1:6">
      <c r="A29" s="1" t="s">
        <v>748</v>
      </c>
      <c r="B29" s="2">
        <v>18</v>
      </c>
      <c r="C29" s="2" t="s">
        <v>7</v>
      </c>
      <c r="D29" s="2">
        <v>1.4</v>
      </c>
      <c r="E29" s="26">
        <v>8.6999999999999993</v>
      </c>
      <c r="F29" s="29">
        <v>5</v>
      </c>
    </row>
    <row r="30" spans="1:6">
      <c r="A30" s="1" t="s">
        <v>749</v>
      </c>
      <c r="B30" s="2">
        <v>15</v>
      </c>
      <c r="C30" s="2" t="s">
        <v>7</v>
      </c>
      <c r="D30" s="2">
        <v>1.6</v>
      </c>
      <c r="E30" s="26">
        <v>10.5</v>
      </c>
      <c r="F30" s="29">
        <v>5</v>
      </c>
    </row>
    <row r="31" spans="1:6">
      <c r="A31" s="1" t="s">
        <v>750</v>
      </c>
      <c r="B31" s="2">
        <v>18</v>
      </c>
      <c r="C31" s="2" t="s">
        <v>7</v>
      </c>
      <c r="D31" s="2">
        <v>1.6</v>
      </c>
      <c r="E31" s="26">
        <v>10.7</v>
      </c>
      <c r="F31" s="29">
        <v>5</v>
      </c>
    </row>
    <row r="32" spans="1:6">
      <c r="A32" s="1" t="s">
        <v>751</v>
      </c>
      <c r="B32" s="2">
        <v>16</v>
      </c>
      <c r="C32" s="2" t="s">
        <v>7</v>
      </c>
      <c r="D32" s="2">
        <v>1.6</v>
      </c>
      <c r="E32" s="26">
        <v>10.3</v>
      </c>
      <c r="F32" s="29">
        <v>5</v>
      </c>
    </row>
    <row r="33" spans="1:6">
      <c r="A33" s="1" t="s">
        <v>752</v>
      </c>
      <c r="B33" s="2">
        <v>16</v>
      </c>
      <c r="C33" s="2" t="s">
        <v>7</v>
      </c>
      <c r="D33" s="2">
        <v>1.6</v>
      </c>
      <c r="E33" s="26">
        <v>10.3</v>
      </c>
      <c r="F33" s="29">
        <v>5</v>
      </c>
    </row>
    <row r="34" spans="1:6">
      <c r="A34" s="1" t="s">
        <v>753</v>
      </c>
      <c r="B34" s="2">
        <v>16</v>
      </c>
      <c r="C34" s="2" t="s">
        <v>7</v>
      </c>
      <c r="D34" s="2">
        <v>2</v>
      </c>
      <c r="E34" s="26">
        <v>8.9</v>
      </c>
      <c r="F34" s="29">
        <v>5</v>
      </c>
    </row>
    <row r="35" spans="1:6">
      <c r="A35" s="1" t="s">
        <v>754</v>
      </c>
      <c r="B35" s="2">
        <v>16</v>
      </c>
      <c r="C35" s="2" t="s">
        <v>28</v>
      </c>
      <c r="D35" s="2">
        <v>1.2</v>
      </c>
      <c r="E35" s="26">
        <v>8.5</v>
      </c>
      <c r="F35" s="29">
        <v>5</v>
      </c>
    </row>
    <row r="36" spans="1:6">
      <c r="A36" s="1" t="s">
        <v>755</v>
      </c>
      <c r="B36" s="2">
        <v>17</v>
      </c>
      <c r="C36" s="2" t="s">
        <v>7</v>
      </c>
      <c r="D36" s="2">
        <v>1.6</v>
      </c>
      <c r="E36" s="26">
        <v>8.6</v>
      </c>
      <c r="F36" s="29">
        <v>5</v>
      </c>
    </row>
    <row r="37" spans="1:6">
      <c r="A37" s="1" t="s">
        <v>756</v>
      </c>
      <c r="B37" s="2">
        <v>16</v>
      </c>
      <c r="C37" s="2" t="s">
        <v>7</v>
      </c>
      <c r="D37" s="2">
        <v>1.6</v>
      </c>
      <c r="E37" s="26">
        <v>10</v>
      </c>
      <c r="F37" s="29">
        <v>5</v>
      </c>
    </row>
    <row r="38" spans="1:6">
      <c r="A38" s="1" t="s">
        <v>757</v>
      </c>
      <c r="B38" s="2">
        <v>15</v>
      </c>
      <c r="C38" s="2" t="s">
        <v>7</v>
      </c>
      <c r="D38" s="2">
        <v>1.7</v>
      </c>
      <c r="E38" s="26">
        <v>8.1</v>
      </c>
      <c r="F38" s="29">
        <v>5</v>
      </c>
    </row>
    <row r="39" spans="1:6">
      <c r="A39" s="1" t="s">
        <v>758</v>
      </c>
      <c r="B39" s="2">
        <v>15</v>
      </c>
      <c r="C39" s="2" t="s">
        <v>7</v>
      </c>
      <c r="D39" s="2">
        <v>1.3</v>
      </c>
      <c r="E39" s="26">
        <v>8.6</v>
      </c>
      <c r="F39" s="29">
        <v>5</v>
      </c>
    </row>
    <row r="40" spans="1:6">
      <c r="A40" s="1" t="s">
        <v>759</v>
      </c>
      <c r="B40" s="2">
        <v>17</v>
      </c>
      <c r="C40" s="2" t="s">
        <v>7</v>
      </c>
      <c r="D40" s="2">
        <v>1.2</v>
      </c>
      <c r="E40" s="26">
        <v>8.6</v>
      </c>
      <c r="F40" s="29">
        <v>5</v>
      </c>
    </row>
    <row r="41" spans="1:6">
      <c r="A41" s="1"/>
      <c r="B41" s="1"/>
      <c r="C41" s="1"/>
      <c r="D41" s="1"/>
      <c r="E41" s="26"/>
      <c r="F41" s="46"/>
    </row>
    <row r="42" spans="1:6">
      <c r="A42" s="1" t="s">
        <v>760</v>
      </c>
      <c r="B42" s="2">
        <v>16</v>
      </c>
      <c r="C42" s="2" t="s">
        <v>7</v>
      </c>
      <c r="D42" s="2">
        <v>2.2000000000000002</v>
      </c>
      <c r="E42" s="26">
        <v>8.4</v>
      </c>
      <c r="F42" s="29">
        <v>5</v>
      </c>
    </row>
    <row r="43" spans="1:6">
      <c r="A43" s="1" t="s">
        <v>761</v>
      </c>
      <c r="B43" s="2">
        <v>16</v>
      </c>
      <c r="C43" s="2" t="s">
        <v>7</v>
      </c>
      <c r="D43" s="2">
        <v>1.9</v>
      </c>
      <c r="E43" s="26">
        <v>8.5</v>
      </c>
      <c r="F43" s="29">
        <v>5</v>
      </c>
    </row>
    <row r="44" spans="1:6">
      <c r="A44" s="1"/>
      <c r="B44" s="1"/>
      <c r="C44" s="1"/>
      <c r="D44" s="1"/>
      <c r="E44" s="27"/>
      <c r="F44" s="46"/>
    </row>
    <row r="45" spans="1:6">
      <c r="A45" s="1" t="s">
        <v>762</v>
      </c>
      <c r="B45" s="2">
        <v>17</v>
      </c>
      <c r="C45" s="2" t="s">
        <v>7</v>
      </c>
      <c r="D45" s="2">
        <v>1.4</v>
      </c>
      <c r="E45" s="26">
        <v>7.1</v>
      </c>
      <c r="F45" s="29">
        <v>5</v>
      </c>
    </row>
    <row r="46" spans="1:6">
      <c r="A46" s="1" t="s">
        <v>763</v>
      </c>
      <c r="B46" s="2">
        <v>16</v>
      </c>
      <c r="C46" s="2" t="s">
        <v>7</v>
      </c>
      <c r="D46" s="2">
        <v>1.5</v>
      </c>
      <c r="E46" s="26">
        <v>7</v>
      </c>
      <c r="F46" s="29">
        <v>5</v>
      </c>
    </row>
    <row r="47" spans="1:6">
      <c r="A47" s="1" t="s">
        <v>764</v>
      </c>
      <c r="B47" s="2">
        <v>16</v>
      </c>
      <c r="C47" s="2" t="s">
        <v>7</v>
      </c>
      <c r="D47" s="2">
        <v>1.4</v>
      </c>
      <c r="E47" s="26">
        <v>6.7</v>
      </c>
      <c r="F47" s="29">
        <v>5</v>
      </c>
    </row>
    <row r="48" spans="1:6">
      <c r="A48" s="1" t="s">
        <v>765</v>
      </c>
      <c r="B48" s="2">
        <v>16</v>
      </c>
      <c r="C48" s="2" t="s">
        <v>7</v>
      </c>
      <c r="D48" s="2">
        <v>1.2</v>
      </c>
      <c r="E48" s="26">
        <v>6</v>
      </c>
      <c r="F48" s="29">
        <v>4</v>
      </c>
    </row>
    <row r="49" spans="1:6">
      <c r="A49" s="1" t="s">
        <v>766</v>
      </c>
      <c r="B49" s="2">
        <v>16</v>
      </c>
      <c r="C49" s="2" t="s">
        <v>7</v>
      </c>
      <c r="D49" s="2">
        <v>1.2</v>
      </c>
      <c r="E49" s="26">
        <v>5.6</v>
      </c>
      <c r="F49" s="29">
        <v>4</v>
      </c>
    </row>
    <row r="50" spans="1:6">
      <c r="A50" s="1"/>
      <c r="B50" s="1"/>
      <c r="C50" s="1"/>
      <c r="D50" s="1"/>
      <c r="E50" s="27"/>
      <c r="F50" s="46"/>
    </row>
    <row r="51" spans="1:6">
      <c r="A51" s="1" t="s">
        <v>767</v>
      </c>
      <c r="B51" s="2">
        <v>16</v>
      </c>
      <c r="C51" s="2" t="s">
        <v>7</v>
      </c>
      <c r="D51" s="2">
        <v>1.2</v>
      </c>
      <c r="E51" s="26">
        <v>7.2</v>
      </c>
      <c r="F51" s="29">
        <v>5</v>
      </c>
    </row>
    <row r="52" spans="1:6">
      <c r="A52" s="1" t="s">
        <v>768</v>
      </c>
      <c r="B52" s="2">
        <v>16</v>
      </c>
      <c r="C52" s="2" t="s">
        <v>7</v>
      </c>
      <c r="D52" s="2">
        <v>1</v>
      </c>
      <c r="E52" s="26">
        <v>6.8</v>
      </c>
      <c r="F52" s="29">
        <v>5</v>
      </c>
    </row>
    <row r="53" spans="1:6">
      <c r="A53" s="1" t="s">
        <v>769</v>
      </c>
      <c r="B53" s="2">
        <v>15</v>
      </c>
      <c r="C53" s="2" t="s">
        <v>7</v>
      </c>
      <c r="D53" s="2">
        <v>1.6</v>
      </c>
      <c r="E53" s="26">
        <v>7.1</v>
      </c>
      <c r="F53" s="29">
        <v>5</v>
      </c>
    </row>
    <row r="54" spans="1:6">
      <c r="A54" s="1" t="s">
        <v>770</v>
      </c>
      <c r="B54" s="2">
        <v>18</v>
      </c>
      <c r="C54" s="2" t="s">
        <v>7</v>
      </c>
      <c r="D54" s="2">
        <v>0.9</v>
      </c>
      <c r="E54" s="26">
        <v>6.6</v>
      </c>
      <c r="F54" s="29">
        <v>5</v>
      </c>
    </row>
    <row r="55" spans="1:6">
      <c r="A55" s="1" t="s">
        <v>771</v>
      </c>
      <c r="B55" s="2">
        <v>16</v>
      </c>
      <c r="C55" s="2" t="s">
        <v>7</v>
      </c>
      <c r="D55" s="2">
        <v>1.3</v>
      </c>
      <c r="E55" s="26">
        <v>6.2</v>
      </c>
      <c r="F55" s="29">
        <v>5</v>
      </c>
    </row>
    <row r="56" spans="1:6">
      <c r="A56" s="1" t="s">
        <v>772</v>
      </c>
      <c r="B56" s="2">
        <v>16</v>
      </c>
      <c r="C56" s="2" t="s">
        <v>7</v>
      </c>
      <c r="D56" s="2">
        <v>1.3</v>
      </c>
      <c r="E56" s="26">
        <v>6.5</v>
      </c>
      <c r="F56" s="29">
        <v>5</v>
      </c>
    </row>
    <row r="57" spans="1:6">
      <c r="A57" s="1" t="s">
        <v>773</v>
      </c>
      <c r="B57" s="2">
        <v>16</v>
      </c>
      <c r="C57" s="2" t="s">
        <v>7</v>
      </c>
      <c r="D57" s="2">
        <v>1.3</v>
      </c>
      <c r="E57" s="26">
        <v>6.2</v>
      </c>
      <c r="F57" s="29">
        <v>5</v>
      </c>
    </row>
    <row r="58" spans="1:6">
      <c r="A58" s="1" t="s">
        <v>774</v>
      </c>
      <c r="B58" s="2">
        <v>16</v>
      </c>
      <c r="C58" s="2" t="s">
        <v>7</v>
      </c>
      <c r="D58" s="2">
        <v>1.2</v>
      </c>
      <c r="E58" s="26">
        <v>5.8</v>
      </c>
      <c r="F58" s="29">
        <v>1</v>
      </c>
    </row>
    <row r="59" spans="1:6">
      <c r="A59" s="1" t="s">
        <v>775</v>
      </c>
      <c r="B59" s="2">
        <v>16</v>
      </c>
      <c r="C59" s="2" t="s">
        <v>7</v>
      </c>
      <c r="D59" s="2">
        <v>1.2</v>
      </c>
      <c r="E59" s="26">
        <v>6.2</v>
      </c>
      <c r="F59" s="29">
        <v>5</v>
      </c>
    </row>
    <row r="60" spans="1:6">
      <c r="A60" s="1" t="s">
        <v>776</v>
      </c>
      <c r="B60" s="2">
        <v>15</v>
      </c>
      <c r="C60" s="2" t="s">
        <v>7</v>
      </c>
      <c r="D60" s="2">
        <v>1.2</v>
      </c>
      <c r="E60" s="26">
        <v>6.9</v>
      </c>
      <c r="F60" s="29">
        <v>5</v>
      </c>
    </row>
    <row r="61" spans="1:6">
      <c r="A61" s="1" t="s">
        <v>777</v>
      </c>
      <c r="B61" s="2">
        <v>16</v>
      </c>
      <c r="C61" s="2" t="s">
        <v>28</v>
      </c>
      <c r="D61" s="2">
        <v>1</v>
      </c>
      <c r="E61" s="26">
        <v>7.4</v>
      </c>
      <c r="F61" s="29">
        <v>5</v>
      </c>
    </row>
    <row r="62" spans="1:6">
      <c r="A62" s="1" t="s">
        <v>778</v>
      </c>
      <c r="B62" s="2">
        <v>14</v>
      </c>
      <c r="C62" s="2" t="s">
        <v>28</v>
      </c>
      <c r="D62" s="2">
        <v>1.6</v>
      </c>
      <c r="E62" s="26">
        <v>6.4</v>
      </c>
      <c r="F62" s="29">
        <v>5</v>
      </c>
    </row>
    <row r="63" spans="1:6">
      <c r="A63" s="1"/>
      <c r="B63" s="1"/>
      <c r="C63" s="1"/>
      <c r="D63" s="1"/>
      <c r="E63" s="27"/>
      <c r="F63" s="46"/>
    </row>
    <row r="64" spans="1:6">
      <c r="A64" s="1" t="s">
        <v>779</v>
      </c>
      <c r="B64" s="2">
        <v>15</v>
      </c>
      <c r="C64" s="2" t="s">
        <v>28</v>
      </c>
      <c r="D64" s="2">
        <v>1.8</v>
      </c>
      <c r="E64" s="26">
        <v>9.3000000000000007</v>
      </c>
      <c r="F64" s="29">
        <v>5</v>
      </c>
    </row>
    <row r="65" spans="1:6">
      <c r="A65" s="1" t="s">
        <v>780</v>
      </c>
      <c r="B65" s="2">
        <v>16</v>
      </c>
      <c r="C65" s="2" t="s">
        <v>28</v>
      </c>
      <c r="D65" s="2">
        <v>1.4</v>
      </c>
      <c r="E65" s="26">
        <v>9</v>
      </c>
      <c r="F65" s="29">
        <v>5</v>
      </c>
    </row>
    <row r="66" spans="1:6">
      <c r="A66" s="1" t="s">
        <v>781</v>
      </c>
      <c r="B66" s="2">
        <v>15</v>
      </c>
      <c r="C66" s="2" t="s">
        <v>28</v>
      </c>
      <c r="D66" s="2">
        <v>2</v>
      </c>
      <c r="E66" s="26">
        <v>8.4</v>
      </c>
      <c r="F66" s="29">
        <v>5</v>
      </c>
    </row>
    <row r="67" spans="1:6">
      <c r="A67" s="1" t="s">
        <v>782</v>
      </c>
      <c r="B67" s="2">
        <v>16</v>
      </c>
      <c r="C67" s="2" t="s">
        <v>28</v>
      </c>
      <c r="D67" s="2">
        <v>1.3</v>
      </c>
      <c r="E67" s="26">
        <v>9.1</v>
      </c>
      <c r="F67" s="29">
        <v>5</v>
      </c>
    </row>
    <row r="68" spans="1:6">
      <c r="A68" s="1" t="s">
        <v>783</v>
      </c>
      <c r="B68" s="2">
        <v>15</v>
      </c>
      <c r="C68" s="2" t="s">
        <v>28</v>
      </c>
      <c r="D68" s="2">
        <v>1.5</v>
      </c>
      <c r="E68" s="26">
        <v>8.5</v>
      </c>
      <c r="F68" s="29">
        <v>5</v>
      </c>
    </row>
    <row r="69" spans="1:6">
      <c r="A69" s="1" t="s">
        <v>784</v>
      </c>
      <c r="B69" s="2">
        <v>16</v>
      </c>
      <c r="C69" s="2" t="s">
        <v>28</v>
      </c>
      <c r="D69" s="2">
        <v>1.4</v>
      </c>
      <c r="E69" s="26">
        <v>9.1999999999999993</v>
      </c>
      <c r="F69" s="29">
        <v>5</v>
      </c>
    </row>
    <row r="70" spans="1:6">
      <c r="A70" s="1" t="s">
        <v>785</v>
      </c>
      <c r="B70" s="2">
        <v>15</v>
      </c>
      <c r="C70" s="2" t="s">
        <v>28</v>
      </c>
      <c r="D70" s="2">
        <v>1.7</v>
      </c>
      <c r="E70" s="26">
        <v>9</v>
      </c>
      <c r="F70" s="29">
        <v>5</v>
      </c>
    </row>
    <row r="71" spans="1:6">
      <c r="A71" s="1" t="s">
        <v>786</v>
      </c>
      <c r="B71" s="2">
        <v>16</v>
      </c>
      <c r="C71" s="2" t="s">
        <v>7</v>
      </c>
      <c r="D71" s="2">
        <v>1.9</v>
      </c>
      <c r="E71" s="26">
        <v>7.5</v>
      </c>
      <c r="F71" s="29">
        <v>5</v>
      </c>
    </row>
    <row r="72" spans="1:6">
      <c r="A72" s="1" t="s">
        <v>787</v>
      </c>
      <c r="B72" s="2">
        <v>14</v>
      </c>
      <c r="C72" s="2" t="s">
        <v>7</v>
      </c>
      <c r="D72" s="2">
        <v>1.8</v>
      </c>
      <c r="E72" s="26">
        <v>8.3000000000000007</v>
      </c>
      <c r="F72" s="29">
        <v>5</v>
      </c>
    </row>
    <row r="73" spans="1:6">
      <c r="A73" s="1" t="s">
        <v>788</v>
      </c>
      <c r="B73" s="2">
        <v>16</v>
      </c>
      <c r="C73" s="2" t="s">
        <v>7</v>
      </c>
      <c r="D73" s="2">
        <v>1.3</v>
      </c>
      <c r="E73" s="26">
        <v>7.1</v>
      </c>
      <c r="F73" s="29">
        <v>5</v>
      </c>
    </row>
    <row r="74" spans="1:6">
      <c r="A74" s="1" t="s">
        <v>789</v>
      </c>
      <c r="B74" s="2">
        <v>16</v>
      </c>
      <c r="C74" s="2" t="s">
        <v>7</v>
      </c>
      <c r="D74" s="2">
        <v>1.5</v>
      </c>
      <c r="E74" s="26">
        <v>8.1999999999999993</v>
      </c>
      <c r="F74" s="29">
        <v>5</v>
      </c>
    </row>
    <row r="75" spans="1:6">
      <c r="A75" s="1" t="s">
        <v>790</v>
      </c>
      <c r="B75" s="2">
        <v>16</v>
      </c>
      <c r="C75" s="2" t="s">
        <v>7</v>
      </c>
      <c r="D75" s="2">
        <v>1.5</v>
      </c>
      <c r="E75" s="26">
        <v>7.6</v>
      </c>
      <c r="F75" s="29">
        <v>5</v>
      </c>
    </row>
    <row r="76" spans="1:6">
      <c r="A76" s="1" t="s">
        <v>791</v>
      </c>
      <c r="B76" s="2">
        <v>17</v>
      </c>
      <c r="C76" s="2" t="s">
        <v>28</v>
      </c>
      <c r="D76" s="2">
        <v>2</v>
      </c>
      <c r="E76" s="26">
        <v>8.3000000000000007</v>
      </c>
      <c r="F76" s="29">
        <v>5</v>
      </c>
    </row>
    <row r="77" spans="1:6">
      <c r="A77" s="1" t="s">
        <v>792</v>
      </c>
      <c r="B77" s="2">
        <v>16</v>
      </c>
      <c r="C77" s="2" t="s">
        <v>28</v>
      </c>
      <c r="D77" s="11">
        <v>1.2</v>
      </c>
      <c r="E77" s="26">
        <v>7.6</v>
      </c>
      <c r="F77" s="29">
        <v>5</v>
      </c>
    </row>
    <row r="78" spans="1:6">
      <c r="A78" s="1" t="s">
        <v>793</v>
      </c>
      <c r="B78" s="2">
        <v>15</v>
      </c>
      <c r="C78" s="2" t="s">
        <v>7</v>
      </c>
      <c r="D78" s="2">
        <v>1.4</v>
      </c>
      <c r="E78" s="26">
        <v>6.7</v>
      </c>
      <c r="F78" s="29">
        <v>4</v>
      </c>
    </row>
    <row r="79" spans="1:6">
      <c r="A79" s="1" t="s">
        <v>794</v>
      </c>
      <c r="B79" s="2">
        <v>16</v>
      </c>
      <c r="C79" s="2" t="s">
        <v>28</v>
      </c>
      <c r="D79" s="2">
        <v>1.6</v>
      </c>
      <c r="E79" s="26">
        <v>5.4</v>
      </c>
      <c r="F79" s="29">
        <v>5</v>
      </c>
    </row>
    <row r="80" spans="1:6">
      <c r="A80" s="1" t="s">
        <v>795</v>
      </c>
      <c r="B80" s="2">
        <v>16</v>
      </c>
      <c r="C80" s="2" t="s">
        <v>7</v>
      </c>
      <c r="D80" s="2">
        <v>0.9</v>
      </c>
      <c r="E80" s="31">
        <v>5.4</v>
      </c>
      <c r="F80" s="29">
        <v>3</v>
      </c>
    </row>
    <row r="81" spans="1:6">
      <c r="A81" s="1" t="s">
        <v>796</v>
      </c>
      <c r="B81" s="2">
        <v>16</v>
      </c>
      <c r="C81" s="2" t="s">
        <v>7</v>
      </c>
      <c r="D81" s="2">
        <v>1.5</v>
      </c>
      <c r="E81" s="26">
        <v>5.3</v>
      </c>
      <c r="F81" s="29">
        <v>5</v>
      </c>
    </row>
    <row r="82" spans="1:6" ht="15" thickBot="1">
      <c r="A82" s="1" t="s">
        <v>797</v>
      </c>
      <c r="B82" s="2">
        <v>17</v>
      </c>
      <c r="C82" s="2" t="s">
        <v>7</v>
      </c>
      <c r="D82" s="2">
        <v>1.2</v>
      </c>
      <c r="E82" s="26">
        <v>5.2</v>
      </c>
      <c r="F82" s="30">
        <v>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EBB85-E1F8-4EDA-87E9-AC324F8E3041}">
  <dimension ref="A1:N76"/>
  <sheetViews>
    <sheetView workbookViewId="0">
      <pane ySplit="2" topLeftCell="A3" activePane="bottomLeft" state="frozen"/>
      <selection pane="bottomLeft" activeCell="J2" sqref="J2:J7"/>
    </sheetView>
  </sheetViews>
  <sheetFormatPr defaultRowHeight="14.45"/>
  <cols>
    <col min="3" max="3" width="14.28515625" customWidth="1"/>
    <col min="4" max="4" width="13.28515625" customWidth="1"/>
    <col min="5" max="5" width="16.140625" customWidth="1"/>
    <col min="6" max="6" width="17.28515625" customWidth="1"/>
    <col min="7" max="7" width="9.28515625" bestFit="1" customWidth="1"/>
    <col min="8" max="8" width="11.140625" customWidth="1"/>
    <col min="9" max="9" width="13.28515625" customWidth="1"/>
    <col min="10" max="10" width="12.85546875" customWidth="1"/>
    <col min="11" max="11" width="13.28515625" customWidth="1"/>
    <col min="12" max="12" width="12.28515625" customWidth="1"/>
    <col min="13" max="13" width="15.28515625" customWidth="1"/>
    <col min="14" max="14" width="10.28515625" bestFit="1" customWidth="1"/>
  </cols>
  <sheetData>
    <row r="1" spans="1:14">
      <c r="A1" s="3" t="s">
        <v>1</v>
      </c>
      <c r="B1" s="3" t="s">
        <v>641</v>
      </c>
      <c r="C1" s="3" t="s">
        <v>3</v>
      </c>
      <c r="D1" s="3" t="s">
        <v>4</v>
      </c>
      <c r="E1" s="25" t="s">
        <v>5</v>
      </c>
      <c r="F1" s="32" t="s">
        <v>639</v>
      </c>
      <c r="G1" s="9">
        <v>46128</v>
      </c>
      <c r="H1" s="13"/>
      <c r="I1" s="16" t="s">
        <v>641</v>
      </c>
      <c r="J1" s="16" t="s">
        <v>3</v>
      </c>
      <c r="K1" s="16" t="s">
        <v>4</v>
      </c>
      <c r="L1" s="33" t="s">
        <v>5</v>
      </c>
      <c r="M1" s="16" t="s">
        <v>640</v>
      </c>
      <c r="N1" s="16"/>
    </row>
    <row r="2" spans="1:14">
      <c r="A2" s="1" t="s">
        <v>798</v>
      </c>
      <c r="B2" s="2">
        <v>16</v>
      </c>
      <c r="C2" s="2" t="s">
        <v>7</v>
      </c>
      <c r="D2" s="2">
        <v>1.7</v>
      </c>
      <c r="E2" s="26">
        <v>6.3</v>
      </c>
      <c r="F2" s="60">
        <v>5</v>
      </c>
      <c r="H2" s="13" t="s">
        <v>643</v>
      </c>
      <c r="I2" s="20">
        <v>82.6</v>
      </c>
      <c r="J2" s="17">
        <v>100</v>
      </c>
      <c r="K2" s="20">
        <v>78.3</v>
      </c>
      <c r="L2" s="34">
        <v>4.3</v>
      </c>
      <c r="M2" s="39">
        <f>AVERAGE(F2:F24)*20</f>
        <v>97.391304347826093</v>
      </c>
      <c r="N2" s="39">
        <f>SUM(I2:M2)/5</f>
        <v>72.518260869565211</v>
      </c>
    </row>
    <row r="3" spans="1:14">
      <c r="A3" s="1" t="s">
        <v>799</v>
      </c>
      <c r="B3" s="2">
        <v>16</v>
      </c>
      <c r="C3" s="2" t="s">
        <v>7</v>
      </c>
      <c r="D3" s="2">
        <v>1.4</v>
      </c>
      <c r="E3" s="26">
        <v>5.9</v>
      </c>
      <c r="F3" s="46">
        <v>5</v>
      </c>
      <c r="H3" s="13" t="s">
        <v>645</v>
      </c>
      <c r="I3" s="20">
        <v>92.9</v>
      </c>
      <c r="J3" s="17">
        <v>100</v>
      </c>
      <c r="K3" s="20">
        <v>100</v>
      </c>
      <c r="L3" s="35">
        <v>100</v>
      </c>
      <c r="M3" s="17">
        <f>AVERAGE(F26:F39)*20</f>
        <v>100</v>
      </c>
      <c r="N3" s="17">
        <f>SUM(I3:M3)/5</f>
        <v>98.58</v>
      </c>
    </row>
    <row r="4" spans="1:14">
      <c r="A4" s="1" t="s">
        <v>800</v>
      </c>
      <c r="B4" s="2">
        <v>15</v>
      </c>
      <c r="C4" s="2" t="s">
        <v>7</v>
      </c>
      <c r="D4" s="2">
        <v>1.7</v>
      </c>
      <c r="E4" s="26">
        <v>6</v>
      </c>
      <c r="F4" s="46">
        <v>5</v>
      </c>
      <c r="H4" s="13" t="s">
        <v>647</v>
      </c>
      <c r="I4" s="20">
        <v>50</v>
      </c>
      <c r="J4" s="17">
        <v>100</v>
      </c>
      <c r="K4" s="20">
        <v>100</v>
      </c>
      <c r="L4" s="35">
        <v>100</v>
      </c>
      <c r="M4" s="17">
        <f>AVERAGE(F41:F42)*20</f>
        <v>100</v>
      </c>
      <c r="N4" s="17">
        <f t="shared" ref="N4:N7" si="0">SUM(I4:M4)/5</f>
        <v>90</v>
      </c>
    </row>
    <row r="5" spans="1:14">
      <c r="A5" s="1" t="s">
        <v>801</v>
      </c>
      <c r="B5" s="2">
        <v>16</v>
      </c>
      <c r="C5" s="2" t="s">
        <v>7</v>
      </c>
      <c r="D5" s="2">
        <v>1.1000000000000001</v>
      </c>
      <c r="E5" s="26">
        <v>6.4</v>
      </c>
      <c r="F5" s="46">
        <v>5</v>
      </c>
      <c r="H5" s="13" t="s">
        <v>649</v>
      </c>
      <c r="I5" s="20">
        <v>80</v>
      </c>
      <c r="J5" s="17">
        <v>100</v>
      </c>
      <c r="K5" s="20">
        <v>80</v>
      </c>
      <c r="L5" s="35">
        <v>20</v>
      </c>
      <c r="M5" s="17">
        <f>AVERAGE(F44:F48)*20</f>
        <v>88</v>
      </c>
      <c r="N5" s="17">
        <f t="shared" si="0"/>
        <v>73.599999999999994</v>
      </c>
    </row>
    <row r="6" spans="1:14">
      <c r="A6" s="1" t="s">
        <v>802</v>
      </c>
      <c r="B6" s="2">
        <v>16</v>
      </c>
      <c r="C6" s="2" t="s">
        <v>7</v>
      </c>
      <c r="D6" s="2">
        <v>1.9</v>
      </c>
      <c r="E6" s="26">
        <v>8.1</v>
      </c>
      <c r="F6" s="46">
        <v>5</v>
      </c>
      <c r="H6" s="13" t="s">
        <v>651</v>
      </c>
      <c r="I6" s="20">
        <v>100</v>
      </c>
      <c r="J6" s="17">
        <v>100</v>
      </c>
      <c r="K6" s="20">
        <v>83.3</v>
      </c>
      <c r="L6" s="34">
        <v>8.3000000000000007</v>
      </c>
      <c r="M6" s="20">
        <f>AVERAGE(F50:F61)*20</f>
        <v>93.333333333333343</v>
      </c>
      <c r="N6" s="20">
        <f t="shared" si="0"/>
        <v>76.986666666666679</v>
      </c>
    </row>
    <row r="7" spans="1:14">
      <c r="A7" s="1" t="s">
        <v>803</v>
      </c>
      <c r="B7" s="2">
        <v>14</v>
      </c>
      <c r="C7" s="2" t="s">
        <v>7</v>
      </c>
      <c r="D7" s="2">
        <v>1.3</v>
      </c>
      <c r="E7" s="26">
        <v>6.5</v>
      </c>
      <c r="F7" s="46">
        <v>5</v>
      </c>
      <c r="H7" s="13" t="s">
        <v>653</v>
      </c>
      <c r="I7" s="20">
        <v>71.400000000000006</v>
      </c>
      <c r="J7" s="17">
        <v>100</v>
      </c>
      <c r="K7" s="20">
        <v>100</v>
      </c>
      <c r="L7" s="34">
        <v>100</v>
      </c>
      <c r="M7" s="20">
        <f>AVERAGE(F63:F76)*20</f>
        <v>98.571428571428584</v>
      </c>
      <c r="N7" s="20">
        <f t="shared" si="0"/>
        <v>93.994285714285709</v>
      </c>
    </row>
    <row r="8" spans="1:14">
      <c r="A8" s="1" t="s">
        <v>804</v>
      </c>
      <c r="B8" s="2">
        <v>16</v>
      </c>
      <c r="C8" s="2" t="s">
        <v>7</v>
      </c>
      <c r="D8" s="2">
        <v>1.3</v>
      </c>
      <c r="E8" s="26">
        <v>7</v>
      </c>
      <c r="F8" s="46">
        <v>5</v>
      </c>
      <c r="H8" s="13"/>
      <c r="I8" s="17"/>
      <c r="J8" s="17"/>
      <c r="K8" s="17"/>
      <c r="L8" s="36"/>
      <c r="M8" s="17"/>
      <c r="N8" s="17"/>
    </row>
    <row r="9" spans="1:14" ht="15" thickBot="1">
      <c r="A9" s="1" t="s">
        <v>805</v>
      </c>
      <c r="B9" s="2">
        <v>16</v>
      </c>
      <c r="C9" s="2" t="s">
        <v>7</v>
      </c>
      <c r="D9" s="2">
        <v>1.4</v>
      </c>
      <c r="E9" s="26">
        <v>6.3</v>
      </c>
      <c r="F9" s="46">
        <v>5</v>
      </c>
      <c r="H9" s="13"/>
      <c r="I9" s="18" t="s">
        <v>656</v>
      </c>
      <c r="J9" s="18" t="s">
        <v>657</v>
      </c>
      <c r="K9" s="18" t="s">
        <v>658</v>
      </c>
      <c r="L9" s="37" t="s">
        <v>659</v>
      </c>
      <c r="M9" s="18"/>
      <c r="N9" s="18"/>
    </row>
    <row r="10" spans="1:14">
      <c r="A10" s="1" t="s">
        <v>806</v>
      </c>
      <c r="B10" s="2">
        <v>16</v>
      </c>
      <c r="C10" s="2" t="s">
        <v>7</v>
      </c>
      <c r="D10" s="2">
        <v>1.4</v>
      </c>
      <c r="E10" s="26">
        <v>6.3</v>
      </c>
      <c r="F10" s="46">
        <v>5</v>
      </c>
    </row>
    <row r="11" spans="1:14">
      <c r="A11" s="1" t="s">
        <v>807</v>
      </c>
      <c r="B11" s="2">
        <v>14</v>
      </c>
      <c r="C11" s="2" t="s">
        <v>7</v>
      </c>
      <c r="D11" s="2">
        <v>1.6</v>
      </c>
      <c r="E11" s="26">
        <v>6</v>
      </c>
      <c r="F11" s="46">
        <v>5</v>
      </c>
    </row>
    <row r="12" spans="1:14">
      <c r="A12" s="1" t="s">
        <v>808</v>
      </c>
      <c r="B12" s="2">
        <v>16</v>
      </c>
      <c r="C12" s="2" t="s">
        <v>7</v>
      </c>
      <c r="D12" s="2">
        <v>1.1000000000000001</v>
      </c>
      <c r="E12" s="26">
        <v>5.6</v>
      </c>
      <c r="F12" s="46">
        <v>5</v>
      </c>
    </row>
    <row r="13" spans="1:14">
      <c r="A13" s="1" t="s">
        <v>809</v>
      </c>
      <c r="B13" s="2">
        <v>16</v>
      </c>
      <c r="C13" s="2" t="s">
        <v>7</v>
      </c>
      <c r="D13" s="2">
        <v>1.3</v>
      </c>
      <c r="E13" s="26">
        <v>5.8</v>
      </c>
      <c r="F13" s="46">
        <v>5</v>
      </c>
    </row>
    <row r="14" spans="1:14">
      <c r="A14" s="1" t="s">
        <v>810</v>
      </c>
      <c r="B14" s="2">
        <v>16</v>
      </c>
      <c r="C14" s="2" t="s">
        <v>7</v>
      </c>
      <c r="D14" s="2">
        <v>1</v>
      </c>
      <c r="E14" s="26">
        <v>6</v>
      </c>
      <c r="F14" s="46">
        <v>5</v>
      </c>
    </row>
    <row r="15" spans="1:14">
      <c r="A15" s="1" t="s">
        <v>811</v>
      </c>
      <c r="B15" s="2">
        <v>16</v>
      </c>
      <c r="C15" s="2" t="s">
        <v>7</v>
      </c>
      <c r="D15" s="2">
        <v>1.9</v>
      </c>
      <c r="E15" s="26">
        <v>5.9</v>
      </c>
      <c r="F15" s="46">
        <v>5</v>
      </c>
    </row>
    <row r="16" spans="1:14">
      <c r="A16" s="1" t="s">
        <v>812</v>
      </c>
      <c r="B16" s="2">
        <v>14</v>
      </c>
      <c r="C16" s="2" t="s">
        <v>7</v>
      </c>
      <c r="D16" s="2">
        <v>1.1000000000000001</v>
      </c>
      <c r="E16" s="26">
        <v>5.6</v>
      </c>
      <c r="F16" s="46">
        <v>5</v>
      </c>
    </row>
    <row r="17" spans="1:6">
      <c r="A17" s="1" t="s">
        <v>813</v>
      </c>
      <c r="B17" s="2">
        <v>15</v>
      </c>
      <c r="C17" s="2" t="s">
        <v>7</v>
      </c>
      <c r="D17" s="2">
        <v>1.9</v>
      </c>
      <c r="E17" s="26">
        <v>6.1</v>
      </c>
      <c r="F17" s="46">
        <v>5</v>
      </c>
    </row>
    <row r="18" spans="1:6">
      <c r="A18" s="1" t="s">
        <v>814</v>
      </c>
      <c r="B18" s="2">
        <v>17</v>
      </c>
      <c r="C18" s="2" t="s">
        <v>7</v>
      </c>
      <c r="D18" s="2">
        <v>1.4</v>
      </c>
      <c r="E18" s="26">
        <v>6.6</v>
      </c>
      <c r="F18" s="46">
        <v>5</v>
      </c>
    </row>
    <row r="19" spans="1:6">
      <c r="A19" s="1" t="s">
        <v>815</v>
      </c>
      <c r="B19" s="2">
        <v>16</v>
      </c>
      <c r="C19" s="2" t="s">
        <v>7</v>
      </c>
      <c r="D19" s="2">
        <v>0.8</v>
      </c>
      <c r="E19" s="26">
        <v>5.2</v>
      </c>
      <c r="F19" s="46">
        <v>4</v>
      </c>
    </row>
    <row r="20" spans="1:6">
      <c r="A20" s="1" t="s">
        <v>816</v>
      </c>
      <c r="B20" s="2">
        <v>17</v>
      </c>
      <c r="C20" s="2" t="s">
        <v>7</v>
      </c>
      <c r="D20" s="2">
        <v>1.5</v>
      </c>
      <c r="E20" s="26">
        <v>5.8</v>
      </c>
      <c r="F20" s="46">
        <v>5</v>
      </c>
    </row>
    <row r="21" spans="1:6">
      <c r="A21" s="1" t="s">
        <v>817</v>
      </c>
      <c r="B21" s="2">
        <v>16</v>
      </c>
      <c r="C21" s="2" t="s">
        <v>7</v>
      </c>
      <c r="D21" s="2">
        <v>1.6</v>
      </c>
      <c r="E21" s="26">
        <v>6.7</v>
      </c>
      <c r="F21" s="46">
        <v>5</v>
      </c>
    </row>
    <row r="22" spans="1:6">
      <c r="A22" s="1" t="s">
        <v>818</v>
      </c>
      <c r="B22" s="2">
        <v>16</v>
      </c>
      <c r="C22" s="2" t="s">
        <v>7</v>
      </c>
      <c r="D22" s="2">
        <v>1.4</v>
      </c>
      <c r="E22" s="26">
        <v>5.3</v>
      </c>
      <c r="F22" s="46">
        <v>5</v>
      </c>
    </row>
    <row r="23" spans="1:6">
      <c r="A23" s="1" t="s">
        <v>819</v>
      </c>
      <c r="B23" s="2">
        <v>16</v>
      </c>
      <c r="C23" s="2" t="s">
        <v>7</v>
      </c>
      <c r="D23" s="2">
        <v>1.6</v>
      </c>
      <c r="E23" s="26">
        <v>5.4</v>
      </c>
      <c r="F23" s="46">
        <v>4</v>
      </c>
    </row>
    <row r="24" spans="1:6">
      <c r="A24" s="1" t="s">
        <v>820</v>
      </c>
      <c r="B24" s="2">
        <v>17</v>
      </c>
      <c r="C24" s="2" t="s">
        <v>7</v>
      </c>
      <c r="D24" s="2">
        <v>1.4</v>
      </c>
      <c r="E24" s="26">
        <v>5.3</v>
      </c>
      <c r="F24" s="46">
        <v>4</v>
      </c>
    </row>
    <row r="25" spans="1:6">
      <c r="A25" s="1"/>
      <c r="B25" s="1"/>
      <c r="C25" s="1"/>
      <c r="D25" s="1"/>
      <c r="E25" s="27"/>
      <c r="F25" s="46"/>
    </row>
    <row r="26" spans="1:6">
      <c r="A26" s="1" t="s">
        <v>821</v>
      </c>
      <c r="B26" s="2">
        <v>16</v>
      </c>
      <c r="C26" s="2" t="s">
        <v>7</v>
      </c>
      <c r="D26" s="2">
        <v>1.9</v>
      </c>
      <c r="E26" s="26">
        <v>8.4</v>
      </c>
      <c r="F26" s="29">
        <v>5</v>
      </c>
    </row>
    <row r="27" spans="1:6">
      <c r="A27" s="1" t="s">
        <v>822</v>
      </c>
      <c r="B27" s="2">
        <v>14</v>
      </c>
      <c r="C27" s="2" t="s">
        <v>7</v>
      </c>
      <c r="D27" s="2">
        <v>1.6</v>
      </c>
      <c r="E27" s="26">
        <v>9.8000000000000007</v>
      </c>
      <c r="F27" s="29">
        <v>5</v>
      </c>
    </row>
    <row r="28" spans="1:6">
      <c r="A28" s="1" t="s">
        <v>823</v>
      </c>
      <c r="B28" s="2">
        <v>16</v>
      </c>
      <c r="C28" s="2" t="s">
        <v>7</v>
      </c>
      <c r="D28" s="2">
        <v>1.3</v>
      </c>
      <c r="E28" s="26">
        <v>7.1</v>
      </c>
      <c r="F28" s="29">
        <v>5</v>
      </c>
    </row>
    <row r="29" spans="1:6">
      <c r="A29" s="1" t="s">
        <v>824</v>
      </c>
      <c r="B29" s="2">
        <v>17</v>
      </c>
      <c r="C29" s="2" t="s">
        <v>7</v>
      </c>
      <c r="D29" s="2">
        <v>1.7</v>
      </c>
      <c r="E29" s="26">
        <v>8.1999999999999993</v>
      </c>
      <c r="F29" s="29">
        <v>5</v>
      </c>
    </row>
    <row r="30" spans="1:6">
      <c r="A30" s="1" t="s">
        <v>825</v>
      </c>
      <c r="B30" s="2">
        <v>16</v>
      </c>
      <c r="C30" s="2" t="s">
        <v>7</v>
      </c>
      <c r="D30" s="2">
        <v>1.5</v>
      </c>
      <c r="E30" s="26">
        <v>8.6999999999999993</v>
      </c>
      <c r="F30" s="29">
        <v>5</v>
      </c>
    </row>
    <row r="31" spans="1:6">
      <c r="A31" s="1" t="s">
        <v>826</v>
      </c>
      <c r="B31" s="2">
        <v>16</v>
      </c>
      <c r="C31" s="2" t="s">
        <v>7</v>
      </c>
      <c r="D31" s="2">
        <v>1.3</v>
      </c>
      <c r="E31" s="26">
        <v>9.1999999999999993</v>
      </c>
      <c r="F31" s="29">
        <v>5</v>
      </c>
    </row>
    <row r="32" spans="1:6">
      <c r="A32" s="1" t="s">
        <v>827</v>
      </c>
      <c r="B32" s="2">
        <v>16</v>
      </c>
      <c r="C32" s="2" t="s">
        <v>7</v>
      </c>
      <c r="D32" s="2">
        <v>1.8</v>
      </c>
      <c r="E32" s="26">
        <v>8.9</v>
      </c>
      <c r="F32" s="29">
        <v>5</v>
      </c>
    </row>
    <row r="33" spans="1:6">
      <c r="A33" s="1" t="s">
        <v>828</v>
      </c>
      <c r="B33" s="2">
        <v>16</v>
      </c>
      <c r="C33" s="2" t="s">
        <v>7</v>
      </c>
      <c r="D33" s="2">
        <v>1.6</v>
      </c>
      <c r="E33" s="26">
        <v>8.4</v>
      </c>
      <c r="F33" s="29">
        <v>5</v>
      </c>
    </row>
    <row r="34" spans="1:6">
      <c r="A34" s="1" t="s">
        <v>829</v>
      </c>
      <c r="B34" s="2">
        <v>16</v>
      </c>
      <c r="C34" s="2" t="s">
        <v>7</v>
      </c>
      <c r="D34" s="2">
        <v>1.7</v>
      </c>
      <c r="E34" s="26">
        <v>9.5</v>
      </c>
      <c r="F34" s="29">
        <v>5</v>
      </c>
    </row>
    <row r="35" spans="1:6">
      <c r="A35" s="1" t="s">
        <v>830</v>
      </c>
      <c r="B35" s="2">
        <v>18</v>
      </c>
      <c r="C35" s="2" t="s">
        <v>7</v>
      </c>
      <c r="D35" s="2">
        <v>1.8</v>
      </c>
      <c r="E35" s="26">
        <v>9</v>
      </c>
      <c r="F35" s="29">
        <v>5</v>
      </c>
    </row>
    <row r="36" spans="1:6">
      <c r="A36" s="1" t="s">
        <v>831</v>
      </c>
      <c r="B36" s="2">
        <v>16</v>
      </c>
      <c r="C36" s="2" t="s">
        <v>7</v>
      </c>
      <c r="D36" s="2">
        <v>1.3</v>
      </c>
      <c r="E36" s="26">
        <v>8.6999999999999993</v>
      </c>
      <c r="F36" s="29">
        <v>5</v>
      </c>
    </row>
    <row r="37" spans="1:6">
      <c r="A37" s="1" t="s">
        <v>832</v>
      </c>
      <c r="B37" s="2">
        <v>16</v>
      </c>
      <c r="C37" s="2" t="s">
        <v>7</v>
      </c>
      <c r="D37" s="2">
        <v>1.7</v>
      </c>
      <c r="E37" s="26">
        <v>8.3000000000000007</v>
      </c>
      <c r="F37" s="29">
        <v>5</v>
      </c>
    </row>
    <row r="38" spans="1:6">
      <c r="A38" s="1" t="s">
        <v>833</v>
      </c>
      <c r="B38" s="2">
        <v>16</v>
      </c>
      <c r="C38" s="2" t="s">
        <v>7</v>
      </c>
      <c r="D38" s="2">
        <v>1.7</v>
      </c>
      <c r="E38" s="26">
        <v>7</v>
      </c>
      <c r="F38" s="29">
        <v>5</v>
      </c>
    </row>
    <row r="39" spans="1:6">
      <c r="A39" s="1" t="s">
        <v>834</v>
      </c>
      <c r="B39" s="2">
        <v>16</v>
      </c>
      <c r="C39" s="2" t="s">
        <v>7</v>
      </c>
      <c r="D39" s="2">
        <v>1.7</v>
      </c>
      <c r="E39" s="26">
        <v>7.2</v>
      </c>
      <c r="F39" s="29">
        <v>5</v>
      </c>
    </row>
    <row r="40" spans="1:6">
      <c r="A40" s="1"/>
      <c r="B40" s="1"/>
      <c r="C40" s="1"/>
      <c r="D40" s="1"/>
      <c r="E40" s="26"/>
      <c r="F40" s="29"/>
    </row>
    <row r="41" spans="1:6">
      <c r="A41" s="1" t="s">
        <v>835</v>
      </c>
      <c r="B41" s="2">
        <v>15</v>
      </c>
      <c r="C41" s="2" t="s">
        <v>7</v>
      </c>
      <c r="D41" s="2">
        <v>1.8</v>
      </c>
      <c r="E41" s="26">
        <v>8</v>
      </c>
      <c r="F41" s="29">
        <v>5</v>
      </c>
    </row>
    <row r="42" spans="1:6">
      <c r="A42" s="1" t="s">
        <v>836</v>
      </c>
      <c r="B42" s="2">
        <v>18</v>
      </c>
      <c r="C42" s="2" t="s">
        <v>7</v>
      </c>
      <c r="D42" s="2">
        <v>1.5</v>
      </c>
      <c r="E42" s="26">
        <v>8</v>
      </c>
      <c r="F42" s="29">
        <v>5</v>
      </c>
    </row>
    <row r="43" spans="1:6">
      <c r="A43" s="1"/>
      <c r="B43" s="1"/>
      <c r="C43" s="1"/>
      <c r="D43" s="1"/>
      <c r="E43" s="27"/>
      <c r="F43" s="46"/>
    </row>
    <row r="44" spans="1:6">
      <c r="A44" s="1" t="s">
        <v>837</v>
      </c>
      <c r="B44" s="2">
        <v>16</v>
      </c>
      <c r="C44" s="2" t="s">
        <v>7</v>
      </c>
      <c r="D44" s="2">
        <v>1.3</v>
      </c>
      <c r="E44" s="26">
        <v>7.2</v>
      </c>
      <c r="F44" s="29">
        <v>5</v>
      </c>
    </row>
    <row r="45" spans="1:6">
      <c r="A45" s="1" t="s">
        <v>838</v>
      </c>
      <c r="B45" s="2">
        <v>18</v>
      </c>
      <c r="C45" s="2" t="s">
        <v>7</v>
      </c>
      <c r="D45" s="2">
        <v>1.1000000000000001</v>
      </c>
      <c r="E45" s="26">
        <v>6.7</v>
      </c>
      <c r="F45" s="29">
        <v>5</v>
      </c>
    </row>
    <row r="46" spans="1:6">
      <c r="A46" s="1" t="s">
        <v>839</v>
      </c>
      <c r="B46" s="2">
        <v>16</v>
      </c>
      <c r="C46" s="2" t="s">
        <v>7</v>
      </c>
      <c r="D46" s="2">
        <v>1.5</v>
      </c>
      <c r="E46" s="26">
        <v>6.3</v>
      </c>
      <c r="F46" s="29">
        <v>4</v>
      </c>
    </row>
    <row r="47" spans="1:6">
      <c r="A47" s="1" t="s">
        <v>840</v>
      </c>
      <c r="B47" s="2">
        <v>16</v>
      </c>
      <c r="C47" s="2" t="s">
        <v>7</v>
      </c>
      <c r="D47" s="2">
        <v>1.6</v>
      </c>
      <c r="E47" s="26">
        <v>6.5</v>
      </c>
      <c r="F47" s="29">
        <v>4</v>
      </c>
    </row>
    <row r="48" spans="1:6">
      <c r="A48" s="1" t="s">
        <v>841</v>
      </c>
      <c r="B48" s="2">
        <v>14</v>
      </c>
      <c r="C48" s="2" t="s">
        <v>7</v>
      </c>
      <c r="D48" s="2">
        <v>1.6</v>
      </c>
      <c r="E48" s="26">
        <v>6.4</v>
      </c>
      <c r="F48" s="29">
        <v>4</v>
      </c>
    </row>
    <row r="49" spans="1:6">
      <c r="A49" s="1"/>
      <c r="B49" s="1"/>
      <c r="C49" s="1"/>
      <c r="D49" s="1"/>
      <c r="E49" s="27"/>
      <c r="F49" s="46"/>
    </row>
    <row r="50" spans="1:6">
      <c r="A50" s="1" t="s">
        <v>842</v>
      </c>
      <c r="B50" s="2">
        <v>16</v>
      </c>
      <c r="C50" s="2" t="s">
        <v>7</v>
      </c>
      <c r="D50" s="2">
        <v>1.1000000000000001</v>
      </c>
      <c r="E50" s="26">
        <v>5.6</v>
      </c>
      <c r="F50" s="29">
        <v>1</v>
      </c>
    </row>
    <row r="51" spans="1:6">
      <c r="A51" s="1" t="s">
        <v>843</v>
      </c>
      <c r="B51" s="2">
        <v>16</v>
      </c>
      <c r="C51" s="2" t="s">
        <v>7</v>
      </c>
      <c r="D51" s="2">
        <v>1.7</v>
      </c>
      <c r="E51" s="26">
        <v>6.7</v>
      </c>
      <c r="F51" s="29">
        <v>5</v>
      </c>
    </row>
    <row r="52" spans="1:6">
      <c r="A52" s="1" t="s">
        <v>844</v>
      </c>
      <c r="B52" s="2">
        <v>16</v>
      </c>
      <c r="C52" s="2" t="s">
        <v>7</v>
      </c>
      <c r="D52" s="2">
        <v>1.6</v>
      </c>
      <c r="E52" s="26">
        <v>5.8</v>
      </c>
      <c r="F52" s="29">
        <v>5</v>
      </c>
    </row>
    <row r="53" spans="1:6">
      <c r="A53" s="1" t="s">
        <v>845</v>
      </c>
      <c r="B53" s="2">
        <v>16</v>
      </c>
      <c r="C53" s="2" t="s">
        <v>7</v>
      </c>
      <c r="D53" s="2">
        <v>1.4</v>
      </c>
      <c r="E53" s="26">
        <v>6.7</v>
      </c>
      <c r="F53" s="29">
        <v>5</v>
      </c>
    </row>
    <row r="54" spans="1:6">
      <c r="A54" s="1" t="s">
        <v>846</v>
      </c>
      <c r="B54" s="2">
        <v>16</v>
      </c>
      <c r="C54" s="2" t="s">
        <v>7</v>
      </c>
      <c r="D54" s="2">
        <v>1.6</v>
      </c>
      <c r="E54" s="26">
        <v>6.7</v>
      </c>
      <c r="F54" s="29">
        <v>5</v>
      </c>
    </row>
    <row r="55" spans="1:6">
      <c r="A55" s="1" t="s">
        <v>847</v>
      </c>
      <c r="B55" s="2">
        <v>16</v>
      </c>
      <c r="C55" s="2" t="s">
        <v>7</v>
      </c>
      <c r="D55" s="2">
        <v>1.3</v>
      </c>
      <c r="E55" s="26">
        <v>6.6</v>
      </c>
      <c r="F55" s="29">
        <v>5</v>
      </c>
    </row>
    <row r="56" spans="1:6">
      <c r="A56" s="1" t="s">
        <v>848</v>
      </c>
      <c r="B56" s="2">
        <v>16</v>
      </c>
      <c r="C56" s="2" t="s">
        <v>7</v>
      </c>
      <c r="D56" s="2">
        <v>1.1000000000000001</v>
      </c>
      <c r="E56" s="26">
        <v>6.7</v>
      </c>
      <c r="F56" s="29">
        <v>5</v>
      </c>
    </row>
    <row r="57" spans="1:6">
      <c r="A57" s="1" t="s">
        <v>849</v>
      </c>
      <c r="B57" s="2">
        <v>17</v>
      </c>
      <c r="C57" s="2" t="s">
        <v>7</v>
      </c>
      <c r="D57" s="2">
        <v>1.5</v>
      </c>
      <c r="E57" s="26">
        <v>6.8</v>
      </c>
      <c r="F57" s="29">
        <v>5</v>
      </c>
    </row>
    <row r="58" spans="1:6">
      <c r="A58" s="1" t="s">
        <v>850</v>
      </c>
      <c r="B58" s="2">
        <v>16</v>
      </c>
      <c r="C58" s="2" t="s">
        <v>7</v>
      </c>
      <c r="D58" s="2">
        <v>1.5</v>
      </c>
      <c r="E58" s="26">
        <v>6.8</v>
      </c>
      <c r="F58" s="29">
        <v>5</v>
      </c>
    </row>
    <row r="59" spans="1:6">
      <c r="A59" s="1" t="s">
        <v>851</v>
      </c>
      <c r="B59" s="2">
        <v>17</v>
      </c>
      <c r="C59" s="2" t="s">
        <v>7</v>
      </c>
      <c r="D59" s="2">
        <v>1.4</v>
      </c>
      <c r="E59" s="26">
        <v>6.3</v>
      </c>
      <c r="F59" s="29">
        <v>5</v>
      </c>
    </row>
    <row r="60" spans="1:6">
      <c r="A60" s="1" t="s">
        <v>852</v>
      </c>
      <c r="B60" s="2">
        <v>16</v>
      </c>
      <c r="C60" s="2" t="s">
        <v>7</v>
      </c>
      <c r="D60" s="2">
        <v>1.5</v>
      </c>
      <c r="E60" s="26">
        <v>7</v>
      </c>
      <c r="F60" s="29">
        <v>5</v>
      </c>
    </row>
    <row r="61" spans="1:6">
      <c r="A61" s="1" t="s">
        <v>853</v>
      </c>
      <c r="B61" s="2">
        <v>16</v>
      </c>
      <c r="C61" s="2" t="s">
        <v>7</v>
      </c>
      <c r="D61" s="2">
        <v>1.6</v>
      </c>
      <c r="E61" s="26">
        <v>6.5</v>
      </c>
      <c r="F61" s="29">
        <v>5</v>
      </c>
    </row>
    <row r="62" spans="1:6">
      <c r="A62" s="1"/>
      <c r="B62" s="1"/>
      <c r="C62" s="1"/>
      <c r="D62" s="1"/>
      <c r="E62" s="27"/>
      <c r="F62" s="46"/>
    </row>
    <row r="63" spans="1:6">
      <c r="A63" s="1" t="s">
        <v>854</v>
      </c>
      <c r="B63" s="2">
        <v>15</v>
      </c>
      <c r="C63" s="2" t="s">
        <v>7</v>
      </c>
      <c r="D63" s="2">
        <v>1.7</v>
      </c>
      <c r="E63" s="26">
        <v>9.5</v>
      </c>
      <c r="F63" s="29">
        <v>5</v>
      </c>
    </row>
    <row r="64" spans="1:6">
      <c r="A64" s="1" t="s">
        <v>855</v>
      </c>
      <c r="B64" s="2">
        <v>16</v>
      </c>
      <c r="C64" s="2" t="s">
        <v>7</v>
      </c>
      <c r="D64" s="2">
        <v>1.7</v>
      </c>
      <c r="E64" s="26">
        <v>9.1999999999999993</v>
      </c>
      <c r="F64" s="29">
        <v>5</v>
      </c>
    </row>
    <row r="65" spans="1:6">
      <c r="A65" s="1" t="s">
        <v>856</v>
      </c>
      <c r="B65" s="2">
        <v>15</v>
      </c>
      <c r="C65" s="2" t="s">
        <v>7</v>
      </c>
      <c r="D65" s="2">
        <v>1.6</v>
      </c>
      <c r="E65" s="26">
        <v>9.3000000000000007</v>
      </c>
      <c r="F65" s="29">
        <v>5</v>
      </c>
    </row>
    <row r="66" spans="1:6">
      <c r="A66" s="1" t="s">
        <v>857</v>
      </c>
      <c r="B66" s="2">
        <v>18</v>
      </c>
      <c r="C66" s="2" t="s">
        <v>7</v>
      </c>
      <c r="D66" s="2">
        <v>1.2</v>
      </c>
      <c r="E66" s="26">
        <v>7.8</v>
      </c>
      <c r="F66" s="29">
        <v>5</v>
      </c>
    </row>
    <row r="67" spans="1:6">
      <c r="A67" s="1" t="s">
        <v>858</v>
      </c>
      <c r="B67" s="2">
        <v>18</v>
      </c>
      <c r="C67" s="2" t="s">
        <v>7</v>
      </c>
      <c r="D67" s="2">
        <v>1.7</v>
      </c>
      <c r="E67" s="26">
        <v>9.6999999999999993</v>
      </c>
      <c r="F67" s="29">
        <v>5</v>
      </c>
    </row>
    <row r="68" spans="1:6">
      <c r="A68" s="1" t="s">
        <v>859</v>
      </c>
      <c r="B68" s="2">
        <v>16</v>
      </c>
      <c r="C68" s="2" t="s">
        <v>7</v>
      </c>
      <c r="D68" s="2">
        <v>1.7</v>
      </c>
      <c r="E68" s="26">
        <v>7.6</v>
      </c>
      <c r="F68" s="29">
        <v>5</v>
      </c>
    </row>
    <row r="69" spans="1:6">
      <c r="A69" s="1" t="s">
        <v>860</v>
      </c>
      <c r="B69" s="2">
        <v>16</v>
      </c>
      <c r="C69" s="2" t="s">
        <v>7</v>
      </c>
      <c r="D69" s="2">
        <v>1.8</v>
      </c>
      <c r="E69" s="26">
        <v>9.6999999999999993</v>
      </c>
      <c r="F69" s="29">
        <v>5</v>
      </c>
    </row>
    <row r="70" spans="1:6">
      <c r="A70" s="1" t="s">
        <v>861</v>
      </c>
      <c r="B70" s="2">
        <v>16</v>
      </c>
      <c r="C70" s="2" t="s">
        <v>7</v>
      </c>
      <c r="D70" s="2">
        <v>1.7</v>
      </c>
      <c r="E70" s="26">
        <v>9.1999999999999993</v>
      </c>
      <c r="F70" s="29">
        <v>5</v>
      </c>
    </row>
    <row r="71" spans="1:6">
      <c r="A71" s="1" t="s">
        <v>862</v>
      </c>
      <c r="B71" s="2">
        <v>16</v>
      </c>
      <c r="C71" s="2" t="s">
        <v>7</v>
      </c>
      <c r="D71" s="2">
        <v>1.9</v>
      </c>
      <c r="E71" s="26">
        <v>7.6</v>
      </c>
      <c r="F71" s="29">
        <v>4</v>
      </c>
    </row>
    <row r="72" spans="1:6">
      <c r="A72" s="1" t="s">
        <v>863</v>
      </c>
      <c r="B72" s="2">
        <v>16</v>
      </c>
      <c r="C72" s="2" t="s">
        <v>7</v>
      </c>
      <c r="D72" s="2">
        <v>1.4</v>
      </c>
      <c r="E72" s="26">
        <v>8.8000000000000007</v>
      </c>
      <c r="F72" s="29">
        <v>5</v>
      </c>
    </row>
    <row r="73" spans="1:6">
      <c r="A73" s="1" t="s">
        <v>864</v>
      </c>
      <c r="B73" s="2">
        <v>16</v>
      </c>
      <c r="C73" s="2" t="s">
        <v>7</v>
      </c>
      <c r="D73" s="2">
        <v>1.3</v>
      </c>
      <c r="E73" s="26">
        <v>10.3</v>
      </c>
      <c r="F73" s="29">
        <v>5</v>
      </c>
    </row>
    <row r="74" spans="1:6">
      <c r="A74" s="1" t="s">
        <v>865</v>
      </c>
      <c r="B74" s="2">
        <v>17</v>
      </c>
      <c r="C74" s="2" t="s">
        <v>7</v>
      </c>
      <c r="D74" s="2">
        <v>1.5</v>
      </c>
      <c r="E74" s="26">
        <v>9.3000000000000007</v>
      </c>
      <c r="F74" s="29">
        <v>5</v>
      </c>
    </row>
    <row r="75" spans="1:6">
      <c r="A75" s="1" t="s">
        <v>866</v>
      </c>
      <c r="B75" s="2">
        <v>15</v>
      </c>
      <c r="C75" s="2" t="s">
        <v>7</v>
      </c>
      <c r="D75" s="2">
        <v>1.4</v>
      </c>
      <c r="E75" s="26">
        <v>9.5</v>
      </c>
      <c r="F75" s="29">
        <v>5</v>
      </c>
    </row>
    <row r="76" spans="1:6" ht="15" thickBot="1">
      <c r="A76" s="1" t="s">
        <v>867</v>
      </c>
      <c r="B76" s="2">
        <v>15</v>
      </c>
      <c r="C76" s="2" t="s">
        <v>7</v>
      </c>
      <c r="D76" s="2">
        <v>1.5</v>
      </c>
      <c r="E76" s="26">
        <v>7.8</v>
      </c>
      <c r="F76" s="30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BE667-5CC3-408C-99C2-E81AA5C63730}">
  <dimension ref="A1:N75"/>
  <sheetViews>
    <sheetView workbookViewId="0">
      <pane ySplit="2" topLeftCell="A6" activePane="bottomLeft" state="frozen"/>
      <selection pane="bottomLeft" activeCell="L66" sqref="L66"/>
    </sheetView>
  </sheetViews>
  <sheetFormatPr defaultRowHeight="14.45"/>
  <cols>
    <col min="3" max="3" width="12.140625" customWidth="1"/>
    <col min="4" max="4" width="14.28515625" customWidth="1"/>
    <col min="5" max="5" width="14.85546875" customWidth="1"/>
    <col min="6" max="6" width="17" customWidth="1"/>
    <col min="7" max="7" width="13.7109375" customWidth="1"/>
    <col min="8" max="8" width="10.7109375" customWidth="1"/>
    <col min="9" max="10" width="11.28515625" bestFit="1" customWidth="1"/>
    <col min="11" max="11" width="13.140625" bestFit="1" customWidth="1"/>
    <col min="12" max="12" width="13.7109375" bestFit="1" customWidth="1"/>
    <col min="13" max="13" width="13.28515625" customWidth="1"/>
  </cols>
  <sheetData>
    <row r="1" spans="1:14" ht="15" thickBot="1">
      <c r="F1" t="s">
        <v>639</v>
      </c>
      <c r="G1" s="9">
        <v>46135</v>
      </c>
    </row>
    <row r="2" spans="1:14">
      <c r="A2" s="3" t="s">
        <v>1</v>
      </c>
      <c r="B2" s="3" t="s">
        <v>641</v>
      </c>
      <c r="C2" s="3" t="s">
        <v>3</v>
      </c>
      <c r="D2" s="3" t="s">
        <v>4</v>
      </c>
      <c r="E2" s="3" t="s">
        <v>5</v>
      </c>
      <c r="F2" s="61" t="s">
        <v>640</v>
      </c>
      <c r="G2" s="6"/>
      <c r="H2" s="13"/>
      <c r="I2" s="16" t="s">
        <v>641</v>
      </c>
      <c r="J2" s="16" t="s">
        <v>3</v>
      </c>
      <c r="K2" s="16" t="s">
        <v>4</v>
      </c>
      <c r="L2" s="33" t="s">
        <v>5</v>
      </c>
      <c r="M2" s="62" t="s">
        <v>640</v>
      </c>
      <c r="N2" s="14"/>
    </row>
    <row r="3" spans="1:14">
      <c r="A3" s="1" t="s">
        <v>868</v>
      </c>
      <c r="B3" s="2">
        <v>17</v>
      </c>
      <c r="C3" s="2" t="s">
        <v>7</v>
      </c>
      <c r="D3" s="2">
        <v>1.3</v>
      </c>
      <c r="E3" s="2">
        <v>7.2</v>
      </c>
      <c r="F3" s="7">
        <v>5</v>
      </c>
      <c r="H3" s="13" t="s">
        <v>643</v>
      </c>
      <c r="I3" s="20">
        <v>91.3</v>
      </c>
      <c r="J3" s="17">
        <v>100</v>
      </c>
      <c r="K3" s="20">
        <v>82.6</v>
      </c>
      <c r="L3" s="34">
        <v>39.1</v>
      </c>
      <c r="M3" s="41">
        <f>AVERAGE(F3:F25)*20</f>
        <v>99.130434782608688</v>
      </c>
      <c r="N3" s="40">
        <f>SUM(I3:M3)/5</f>
        <v>82.426086956521743</v>
      </c>
    </row>
    <row r="4" spans="1:14">
      <c r="A4" s="1" t="s">
        <v>869</v>
      </c>
      <c r="B4" s="2">
        <v>17</v>
      </c>
      <c r="C4" s="2" t="s">
        <v>7</v>
      </c>
      <c r="D4" s="2">
        <v>1.3</v>
      </c>
      <c r="E4" s="2">
        <v>7.7</v>
      </c>
      <c r="F4" s="7">
        <v>5</v>
      </c>
      <c r="H4" s="13" t="s">
        <v>645</v>
      </c>
      <c r="I4" s="20">
        <v>78.599999999999994</v>
      </c>
      <c r="J4" s="17">
        <v>100</v>
      </c>
      <c r="K4" s="20">
        <v>92.9</v>
      </c>
      <c r="L4" s="35">
        <v>100</v>
      </c>
      <c r="M4" s="41">
        <f>AVERAGE(F27:F40)*20</f>
        <v>97.142857142857139</v>
      </c>
      <c r="N4" s="40">
        <f>SUM(I4:M4)/5</f>
        <v>93.728571428571428</v>
      </c>
    </row>
    <row r="5" spans="1:14">
      <c r="A5" s="1" t="s">
        <v>870</v>
      </c>
      <c r="B5" s="2">
        <v>16</v>
      </c>
      <c r="C5" s="2" t="s">
        <v>7</v>
      </c>
      <c r="D5" s="2">
        <v>0.9</v>
      </c>
      <c r="E5" s="2">
        <v>6.3</v>
      </c>
      <c r="F5" s="7">
        <v>5</v>
      </c>
      <c r="H5" s="13" t="s">
        <v>647</v>
      </c>
      <c r="I5" s="20">
        <v>50</v>
      </c>
      <c r="J5" s="17">
        <v>100</v>
      </c>
      <c r="K5" s="20">
        <v>50</v>
      </c>
      <c r="L5" s="35">
        <v>100</v>
      </c>
      <c r="M5" s="42">
        <f>AVERAGE(F42:F43)*20</f>
        <v>100</v>
      </c>
      <c r="N5" s="40">
        <f t="shared" ref="N5:N8" si="0">SUM(I5:M5)/5</f>
        <v>80</v>
      </c>
    </row>
    <row r="6" spans="1:14">
      <c r="A6" s="1" t="s">
        <v>871</v>
      </c>
      <c r="B6" s="2">
        <v>16</v>
      </c>
      <c r="C6" s="2" t="s">
        <v>7</v>
      </c>
      <c r="D6" s="2">
        <v>1.5</v>
      </c>
      <c r="E6" s="2">
        <v>7.2</v>
      </c>
      <c r="F6" s="7">
        <v>5</v>
      </c>
      <c r="H6" s="13" t="s">
        <v>649</v>
      </c>
      <c r="I6" s="20">
        <v>80</v>
      </c>
      <c r="J6" s="17">
        <v>100</v>
      </c>
      <c r="K6" s="20">
        <v>80</v>
      </c>
      <c r="L6" s="35">
        <v>20</v>
      </c>
      <c r="M6" s="42">
        <f>AVERAGE(F45:F49)*20</f>
        <v>80</v>
      </c>
      <c r="N6" s="40">
        <f t="shared" si="0"/>
        <v>72</v>
      </c>
    </row>
    <row r="7" spans="1:14">
      <c r="A7" s="1" t="s">
        <v>872</v>
      </c>
      <c r="B7" s="2">
        <v>17</v>
      </c>
      <c r="C7" s="2" t="s">
        <v>7</v>
      </c>
      <c r="D7" s="2">
        <v>1.7</v>
      </c>
      <c r="E7" s="2">
        <v>6.4</v>
      </c>
      <c r="F7" s="7">
        <v>5</v>
      </c>
      <c r="H7" s="13" t="s">
        <v>651</v>
      </c>
      <c r="I7" s="20">
        <v>91.7</v>
      </c>
      <c r="J7" s="17">
        <v>100</v>
      </c>
      <c r="K7" s="20">
        <v>66.7</v>
      </c>
      <c r="L7" s="34">
        <v>8.3000000000000007</v>
      </c>
      <c r="M7" s="41">
        <f>AVERAGE(F51:F62)*20</f>
        <v>93.333333333333343</v>
      </c>
      <c r="N7" s="40">
        <f t="shared" si="0"/>
        <v>72.006666666666661</v>
      </c>
    </row>
    <row r="8" spans="1:14">
      <c r="A8" s="1" t="s">
        <v>873</v>
      </c>
      <c r="B8" s="2">
        <v>14</v>
      </c>
      <c r="C8" s="2" t="s">
        <v>7</v>
      </c>
      <c r="D8" s="2">
        <v>1.5</v>
      </c>
      <c r="E8" s="2">
        <v>8</v>
      </c>
      <c r="F8" s="7">
        <v>5</v>
      </c>
      <c r="H8" s="13" t="s">
        <v>653</v>
      </c>
      <c r="I8" s="20">
        <v>66.7</v>
      </c>
      <c r="J8" s="17">
        <v>100</v>
      </c>
      <c r="K8" s="20">
        <v>83.8</v>
      </c>
      <c r="L8" s="34">
        <v>100</v>
      </c>
      <c r="M8" s="41">
        <f>AVERAGE(F64:F75)*20</f>
        <v>98.333333333333343</v>
      </c>
      <c r="N8" s="40">
        <f t="shared" si="0"/>
        <v>89.76666666666668</v>
      </c>
    </row>
    <row r="9" spans="1:14">
      <c r="A9" s="1" t="s">
        <v>874</v>
      </c>
      <c r="B9" s="2">
        <v>17</v>
      </c>
      <c r="C9" s="2" t="s">
        <v>7</v>
      </c>
      <c r="D9" s="2">
        <v>2</v>
      </c>
      <c r="E9" s="2">
        <v>7.5</v>
      </c>
      <c r="F9" s="7">
        <v>5</v>
      </c>
      <c r="H9" s="13"/>
      <c r="I9" s="17"/>
      <c r="J9" s="17"/>
      <c r="K9" s="17"/>
      <c r="L9" s="36"/>
      <c r="M9" s="17"/>
      <c r="N9" s="14"/>
    </row>
    <row r="10" spans="1:14" ht="15" thickBot="1">
      <c r="A10" s="1" t="s">
        <v>875</v>
      </c>
      <c r="B10" s="2">
        <v>16</v>
      </c>
      <c r="C10" s="2" t="s">
        <v>7</v>
      </c>
      <c r="D10" s="2">
        <v>1.3</v>
      </c>
      <c r="E10" s="2">
        <v>7.2</v>
      </c>
      <c r="F10" s="7">
        <v>5</v>
      </c>
      <c r="H10" s="13"/>
      <c r="I10" s="18" t="s">
        <v>656</v>
      </c>
      <c r="J10" s="18" t="s">
        <v>657</v>
      </c>
      <c r="K10" s="18" t="s">
        <v>658</v>
      </c>
      <c r="L10" s="37" t="s">
        <v>659</v>
      </c>
      <c r="M10" s="18"/>
      <c r="N10" s="14"/>
    </row>
    <row r="11" spans="1:14">
      <c r="A11" s="1" t="s">
        <v>876</v>
      </c>
      <c r="B11" s="2">
        <v>14</v>
      </c>
      <c r="C11" s="2" t="s">
        <v>7</v>
      </c>
      <c r="D11" s="2">
        <v>1.3</v>
      </c>
      <c r="E11" s="2">
        <v>7.6</v>
      </c>
      <c r="F11" s="7">
        <v>5</v>
      </c>
    </row>
    <row r="12" spans="1:14">
      <c r="A12" s="1" t="s">
        <v>877</v>
      </c>
      <c r="B12" s="2">
        <v>16</v>
      </c>
      <c r="C12" s="2" t="s">
        <v>7</v>
      </c>
      <c r="D12" s="2">
        <v>1.3</v>
      </c>
      <c r="E12" s="2">
        <v>6.8</v>
      </c>
      <c r="F12" s="7">
        <v>5</v>
      </c>
    </row>
    <row r="13" spans="1:14">
      <c r="A13" s="1" t="s">
        <v>878</v>
      </c>
      <c r="B13" s="2">
        <v>16</v>
      </c>
      <c r="C13" s="2" t="s">
        <v>7</v>
      </c>
      <c r="D13" s="2">
        <v>1.6</v>
      </c>
      <c r="E13" s="2">
        <v>6.4</v>
      </c>
      <c r="F13" s="7">
        <v>5</v>
      </c>
    </row>
    <row r="14" spans="1:14">
      <c r="A14" s="1" t="s">
        <v>879</v>
      </c>
      <c r="B14" s="2">
        <v>18</v>
      </c>
      <c r="C14" s="2" t="s">
        <v>7</v>
      </c>
      <c r="D14" s="2">
        <v>0.9</v>
      </c>
      <c r="E14" s="2">
        <v>7.3</v>
      </c>
      <c r="F14" s="7">
        <v>5</v>
      </c>
    </row>
    <row r="15" spans="1:14">
      <c r="A15" s="1" t="s">
        <v>880</v>
      </c>
      <c r="B15" s="2">
        <v>16</v>
      </c>
      <c r="C15" s="2" t="s">
        <v>7</v>
      </c>
      <c r="D15" s="2">
        <v>0.9</v>
      </c>
      <c r="E15" s="2">
        <v>7.3</v>
      </c>
      <c r="F15" s="7">
        <v>5</v>
      </c>
    </row>
    <row r="16" spans="1:14">
      <c r="A16" s="1" t="s">
        <v>881</v>
      </c>
      <c r="B16" s="2">
        <v>16</v>
      </c>
      <c r="C16" s="2" t="s">
        <v>7</v>
      </c>
      <c r="D16" s="2">
        <v>2</v>
      </c>
      <c r="E16" s="2">
        <v>6.2</v>
      </c>
      <c r="F16" s="7">
        <v>5</v>
      </c>
    </row>
    <row r="17" spans="1:6">
      <c r="A17" s="1" t="s">
        <v>882</v>
      </c>
      <c r="B17" s="2">
        <v>16</v>
      </c>
      <c r="C17" s="2" t="s">
        <v>7</v>
      </c>
      <c r="D17" s="2">
        <v>1.2</v>
      </c>
      <c r="E17" s="2">
        <v>6.2</v>
      </c>
      <c r="F17" s="7">
        <v>5</v>
      </c>
    </row>
    <row r="18" spans="1:6">
      <c r="A18" s="1" t="s">
        <v>883</v>
      </c>
      <c r="B18" s="2">
        <v>16</v>
      </c>
      <c r="C18" s="2" t="s">
        <v>7</v>
      </c>
      <c r="D18" s="24">
        <v>1.5</v>
      </c>
      <c r="E18" s="24">
        <v>5.5</v>
      </c>
      <c r="F18" s="7">
        <v>5</v>
      </c>
    </row>
    <row r="19" spans="1:6">
      <c r="A19" s="1" t="s">
        <v>884</v>
      </c>
      <c r="B19" s="2">
        <v>16</v>
      </c>
      <c r="C19" s="2" t="s">
        <v>7</v>
      </c>
      <c r="D19" s="2">
        <v>1.2</v>
      </c>
      <c r="E19" s="2">
        <v>5.6</v>
      </c>
      <c r="F19" s="7">
        <v>5</v>
      </c>
    </row>
    <row r="20" spans="1:6">
      <c r="A20" s="1" t="s">
        <v>885</v>
      </c>
      <c r="B20" s="2">
        <v>18</v>
      </c>
      <c r="C20" s="2" t="s">
        <v>7</v>
      </c>
      <c r="D20" s="2">
        <v>1.6</v>
      </c>
      <c r="E20" s="2">
        <v>6.1</v>
      </c>
      <c r="F20" s="7">
        <v>5</v>
      </c>
    </row>
    <row r="21" spans="1:6">
      <c r="A21" s="1" t="s">
        <v>886</v>
      </c>
      <c r="B21" s="2">
        <v>17</v>
      </c>
      <c r="C21" s="2" t="s">
        <v>7</v>
      </c>
      <c r="D21" s="2">
        <v>1.3</v>
      </c>
      <c r="E21" s="2">
        <v>5.2</v>
      </c>
      <c r="F21" s="7">
        <v>4</v>
      </c>
    </row>
    <row r="22" spans="1:6">
      <c r="A22" s="1" t="s">
        <v>887</v>
      </c>
      <c r="B22" s="2">
        <v>17</v>
      </c>
      <c r="C22" s="2" t="s">
        <v>7</v>
      </c>
      <c r="D22" s="2">
        <v>1.5</v>
      </c>
      <c r="E22" s="2">
        <v>5.6</v>
      </c>
      <c r="F22" s="7">
        <v>5</v>
      </c>
    </row>
    <row r="23" spans="1:6">
      <c r="A23" s="1" t="s">
        <v>888</v>
      </c>
      <c r="B23" s="2">
        <v>18</v>
      </c>
      <c r="C23" s="2" t="s">
        <v>7</v>
      </c>
      <c r="D23" s="2">
        <v>1.8</v>
      </c>
      <c r="E23" s="2">
        <v>5.6</v>
      </c>
      <c r="F23" s="7">
        <v>5</v>
      </c>
    </row>
    <row r="24" spans="1:6">
      <c r="A24" s="1" t="s">
        <v>889</v>
      </c>
      <c r="B24" s="2">
        <v>16</v>
      </c>
      <c r="C24" s="2" t="s">
        <v>7</v>
      </c>
      <c r="D24" s="2">
        <v>1.4</v>
      </c>
      <c r="E24" s="2">
        <v>5.8</v>
      </c>
      <c r="F24" s="7">
        <v>5</v>
      </c>
    </row>
    <row r="25" spans="1:6">
      <c r="A25" s="1" t="s">
        <v>890</v>
      </c>
      <c r="B25" s="2">
        <v>16</v>
      </c>
      <c r="C25" s="2" t="s">
        <v>7</v>
      </c>
      <c r="D25" s="2">
        <v>0.8</v>
      </c>
      <c r="E25" s="2">
        <v>5.6</v>
      </c>
      <c r="F25" s="7">
        <v>5</v>
      </c>
    </row>
    <row r="26" spans="1:6">
      <c r="A26" s="1"/>
      <c r="B26" s="1"/>
      <c r="C26" s="1"/>
      <c r="D26" s="1"/>
      <c r="E26" s="1"/>
      <c r="F26" s="7"/>
    </row>
    <row r="27" spans="1:6">
      <c r="A27" s="1" t="s">
        <v>891</v>
      </c>
      <c r="B27" s="2">
        <v>15</v>
      </c>
      <c r="C27" s="2" t="s">
        <v>7</v>
      </c>
      <c r="D27" s="2">
        <v>2</v>
      </c>
      <c r="E27" s="2">
        <v>8.6999999999999993</v>
      </c>
      <c r="F27" s="7">
        <v>5</v>
      </c>
    </row>
    <row r="28" spans="1:6">
      <c r="A28" s="1" t="s">
        <v>892</v>
      </c>
      <c r="B28" s="2">
        <v>17</v>
      </c>
      <c r="C28" s="2" t="s">
        <v>7</v>
      </c>
      <c r="D28" s="2">
        <v>1</v>
      </c>
      <c r="E28" s="2">
        <v>8.1999999999999993</v>
      </c>
      <c r="F28" s="7">
        <v>5</v>
      </c>
    </row>
    <row r="29" spans="1:6">
      <c r="A29" s="1" t="s">
        <v>893</v>
      </c>
      <c r="B29" s="2">
        <v>16</v>
      </c>
      <c r="C29" s="2" t="s">
        <v>7</v>
      </c>
      <c r="D29" s="2">
        <v>1.3</v>
      </c>
      <c r="E29" s="2">
        <v>8.1</v>
      </c>
      <c r="F29" s="7">
        <v>3</v>
      </c>
    </row>
    <row r="30" spans="1:6">
      <c r="A30" s="1" t="s">
        <v>894</v>
      </c>
      <c r="B30" s="2">
        <v>14</v>
      </c>
      <c r="C30" s="2" t="s">
        <v>7</v>
      </c>
      <c r="D30" s="2">
        <v>1.4</v>
      </c>
      <c r="E30" s="2">
        <v>8</v>
      </c>
      <c r="F30" s="7">
        <v>5</v>
      </c>
    </row>
    <row r="31" spans="1:6">
      <c r="A31" s="1" t="s">
        <v>895</v>
      </c>
      <c r="B31" s="2">
        <v>16</v>
      </c>
      <c r="C31" s="2" t="s">
        <v>7</v>
      </c>
      <c r="D31" s="2">
        <v>2</v>
      </c>
      <c r="E31" s="2">
        <v>8</v>
      </c>
      <c r="F31" s="7">
        <v>5</v>
      </c>
    </row>
    <row r="32" spans="1:6">
      <c r="A32" s="1" t="s">
        <v>896</v>
      </c>
      <c r="B32" s="2">
        <v>16</v>
      </c>
      <c r="C32" s="2" t="s">
        <v>7</v>
      </c>
      <c r="D32" s="2">
        <v>1.3</v>
      </c>
      <c r="E32" s="2">
        <v>7.7</v>
      </c>
      <c r="F32" s="7">
        <v>5</v>
      </c>
    </row>
    <row r="33" spans="1:6">
      <c r="A33" s="1" t="s">
        <v>897</v>
      </c>
      <c r="B33" s="2">
        <v>16</v>
      </c>
      <c r="C33" s="2" t="s">
        <v>7</v>
      </c>
      <c r="D33" s="2">
        <v>1.3</v>
      </c>
      <c r="E33" s="2">
        <v>7.1</v>
      </c>
      <c r="F33" s="7">
        <v>5</v>
      </c>
    </row>
    <row r="34" spans="1:6">
      <c r="A34" s="1" t="s">
        <v>898</v>
      </c>
      <c r="B34" s="2">
        <v>17</v>
      </c>
      <c r="C34" s="2" t="s">
        <v>7</v>
      </c>
      <c r="D34" s="2">
        <v>2</v>
      </c>
      <c r="E34" s="2">
        <v>9</v>
      </c>
      <c r="F34" s="7">
        <v>5</v>
      </c>
    </row>
    <row r="35" spans="1:6">
      <c r="A35" s="1" t="s">
        <v>899</v>
      </c>
      <c r="B35" s="2">
        <v>15</v>
      </c>
      <c r="C35" s="2" t="s">
        <v>7</v>
      </c>
      <c r="D35" s="2">
        <v>1.5</v>
      </c>
      <c r="E35" s="2">
        <v>7.8</v>
      </c>
      <c r="F35" s="7">
        <v>5</v>
      </c>
    </row>
    <row r="36" spans="1:6">
      <c r="A36" s="1" t="s">
        <v>900</v>
      </c>
      <c r="B36" s="2">
        <v>16</v>
      </c>
      <c r="C36" s="2" t="s">
        <v>7</v>
      </c>
      <c r="D36" s="2">
        <v>1.5</v>
      </c>
      <c r="E36" s="2">
        <v>8.3000000000000007</v>
      </c>
      <c r="F36" s="7">
        <v>5</v>
      </c>
    </row>
    <row r="37" spans="1:6">
      <c r="A37" s="1" t="s">
        <v>901</v>
      </c>
      <c r="B37" s="2">
        <v>16</v>
      </c>
      <c r="C37" s="2" t="s">
        <v>7</v>
      </c>
      <c r="D37" s="2">
        <v>2</v>
      </c>
      <c r="E37" s="2">
        <v>8.1999999999999993</v>
      </c>
      <c r="F37" s="7">
        <v>5</v>
      </c>
    </row>
    <row r="38" spans="1:6">
      <c r="A38" s="1" t="s">
        <v>902</v>
      </c>
      <c r="B38" s="2">
        <v>16</v>
      </c>
      <c r="C38" s="2" t="s">
        <v>7</v>
      </c>
      <c r="D38" s="2">
        <v>2</v>
      </c>
      <c r="E38" s="2">
        <v>8.3000000000000007</v>
      </c>
      <c r="F38" s="7">
        <v>5</v>
      </c>
    </row>
    <row r="39" spans="1:6">
      <c r="A39" s="1" t="s">
        <v>903</v>
      </c>
      <c r="B39" s="2">
        <v>17</v>
      </c>
      <c r="C39" s="2" t="s">
        <v>7</v>
      </c>
      <c r="D39" s="2">
        <v>1.2</v>
      </c>
      <c r="E39" s="2">
        <v>7.6</v>
      </c>
      <c r="F39" s="7">
        <v>5</v>
      </c>
    </row>
    <row r="40" spans="1:6">
      <c r="A40" s="1" t="s">
        <v>904</v>
      </c>
      <c r="B40" s="2">
        <v>16</v>
      </c>
      <c r="C40" s="2" t="s">
        <v>7</v>
      </c>
      <c r="D40" s="2">
        <v>1.2</v>
      </c>
      <c r="E40" s="2">
        <v>8.6</v>
      </c>
      <c r="F40" s="7">
        <v>5</v>
      </c>
    </row>
    <row r="41" spans="1:6">
      <c r="A41" s="1"/>
      <c r="B41" s="1"/>
      <c r="C41" s="1"/>
      <c r="D41" s="1"/>
      <c r="E41" s="2"/>
      <c r="F41" s="7"/>
    </row>
    <row r="42" spans="1:6">
      <c r="A42" s="1" t="s">
        <v>905</v>
      </c>
      <c r="B42" s="2">
        <v>14</v>
      </c>
      <c r="C42" s="2" t="s">
        <v>7</v>
      </c>
      <c r="D42" s="2">
        <v>1</v>
      </c>
      <c r="E42" s="2">
        <v>7.3</v>
      </c>
      <c r="F42" s="7">
        <v>5</v>
      </c>
    </row>
    <row r="43" spans="1:6">
      <c r="A43" s="1" t="s">
        <v>906</v>
      </c>
      <c r="B43" s="2">
        <v>16</v>
      </c>
      <c r="C43" s="2" t="s">
        <v>7</v>
      </c>
      <c r="D43" s="2">
        <v>1.9</v>
      </c>
      <c r="E43" s="2">
        <v>7.6</v>
      </c>
      <c r="F43" s="7">
        <v>5</v>
      </c>
    </row>
    <row r="44" spans="1:6">
      <c r="A44" s="1"/>
      <c r="B44" s="1"/>
      <c r="C44" s="1"/>
      <c r="D44" s="1"/>
      <c r="E44" s="1"/>
      <c r="F44" s="7"/>
    </row>
    <row r="45" spans="1:6">
      <c r="A45" s="1" t="s">
        <v>907</v>
      </c>
      <c r="B45" s="2">
        <v>17</v>
      </c>
      <c r="C45" s="2" t="s">
        <v>7</v>
      </c>
      <c r="D45" s="2">
        <v>1.7</v>
      </c>
      <c r="E45" s="2">
        <v>5.8</v>
      </c>
      <c r="F45" s="7">
        <v>3</v>
      </c>
    </row>
    <row r="46" spans="1:6">
      <c r="A46" s="1" t="s">
        <v>908</v>
      </c>
      <c r="B46" s="2">
        <v>16</v>
      </c>
      <c r="C46" s="2" t="s">
        <v>7</v>
      </c>
      <c r="D46" s="2">
        <v>2</v>
      </c>
      <c r="E46" s="2">
        <v>7.1</v>
      </c>
      <c r="F46" s="7">
        <v>5</v>
      </c>
    </row>
    <row r="47" spans="1:6">
      <c r="A47" s="1" t="s">
        <v>909</v>
      </c>
      <c r="B47" s="2">
        <v>14</v>
      </c>
      <c r="C47" s="2" t="s">
        <v>7</v>
      </c>
      <c r="D47" s="2">
        <v>1.5</v>
      </c>
      <c r="E47" s="2">
        <v>6.5</v>
      </c>
      <c r="F47" s="7">
        <v>4</v>
      </c>
    </row>
    <row r="48" spans="1:6">
      <c r="A48" s="1" t="s">
        <v>910</v>
      </c>
      <c r="B48" s="2">
        <v>16</v>
      </c>
      <c r="C48" s="2" t="s">
        <v>7</v>
      </c>
      <c r="D48" s="2">
        <v>0.9</v>
      </c>
      <c r="E48" s="2">
        <v>6.3</v>
      </c>
      <c r="F48" s="7">
        <v>4</v>
      </c>
    </row>
    <row r="49" spans="1:6">
      <c r="A49" s="1" t="s">
        <v>911</v>
      </c>
      <c r="B49" s="2">
        <v>17</v>
      </c>
      <c r="C49" s="2" t="s">
        <v>7</v>
      </c>
      <c r="D49" s="2">
        <v>1.6</v>
      </c>
      <c r="E49" s="2">
        <v>6.7</v>
      </c>
      <c r="F49" s="7">
        <v>4</v>
      </c>
    </row>
    <row r="50" spans="1:6">
      <c r="A50" s="1"/>
      <c r="B50" s="1"/>
      <c r="C50" s="1"/>
      <c r="D50" s="1"/>
      <c r="E50" s="1"/>
      <c r="F50" s="7"/>
    </row>
    <row r="51" spans="1:6">
      <c r="A51" s="1" t="s">
        <v>912</v>
      </c>
      <c r="B51" s="2">
        <v>16</v>
      </c>
      <c r="C51" s="2" t="s">
        <v>7</v>
      </c>
      <c r="D51" s="2">
        <v>1.5</v>
      </c>
      <c r="E51" s="2">
        <v>7</v>
      </c>
      <c r="F51" s="7">
        <v>5</v>
      </c>
    </row>
    <row r="52" spans="1:6">
      <c r="A52" s="1" t="s">
        <v>913</v>
      </c>
      <c r="B52" s="2">
        <v>16</v>
      </c>
      <c r="C52" s="2" t="s">
        <v>7</v>
      </c>
      <c r="D52" s="2">
        <v>1.2</v>
      </c>
      <c r="E52" s="2">
        <v>6.8</v>
      </c>
      <c r="F52" s="7">
        <v>5</v>
      </c>
    </row>
    <row r="53" spans="1:6">
      <c r="A53" s="1" t="s">
        <v>914</v>
      </c>
      <c r="B53" s="2">
        <v>18</v>
      </c>
      <c r="C53" s="2" t="s">
        <v>7</v>
      </c>
      <c r="D53" s="2">
        <v>1.1000000000000001</v>
      </c>
      <c r="E53" s="2">
        <v>6.8</v>
      </c>
      <c r="F53" s="7">
        <v>5</v>
      </c>
    </row>
    <row r="54" spans="1:6">
      <c r="A54" s="1" t="s">
        <v>915</v>
      </c>
      <c r="B54" s="2">
        <v>16</v>
      </c>
      <c r="C54" s="2" t="s">
        <v>7</v>
      </c>
      <c r="D54" s="2">
        <v>1.2</v>
      </c>
      <c r="E54" s="2">
        <v>6.5</v>
      </c>
      <c r="F54" s="7">
        <v>5</v>
      </c>
    </row>
    <row r="55" spans="1:6">
      <c r="A55" s="1" t="s">
        <v>916</v>
      </c>
      <c r="B55" s="2">
        <v>16</v>
      </c>
      <c r="C55" s="2" t="s">
        <v>7</v>
      </c>
      <c r="D55" s="2">
        <v>1</v>
      </c>
      <c r="E55" s="2">
        <v>6.1</v>
      </c>
      <c r="F55" s="7">
        <v>5</v>
      </c>
    </row>
    <row r="56" spans="1:6">
      <c r="A56" s="1" t="s">
        <v>917</v>
      </c>
      <c r="B56" s="2">
        <v>17</v>
      </c>
      <c r="C56" s="2" t="s">
        <v>7</v>
      </c>
      <c r="D56" s="2">
        <v>1</v>
      </c>
      <c r="E56" s="2">
        <v>6.6</v>
      </c>
      <c r="F56" s="7">
        <v>5</v>
      </c>
    </row>
    <row r="57" spans="1:6">
      <c r="A57" s="1" t="s">
        <v>918</v>
      </c>
      <c r="B57" s="2">
        <v>17</v>
      </c>
      <c r="C57" s="2" t="s">
        <v>7</v>
      </c>
      <c r="D57" s="2">
        <v>1.9</v>
      </c>
      <c r="E57" s="2">
        <v>6.7</v>
      </c>
      <c r="F57" s="7">
        <v>5</v>
      </c>
    </row>
    <row r="58" spans="1:6">
      <c r="A58" s="1" t="s">
        <v>919</v>
      </c>
      <c r="B58" s="2">
        <v>14</v>
      </c>
      <c r="C58" s="2" t="s">
        <v>7</v>
      </c>
      <c r="D58" s="2">
        <v>1.7</v>
      </c>
      <c r="E58" s="2">
        <v>6.4</v>
      </c>
      <c r="F58" s="7">
        <v>1</v>
      </c>
    </row>
    <row r="59" spans="1:6">
      <c r="A59" s="1" t="s">
        <v>920</v>
      </c>
      <c r="B59" s="2">
        <v>16</v>
      </c>
      <c r="C59" s="2" t="s">
        <v>7</v>
      </c>
      <c r="D59" s="2">
        <v>1.1000000000000001</v>
      </c>
      <c r="E59" s="2">
        <v>5.6</v>
      </c>
      <c r="F59" s="7">
        <v>5</v>
      </c>
    </row>
    <row r="60" spans="1:6">
      <c r="A60" s="1" t="s">
        <v>921</v>
      </c>
      <c r="B60" s="2">
        <v>16</v>
      </c>
      <c r="C60" s="2" t="s">
        <v>7</v>
      </c>
      <c r="D60" s="2">
        <v>1.2</v>
      </c>
      <c r="E60" s="2">
        <v>6.1</v>
      </c>
      <c r="F60" s="7">
        <v>5</v>
      </c>
    </row>
    <row r="61" spans="1:6">
      <c r="A61" s="1" t="s">
        <v>922</v>
      </c>
      <c r="B61" s="2">
        <v>16</v>
      </c>
      <c r="C61" s="2" t="s">
        <v>7</v>
      </c>
      <c r="D61" s="2">
        <v>1.3</v>
      </c>
      <c r="E61" s="2">
        <v>6.9</v>
      </c>
      <c r="F61" s="7">
        <v>5</v>
      </c>
    </row>
    <row r="62" spans="1:6">
      <c r="A62" s="1" t="s">
        <v>923</v>
      </c>
      <c r="B62" s="2">
        <v>16</v>
      </c>
      <c r="C62" s="2" t="s">
        <v>7</v>
      </c>
      <c r="D62" s="2">
        <v>2.1</v>
      </c>
      <c r="E62" s="2">
        <v>6.4</v>
      </c>
      <c r="F62" s="7">
        <v>5</v>
      </c>
    </row>
    <row r="63" spans="1:6">
      <c r="A63" s="1"/>
      <c r="B63" s="1"/>
      <c r="C63" s="1"/>
      <c r="D63" s="1"/>
      <c r="E63" s="1"/>
      <c r="F63" s="7"/>
    </row>
    <row r="64" spans="1:6">
      <c r="A64" s="1" t="s">
        <v>924</v>
      </c>
      <c r="B64" s="2">
        <v>16</v>
      </c>
      <c r="C64" s="2" t="s">
        <v>7</v>
      </c>
      <c r="D64" s="2">
        <v>2</v>
      </c>
      <c r="E64" s="2">
        <v>9.9</v>
      </c>
      <c r="F64" s="7">
        <v>5</v>
      </c>
    </row>
    <row r="65" spans="1:6">
      <c r="A65" s="1" t="s">
        <v>925</v>
      </c>
      <c r="B65" s="2">
        <v>14</v>
      </c>
      <c r="C65" s="2" t="s">
        <v>7</v>
      </c>
      <c r="D65" s="2">
        <v>2</v>
      </c>
      <c r="E65" s="2">
        <v>10</v>
      </c>
      <c r="F65" s="7">
        <v>5</v>
      </c>
    </row>
    <row r="66" spans="1:6">
      <c r="A66" s="1" t="s">
        <v>926</v>
      </c>
      <c r="B66" s="2">
        <v>16</v>
      </c>
      <c r="C66" s="2" t="s">
        <v>7</v>
      </c>
      <c r="D66" s="2">
        <v>1.1000000000000001</v>
      </c>
      <c r="E66" s="2">
        <v>7.9</v>
      </c>
      <c r="F66" s="7">
        <v>5</v>
      </c>
    </row>
    <row r="67" spans="1:6">
      <c r="A67" s="1" t="s">
        <v>927</v>
      </c>
      <c r="B67" s="2">
        <v>15</v>
      </c>
      <c r="C67" s="2" t="s">
        <v>7</v>
      </c>
      <c r="D67" s="2">
        <v>1.2</v>
      </c>
      <c r="E67" s="2">
        <v>8.1999999999999993</v>
      </c>
      <c r="F67" s="7">
        <v>5</v>
      </c>
    </row>
    <row r="68" spans="1:6">
      <c r="A68" s="1" t="s">
        <v>928</v>
      </c>
      <c r="B68" s="2">
        <v>14</v>
      </c>
      <c r="C68" s="2" t="s">
        <v>7</v>
      </c>
      <c r="D68" s="2">
        <v>1.2</v>
      </c>
      <c r="E68" s="2">
        <v>7</v>
      </c>
      <c r="F68" s="7">
        <v>4</v>
      </c>
    </row>
    <row r="69" spans="1:6">
      <c r="A69" s="1" t="s">
        <v>929</v>
      </c>
      <c r="B69" s="2">
        <v>16</v>
      </c>
      <c r="C69" s="2" t="s">
        <v>7</v>
      </c>
      <c r="D69" s="2">
        <v>1.3</v>
      </c>
      <c r="E69" s="2">
        <v>8.6</v>
      </c>
      <c r="F69" s="7">
        <v>5</v>
      </c>
    </row>
    <row r="70" spans="1:6">
      <c r="A70" s="1" t="s">
        <v>930</v>
      </c>
      <c r="B70" s="2">
        <v>14</v>
      </c>
      <c r="C70" s="2" t="s">
        <v>7</v>
      </c>
      <c r="D70" s="2">
        <v>1.8</v>
      </c>
      <c r="E70" s="2">
        <v>8.1999999999999993</v>
      </c>
      <c r="F70" s="7">
        <v>5</v>
      </c>
    </row>
    <row r="71" spans="1:6">
      <c r="A71" s="1" t="s">
        <v>931</v>
      </c>
      <c r="B71" s="2">
        <v>16</v>
      </c>
      <c r="C71" s="2" t="s">
        <v>7</v>
      </c>
      <c r="D71" s="2">
        <v>1.2</v>
      </c>
      <c r="E71" s="2">
        <v>8.4</v>
      </c>
      <c r="F71" s="7">
        <v>5</v>
      </c>
    </row>
    <row r="72" spans="1:6">
      <c r="A72" s="1" t="s">
        <v>932</v>
      </c>
      <c r="B72" s="2">
        <v>16</v>
      </c>
      <c r="C72" s="2" t="s">
        <v>7</v>
      </c>
      <c r="D72" s="2">
        <v>1.7</v>
      </c>
      <c r="E72" s="2">
        <v>8.9</v>
      </c>
      <c r="F72" s="7">
        <v>5</v>
      </c>
    </row>
    <row r="73" spans="1:6">
      <c r="A73" s="1" t="s">
        <v>933</v>
      </c>
      <c r="B73" s="2">
        <v>16</v>
      </c>
      <c r="C73" s="2" t="s">
        <v>7</v>
      </c>
      <c r="D73" s="2">
        <v>1.8</v>
      </c>
      <c r="E73" s="2">
        <v>9.1999999999999993</v>
      </c>
      <c r="F73" s="7">
        <v>5</v>
      </c>
    </row>
    <row r="74" spans="1:6">
      <c r="A74" s="1" t="s">
        <v>934</v>
      </c>
      <c r="B74" s="2">
        <v>16</v>
      </c>
      <c r="C74" s="2" t="s">
        <v>7</v>
      </c>
      <c r="D74" s="2">
        <v>1.2</v>
      </c>
      <c r="E74" s="2">
        <v>8</v>
      </c>
      <c r="F74" s="7">
        <v>5</v>
      </c>
    </row>
    <row r="75" spans="1:6">
      <c r="A75" s="1" t="s">
        <v>935</v>
      </c>
      <c r="B75" s="2">
        <v>16</v>
      </c>
      <c r="C75" s="2" t="s">
        <v>7</v>
      </c>
      <c r="D75" s="2">
        <v>1</v>
      </c>
      <c r="E75" s="2">
        <v>8.1999999999999993</v>
      </c>
      <c r="F75" s="7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33C5-EAD7-4285-87C7-42952FC8E46D}">
  <dimension ref="A1:P76"/>
  <sheetViews>
    <sheetView topLeftCell="A4" workbookViewId="0">
      <selection activeCell="H15" sqref="H15:J17"/>
    </sheetView>
  </sheetViews>
  <sheetFormatPr defaultRowHeight="14.45"/>
  <cols>
    <col min="1" max="1" width="15" customWidth="1"/>
    <col min="2" max="2" width="15.28515625" customWidth="1"/>
    <col min="3" max="3" width="16" customWidth="1"/>
    <col min="4" max="4" width="17.7109375" customWidth="1"/>
    <col min="5" max="5" width="16" customWidth="1"/>
    <col min="6" max="6" width="16.85546875" customWidth="1"/>
    <col min="7" max="7" width="8.28515625" bestFit="1" customWidth="1"/>
    <col min="8" max="8" width="10" bestFit="1" customWidth="1"/>
    <col min="9" max="9" width="13" bestFit="1" customWidth="1"/>
    <col min="10" max="10" width="9.28515625" bestFit="1" customWidth="1"/>
    <col min="11" max="11" width="10.85546875" bestFit="1" customWidth="1"/>
    <col min="12" max="12" width="12.28515625" customWidth="1"/>
    <col min="13" max="13" width="11.28515625" customWidth="1"/>
    <col min="14" max="14" width="12" customWidth="1"/>
  </cols>
  <sheetData>
    <row r="1" spans="1:16">
      <c r="F1" t="s">
        <v>639</v>
      </c>
      <c r="G1" s="9" t="s">
        <v>936</v>
      </c>
    </row>
    <row r="2" spans="1:16" ht="15" thickBot="1">
      <c r="A2" s="3" t="s">
        <v>1</v>
      </c>
      <c r="B2" s="3" t="s">
        <v>641</v>
      </c>
      <c r="C2" s="3" t="s">
        <v>3</v>
      </c>
      <c r="D2" s="3" t="s">
        <v>4</v>
      </c>
      <c r="E2" s="3" t="s">
        <v>5</v>
      </c>
      <c r="F2" s="63" t="s">
        <v>640</v>
      </c>
      <c r="I2">
        <v>16</v>
      </c>
      <c r="K2">
        <v>1.2</v>
      </c>
      <c r="L2">
        <v>7</v>
      </c>
    </row>
    <row r="3" spans="1:16">
      <c r="A3" s="2" t="s">
        <v>937</v>
      </c>
      <c r="B3" s="2">
        <v>16</v>
      </c>
      <c r="C3" s="2" t="s">
        <v>7</v>
      </c>
      <c r="D3" s="2">
        <v>0.9</v>
      </c>
      <c r="E3" s="2">
        <v>8.1</v>
      </c>
      <c r="F3" s="45">
        <v>5</v>
      </c>
      <c r="H3" s="13"/>
      <c r="I3" s="16" t="s">
        <v>641</v>
      </c>
      <c r="J3" s="16" t="s">
        <v>3</v>
      </c>
      <c r="K3" s="16" t="s">
        <v>4</v>
      </c>
      <c r="L3" s="16" t="s">
        <v>5</v>
      </c>
      <c r="M3" s="16" t="s">
        <v>640</v>
      </c>
      <c r="N3" s="14"/>
    </row>
    <row r="4" spans="1:16">
      <c r="A4" s="2" t="s">
        <v>938</v>
      </c>
      <c r="B4" s="2">
        <v>16</v>
      </c>
      <c r="C4" s="2" t="s">
        <v>7</v>
      </c>
      <c r="D4" s="2">
        <v>1.7</v>
      </c>
      <c r="E4" s="2">
        <v>10.199999999999999</v>
      </c>
      <c r="F4" s="45">
        <v>5</v>
      </c>
      <c r="H4" s="13" t="s">
        <v>643</v>
      </c>
      <c r="I4" s="20">
        <v>86.2</v>
      </c>
      <c r="J4" s="17">
        <v>86.9</v>
      </c>
      <c r="K4" s="20">
        <v>56.5</v>
      </c>
      <c r="L4" s="20">
        <v>34.799999999999997</v>
      </c>
      <c r="M4" s="19">
        <f>AVERAGE(F3:F25)*20</f>
        <v>98.260869565217376</v>
      </c>
      <c r="N4" s="15">
        <f t="shared" ref="N4:N9" si="0">SUM(I4:M4)/5</f>
        <v>72.532173913043479</v>
      </c>
    </row>
    <row r="5" spans="1:16">
      <c r="A5" s="2" t="s">
        <v>939</v>
      </c>
      <c r="B5" s="2">
        <v>16</v>
      </c>
      <c r="C5" s="2" t="s">
        <v>7</v>
      </c>
      <c r="D5" s="2">
        <v>1.5</v>
      </c>
      <c r="E5" s="2">
        <v>8.5</v>
      </c>
      <c r="F5" s="45">
        <v>5</v>
      </c>
      <c r="H5" s="13" t="s">
        <v>645</v>
      </c>
      <c r="I5" s="20">
        <v>92.6</v>
      </c>
      <c r="J5" s="17">
        <v>100</v>
      </c>
      <c r="K5" s="19">
        <v>100</v>
      </c>
      <c r="L5" s="19">
        <v>100</v>
      </c>
      <c r="M5" s="20">
        <f>AVERAGE(F27:F40)*20</f>
        <v>94.285714285714292</v>
      </c>
      <c r="N5" s="15">
        <f t="shared" si="0"/>
        <v>97.377142857142857</v>
      </c>
    </row>
    <row r="6" spans="1:16">
      <c r="A6" s="2" t="s">
        <v>940</v>
      </c>
      <c r="B6" s="2">
        <v>15</v>
      </c>
      <c r="C6" s="2" t="s">
        <v>7</v>
      </c>
      <c r="D6" s="2">
        <v>1.7</v>
      </c>
      <c r="E6" s="2">
        <v>8.5</v>
      </c>
      <c r="F6" s="45">
        <v>5</v>
      </c>
      <c r="H6" s="13" t="s">
        <v>647</v>
      </c>
      <c r="I6" s="20">
        <v>50</v>
      </c>
      <c r="J6" s="17">
        <v>100</v>
      </c>
      <c r="K6" s="20">
        <v>50</v>
      </c>
      <c r="L6" s="19">
        <v>0</v>
      </c>
      <c r="M6" s="19">
        <f>AVERAGE(F42:F43)*20</f>
        <v>100</v>
      </c>
      <c r="N6" s="15">
        <f t="shared" si="0"/>
        <v>60</v>
      </c>
    </row>
    <row r="7" spans="1:16">
      <c r="A7" s="2" t="s">
        <v>941</v>
      </c>
      <c r="B7" s="2">
        <v>16</v>
      </c>
      <c r="C7" s="2" t="s">
        <v>7</v>
      </c>
      <c r="D7" s="2">
        <v>0.8</v>
      </c>
      <c r="E7" s="2">
        <v>6.6</v>
      </c>
      <c r="F7" s="45">
        <v>4</v>
      </c>
      <c r="H7" s="13" t="s">
        <v>649</v>
      </c>
      <c r="I7" s="20">
        <v>80</v>
      </c>
      <c r="J7" s="17">
        <v>100</v>
      </c>
      <c r="K7" s="20">
        <v>80</v>
      </c>
      <c r="L7" s="19">
        <v>80</v>
      </c>
      <c r="M7" s="19">
        <f>AVERAGE(F49:F49)*20</f>
        <v>80</v>
      </c>
      <c r="N7" s="15">
        <f t="shared" si="0"/>
        <v>84</v>
      </c>
    </row>
    <row r="8" spans="1:16">
      <c r="A8" s="2" t="s">
        <v>942</v>
      </c>
      <c r="B8" s="2">
        <v>17</v>
      </c>
      <c r="C8" s="2" t="s">
        <v>7</v>
      </c>
      <c r="D8" s="2">
        <v>1</v>
      </c>
      <c r="E8" s="2">
        <v>6.8</v>
      </c>
      <c r="F8" s="45">
        <v>5</v>
      </c>
      <c r="H8" s="13" t="s">
        <v>651</v>
      </c>
      <c r="I8" s="20">
        <v>83.3</v>
      </c>
      <c r="J8" s="17">
        <v>91.7</v>
      </c>
      <c r="K8" s="20">
        <v>66.7</v>
      </c>
      <c r="L8" s="19">
        <v>50</v>
      </c>
      <c r="M8" s="19">
        <f>AVERAGE(F51:F62)*20</f>
        <v>100</v>
      </c>
      <c r="N8" s="15">
        <f>SUM(I8:M8)/5</f>
        <v>78.34</v>
      </c>
      <c r="P8" s="8"/>
    </row>
    <row r="9" spans="1:16">
      <c r="A9" s="2" t="s">
        <v>943</v>
      </c>
      <c r="B9" s="2">
        <v>14</v>
      </c>
      <c r="C9" s="2" t="s">
        <v>7</v>
      </c>
      <c r="D9" s="2">
        <v>1.3</v>
      </c>
      <c r="E9" s="2">
        <v>7.2</v>
      </c>
      <c r="F9" s="45">
        <v>5</v>
      </c>
      <c r="H9" s="13" t="s">
        <v>653</v>
      </c>
      <c r="I9" s="20">
        <v>69.2</v>
      </c>
      <c r="J9" s="17">
        <v>100</v>
      </c>
      <c r="K9" s="20">
        <v>92.3</v>
      </c>
      <c r="L9" s="19">
        <v>58.3</v>
      </c>
      <c r="M9" s="19">
        <f>AVERAGE(F64:F76)*20</f>
        <v>98.461538461538467</v>
      </c>
      <c r="N9" s="15">
        <f t="shared" si="0"/>
        <v>83.652307692307687</v>
      </c>
    </row>
    <row r="10" spans="1:16">
      <c r="A10" s="2" t="s">
        <v>944</v>
      </c>
      <c r="B10" s="2">
        <v>18</v>
      </c>
      <c r="C10" s="2" t="s">
        <v>7</v>
      </c>
      <c r="D10" s="2">
        <v>1.2</v>
      </c>
      <c r="E10" s="2">
        <v>8.5</v>
      </c>
      <c r="F10" s="45">
        <v>5</v>
      </c>
      <c r="H10" s="13"/>
      <c r="I10" s="17"/>
      <c r="J10" s="17"/>
      <c r="K10" s="17"/>
      <c r="L10" s="17"/>
      <c r="M10" s="17"/>
      <c r="N10" s="14"/>
    </row>
    <row r="11" spans="1:16" ht="15" thickBot="1">
      <c r="A11" s="2" t="s">
        <v>945</v>
      </c>
      <c r="B11" s="2">
        <v>15</v>
      </c>
      <c r="C11" s="2" t="s">
        <v>7</v>
      </c>
      <c r="D11" s="64">
        <v>1.4</v>
      </c>
      <c r="E11" s="64">
        <v>5.6</v>
      </c>
      <c r="F11" s="45">
        <v>4</v>
      </c>
      <c r="H11" s="13"/>
      <c r="I11" s="18" t="s">
        <v>656</v>
      </c>
      <c r="J11" s="18" t="s">
        <v>657</v>
      </c>
      <c r="K11" s="18" t="s">
        <v>658</v>
      </c>
      <c r="L11" s="18" t="s">
        <v>659</v>
      </c>
      <c r="M11" s="21">
        <v>0.05</v>
      </c>
      <c r="N11" s="14"/>
    </row>
    <row r="12" spans="1:16">
      <c r="A12" s="2" t="s">
        <v>946</v>
      </c>
      <c r="B12" s="2">
        <v>17</v>
      </c>
      <c r="C12" s="2" t="s">
        <v>7</v>
      </c>
      <c r="D12" s="2">
        <v>1.1000000000000001</v>
      </c>
      <c r="E12" s="2">
        <v>6.7</v>
      </c>
      <c r="F12" s="45">
        <v>5</v>
      </c>
    </row>
    <row r="13" spans="1:16">
      <c r="A13" s="2" t="s">
        <v>947</v>
      </c>
      <c r="B13" s="2">
        <v>18</v>
      </c>
      <c r="C13" s="2" t="s">
        <v>7</v>
      </c>
      <c r="D13" s="2">
        <v>1.4</v>
      </c>
      <c r="E13" s="2">
        <v>6.7</v>
      </c>
      <c r="F13" s="45">
        <v>5</v>
      </c>
    </row>
    <row r="14" spans="1:16" ht="15" thickBot="1">
      <c r="A14" s="2" t="s">
        <v>948</v>
      </c>
      <c r="B14" s="2">
        <v>17</v>
      </c>
      <c r="C14" s="2" t="s">
        <v>7</v>
      </c>
      <c r="D14" s="2">
        <v>0.9</v>
      </c>
      <c r="E14" s="2">
        <v>6.9</v>
      </c>
      <c r="F14" s="45">
        <v>5</v>
      </c>
    </row>
    <row r="15" spans="1:16" ht="15" thickBot="1">
      <c r="A15" s="2" t="s">
        <v>949</v>
      </c>
      <c r="B15" s="2">
        <v>18</v>
      </c>
      <c r="C15" s="2" t="s">
        <v>7</v>
      </c>
      <c r="D15" s="2">
        <v>1.3</v>
      </c>
      <c r="E15" s="2">
        <v>5.7</v>
      </c>
      <c r="F15" s="45">
        <v>5</v>
      </c>
      <c r="J15" s="23"/>
    </row>
    <row r="16" spans="1:16" ht="15" thickBot="1">
      <c r="A16" s="2" t="s">
        <v>950</v>
      </c>
      <c r="B16" s="2">
        <v>16</v>
      </c>
      <c r="C16" s="2" t="s">
        <v>7</v>
      </c>
      <c r="D16" s="2">
        <v>1.3</v>
      </c>
      <c r="E16" s="2">
        <v>6.9</v>
      </c>
      <c r="F16" s="45">
        <v>5</v>
      </c>
      <c r="J16" s="23"/>
    </row>
    <row r="17" spans="1:10" ht="15" thickBot="1">
      <c r="A17" s="2" t="s">
        <v>951</v>
      </c>
      <c r="B17" s="2">
        <v>16</v>
      </c>
      <c r="C17" s="2" t="s">
        <v>7</v>
      </c>
      <c r="D17" s="2">
        <v>1.3</v>
      </c>
      <c r="E17" s="2">
        <v>5.2</v>
      </c>
      <c r="F17" s="45">
        <v>5</v>
      </c>
      <c r="J17" s="23"/>
    </row>
    <row r="18" spans="1:10">
      <c r="A18" s="2" t="s">
        <v>952</v>
      </c>
      <c r="B18" s="2">
        <v>17</v>
      </c>
      <c r="C18" s="2" t="s">
        <v>7</v>
      </c>
      <c r="D18" s="2">
        <v>0.9</v>
      </c>
      <c r="E18" s="2">
        <v>5.9</v>
      </c>
      <c r="F18" s="45">
        <v>5</v>
      </c>
    </row>
    <row r="19" spans="1:10">
      <c r="A19" s="2" t="s">
        <v>953</v>
      </c>
      <c r="B19" s="2">
        <v>17</v>
      </c>
      <c r="C19" s="2" t="s">
        <v>7</v>
      </c>
      <c r="D19" s="2">
        <v>1.3</v>
      </c>
      <c r="E19" s="2">
        <v>5.2</v>
      </c>
      <c r="F19" s="45">
        <v>5</v>
      </c>
    </row>
    <row r="20" spans="1:10">
      <c r="A20" s="2" t="s">
        <v>954</v>
      </c>
      <c r="B20" s="2">
        <v>15</v>
      </c>
      <c r="C20" s="2" t="s">
        <v>7</v>
      </c>
      <c r="D20" s="2">
        <v>0.9</v>
      </c>
      <c r="E20" s="2">
        <v>6.2</v>
      </c>
      <c r="F20" s="45">
        <v>5</v>
      </c>
    </row>
    <row r="21" spans="1:10">
      <c r="A21" s="2" t="s">
        <v>955</v>
      </c>
      <c r="B21" s="2">
        <v>17</v>
      </c>
      <c r="C21" s="2" t="s">
        <v>7</v>
      </c>
      <c r="D21" s="2">
        <v>1.1000000000000001</v>
      </c>
      <c r="E21" s="2">
        <v>6.2</v>
      </c>
      <c r="F21" s="45">
        <v>5</v>
      </c>
    </row>
    <row r="22" spans="1:10">
      <c r="A22" s="2" t="s">
        <v>956</v>
      </c>
      <c r="B22" s="2">
        <v>16</v>
      </c>
      <c r="C22" s="2" t="s">
        <v>7</v>
      </c>
      <c r="D22" s="2">
        <v>1.7</v>
      </c>
      <c r="E22" s="2">
        <v>6.3</v>
      </c>
      <c r="F22" s="45">
        <v>5</v>
      </c>
    </row>
    <row r="23" spans="1:10">
      <c r="A23" s="2" t="s">
        <v>957</v>
      </c>
      <c r="B23" s="2">
        <v>16</v>
      </c>
      <c r="C23" s="2" t="s">
        <v>28</v>
      </c>
      <c r="D23" s="2">
        <v>0.9</v>
      </c>
      <c r="E23" s="2">
        <v>6.6</v>
      </c>
      <c r="F23" s="45">
        <v>5</v>
      </c>
    </row>
    <row r="24" spans="1:10">
      <c r="A24" s="2" t="s">
        <v>958</v>
      </c>
      <c r="B24" s="2">
        <v>15</v>
      </c>
      <c r="C24" s="2" t="s">
        <v>28</v>
      </c>
      <c r="D24" s="2">
        <v>1.1000000000000001</v>
      </c>
      <c r="E24" s="2">
        <v>7.4</v>
      </c>
      <c r="F24" s="45">
        <v>5</v>
      </c>
    </row>
    <row r="25" spans="1:10">
      <c r="A25" s="2" t="s">
        <v>959</v>
      </c>
      <c r="B25" s="2">
        <v>18</v>
      </c>
      <c r="C25" s="2" t="s">
        <v>28</v>
      </c>
      <c r="D25" s="2">
        <v>1.8</v>
      </c>
      <c r="E25" s="2">
        <v>9.6</v>
      </c>
      <c r="F25" s="45">
        <v>5</v>
      </c>
    </row>
    <row r="26" spans="1:10">
      <c r="A26" s="1"/>
      <c r="B26" s="2"/>
      <c r="C26" s="2"/>
      <c r="D26" s="2"/>
      <c r="E26" s="2"/>
      <c r="F26" s="45"/>
    </row>
    <row r="27" spans="1:10">
      <c r="A27" s="2" t="s">
        <v>960</v>
      </c>
      <c r="B27" s="2">
        <v>16</v>
      </c>
      <c r="C27" s="2" t="s">
        <v>7</v>
      </c>
      <c r="D27" s="2">
        <v>1.5</v>
      </c>
      <c r="E27" s="2">
        <v>8</v>
      </c>
      <c r="F27" s="45">
        <v>5</v>
      </c>
    </row>
    <row r="28" spans="1:10">
      <c r="A28" s="2" t="s">
        <v>961</v>
      </c>
      <c r="B28" s="2">
        <v>16</v>
      </c>
      <c r="C28" s="2" t="s">
        <v>7</v>
      </c>
      <c r="D28" s="2">
        <v>1.9</v>
      </c>
      <c r="E28" s="2">
        <v>8</v>
      </c>
      <c r="F28" s="45">
        <v>5</v>
      </c>
    </row>
    <row r="29" spans="1:10">
      <c r="A29" s="2" t="s">
        <v>962</v>
      </c>
      <c r="B29" s="2">
        <v>18</v>
      </c>
      <c r="C29" s="2" t="s">
        <v>7</v>
      </c>
      <c r="D29" s="2">
        <v>1.6</v>
      </c>
      <c r="E29" s="2">
        <v>8.5</v>
      </c>
      <c r="F29" s="45">
        <v>5</v>
      </c>
    </row>
    <row r="30" spans="1:10">
      <c r="A30" s="2" t="s">
        <v>963</v>
      </c>
      <c r="B30" s="2">
        <v>17</v>
      </c>
      <c r="C30" s="2" t="s">
        <v>7</v>
      </c>
      <c r="D30" s="2">
        <v>1.4</v>
      </c>
      <c r="E30" s="2">
        <v>7.5</v>
      </c>
      <c r="F30" s="45">
        <v>5</v>
      </c>
    </row>
    <row r="31" spans="1:10">
      <c r="A31" s="2" t="s">
        <v>964</v>
      </c>
      <c r="B31" s="2">
        <v>16</v>
      </c>
      <c r="C31" s="2" t="s">
        <v>7</v>
      </c>
      <c r="D31" s="2">
        <v>1.5</v>
      </c>
      <c r="E31" s="2">
        <v>7.8</v>
      </c>
      <c r="F31" s="45">
        <v>3</v>
      </c>
    </row>
    <row r="32" spans="1:10">
      <c r="A32" s="2" t="s">
        <v>965</v>
      </c>
      <c r="B32" s="2">
        <v>16</v>
      </c>
      <c r="C32" s="2" t="s">
        <v>7</v>
      </c>
      <c r="D32" s="2">
        <v>1.6</v>
      </c>
      <c r="E32" s="2">
        <v>8.9</v>
      </c>
      <c r="F32" s="45">
        <v>5</v>
      </c>
    </row>
    <row r="33" spans="1:6">
      <c r="A33" s="2" t="s">
        <v>966</v>
      </c>
      <c r="B33" s="2">
        <v>15</v>
      </c>
      <c r="C33" s="2" t="s">
        <v>7</v>
      </c>
      <c r="D33" s="2">
        <v>1.5</v>
      </c>
      <c r="E33" s="2">
        <v>7.9</v>
      </c>
      <c r="F33" s="45">
        <v>5</v>
      </c>
    </row>
    <row r="34" spans="1:6">
      <c r="A34" s="2" t="s">
        <v>967</v>
      </c>
      <c r="B34" s="2">
        <v>18</v>
      </c>
      <c r="C34" s="2" t="s">
        <v>7</v>
      </c>
      <c r="D34" s="2">
        <v>1.5</v>
      </c>
      <c r="E34" s="2">
        <v>8.1999999999999993</v>
      </c>
      <c r="F34" s="45">
        <v>5</v>
      </c>
    </row>
    <row r="35" spans="1:6">
      <c r="A35" s="2" t="s">
        <v>968</v>
      </c>
      <c r="B35" s="2">
        <v>16</v>
      </c>
      <c r="C35" s="2" t="s">
        <v>7</v>
      </c>
      <c r="D35" s="2">
        <v>2.2999999999999998</v>
      </c>
      <c r="E35" s="2">
        <v>7.7</v>
      </c>
      <c r="F35" s="45">
        <v>5</v>
      </c>
    </row>
    <row r="36" spans="1:6">
      <c r="A36" s="2" t="s">
        <v>969</v>
      </c>
      <c r="B36" s="2">
        <v>17</v>
      </c>
      <c r="C36" s="2" t="s">
        <v>7</v>
      </c>
      <c r="D36" s="2">
        <v>1.7</v>
      </c>
      <c r="E36" s="2">
        <v>7.8</v>
      </c>
      <c r="F36" s="45">
        <v>5</v>
      </c>
    </row>
    <row r="37" spans="1:6">
      <c r="A37" s="2" t="s">
        <v>970</v>
      </c>
      <c r="B37" s="2">
        <v>18</v>
      </c>
      <c r="C37" s="2" t="s">
        <v>7</v>
      </c>
      <c r="D37" s="2">
        <v>1.7</v>
      </c>
      <c r="E37" s="2">
        <v>9.6</v>
      </c>
      <c r="F37" s="45">
        <v>3</v>
      </c>
    </row>
    <row r="38" spans="1:6">
      <c r="A38" s="2" t="s">
        <v>971</v>
      </c>
      <c r="B38" s="2">
        <v>16</v>
      </c>
      <c r="C38" s="2" t="s">
        <v>7</v>
      </c>
      <c r="D38" s="2">
        <v>2.4</v>
      </c>
      <c r="E38" s="2">
        <v>10.5</v>
      </c>
      <c r="F38" s="45">
        <v>5</v>
      </c>
    </row>
    <row r="39" spans="1:6">
      <c r="A39" s="2" t="s">
        <v>972</v>
      </c>
      <c r="B39" s="2">
        <v>16</v>
      </c>
      <c r="C39" s="2" t="s">
        <v>7</v>
      </c>
      <c r="D39" s="2">
        <v>1.2</v>
      </c>
      <c r="E39" s="2">
        <v>8.6999999999999993</v>
      </c>
      <c r="F39" s="45">
        <v>5</v>
      </c>
    </row>
    <row r="40" spans="1:6">
      <c r="A40" s="2" t="s">
        <v>973</v>
      </c>
      <c r="B40" s="2">
        <v>18</v>
      </c>
      <c r="C40" s="2" t="s">
        <v>7</v>
      </c>
      <c r="D40" s="2">
        <v>1.7</v>
      </c>
      <c r="E40" s="2">
        <v>7.9</v>
      </c>
      <c r="F40" s="45">
        <v>5</v>
      </c>
    </row>
    <row r="41" spans="1:6">
      <c r="A41" s="1"/>
      <c r="B41" s="2"/>
      <c r="C41" s="2"/>
      <c r="D41" s="2"/>
      <c r="E41" s="2"/>
      <c r="F41" s="45"/>
    </row>
    <row r="42" spans="1:6">
      <c r="A42" s="2" t="s">
        <v>974</v>
      </c>
      <c r="B42" s="2">
        <v>17</v>
      </c>
      <c r="C42" s="2" t="s">
        <v>7</v>
      </c>
      <c r="D42" s="2">
        <v>0.9</v>
      </c>
      <c r="E42" s="2">
        <v>6.6</v>
      </c>
      <c r="F42" s="7">
        <v>5</v>
      </c>
    </row>
    <row r="43" spans="1:6">
      <c r="A43" s="2" t="s">
        <v>975</v>
      </c>
      <c r="B43" s="2">
        <v>14</v>
      </c>
      <c r="C43" s="2" t="s">
        <v>7</v>
      </c>
      <c r="D43" s="2">
        <v>2.1</v>
      </c>
      <c r="E43" s="2">
        <v>6.8</v>
      </c>
      <c r="F43" s="7">
        <v>5</v>
      </c>
    </row>
    <row r="44" spans="1:6">
      <c r="A44" s="1"/>
      <c r="B44" s="2"/>
      <c r="C44" s="2"/>
      <c r="D44" s="2"/>
      <c r="E44" s="2"/>
      <c r="F44" s="7"/>
    </row>
    <row r="45" spans="1:6">
      <c r="A45" s="2" t="s">
        <v>976</v>
      </c>
      <c r="B45" s="2">
        <v>18</v>
      </c>
      <c r="C45" s="2" t="s">
        <v>7</v>
      </c>
      <c r="D45" s="2">
        <v>1.4</v>
      </c>
      <c r="E45" s="2">
        <v>7.3</v>
      </c>
      <c r="F45" s="7">
        <v>5</v>
      </c>
    </row>
    <row r="46" spans="1:6">
      <c r="A46" s="2" t="s">
        <v>977</v>
      </c>
      <c r="B46" s="2">
        <v>16</v>
      </c>
      <c r="C46" s="2" t="s">
        <v>7</v>
      </c>
      <c r="D46" s="2">
        <v>1.6</v>
      </c>
      <c r="E46" s="2">
        <v>7.7</v>
      </c>
      <c r="F46" s="7">
        <v>5</v>
      </c>
    </row>
    <row r="47" spans="1:6">
      <c r="A47" s="2" t="s">
        <v>978</v>
      </c>
      <c r="B47" s="2">
        <v>17</v>
      </c>
      <c r="C47" s="2" t="s">
        <v>7</v>
      </c>
      <c r="D47" s="2">
        <v>1.8</v>
      </c>
      <c r="E47" s="2">
        <v>7.9</v>
      </c>
      <c r="F47" s="7">
        <v>5</v>
      </c>
    </row>
    <row r="48" spans="1:6">
      <c r="A48" s="2" t="s">
        <v>979</v>
      </c>
      <c r="B48" s="2">
        <v>14</v>
      </c>
      <c r="C48" s="2" t="s">
        <v>7</v>
      </c>
      <c r="D48" s="2">
        <v>1</v>
      </c>
      <c r="E48" s="2">
        <v>7.9</v>
      </c>
      <c r="F48" s="7">
        <v>5</v>
      </c>
    </row>
    <row r="49" spans="1:6">
      <c r="A49" s="2" t="s">
        <v>980</v>
      </c>
      <c r="B49" s="2">
        <v>17</v>
      </c>
      <c r="C49" s="2" t="s">
        <v>7</v>
      </c>
      <c r="D49" s="2">
        <v>1.3</v>
      </c>
      <c r="E49" s="2">
        <v>6.9</v>
      </c>
      <c r="F49" s="7">
        <v>4</v>
      </c>
    </row>
    <row r="50" spans="1:6">
      <c r="A50" s="1"/>
      <c r="B50" s="2"/>
      <c r="C50" s="2"/>
      <c r="D50" s="2"/>
      <c r="E50" s="2"/>
      <c r="F50" s="7"/>
    </row>
    <row r="51" spans="1:6">
      <c r="A51" s="2" t="s">
        <v>981</v>
      </c>
      <c r="B51" s="2">
        <v>16</v>
      </c>
      <c r="C51" s="2" t="s">
        <v>7</v>
      </c>
      <c r="D51" s="2">
        <v>1.5</v>
      </c>
      <c r="E51" s="2">
        <v>7.2</v>
      </c>
      <c r="F51" s="7">
        <v>5</v>
      </c>
    </row>
    <row r="52" spans="1:6">
      <c r="A52" s="2" t="s">
        <v>982</v>
      </c>
      <c r="B52" s="2">
        <v>14</v>
      </c>
      <c r="C52" s="2" t="s">
        <v>7</v>
      </c>
      <c r="D52" s="2">
        <v>1.1000000000000001</v>
      </c>
      <c r="E52" s="2">
        <v>6.5</v>
      </c>
      <c r="F52" s="7">
        <v>5</v>
      </c>
    </row>
    <row r="53" spans="1:6">
      <c r="A53" s="2" t="s">
        <v>983</v>
      </c>
      <c r="B53" s="2">
        <v>16</v>
      </c>
      <c r="C53" s="2" t="s">
        <v>28</v>
      </c>
      <c r="D53" s="2">
        <v>0.9</v>
      </c>
      <c r="E53" s="2">
        <v>7.2</v>
      </c>
      <c r="F53" s="7">
        <v>5</v>
      </c>
    </row>
    <row r="54" spans="1:6">
      <c r="A54" s="2" t="s">
        <v>984</v>
      </c>
      <c r="B54" s="2">
        <v>17</v>
      </c>
      <c r="C54" s="2" t="s">
        <v>7</v>
      </c>
      <c r="D54" s="2">
        <v>1.1000000000000001</v>
      </c>
      <c r="E54" s="2">
        <v>8.1</v>
      </c>
      <c r="F54" s="7">
        <v>5</v>
      </c>
    </row>
    <row r="55" spans="1:6">
      <c r="A55" s="2" t="s">
        <v>985</v>
      </c>
      <c r="B55" s="2">
        <v>18</v>
      </c>
      <c r="C55" s="2" t="s">
        <v>7</v>
      </c>
      <c r="D55" s="2">
        <v>1.2</v>
      </c>
      <c r="E55" s="2">
        <v>7</v>
      </c>
      <c r="F55" s="7">
        <v>5</v>
      </c>
    </row>
    <row r="56" spans="1:6">
      <c r="A56" s="2" t="s">
        <v>986</v>
      </c>
      <c r="B56" s="2">
        <v>16</v>
      </c>
      <c r="C56" s="2" t="s">
        <v>7</v>
      </c>
      <c r="D56" s="2">
        <v>1.3</v>
      </c>
      <c r="E56" s="2">
        <v>7.3</v>
      </c>
      <c r="F56" s="7">
        <v>5</v>
      </c>
    </row>
    <row r="57" spans="1:6">
      <c r="A57" s="2" t="s">
        <v>987</v>
      </c>
      <c r="B57" s="2">
        <v>16</v>
      </c>
      <c r="C57" s="2" t="s">
        <v>7</v>
      </c>
      <c r="D57" s="2">
        <v>1.4</v>
      </c>
      <c r="E57" s="2">
        <v>6</v>
      </c>
      <c r="F57" s="7">
        <v>5</v>
      </c>
    </row>
    <row r="58" spans="1:6">
      <c r="A58" s="2" t="s">
        <v>988</v>
      </c>
      <c r="B58" s="2">
        <v>17</v>
      </c>
      <c r="C58" s="2" t="s">
        <v>7</v>
      </c>
      <c r="D58" s="2">
        <v>1.8</v>
      </c>
      <c r="E58" s="2">
        <v>7</v>
      </c>
      <c r="F58" s="7">
        <v>5</v>
      </c>
    </row>
    <row r="59" spans="1:6">
      <c r="A59" s="2" t="s">
        <v>989</v>
      </c>
      <c r="B59" s="2">
        <v>15</v>
      </c>
      <c r="C59" s="2" t="s">
        <v>7</v>
      </c>
      <c r="D59" s="2">
        <v>0.9</v>
      </c>
      <c r="E59" s="2">
        <v>5.8</v>
      </c>
      <c r="F59" s="7">
        <v>5</v>
      </c>
    </row>
    <row r="60" spans="1:6">
      <c r="A60" s="2" t="s">
        <v>990</v>
      </c>
      <c r="B60" s="2">
        <v>16</v>
      </c>
      <c r="C60" s="2" t="s">
        <v>7</v>
      </c>
      <c r="D60" s="2">
        <v>1.5</v>
      </c>
      <c r="E60" s="2">
        <v>6.3</v>
      </c>
      <c r="F60" s="7">
        <v>5</v>
      </c>
    </row>
    <row r="61" spans="1:6">
      <c r="A61" s="2" t="s">
        <v>991</v>
      </c>
      <c r="B61" s="2">
        <v>17</v>
      </c>
      <c r="C61" s="2" t="s">
        <v>7</v>
      </c>
      <c r="D61" s="2">
        <v>1.9</v>
      </c>
      <c r="E61" s="2">
        <v>7.3</v>
      </c>
      <c r="F61" s="7">
        <v>5</v>
      </c>
    </row>
    <row r="62" spans="1:6">
      <c r="A62" s="2" t="s">
        <v>992</v>
      </c>
      <c r="B62" s="2">
        <v>16</v>
      </c>
      <c r="C62" s="2" t="s">
        <v>7</v>
      </c>
      <c r="D62" s="2">
        <v>1.3</v>
      </c>
      <c r="E62" s="2">
        <v>7.7</v>
      </c>
      <c r="F62" s="7">
        <v>5</v>
      </c>
    </row>
    <row r="63" spans="1:6">
      <c r="A63" s="2"/>
      <c r="B63" s="2"/>
      <c r="C63" s="2"/>
      <c r="D63" s="2"/>
      <c r="E63" s="2"/>
      <c r="F63" s="7"/>
    </row>
    <row r="64" spans="1:6">
      <c r="A64" s="2" t="s">
        <v>993</v>
      </c>
      <c r="B64" s="2">
        <v>14</v>
      </c>
      <c r="C64" s="2" t="s">
        <v>7</v>
      </c>
      <c r="D64" s="2">
        <v>2.1</v>
      </c>
      <c r="E64" s="2">
        <v>8</v>
      </c>
      <c r="F64" s="7">
        <v>5</v>
      </c>
    </row>
    <row r="65" spans="1:6">
      <c r="A65" s="2" t="s">
        <v>994</v>
      </c>
      <c r="B65" s="2">
        <v>16</v>
      </c>
      <c r="C65" s="2" t="s">
        <v>7</v>
      </c>
      <c r="D65" s="2">
        <v>0.9</v>
      </c>
      <c r="E65" s="2">
        <v>8.5</v>
      </c>
      <c r="F65" s="7">
        <v>5</v>
      </c>
    </row>
    <row r="66" spans="1:6">
      <c r="A66" s="2" t="s">
        <v>995</v>
      </c>
      <c r="B66" s="2">
        <v>16</v>
      </c>
      <c r="C66" s="2" t="s">
        <v>7</v>
      </c>
      <c r="D66" s="2">
        <v>1.8</v>
      </c>
      <c r="E66" s="2">
        <v>8.6999999999999993</v>
      </c>
      <c r="F66" s="7">
        <v>5</v>
      </c>
    </row>
    <row r="67" spans="1:6">
      <c r="A67" s="2" t="s">
        <v>996</v>
      </c>
      <c r="B67" s="2">
        <v>15</v>
      </c>
      <c r="C67" s="2" t="s">
        <v>7</v>
      </c>
      <c r="D67" s="2">
        <v>1.2</v>
      </c>
      <c r="E67" s="2">
        <v>8.6</v>
      </c>
      <c r="F67" s="7">
        <v>5</v>
      </c>
    </row>
    <row r="68" spans="1:6">
      <c r="A68" s="2" t="s">
        <v>997</v>
      </c>
      <c r="B68" s="2">
        <v>18</v>
      </c>
      <c r="C68" s="2" t="s">
        <v>7</v>
      </c>
      <c r="D68" s="2">
        <v>1.9</v>
      </c>
      <c r="E68" s="2">
        <v>9.1999999999999993</v>
      </c>
      <c r="F68" s="7">
        <v>5</v>
      </c>
    </row>
    <row r="69" spans="1:6">
      <c r="A69" s="2" t="s">
        <v>998</v>
      </c>
      <c r="B69" s="2">
        <v>17</v>
      </c>
      <c r="C69" s="2" t="s">
        <v>7</v>
      </c>
      <c r="D69" s="2">
        <v>1.7</v>
      </c>
      <c r="E69" s="2">
        <v>7.9</v>
      </c>
      <c r="F69" s="7">
        <v>5</v>
      </c>
    </row>
    <row r="70" spans="1:6">
      <c r="A70" s="2" t="s">
        <v>999</v>
      </c>
      <c r="B70" s="2">
        <v>16</v>
      </c>
      <c r="C70" s="2" t="s">
        <v>7</v>
      </c>
      <c r="D70" s="2">
        <v>1.7</v>
      </c>
      <c r="E70" s="2">
        <v>8.1999999999999993</v>
      </c>
      <c r="F70" s="7">
        <v>5</v>
      </c>
    </row>
    <row r="71" spans="1:6">
      <c r="A71" s="2" t="s">
        <v>1000</v>
      </c>
      <c r="B71" s="2">
        <v>16</v>
      </c>
      <c r="C71" s="2" t="s">
        <v>7</v>
      </c>
      <c r="D71" s="2">
        <v>1.2</v>
      </c>
      <c r="E71" s="2">
        <v>7</v>
      </c>
      <c r="F71" s="7">
        <v>4</v>
      </c>
    </row>
    <row r="72" spans="1:6">
      <c r="A72" s="2" t="s">
        <v>1001</v>
      </c>
      <c r="B72" s="2">
        <v>18</v>
      </c>
      <c r="C72" s="2" t="s">
        <v>7</v>
      </c>
      <c r="D72" s="2">
        <v>1.6</v>
      </c>
      <c r="E72" s="2">
        <v>8.6</v>
      </c>
      <c r="F72" s="7">
        <v>5</v>
      </c>
    </row>
    <row r="73" spans="1:6">
      <c r="A73" s="2" t="s">
        <v>1002</v>
      </c>
      <c r="B73" s="2">
        <v>17</v>
      </c>
      <c r="C73" s="2" t="s">
        <v>7</v>
      </c>
      <c r="D73" s="2">
        <v>1.6</v>
      </c>
      <c r="E73" s="2">
        <v>8.4</v>
      </c>
      <c r="F73" s="7">
        <v>5</v>
      </c>
    </row>
    <row r="74" spans="1:6">
      <c r="A74" s="2" t="s">
        <v>1003</v>
      </c>
      <c r="B74" s="2">
        <v>15</v>
      </c>
      <c r="C74" s="2" t="s">
        <v>7</v>
      </c>
      <c r="D74" s="2">
        <v>1.7</v>
      </c>
      <c r="E74" s="2">
        <v>8.6999999999999993</v>
      </c>
      <c r="F74" s="7">
        <v>5</v>
      </c>
    </row>
    <row r="75" spans="1:6">
      <c r="A75" s="2" t="s">
        <v>1004</v>
      </c>
      <c r="B75" s="11">
        <v>14</v>
      </c>
      <c r="C75" s="2" t="s">
        <v>7</v>
      </c>
      <c r="D75" s="11">
        <v>1.4</v>
      </c>
      <c r="E75" s="11">
        <v>8.4</v>
      </c>
      <c r="F75" s="7">
        <v>5</v>
      </c>
    </row>
    <row r="76" spans="1:6">
      <c r="A76" s="2" t="s">
        <v>1005</v>
      </c>
      <c r="B76" s="11">
        <v>17</v>
      </c>
      <c r="C76" s="2" t="s">
        <v>7</v>
      </c>
      <c r="D76" s="11">
        <v>1.2</v>
      </c>
      <c r="E76" s="11">
        <v>8.3000000000000007</v>
      </c>
      <c r="F76" s="12">
        <v>5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68878-3588-4E17-8A14-6C06FD2FECCF}">
  <dimension ref="A1:N76"/>
  <sheetViews>
    <sheetView topLeftCell="E1" workbookViewId="0">
      <pane ySplit="2" topLeftCell="A3" activePane="bottomLeft" state="frozen"/>
      <selection pane="bottomLeft" activeCell="H3" sqref="H3:N10"/>
    </sheetView>
  </sheetViews>
  <sheetFormatPr defaultRowHeight="14.45"/>
  <cols>
    <col min="1" max="1" width="14.140625" customWidth="1"/>
    <col min="3" max="3" width="13.28515625" customWidth="1"/>
    <col min="4" max="4" width="12.85546875" customWidth="1"/>
    <col min="5" max="5" width="12.140625" customWidth="1"/>
    <col min="6" max="6" width="21.28515625" customWidth="1"/>
    <col min="7" max="7" width="14.28515625" customWidth="1"/>
    <col min="8" max="8" width="22.140625" customWidth="1"/>
    <col min="9" max="9" width="11.7109375" customWidth="1"/>
    <col min="10" max="10" width="12" customWidth="1"/>
    <col min="11" max="11" width="14.28515625" customWidth="1"/>
    <col min="12" max="12" width="11.85546875" customWidth="1"/>
    <col min="13" max="13" width="14" customWidth="1"/>
    <col min="14" max="14" width="11.28515625" customWidth="1"/>
  </cols>
  <sheetData>
    <row r="1" spans="1:14" ht="15" thickBot="1">
      <c r="A1" s="43"/>
      <c r="B1" s="43"/>
      <c r="C1" s="43"/>
      <c r="D1" s="43"/>
      <c r="E1" s="43"/>
      <c r="F1" s="43" t="s">
        <v>639</v>
      </c>
    </row>
    <row r="2" spans="1:14">
      <c r="A2" s="48" t="s">
        <v>1</v>
      </c>
      <c r="B2" s="48" t="s">
        <v>641</v>
      </c>
      <c r="C2" s="48" t="s">
        <v>3</v>
      </c>
      <c r="D2" s="48" t="s">
        <v>4</v>
      </c>
      <c r="E2" s="49" t="s">
        <v>5</v>
      </c>
      <c r="F2" s="51" t="s">
        <v>640</v>
      </c>
      <c r="J2">
        <v>3</v>
      </c>
    </row>
    <row r="3" spans="1:14">
      <c r="A3" s="47" t="s">
        <v>1006</v>
      </c>
      <c r="B3" s="47">
        <v>18</v>
      </c>
      <c r="C3" s="47" t="s">
        <v>7</v>
      </c>
      <c r="D3" s="47">
        <v>1.5</v>
      </c>
      <c r="E3" s="50">
        <v>8</v>
      </c>
      <c r="F3" s="28">
        <v>5</v>
      </c>
      <c r="H3" s="53"/>
      <c r="I3" s="53" t="s">
        <v>641</v>
      </c>
      <c r="J3" s="53" t="s">
        <v>3</v>
      </c>
      <c r="K3" s="53" t="s">
        <v>4</v>
      </c>
      <c r="L3" s="53" t="s">
        <v>5</v>
      </c>
      <c r="M3" s="53" t="s">
        <v>640</v>
      </c>
      <c r="N3" s="53"/>
    </row>
    <row r="4" spans="1:14">
      <c r="A4" s="47" t="s">
        <v>1007</v>
      </c>
      <c r="B4" s="47">
        <v>16</v>
      </c>
      <c r="C4" s="47" t="s">
        <v>7</v>
      </c>
      <c r="D4" s="47">
        <v>1.3</v>
      </c>
      <c r="E4" s="50">
        <v>7.6</v>
      </c>
      <c r="F4" s="28">
        <v>5</v>
      </c>
      <c r="H4" s="53" t="s">
        <v>643</v>
      </c>
      <c r="I4" s="53">
        <v>87.5</v>
      </c>
      <c r="J4" s="53">
        <v>87.5</v>
      </c>
      <c r="K4" s="53">
        <v>62.5</v>
      </c>
      <c r="L4" s="53">
        <v>31.3</v>
      </c>
      <c r="M4" s="53">
        <f>AVERAGE(F3:F25)*20</f>
        <v>96.25</v>
      </c>
      <c r="N4" s="53">
        <f t="shared" ref="N4:N9" si="0">SUM(I4:M4)/5</f>
        <v>73.010000000000005</v>
      </c>
    </row>
    <row r="5" spans="1:14">
      <c r="A5" s="47" t="s">
        <v>1008</v>
      </c>
      <c r="B5" s="47">
        <v>16</v>
      </c>
      <c r="C5" s="47" t="s">
        <v>7</v>
      </c>
      <c r="D5" s="47">
        <v>1.1000000000000001</v>
      </c>
      <c r="E5" s="50">
        <v>6.8</v>
      </c>
      <c r="F5" s="28">
        <v>5</v>
      </c>
      <c r="H5" s="53" t="s">
        <v>645</v>
      </c>
      <c r="I5" s="53">
        <v>77.8</v>
      </c>
      <c r="J5" s="53">
        <v>55.6</v>
      </c>
      <c r="K5" s="53">
        <v>100</v>
      </c>
      <c r="L5" s="53">
        <v>100</v>
      </c>
      <c r="M5" s="53">
        <f>AVERAGE(F27:F40)*20</f>
        <v>100</v>
      </c>
      <c r="N5" s="53">
        <f t="shared" si="0"/>
        <v>86.679999999999993</v>
      </c>
    </row>
    <row r="6" spans="1:14">
      <c r="A6" s="47" t="s">
        <v>1009</v>
      </c>
      <c r="B6" s="47">
        <v>17</v>
      </c>
      <c r="C6" s="47" t="s">
        <v>7</v>
      </c>
      <c r="D6" s="47">
        <v>1.4</v>
      </c>
      <c r="E6" s="50">
        <v>8</v>
      </c>
      <c r="F6" s="28">
        <v>5</v>
      </c>
      <c r="H6" s="53" t="s">
        <v>647</v>
      </c>
      <c r="I6" s="53">
        <v>100</v>
      </c>
      <c r="J6" s="53">
        <v>100</v>
      </c>
      <c r="K6" s="53">
        <v>100</v>
      </c>
      <c r="L6" s="53">
        <v>100</v>
      </c>
      <c r="M6" s="53">
        <f>AVERAGE(F42:F43)*20</f>
        <v>100</v>
      </c>
      <c r="N6" s="53">
        <f t="shared" si="0"/>
        <v>100</v>
      </c>
    </row>
    <row r="7" spans="1:14">
      <c r="A7" s="47" t="s">
        <v>1010</v>
      </c>
      <c r="B7" s="47">
        <v>17</v>
      </c>
      <c r="C7" s="47" t="s">
        <v>7</v>
      </c>
      <c r="D7" s="47">
        <v>1.3</v>
      </c>
      <c r="E7" s="50">
        <v>6.4</v>
      </c>
      <c r="F7" s="28">
        <v>5</v>
      </c>
      <c r="H7" s="53" t="s">
        <v>649</v>
      </c>
      <c r="I7" s="53">
        <v>80</v>
      </c>
      <c r="J7" s="53">
        <v>100</v>
      </c>
      <c r="K7" s="53">
        <v>100</v>
      </c>
      <c r="L7" s="53">
        <v>0</v>
      </c>
      <c r="M7" s="53">
        <f>AVERAGE(F45:F49)*20</f>
        <v>100</v>
      </c>
      <c r="N7" s="53">
        <f t="shared" si="0"/>
        <v>76</v>
      </c>
    </row>
    <row r="8" spans="1:14">
      <c r="A8" s="47" t="s">
        <v>1011</v>
      </c>
      <c r="B8" s="47">
        <v>15</v>
      </c>
      <c r="C8" s="47" t="s">
        <v>7</v>
      </c>
      <c r="D8" s="47">
        <v>1.6</v>
      </c>
      <c r="E8" s="50">
        <v>9.4</v>
      </c>
      <c r="F8" s="28">
        <v>5</v>
      </c>
      <c r="H8" s="53" t="s">
        <v>651</v>
      </c>
      <c r="I8" s="53">
        <v>89</v>
      </c>
      <c r="J8" s="53">
        <v>89</v>
      </c>
      <c r="K8" s="53">
        <v>100</v>
      </c>
      <c r="L8" s="53">
        <v>22</v>
      </c>
      <c r="M8" s="53">
        <f>AVERAGE(F51:F62)*20</f>
        <v>100</v>
      </c>
      <c r="N8" s="53">
        <f>SUM(I8:M8)/5</f>
        <v>80</v>
      </c>
    </row>
    <row r="9" spans="1:14">
      <c r="A9" s="47" t="s">
        <v>1012</v>
      </c>
      <c r="B9" s="47">
        <v>17</v>
      </c>
      <c r="C9" s="47" t="s">
        <v>7</v>
      </c>
      <c r="D9" s="47">
        <v>1.4</v>
      </c>
      <c r="E9" s="50">
        <v>5.9</v>
      </c>
      <c r="F9" s="28">
        <v>5</v>
      </c>
      <c r="H9" s="53" t="s">
        <v>653</v>
      </c>
      <c r="I9" s="53">
        <v>56</v>
      </c>
      <c r="J9" s="53">
        <v>100</v>
      </c>
      <c r="K9" s="53">
        <v>100</v>
      </c>
      <c r="L9" s="53">
        <v>100</v>
      </c>
      <c r="M9" s="53">
        <f>AVERAGE(F64:F76)*20</f>
        <v>100</v>
      </c>
      <c r="N9" s="53">
        <f t="shared" si="0"/>
        <v>91.2</v>
      </c>
    </row>
    <row r="10" spans="1:14">
      <c r="A10" s="47" t="s">
        <v>1013</v>
      </c>
      <c r="B10" s="47">
        <v>16</v>
      </c>
      <c r="C10" s="47" t="s">
        <v>28</v>
      </c>
      <c r="D10" s="47">
        <v>1.3</v>
      </c>
      <c r="E10" s="50">
        <v>5.5</v>
      </c>
      <c r="F10" s="28">
        <v>5</v>
      </c>
      <c r="H10" s="53"/>
      <c r="I10" s="53"/>
      <c r="J10" s="53"/>
      <c r="K10" s="53"/>
      <c r="L10" s="53"/>
      <c r="M10" s="53"/>
      <c r="N10" s="53"/>
    </row>
    <row r="11" spans="1:14">
      <c r="A11" s="47" t="s">
        <v>1014</v>
      </c>
      <c r="B11" s="47">
        <v>17</v>
      </c>
      <c r="C11" s="47" t="s">
        <v>7</v>
      </c>
      <c r="D11" s="47">
        <v>1.2</v>
      </c>
      <c r="E11" s="50">
        <v>5.8</v>
      </c>
      <c r="F11" s="28">
        <v>5</v>
      </c>
      <c r="H11" s="53"/>
      <c r="I11" s="53" t="s">
        <v>656</v>
      </c>
      <c r="J11" s="53" t="s">
        <v>657</v>
      </c>
      <c r="K11" s="53" t="s">
        <v>658</v>
      </c>
      <c r="L11" s="53" t="s">
        <v>659</v>
      </c>
      <c r="M11" s="53">
        <v>0.05</v>
      </c>
      <c r="N11" s="53"/>
    </row>
    <row r="12" spans="1:14">
      <c r="A12" s="47" t="s">
        <v>1015</v>
      </c>
      <c r="B12" s="47">
        <v>16</v>
      </c>
      <c r="C12" s="47" t="s">
        <v>28</v>
      </c>
      <c r="D12" s="47">
        <v>0.7</v>
      </c>
      <c r="E12" s="50">
        <v>5.4</v>
      </c>
      <c r="F12" s="28">
        <v>5</v>
      </c>
    </row>
    <row r="13" spans="1:14">
      <c r="A13" s="47" t="s">
        <v>1016</v>
      </c>
      <c r="B13" s="47">
        <v>18</v>
      </c>
      <c r="C13" s="47" t="s">
        <v>7</v>
      </c>
      <c r="D13" s="47">
        <v>1.1000000000000001</v>
      </c>
      <c r="E13" s="50">
        <v>5.4</v>
      </c>
      <c r="F13" s="28">
        <v>5</v>
      </c>
    </row>
    <row r="14" spans="1:14">
      <c r="A14" s="47" t="s">
        <v>1017</v>
      </c>
      <c r="B14" s="47">
        <v>16</v>
      </c>
      <c r="C14" s="47" t="s">
        <v>7</v>
      </c>
      <c r="D14" s="47">
        <v>1.6</v>
      </c>
      <c r="E14" s="50">
        <v>5.3</v>
      </c>
      <c r="F14" s="28">
        <v>5</v>
      </c>
    </row>
    <row r="15" spans="1:14">
      <c r="A15" s="47" t="s">
        <v>1018</v>
      </c>
      <c r="B15" s="47">
        <v>16</v>
      </c>
      <c r="C15" s="47" t="s">
        <v>7</v>
      </c>
      <c r="D15" s="47">
        <v>1.4</v>
      </c>
      <c r="E15" s="50">
        <v>4.3</v>
      </c>
      <c r="F15" s="28">
        <v>4</v>
      </c>
    </row>
    <row r="16" spans="1:14">
      <c r="A16" s="47" t="s">
        <v>1019</v>
      </c>
      <c r="B16" s="47">
        <v>15</v>
      </c>
      <c r="C16" s="47" t="s">
        <v>7</v>
      </c>
      <c r="D16" s="47">
        <v>0.8</v>
      </c>
      <c r="E16" s="50">
        <v>5.6</v>
      </c>
      <c r="F16" s="28">
        <v>5</v>
      </c>
    </row>
    <row r="17" spans="1:7">
      <c r="A17" s="47" t="s">
        <v>1020</v>
      </c>
      <c r="B17" s="47">
        <v>16</v>
      </c>
      <c r="C17" s="47" t="s">
        <v>7</v>
      </c>
      <c r="D17" s="47">
        <v>1.8</v>
      </c>
      <c r="E17" s="50">
        <v>5.8</v>
      </c>
      <c r="F17" s="28">
        <v>5</v>
      </c>
    </row>
    <row r="18" spans="1:7">
      <c r="A18" s="47" t="s">
        <v>1021</v>
      </c>
      <c r="B18" s="47">
        <v>16</v>
      </c>
      <c r="C18" s="47" t="s">
        <v>7</v>
      </c>
      <c r="D18" s="47">
        <v>1</v>
      </c>
      <c r="E18" s="50">
        <v>6.4</v>
      </c>
      <c r="F18" s="28">
        <v>3</v>
      </c>
      <c r="G18" t="s">
        <v>1022</v>
      </c>
    </row>
    <row r="19" spans="1:7">
      <c r="A19" s="47"/>
      <c r="B19" s="47"/>
      <c r="C19" s="47"/>
      <c r="D19" s="47"/>
      <c r="E19" s="50"/>
      <c r="F19" s="28"/>
    </row>
    <row r="20" spans="1:7">
      <c r="A20" s="47"/>
      <c r="B20" s="47"/>
      <c r="C20" s="47"/>
      <c r="D20" s="47"/>
      <c r="E20" s="50"/>
      <c r="F20" s="28"/>
    </row>
    <row r="21" spans="1:7">
      <c r="A21" s="47"/>
      <c r="B21" s="47"/>
      <c r="C21" s="47"/>
      <c r="D21" s="47"/>
      <c r="E21" s="50"/>
      <c r="F21" s="28"/>
    </row>
    <row r="22" spans="1:7">
      <c r="A22" s="47"/>
      <c r="B22" s="47"/>
      <c r="C22" s="47"/>
      <c r="D22" s="47"/>
      <c r="E22" s="50"/>
      <c r="F22" s="28"/>
    </row>
    <row r="23" spans="1:7">
      <c r="A23" s="47"/>
      <c r="B23" s="47"/>
      <c r="C23" s="47"/>
      <c r="D23" s="47"/>
      <c r="E23" s="50"/>
      <c r="F23" s="28"/>
    </row>
    <row r="24" spans="1:7">
      <c r="A24" s="47"/>
      <c r="B24" s="47"/>
      <c r="C24" s="47"/>
      <c r="D24" s="47"/>
      <c r="E24" s="50"/>
      <c r="F24" s="28"/>
    </row>
    <row r="25" spans="1:7">
      <c r="A25" s="47"/>
      <c r="B25" s="47"/>
      <c r="C25" s="47"/>
      <c r="D25" s="47"/>
      <c r="E25" s="50"/>
      <c r="F25" s="28"/>
    </row>
    <row r="26" spans="1:7">
      <c r="A26" s="47"/>
      <c r="B26" s="47"/>
      <c r="C26" s="47"/>
      <c r="D26" s="47"/>
      <c r="E26" s="50"/>
      <c r="F26" s="28"/>
    </row>
    <row r="27" spans="1:7">
      <c r="A27" s="47" t="s">
        <v>1023</v>
      </c>
      <c r="B27" s="47">
        <v>16</v>
      </c>
      <c r="C27" s="47" t="s">
        <v>28</v>
      </c>
      <c r="D27" s="47">
        <v>1.4</v>
      </c>
      <c r="E27" s="50">
        <v>8.6999999999999993</v>
      </c>
      <c r="F27" s="28">
        <v>5</v>
      </c>
    </row>
    <row r="28" spans="1:7">
      <c r="A28" s="47" t="s">
        <v>1024</v>
      </c>
      <c r="B28" s="47">
        <v>16</v>
      </c>
      <c r="C28" s="47" t="s">
        <v>7</v>
      </c>
      <c r="D28" s="47">
        <v>1.2</v>
      </c>
      <c r="E28" s="50">
        <v>8.5</v>
      </c>
      <c r="F28" s="28">
        <v>5</v>
      </c>
    </row>
    <row r="29" spans="1:7">
      <c r="A29" s="47" t="s">
        <v>1025</v>
      </c>
      <c r="B29" s="47">
        <v>15</v>
      </c>
      <c r="C29" s="47" t="s">
        <v>7</v>
      </c>
      <c r="D29" s="47">
        <v>1.3</v>
      </c>
      <c r="E29" s="50">
        <v>7.9</v>
      </c>
      <c r="F29" s="28">
        <v>5</v>
      </c>
    </row>
    <row r="30" spans="1:7">
      <c r="A30" s="47" t="s">
        <v>1026</v>
      </c>
      <c r="B30" s="47">
        <v>17</v>
      </c>
      <c r="C30" s="47" t="s">
        <v>28</v>
      </c>
      <c r="D30" s="47">
        <v>1.2</v>
      </c>
      <c r="E30" s="50">
        <v>7.6</v>
      </c>
      <c r="F30" s="28">
        <v>5</v>
      </c>
    </row>
    <row r="31" spans="1:7">
      <c r="A31" s="47" t="s">
        <v>1027</v>
      </c>
      <c r="B31" s="47">
        <v>17</v>
      </c>
      <c r="C31" s="47" t="s">
        <v>28</v>
      </c>
      <c r="D31" s="47">
        <v>1.3</v>
      </c>
      <c r="E31" s="50">
        <v>8</v>
      </c>
      <c r="F31" s="28">
        <v>5</v>
      </c>
    </row>
    <row r="32" spans="1:7">
      <c r="A32" s="47" t="s">
        <v>1028</v>
      </c>
      <c r="B32" s="47">
        <v>16</v>
      </c>
      <c r="C32" s="47" t="s">
        <v>28</v>
      </c>
      <c r="D32" s="47">
        <v>1.2</v>
      </c>
      <c r="E32" s="50">
        <v>6.9</v>
      </c>
      <c r="F32" s="28">
        <v>5</v>
      </c>
    </row>
    <row r="33" spans="1:6">
      <c r="A33" s="47" t="s">
        <v>1029</v>
      </c>
      <c r="B33" s="47">
        <v>16</v>
      </c>
      <c r="C33" s="47" t="s">
        <v>7</v>
      </c>
      <c r="D33" s="47">
        <v>1.6</v>
      </c>
      <c r="E33" s="50">
        <v>7.5</v>
      </c>
      <c r="F33" s="28">
        <v>5</v>
      </c>
    </row>
    <row r="34" spans="1:6">
      <c r="A34" s="47" t="s">
        <v>1030</v>
      </c>
      <c r="B34" s="47">
        <v>15</v>
      </c>
      <c r="C34" s="47" t="s">
        <v>7</v>
      </c>
      <c r="D34" s="47">
        <v>1.7</v>
      </c>
      <c r="E34" s="50">
        <v>8.6</v>
      </c>
      <c r="F34" s="28">
        <v>5</v>
      </c>
    </row>
    <row r="35" spans="1:6">
      <c r="A35" s="47" t="s">
        <v>1031</v>
      </c>
      <c r="B35" s="47">
        <v>17</v>
      </c>
      <c r="C35" s="47" t="s">
        <v>7</v>
      </c>
      <c r="D35" s="47">
        <v>1.5</v>
      </c>
      <c r="E35" s="50">
        <v>7.7</v>
      </c>
      <c r="F35" s="28">
        <v>5</v>
      </c>
    </row>
    <row r="36" spans="1:6">
      <c r="A36" s="47"/>
      <c r="B36" s="47"/>
      <c r="C36" s="47"/>
      <c r="D36" s="47"/>
      <c r="E36" s="50"/>
      <c r="F36" s="28"/>
    </row>
    <row r="37" spans="1:6">
      <c r="A37" s="47"/>
      <c r="B37" s="47"/>
      <c r="C37" s="47"/>
      <c r="D37" s="47"/>
      <c r="E37" s="50"/>
      <c r="F37" s="28"/>
    </row>
    <row r="38" spans="1:6">
      <c r="A38" s="47"/>
      <c r="B38" s="47"/>
      <c r="C38" s="47"/>
      <c r="D38" s="47"/>
      <c r="E38" s="50"/>
      <c r="F38" s="28"/>
    </row>
    <row r="39" spans="1:6">
      <c r="A39" s="47"/>
      <c r="B39" s="47"/>
      <c r="C39" s="47"/>
      <c r="D39" s="47"/>
      <c r="E39" s="50"/>
      <c r="F39" s="28"/>
    </row>
    <row r="40" spans="1:6">
      <c r="A40" s="47"/>
      <c r="B40" s="47"/>
      <c r="C40" s="47"/>
      <c r="D40" s="47"/>
      <c r="E40" s="50"/>
      <c r="F40" s="28"/>
    </row>
    <row r="41" spans="1:6">
      <c r="A41" s="47"/>
      <c r="B41" s="47"/>
      <c r="C41" s="47"/>
      <c r="D41" s="47"/>
      <c r="E41" s="50"/>
      <c r="F41" s="28"/>
    </row>
    <row r="42" spans="1:6">
      <c r="A42" s="47" t="s">
        <v>1032</v>
      </c>
      <c r="B42" s="47">
        <v>17</v>
      </c>
      <c r="C42" s="47" t="s">
        <v>7</v>
      </c>
      <c r="D42" s="47">
        <v>1.7</v>
      </c>
      <c r="E42" s="50">
        <v>17</v>
      </c>
      <c r="F42" s="28">
        <v>5</v>
      </c>
    </row>
    <row r="43" spans="1:6">
      <c r="A43" s="47" t="s">
        <v>1033</v>
      </c>
      <c r="B43" s="47">
        <v>18</v>
      </c>
      <c r="C43" s="47" t="s">
        <v>7</v>
      </c>
      <c r="D43" s="47">
        <v>1.2</v>
      </c>
      <c r="E43" s="50">
        <v>18</v>
      </c>
      <c r="F43" s="28">
        <v>5</v>
      </c>
    </row>
    <row r="44" spans="1:6">
      <c r="A44" s="47"/>
      <c r="B44" s="47"/>
      <c r="C44" s="47"/>
      <c r="D44" s="47"/>
      <c r="E44" s="50"/>
      <c r="F44" s="28"/>
    </row>
    <row r="45" spans="1:6">
      <c r="A45" s="47" t="s">
        <v>1034</v>
      </c>
      <c r="B45" s="47">
        <v>16</v>
      </c>
      <c r="C45" s="47" t="s">
        <v>7</v>
      </c>
      <c r="D45" s="47">
        <v>1.5</v>
      </c>
      <c r="E45" s="50">
        <v>6.9</v>
      </c>
      <c r="F45" s="28">
        <v>5</v>
      </c>
    </row>
    <row r="46" spans="1:6">
      <c r="A46" s="47" t="s">
        <v>1035</v>
      </c>
      <c r="B46" s="47">
        <v>16</v>
      </c>
      <c r="C46" s="47" t="s">
        <v>7</v>
      </c>
      <c r="D46" s="47">
        <v>1.4</v>
      </c>
      <c r="E46" s="50">
        <v>6.8</v>
      </c>
      <c r="F46" s="28">
        <v>5</v>
      </c>
    </row>
    <row r="47" spans="1:6">
      <c r="A47" s="47" t="s">
        <v>1036</v>
      </c>
      <c r="B47" s="47">
        <v>14</v>
      </c>
      <c r="C47" s="47" t="s">
        <v>7</v>
      </c>
      <c r="D47" s="47">
        <v>1.8</v>
      </c>
      <c r="E47" s="50">
        <v>6.6</v>
      </c>
      <c r="F47" s="28">
        <v>5</v>
      </c>
    </row>
    <row r="48" spans="1:6">
      <c r="A48" s="47" t="s">
        <v>1037</v>
      </c>
      <c r="B48" s="47">
        <v>16</v>
      </c>
      <c r="C48" s="47" t="s">
        <v>7</v>
      </c>
      <c r="D48" s="47">
        <v>1.4</v>
      </c>
      <c r="E48" s="50">
        <v>6.8</v>
      </c>
      <c r="F48" s="28">
        <v>5</v>
      </c>
    </row>
    <row r="49" spans="1:6">
      <c r="A49" s="47" t="s">
        <v>1038</v>
      </c>
      <c r="B49" s="47">
        <v>16</v>
      </c>
      <c r="C49" s="47" t="s">
        <v>7</v>
      </c>
      <c r="D49" s="47">
        <v>1.7</v>
      </c>
      <c r="E49" s="50">
        <v>6.7</v>
      </c>
      <c r="F49" s="28">
        <v>5</v>
      </c>
    </row>
    <row r="50" spans="1:6">
      <c r="A50" s="47"/>
      <c r="B50" s="47"/>
      <c r="C50" s="47"/>
      <c r="D50" s="47"/>
      <c r="E50" s="50"/>
      <c r="F50" s="28"/>
    </row>
    <row r="51" spans="1:6">
      <c r="A51" s="47" t="s">
        <v>1039</v>
      </c>
      <c r="B51" s="47">
        <v>16</v>
      </c>
      <c r="C51" s="47" t="s">
        <v>7</v>
      </c>
      <c r="D51" s="47">
        <v>1.5</v>
      </c>
      <c r="E51" s="50">
        <v>6.2</v>
      </c>
      <c r="F51" s="46">
        <v>5</v>
      </c>
    </row>
    <row r="52" spans="1:6">
      <c r="A52" s="47" t="s">
        <v>1040</v>
      </c>
      <c r="B52" s="47">
        <v>16</v>
      </c>
      <c r="C52" s="47" t="s">
        <v>7</v>
      </c>
      <c r="D52" s="47">
        <v>1.4</v>
      </c>
      <c r="E52" s="50">
        <v>6.7</v>
      </c>
      <c r="F52" s="46">
        <v>5</v>
      </c>
    </row>
    <row r="53" spans="1:6">
      <c r="A53" s="47" t="s">
        <v>1041</v>
      </c>
      <c r="B53" s="47">
        <v>16</v>
      </c>
      <c r="C53" s="47" t="s">
        <v>7</v>
      </c>
      <c r="D53" s="47">
        <v>1.3</v>
      </c>
      <c r="E53" s="50">
        <v>6.3</v>
      </c>
      <c r="F53" s="46">
        <v>5</v>
      </c>
    </row>
    <row r="54" spans="1:6">
      <c r="A54" s="47" t="s">
        <v>1042</v>
      </c>
      <c r="B54" s="47">
        <v>14</v>
      </c>
      <c r="C54" s="47" t="s">
        <v>7</v>
      </c>
      <c r="D54" s="47">
        <v>1.6</v>
      </c>
      <c r="E54" s="50">
        <v>5.8</v>
      </c>
      <c r="F54" s="46">
        <v>5</v>
      </c>
    </row>
    <row r="55" spans="1:6">
      <c r="A55" s="47" t="s">
        <v>1043</v>
      </c>
      <c r="B55" s="47">
        <v>16</v>
      </c>
      <c r="C55" s="47" t="s">
        <v>7</v>
      </c>
      <c r="D55" s="47">
        <v>1.6</v>
      </c>
      <c r="E55" s="50">
        <v>6.7</v>
      </c>
      <c r="F55" s="46">
        <v>5</v>
      </c>
    </row>
    <row r="56" spans="1:6">
      <c r="A56" s="47" t="s">
        <v>1044</v>
      </c>
      <c r="B56" s="47">
        <v>17</v>
      </c>
      <c r="C56" s="47" t="s">
        <v>28</v>
      </c>
      <c r="D56" s="47">
        <v>1.6</v>
      </c>
      <c r="E56" s="50">
        <v>8</v>
      </c>
      <c r="F56" s="46">
        <v>5</v>
      </c>
    </row>
    <row r="57" spans="1:6">
      <c r="A57" s="47" t="s">
        <v>1045</v>
      </c>
      <c r="B57" s="47">
        <v>16</v>
      </c>
      <c r="C57" s="47" t="s">
        <v>7</v>
      </c>
      <c r="D57" s="47">
        <v>1.5</v>
      </c>
      <c r="E57" s="50">
        <v>7.5</v>
      </c>
      <c r="F57" s="46">
        <v>5</v>
      </c>
    </row>
    <row r="58" spans="1:6">
      <c r="A58" s="47" t="s">
        <v>1046</v>
      </c>
      <c r="B58" s="47">
        <v>17</v>
      </c>
      <c r="C58" s="47" t="s">
        <v>7</v>
      </c>
      <c r="D58" s="47">
        <v>1.5</v>
      </c>
      <c r="E58" s="50">
        <v>6.9</v>
      </c>
      <c r="F58" s="46">
        <v>5</v>
      </c>
    </row>
    <row r="59" spans="1:6">
      <c r="A59" s="47" t="s">
        <v>1047</v>
      </c>
      <c r="B59" s="47">
        <v>16</v>
      </c>
      <c r="C59" s="47" t="s">
        <v>7</v>
      </c>
      <c r="D59" s="47">
        <v>1.4</v>
      </c>
      <c r="E59" s="50">
        <v>6.8</v>
      </c>
      <c r="F59" s="46">
        <v>5</v>
      </c>
    </row>
    <row r="60" spans="1:6">
      <c r="A60" s="47"/>
      <c r="B60" s="47"/>
      <c r="C60" s="47"/>
      <c r="D60" s="47"/>
      <c r="E60" s="50"/>
      <c r="F60" s="28"/>
    </row>
    <row r="61" spans="1:6">
      <c r="A61" s="47"/>
      <c r="B61" s="47"/>
      <c r="C61" s="47"/>
      <c r="D61" s="47"/>
      <c r="E61" s="50"/>
      <c r="F61" s="28"/>
    </row>
    <row r="62" spans="1:6">
      <c r="A62" s="47"/>
      <c r="B62" s="47"/>
      <c r="C62" s="47"/>
      <c r="D62" s="47"/>
      <c r="E62" s="50"/>
      <c r="F62" s="28"/>
    </row>
    <row r="63" spans="1:6">
      <c r="A63" s="47"/>
      <c r="B63" s="47"/>
      <c r="C63" s="47"/>
      <c r="D63" s="47"/>
      <c r="E63" s="50"/>
      <c r="F63" s="28"/>
    </row>
    <row r="64" spans="1:6">
      <c r="A64" s="47" t="s">
        <v>1048</v>
      </c>
      <c r="B64" s="47">
        <v>15</v>
      </c>
      <c r="C64" s="47" t="s">
        <v>7</v>
      </c>
      <c r="D64" s="47">
        <v>1.8</v>
      </c>
      <c r="E64" s="50">
        <v>7.2</v>
      </c>
      <c r="F64" s="28">
        <v>5</v>
      </c>
    </row>
    <row r="65" spans="1:6">
      <c r="A65" s="47" t="s">
        <v>1049</v>
      </c>
      <c r="B65" s="47">
        <v>17</v>
      </c>
      <c r="C65" s="47" t="s">
        <v>7</v>
      </c>
      <c r="D65" s="47">
        <v>1.7</v>
      </c>
      <c r="E65" s="50">
        <v>8.6999999999999993</v>
      </c>
      <c r="F65" s="28">
        <v>5</v>
      </c>
    </row>
    <row r="66" spans="1:6">
      <c r="A66" s="47" t="s">
        <v>1050</v>
      </c>
      <c r="B66" s="47">
        <v>17</v>
      </c>
      <c r="C66" s="47" t="s">
        <v>7</v>
      </c>
      <c r="D66" s="47">
        <v>1.8</v>
      </c>
      <c r="E66" s="50">
        <v>9.6999999999999993</v>
      </c>
      <c r="F66" s="28">
        <v>5</v>
      </c>
    </row>
    <row r="67" spans="1:6">
      <c r="A67" s="47" t="s">
        <v>1051</v>
      </c>
      <c r="B67" s="47">
        <v>16</v>
      </c>
      <c r="C67" s="47" t="s">
        <v>7</v>
      </c>
      <c r="D67" s="47">
        <v>1.7</v>
      </c>
      <c r="E67" s="50">
        <v>9</v>
      </c>
      <c r="F67" s="28">
        <v>5</v>
      </c>
    </row>
    <row r="68" spans="1:6">
      <c r="A68" s="47" t="s">
        <v>1052</v>
      </c>
      <c r="B68" s="47">
        <v>14</v>
      </c>
      <c r="C68" s="47" t="s">
        <v>7</v>
      </c>
      <c r="D68" s="47">
        <v>1.5</v>
      </c>
      <c r="E68" s="50">
        <v>8.6</v>
      </c>
      <c r="F68" s="28">
        <v>5</v>
      </c>
    </row>
    <row r="69" spans="1:6">
      <c r="A69" s="47" t="s">
        <v>1053</v>
      </c>
      <c r="B69" s="47">
        <v>18</v>
      </c>
      <c r="C69" s="47" t="s">
        <v>7</v>
      </c>
      <c r="D69" s="47">
        <v>1.6</v>
      </c>
      <c r="E69" s="50">
        <v>8.5</v>
      </c>
      <c r="F69" s="28">
        <v>5</v>
      </c>
    </row>
    <row r="70" spans="1:6">
      <c r="A70" s="47" t="s">
        <v>1054</v>
      </c>
      <c r="B70" s="47">
        <v>14</v>
      </c>
      <c r="C70" s="47" t="s">
        <v>7</v>
      </c>
      <c r="D70" s="47">
        <v>1.8</v>
      </c>
      <c r="E70" s="50">
        <v>10.6</v>
      </c>
      <c r="F70" s="28">
        <v>5</v>
      </c>
    </row>
    <row r="71" spans="1:6">
      <c r="A71" s="47" t="s">
        <v>1055</v>
      </c>
      <c r="B71" s="47">
        <v>14</v>
      </c>
      <c r="C71" s="47" t="s">
        <v>7</v>
      </c>
      <c r="D71" s="47">
        <v>1.4</v>
      </c>
      <c r="E71" s="50">
        <v>8.9</v>
      </c>
      <c r="F71" s="28">
        <v>5</v>
      </c>
    </row>
    <row r="72" spans="1:6">
      <c r="A72" s="47" t="s">
        <v>1056</v>
      </c>
      <c r="B72" s="47">
        <v>17</v>
      </c>
      <c r="C72" s="47" t="s">
        <v>7</v>
      </c>
      <c r="D72" s="47">
        <v>1.6</v>
      </c>
      <c r="E72" s="50">
        <v>7.8</v>
      </c>
      <c r="F72" s="28">
        <v>5</v>
      </c>
    </row>
    <row r="73" spans="1:6">
      <c r="A73" s="47"/>
      <c r="B73" s="47"/>
      <c r="C73" s="47"/>
      <c r="D73" s="47"/>
      <c r="E73" s="50"/>
      <c r="F73" s="28"/>
    </row>
    <row r="74" spans="1:6">
      <c r="A74" s="47"/>
      <c r="B74" s="47"/>
      <c r="C74" s="47"/>
      <c r="D74" s="47"/>
      <c r="E74" s="50"/>
      <c r="F74" s="28"/>
    </row>
    <row r="75" spans="1:6" ht="15" thickBot="1">
      <c r="A75" s="47"/>
      <c r="B75" s="47"/>
      <c r="C75" s="47"/>
      <c r="D75" s="47"/>
      <c r="E75" s="50"/>
      <c r="F75" s="52"/>
    </row>
    <row r="76" spans="1:6">
      <c r="A76" s="47"/>
      <c r="B76" s="44"/>
      <c r="C76" s="44"/>
      <c r="D76" s="44"/>
      <c r="E76" s="44"/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EAF6-1D04-48F1-9893-BB977BAEB305}">
  <dimension ref="A1:N93"/>
  <sheetViews>
    <sheetView topLeftCell="A7" workbookViewId="0">
      <selection activeCell="F31" sqref="F31"/>
    </sheetView>
  </sheetViews>
  <sheetFormatPr defaultRowHeight="14.45"/>
  <cols>
    <col min="3" max="3" width="12.140625" customWidth="1"/>
    <col min="4" max="4" width="12.7109375" customWidth="1"/>
    <col min="5" max="5" width="13.85546875" customWidth="1"/>
    <col min="6" max="6" width="18.7109375" customWidth="1"/>
    <col min="9" max="9" width="12" customWidth="1"/>
    <col min="10" max="10" width="14.85546875" customWidth="1"/>
    <col min="11" max="11" width="15.28515625" customWidth="1"/>
  </cols>
  <sheetData>
    <row r="1" spans="1:14">
      <c r="F1" t="s">
        <v>639</v>
      </c>
    </row>
    <row r="2" spans="1:14">
      <c r="A2" s="53" t="s">
        <v>1</v>
      </c>
      <c r="B2" s="53" t="s">
        <v>641</v>
      </c>
      <c r="C2" s="53" t="s">
        <v>3</v>
      </c>
      <c r="D2" s="53" t="s">
        <v>4</v>
      </c>
      <c r="E2" s="53" t="s">
        <v>5</v>
      </c>
      <c r="F2" s="11" t="s">
        <v>640</v>
      </c>
      <c r="H2" s="53"/>
      <c r="I2" s="53"/>
      <c r="J2" s="53">
        <v>3</v>
      </c>
      <c r="K2" s="53"/>
      <c r="L2" s="53"/>
      <c r="M2" s="53"/>
      <c r="N2" s="53"/>
    </row>
    <row r="3" spans="1:14">
      <c r="A3" s="53" t="s">
        <v>1057</v>
      </c>
      <c r="B3" s="53">
        <v>16</v>
      </c>
      <c r="C3" s="53" t="s">
        <v>7</v>
      </c>
      <c r="D3" s="53">
        <v>1.6</v>
      </c>
      <c r="E3" s="53">
        <v>6.8</v>
      </c>
      <c r="F3" s="11">
        <v>4</v>
      </c>
      <c r="H3" s="53"/>
      <c r="I3" s="53" t="s">
        <v>641</v>
      </c>
      <c r="J3" s="53" t="s">
        <v>3</v>
      </c>
      <c r="K3" s="53" t="s">
        <v>4</v>
      </c>
      <c r="L3" s="53" t="s">
        <v>5</v>
      </c>
      <c r="M3" s="53" t="s">
        <v>640</v>
      </c>
      <c r="N3" s="53"/>
    </row>
    <row r="4" spans="1:14">
      <c r="A4" s="53" t="s">
        <v>1058</v>
      </c>
      <c r="B4" s="53">
        <v>18</v>
      </c>
      <c r="C4" s="53" t="s">
        <v>7</v>
      </c>
      <c r="D4" s="53">
        <v>1.6</v>
      </c>
      <c r="E4" s="53">
        <v>7.8</v>
      </c>
      <c r="F4" s="11">
        <v>5</v>
      </c>
      <c r="H4" s="53" t="s">
        <v>643</v>
      </c>
      <c r="I4" s="53">
        <v>85.7</v>
      </c>
      <c r="J4" s="53">
        <v>89.3</v>
      </c>
      <c r="K4" s="53">
        <v>85.7</v>
      </c>
      <c r="L4" s="53">
        <v>39.200000000000003</v>
      </c>
      <c r="M4" s="53">
        <f>AVERAGE(F3:F30)*20</f>
        <v>97.857142857142861</v>
      </c>
      <c r="N4" s="53">
        <f t="shared" ref="N4:N9" si="0">SUM(I4:M4)/5</f>
        <v>79.551428571428573</v>
      </c>
    </row>
    <row r="5" spans="1:14">
      <c r="A5" s="53" t="s">
        <v>1059</v>
      </c>
      <c r="B5" s="53">
        <v>16</v>
      </c>
      <c r="C5" s="53" t="s">
        <v>7</v>
      </c>
      <c r="D5" s="53">
        <v>1.2</v>
      </c>
      <c r="E5" s="53">
        <v>7.7</v>
      </c>
      <c r="F5" s="11">
        <v>5</v>
      </c>
      <c r="H5" s="53" t="s">
        <v>645</v>
      </c>
      <c r="I5" s="53">
        <v>84.2</v>
      </c>
      <c r="J5" s="53">
        <v>89.5</v>
      </c>
      <c r="K5" s="53">
        <v>94.7</v>
      </c>
      <c r="L5" s="53">
        <v>94.7</v>
      </c>
      <c r="M5" s="53">
        <f>AVERAGE(F32:F50)*20</f>
        <v>98.94736842105263</v>
      </c>
      <c r="N5" s="53">
        <f t="shared" si="0"/>
        <v>92.409473684210525</v>
      </c>
    </row>
    <row r="6" spans="1:14">
      <c r="A6" s="53" t="s">
        <v>1060</v>
      </c>
      <c r="B6" s="53">
        <v>16</v>
      </c>
      <c r="C6" s="53" t="s">
        <v>7</v>
      </c>
      <c r="D6" s="53">
        <v>1.6</v>
      </c>
      <c r="E6" s="53">
        <v>8</v>
      </c>
      <c r="F6" s="11">
        <v>5</v>
      </c>
      <c r="H6" s="53" t="s">
        <v>647</v>
      </c>
      <c r="I6" s="53">
        <v>100</v>
      </c>
      <c r="J6" s="53">
        <v>100</v>
      </c>
      <c r="K6" s="53">
        <v>100</v>
      </c>
      <c r="L6" s="53">
        <v>100</v>
      </c>
      <c r="M6" s="53">
        <f>AVERAGE(F52:F53)*20</f>
        <v>100</v>
      </c>
      <c r="N6" s="53">
        <f t="shared" si="0"/>
        <v>100</v>
      </c>
    </row>
    <row r="7" spans="1:14">
      <c r="A7" s="53" t="s">
        <v>1061</v>
      </c>
      <c r="B7" s="53">
        <v>16</v>
      </c>
      <c r="C7" s="53" t="s">
        <v>7</v>
      </c>
      <c r="D7" s="53">
        <v>1.8</v>
      </c>
      <c r="E7" s="53">
        <v>8</v>
      </c>
      <c r="F7" s="11">
        <v>5</v>
      </c>
      <c r="H7" s="53" t="s">
        <v>649</v>
      </c>
      <c r="I7" s="53">
        <v>100</v>
      </c>
      <c r="J7" s="53">
        <v>100</v>
      </c>
      <c r="K7" s="53">
        <v>100</v>
      </c>
      <c r="L7" s="53">
        <v>40</v>
      </c>
      <c r="M7" s="53">
        <f>AVERAGE(F55:F59)*20</f>
        <v>92</v>
      </c>
      <c r="N7" s="53">
        <f t="shared" si="0"/>
        <v>86.4</v>
      </c>
    </row>
    <row r="8" spans="1:14">
      <c r="A8" s="53" t="s">
        <v>1062</v>
      </c>
      <c r="B8" s="53">
        <v>16</v>
      </c>
      <c r="C8" s="53" t="s">
        <v>7</v>
      </c>
      <c r="D8" s="53">
        <v>1.2</v>
      </c>
      <c r="E8" s="53">
        <v>6.8</v>
      </c>
      <c r="F8" s="11">
        <v>5</v>
      </c>
      <c r="H8" s="53" t="s">
        <v>651</v>
      </c>
      <c r="I8" s="53">
        <v>100</v>
      </c>
      <c r="J8" s="53">
        <v>100</v>
      </c>
      <c r="K8" s="53">
        <v>93.3</v>
      </c>
      <c r="L8" s="53">
        <v>0</v>
      </c>
      <c r="M8" s="53">
        <f>AVERAGE(F61:F75)*20</f>
        <v>100</v>
      </c>
      <c r="N8" s="53">
        <f>SUM(I8:M8)/5</f>
        <v>78.66</v>
      </c>
    </row>
    <row r="9" spans="1:14">
      <c r="A9" s="53" t="s">
        <v>1063</v>
      </c>
      <c r="B9" s="53">
        <v>14</v>
      </c>
      <c r="C9" s="53" t="s">
        <v>7</v>
      </c>
      <c r="D9" s="53">
        <v>1</v>
      </c>
      <c r="E9" s="53">
        <v>6</v>
      </c>
      <c r="F9" s="11">
        <v>4</v>
      </c>
      <c r="H9" s="53" t="s">
        <v>653</v>
      </c>
      <c r="I9" s="53">
        <v>76.5</v>
      </c>
      <c r="J9" s="53">
        <v>100</v>
      </c>
      <c r="K9" s="53">
        <v>76.5</v>
      </c>
      <c r="L9" s="53">
        <v>76.5</v>
      </c>
      <c r="M9" s="53">
        <f>AVERAGE(F77:F93)*20</f>
        <v>100</v>
      </c>
      <c r="N9" s="53">
        <f t="shared" si="0"/>
        <v>85.9</v>
      </c>
    </row>
    <row r="10" spans="1:14">
      <c r="A10" s="53" t="s">
        <v>1064</v>
      </c>
      <c r="B10" s="53">
        <v>18</v>
      </c>
      <c r="C10" s="53" t="s">
        <v>7</v>
      </c>
      <c r="D10" s="53">
        <v>1.4</v>
      </c>
      <c r="E10" s="53">
        <v>7.3</v>
      </c>
      <c r="F10" s="11">
        <v>5</v>
      </c>
      <c r="H10" s="53"/>
      <c r="I10" s="53"/>
      <c r="J10" s="53"/>
      <c r="K10" s="53"/>
      <c r="L10" s="53"/>
      <c r="M10" s="53"/>
      <c r="N10" s="53"/>
    </row>
    <row r="11" spans="1:14">
      <c r="A11" s="53" t="s">
        <v>1065</v>
      </c>
      <c r="B11" s="53">
        <v>17</v>
      </c>
      <c r="C11" s="53" t="s">
        <v>7</v>
      </c>
      <c r="D11" s="53">
        <v>1.4</v>
      </c>
      <c r="E11" s="53">
        <v>7.2</v>
      </c>
      <c r="F11" s="11">
        <v>5</v>
      </c>
      <c r="H11" s="53"/>
      <c r="I11" s="53" t="s">
        <v>656</v>
      </c>
      <c r="J11" s="53" t="s">
        <v>657</v>
      </c>
      <c r="K11" s="53" t="s">
        <v>658</v>
      </c>
      <c r="L11" s="53" t="s">
        <v>659</v>
      </c>
      <c r="M11" s="53">
        <v>0.05</v>
      </c>
      <c r="N11" s="53"/>
    </row>
    <row r="12" spans="1:14">
      <c r="A12" s="53" t="s">
        <v>1066</v>
      </c>
      <c r="B12" s="53">
        <v>16</v>
      </c>
      <c r="C12" s="53" t="s">
        <v>7</v>
      </c>
      <c r="D12" s="53">
        <v>1.2</v>
      </c>
      <c r="E12" s="53">
        <v>6.8</v>
      </c>
      <c r="F12" s="11">
        <v>5</v>
      </c>
    </row>
    <row r="13" spans="1:14">
      <c r="A13" s="53" t="s">
        <v>1067</v>
      </c>
      <c r="B13" s="53">
        <v>16</v>
      </c>
      <c r="C13" s="53" t="s">
        <v>7</v>
      </c>
      <c r="D13" s="53">
        <v>1.5</v>
      </c>
      <c r="E13" s="53">
        <v>6.7</v>
      </c>
      <c r="F13" s="11">
        <v>5</v>
      </c>
    </row>
    <row r="14" spans="1:14">
      <c r="A14" s="53" t="s">
        <v>1068</v>
      </c>
      <c r="B14" s="53">
        <v>16</v>
      </c>
      <c r="C14" s="53" t="s">
        <v>7</v>
      </c>
      <c r="D14" s="53">
        <v>1.7</v>
      </c>
      <c r="E14" s="53">
        <v>6.8</v>
      </c>
      <c r="F14" s="11">
        <v>5</v>
      </c>
    </row>
    <row r="15" spans="1:14">
      <c r="A15" s="53" t="s">
        <v>1069</v>
      </c>
      <c r="B15" s="53">
        <v>16</v>
      </c>
      <c r="C15" s="53" t="s">
        <v>7</v>
      </c>
      <c r="D15" s="53">
        <v>1.3</v>
      </c>
      <c r="E15" s="53">
        <v>7.2</v>
      </c>
      <c r="F15" s="11">
        <v>5</v>
      </c>
    </row>
    <row r="16" spans="1:14">
      <c r="A16" s="53" t="s">
        <v>1070</v>
      </c>
      <c r="B16" s="53">
        <v>15</v>
      </c>
      <c r="C16" s="53" t="s">
        <v>7</v>
      </c>
      <c r="D16" s="53">
        <v>1.3</v>
      </c>
      <c r="E16" s="53">
        <v>6.7</v>
      </c>
      <c r="F16" s="11">
        <v>5</v>
      </c>
    </row>
    <row r="17" spans="1:6">
      <c r="A17" s="53" t="s">
        <v>1071</v>
      </c>
      <c r="B17" s="53">
        <v>16</v>
      </c>
      <c r="C17" s="53" t="s">
        <v>7</v>
      </c>
      <c r="D17" s="53">
        <v>1.2</v>
      </c>
      <c r="E17" s="53">
        <v>5.4</v>
      </c>
      <c r="F17" s="11">
        <v>4</v>
      </c>
    </row>
    <row r="18" spans="1:6">
      <c r="A18" s="53" t="s">
        <v>1072</v>
      </c>
      <c r="B18" s="53">
        <v>17</v>
      </c>
      <c r="C18" s="53" t="s">
        <v>7</v>
      </c>
      <c r="D18" s="53">
        <v>1.1000000000000001</v>
      </c>
      <c r="E18" s="53">
        <v>7</v>
      </c>
      <c r="F18" s="11">
        <v>5</v>
      </c>
    </row>
    <row r="19" spans="1:6">
      <c r="A19" s="53" t="s">
        <v>1073</v>
      </c>
      <c r="B19" s="53">
        <v>16</v>
      </c>
      <c r="C19" s="53" t="s">
        <v>7</v>
      </c>
      <c r="D19" s="53">
        <v>1.3</v>
      </c>
      <c r="E19" s="53">
        <v>6</v>
      </c>
      <c r="F19" s="11">
        <v>5</v>
      </c>
    </row>
    <row r="20" spans="1:6">
      <c r="A20" s="53" t="s">
        <v>1074</v>
      </c>
      <c r="B20" s="53">
        <v>16</v>
      </c>
      <c r="C20" s="53" t="s">
        <v>7</v>
      </c>
      <c r="D20" s="53">
        <v>1.8</v>
      </c>
      <c r="E20" s="53">
        <v>6.6</v>
      </c>
      <c r="F20" s="11">
        <v>5</v>
      </c>
    </row>
    <row r="21" spans="1:6">
      <c r="A21" s="53" t="s">
        <v>1075</v>
      </c>
      <c r="B21" s="53">
        <v>16</v>
      </c>
      <c r="C21" s="53" t="s">
        <v>7</v>
      </c>
      <c r="D21" s="53">
        <v>1.7</v>
      </c>
      <c r="E21" s="53">
        <v>6.7</v>
      </c>
      <c r="F21" s="11">
        <v>5</v>
      </c>
    </row>
    <row r="22" spans="1:6">
      <c r="A22" s="53" t="s">
        <v>1076</v>
      </c>
      <c r="B22" s="53">
        <v>16</v>
      </c>
      <c r="C22" s="53" t="s">
        <v>7</v>
      </c>
      <c r="D22" s="53">
        <v>1.2</v>
      </c>
      <c r="E22" s="53">
        <v>6</v>
      </c>
      <c r="F22" s="11">
        <v>5</v>
      </c>
    </row>
    <row r="23" spans="1:6">
      <c r="A23" s="53" t="s">
        <v>1077</v>
      </c>
      <c r="B23" s="53">
        <v>15</v>
      </c>
      <c r="C23" s="53" t="s">
        <v>7</v>
      </c>
      <c r="D23" s="53">
        <v>1</v>
      </c>
      <c r="E23" s="53">
        <v>6.3</v>
      </c>
      <c r="F23" s="11">
        <v>5</v>
      </c>
    </row>
    <row r="24" spans="1:6">
      <c r="A24" s="53" t="s">
        <v>1078</v>
      </c>
      <c r="B24" s="53">
        <v>16</v>
      </c>
      <c r="C24" s="53" t="s">
        <v>7</v>
      </c>
      <c r="D24" s="53">
        <v>1.2</v>
      </c>
      <c r="E24" s="53">
        <v>6.4</v>
      </c>
      <c r="F24" s="11">
        <v>5</v>
      </c>
    </row>
    <row r="25" spans="1:6">
      <c r="A25" s="53" t="s">
        <v>1079</v>
      </c>
      <c r="B25" s="53">
        <v>15</v>
      </c>
      <c r="C25" s="53" t="s">
        <v>7</v>
      </c>
      <c r="D25" s="53">
        <v>0.7</v>
      </c>
      <c r="E25" s="53">
        <v>6.1</v>
      </c>
      <c r="F25" s="11">
        <v>5</v>
      </c>
    </row>
    <row r="26" spans="1:6">
      <c r="A26" s="53" t="s">
        <v>1080</v>
      </c>
      <c r="B26" s="53">
        <v>17</v>
      </c>
      <c r="C26" s="53" t="s">
        <v>28</v>
      </c>
      <c r="D26" s="53">
        <v>1.5</v>
      </c>
      <c r="E26" s="53">
        <v>8.8000000000000007</v>
      </c>
      <c r="F26" s="11">
        <v>5</v>
      </c>
    </row>
    <row r="27" spans="1:6">
      <c r="A27" s="53" t="s">
        <v>1081</v>
      </c>
      <c r="B27" s="53">
        <v>18</v>
      </c>
      <c r="C27" s="53" t="s">
        <v>28</v>
      </c>
      <c r="D27" s="53">
        <v>1</v>
      </c>
      <c r="E27" s="53">
        <v>7.4</v>
      </c>
      <c r="F27" s="11">
        <v>5</v>
      </c>
    </row>
    <row r="28" spans="1:6">
      <c r="A28" s="53" t="s">
        <v>1082</v>
      </c>
      <c r="B28" s="53">
        <v>16</v>
      </c>
      <c r="C28" s="53" t="s">
        <v>28</v>
      </c>
      <c r="D28" s="53">
        <v>1.8</v>
      </c>
      <c r="E28" s="53">
        <v>8.4</v>
      </c>
      <c r="F28" s="11">
        <v>5</v>
      </c>
    </row>
    <row r="29" spans="1:6">
      <c r="A29" s="53" t="s">
        <v>1083</v>
      </c>
      <c r="B29" s="53">
        <v>16</v>
      </c>
      <c r="C29" s="53" t="s">
        <v>7</v>
      </c>
      <c r="D29" s="53">
        <v>1.5</v>
      </c>
      <c r="E29" s="53">
        <v>6.6</v>
      </c>
      <c r="F29" s="11">
        <v>5</v>
      </c>
    </row>
    <row r="30" spans="1:6">
      <c r="A30" s="53" t="s">
        <v>1084</v>
      </c>
      <c r="B30" s="53">
        <v>14</v>
      </c>
      <c r="C30" s="53" t="s">
        <v>7</v>
      </c>
      <c r="D30" s="53">
        <v>1.5</v>
      </c>
      <c r="E30" s="53">
        <v>8</v>
      </c>
      <c r="F30" s="11">
        <v>5</v>
      </c>
    </row>
    <row r="31" spans="1:6">
      <c r="A31" s="53"/>
      <c r="B31" s="53"/>
      <c r="C31" s="53"/>
      <c r="D31" s="53"/>
      <c r="E31" s="53"/>
      <c r="F31" s="11"/>
    </row>
    <row r="32" spans="1:6">
      <c r="A32" s="53" t="s">
        <v>1085</v>
      </c>
      <c r="B32" s="53">
        <v>17</v>
      </c>
      <c r="C32" s="53" t="s">
        <v>7</v>
      </c>
      <c r="D32" s="53">
        <v>1.7</v>
      </c>
      <c r="E32" s="53">
        <v>8.6</v>
      </c>
      <c r="F32" s="11">
        <v>5</v>
      </c>
    </row>
    <row r="33" spans="1:6">
      <c r="A33" s="53" t="s">
        <v>1086</v>
      </c>
      <c r="B33" s="53">
        <v>16</v>
      </c>
      <c r="C33" s="53" t="s">
        <v>7</v>
      </c>
      <c r="D33" s="53">
        <v>1.6</v>
      </c>
      <c r="E33" s="53">
        <v>8.1999999999999993</v>
      </c>
      <c r="F33" s="11">
        <v>5</v>
      </c>
    </row>
    <row r="34" spans="1:6">
      <c r="A34" s="53" t="s">
        <v>1087</v>
      </c>
      <c r="B34" s="53">
        <v>17</v>
      </c>
      <c r="C34" s="53" t="s">
        <v>7</v>
      </c>
      <c r="D34" s="53">
        <v>1.5</v>
      </c>
      <c r="E34" s="53">
        <v>8.6999999999999993</v>
      </c>
      <c r="F34" s="11">
        <v>5</v>
      </c>
    </row>
    <row r="35" spans="1:6">
      <c r="A35" s="53" t="s">
        <v>1088</v>
      </c>
      <c r="B35" s="53">
        <v>16</v>
      </c>
      <c r="C35" s="53" t="s">
        <v>7</v>
      </c>
      <c r="D35" s="53">
        <v>1.8</v>
      </c>
      <c r="E35" s="53">
        <v>8.6999999999999993</v>
      </c>
      <c r="F35" s="11">
        <v>5</v>
      </c>
    </row>
    <row r="36" spans="1:6">
      <c r="A36" s="53" t="s">
        <v>1089</v>
      </c>
      <c r="B36" s="53">
        <v>17</v>
      </c>
      <c r="C36" s="53" t="s">
        <v>7</v>
      </c>
      <c r="D36" s="53">
        <v>1.7</v>
      </c>
      <c r="E36" s="53">
        <v>8.1999999999999993</v>
      </c>
      <c r="F36" s="11">
        <v>5</v>
      </c>
    </row>
    <row r="37" spans="1:6">
      <c r="A37" s="53" t="s">
        <v>1090</v>
      </c>
      <c r="B37" s="53">
        <v>15</v>
      </c>
      <c r="C37" s="53" t="s">
        <v>7</v>
      </c>
      <c r="D37" s="53">
        <v>2.5</v>
      </c>
      <c r="E37" s="53">
        <v>10.9</v>
      </c>
      <c r="F37" s="11">
        <v>5</v>
      </c>
    </row>
    <row r="38" spans="1:6">
      <c r="A38" s="53" t="s">
        <v>1091</v>
      </c>
      <c r="B38" s="53">
        <v>15</v>
      </c>
      <c r="C38" s="53" t="s">
        <v>7</v>
      </c>
      <c r="D38" s="53">
        <v>1.5</v>
      </c>
      <c r="E38" s="53">
        <v>7.7</v>
      </c>
      <c r="F38" s="11">
        <v>5</v>
      </c>
    </row>
    <row r="39" spans="1:6">
      <c r="A39" s="53" t="s">
        <v>1092</v>
      </c>
      <c r="B39" s="53">
        <v>16</v>
      </c>
      <c r="C39" s="53" t="s">
        <v>7</v>
      </c>
      <c r="D39" s="53">
        <v>1.2</v>
      </c>
      <c r="E39" s="53">
        <v>8</v>
      </c>
      <c r="F39" s="11">
        <v>5</v>
      </c>
    </row>
    <row r="40" spans="1:6">
      <c r="A40" s="53" t="s">
        <v>1093</v>
      </c>
      <c r="B40" s="53">
        <v>14</v>
      </c>
      <c r="C40" s="53" t="s">
        <v>7</v>
      </c>
      <c r="D40" s="53">
        <v>1.2</v>
      </c>
      <c r="E40" s="53">
        <v>7.8</v>
      </c>
      <c r="F40" s="11">
        <v>5</v>
      </c>
    </row>
    <row r="41" spans="1:6">
      <c r="A41" s="53" t="s">
        <v>1094</v>
      </c>
      <c r="B41" s="53">
        <v>16</v>
      </c>
      <c r="C41" s="53" t="s">
        <v>7</v>
      </c>
      <c r="D41" s="53">
        <v>1.9</v>
      </c>
      <c r="E41" s="53">
        <v>8.9</v>
      </c>
      <c r="F41" s="11">
        <v>5</v>
      </c>
    </row>
    <row r="42" spans="1:6">
      <c r="A42" s="53" t="s">
        <v>1095</v>
      </c>
      <c r="B42" s="53">
        <v>16</v>
      </c>
      <c r="C42" s="53" t="s">
        <v>7</v>
      </c>
      <c r="D42" s="53">
        <v>1.9</v>
      </c>
      <c r="E42" s="53">
        <v>10</v>
      </c>
      <c r="F42" s="11">
        <v>5</v>
      </c>
    </row>
    <row r="43" spans="1:6">
      <c r="A43" s="53" t="s">
        <v>1096</v>
      </c>
      <c r="B43" s="53">
        <v>16</v>
      </c>
      <c r="C43" s="53" t="s">
        <v>7</v>
      </c>
      <c r="D43" s="53">
        <v>1.3</v>
      </c>
      <c r="E43" s="53">
        <v>9.3000000000000007</v>
      </c>
      <c r="F43" s="11">
        <v>4</v>
      </c>
    </row>
    <row r="44" spans="1:6">
      <c r="A44" s="53" t="s">
        <v>1097</v>
      </c>
      <c r="B44" s="53">
        <v>16</v>
      </c>
      <c r="C44" s="53" t="s">
        <v>7</v>
      </c>
      <c r="D44" s="53">
        <v>1.8</v>
      </c>
      <c r="E44" s="53">
        <v>7.6</v>
      </c>
      <c r="F44" s="11">
        <v>5</v>
      </c>
    </row>
    <row r="45" spans="1:6">
      <c r="A45" s="53" t="s">
        <v>1098</v>
      </c>
      <c r="B45" s="53">
        <v>16</v>
      </c>
      <c r="C45" s="53" t="s">
        <v>7</v>
      </c>
      <c r="D45" s="53">
        <v>1.5</v>
      </c>
      <c r="E45" s="53">
        <v>8.3000000000000007</v>
      </c>
      <c r="F45" s="11">
        <v>5</v>
      </c>
    </row>
    <row r="46" spans="1:6">
      <c r="A46" s="53" t="s">
        <v>1099</v>
      </c>
      <c r="B46" s="53">
        <v>16</v>
      </c>
      <c r="C46" s="53" t="s">
        <v>7</v>
      </c>
      <c r="D46" s="53">
        <v>1.2</v>
      </c>
      <c r="E46" s="53">
        <v>7</v>
      </c>
      <c r="F46" s="11">
        <v>5</v>
      </c>
    </row>
    <row r="47" spans="1:6">
      <c r="A47" s="53" t="s">
        <v>1100</v>
      </c>
      <c r="B47" s="53">
        <v>16</v>
      </c>
      <c r="C47" s="53" t="s">
        <v>7</v>
      </c>
      <c r="D47" s="53">
        <v>1.7</v>
      </c>
      <c r="E47" s="53">
        <v>8.6</v>
      </c>
      <c r="F47" s="11">
        <v>5</v>
      </c>
    </row>
    <row r="48" spans="1:6">
      <c r="A48" s="53" t="s">
        <v>1101</v>
      </c>
      <c r="B48" s="53">
        <v>16</v>
      </c>
      <c r="C48" s="53" t="s">
        <v>7</v>
      </c>
      <c r="D48" s="53">
        <v>1.1000000000000001</v>
      </c>
      <c r="E48" s="53">
        <v>8.9</v>
      </c>
      <c r="F48" s="11">
        <v>5</v>
      </c>
    </row>
    <row r="49" spans="1:6">
      <c r="A49" s="53" t="s">
        <v>1102</v>
      </c>
      <c r="B49" s="53">
        <v>16</v>
      </c>
      <c r="C49" s="53" t="s">
        <v>28</v>
      </c>
      <c r="D49" s="53">
        <v>1.6</v>
      </c>
      <c r="E49" s="53">
        <v>6.8</v>
      </c>
      <c r="F49" s="11">
        <v>5</v>
      </c>
    </row>
    <row r="50" spans="1:6">
      <c r="A50" s="53" t="s">
        <v>1103</v>
      </c>
      <c r="B50" s="53">
        <v>16</v>
      </c>
      <c r="C50" s="53" t="s">
        <v>28</v>
      </c>
      <c r="D50" s="53">
        <v>1.5</v>
      </c>
      <c r="E50" s="53">
        <v>8.5</v>
      </c>
      <c r="F50" s="11">
        <v>5</v>
      </c>
    </row>
    <row r="51" spans="1:6">
      <c r="A51" s="53"/>
      <c r="B51" s="53"/>
      <c r="C51" s="53"/>
      <c r="D51" s="53"/>
      <c r="E51" s="53"/>
      <c r="F51" s="11"/>
    </row>
    <row r="52" spans="1:6">
      <c r="A52" s="53" t="s">
        <v>1104</v>
      </c>
      <c r="B52" s="53">
        <v>16</v>
      </c>
      <c r="C52" s="53" t="s">
        <v>7</v>
      </c>
      <c r="D52" s="53">
        <v>1.7</v>
      </c>
      <c r="E52" s="53">
        <v>7.3</v>
      </c>
      <c r="F52" s="11">
        <v>5</v>
      </c>
    </row>
    <row r="53" spans="1:6">
      <c r="A53" s="53" t="s">
        <v>1105</v>
      </c>
      <c r="B53" s="53">
        <v>16</v>
      </c>
      <c r="C53" s="53" t="s">
        <v>7</v>
      </c>
      <c r="D53" s="53">
        <v>1.6</v>
      </c>
      <c r="E53" s="53">
        <v>7.3</v>
      </c>
      <c r="F53" s="11">
        <v>5</v>
      </c>
    </row>
    <row r="54" spans="1:6">
      <c r="A54" s="53"/>
      <c r="B54" s="53"/>
      <c r="C54" s="53"/>
      <c r="D54" s="53"/>
      <c r="E54" s="53"/>
      <c r="F54" s="11"/>
    </row>
    <row r="55" spans="1:6">
      <c r="A55" s="53" t="s">
        <v>1106</v>
      </c>
      <c r="B55" s="53">
        <v>16</v>
      </c>
      <c r="C55" s="53" t="s">
        <v>7</v>
      </c>
      <c r="D55" s="53">
        <v>1.9</v>
      </c>
      <c r="E55" s="53">
        <v>7.3</v>
      </c>
      <c r="F55" s="54">
        <v>5</v>
      </c>
    </row>
    <row r="56" spans="1:6">
      <c r="A56" s="53" t="s">
        <v>1107</v>
      </c>
      <c r="B56" s="53">
        <v>16</v>
      </c>
      <c r="C56" s="53" t="s">
        <v>7</v>
      </c>
      <c r="D56" s="53">
        <v>1.7</v>
      </c>
      <c r="E56" s="53">
        <v>7</v>
      </c>
      <c r="F56" s="55">
        <v>5</v>
      </c>
    </row>
    <row r="57" spans="1:6">
      <c r="A57" s="53" t="s">
        <v>1108</v>
      </c>
      <c r="B57" s="53">
        <v>16</v>
      </c>
      <c r="C57" s="53" t="s">
        <v>7</v>
      </c>
      <c r="D57" s="53">
        <v>1.6</v>
      </c>
      <c r="E57" s="53">
        <v>6.6</v>
      </c>
      <c r="F57" s="55">
        <v>4</v>
      </c>
    </row>
    <row r="58" spans="1:6">
      <c r="A58" s="53" t="s">
        <v>1109</v>
      </c>
      <c r="B58" s="53">
        <v>17</v>
      </c>
      <c r="C58" s="53" t="s">
        <v>7</v>
      </c>
      <c r="D58" s="53">
        <v>1.4</v>
      </c>
      <c r="E58" s="53">
        <v>6.7</v>
      </c>
      <c r="F58" s="55">
        <v>4</v>
      </c>
    </row>
    <row r="59" spans="1:6">
      <c r="A59" s="53" t="s">
        <v>1110</v>
      </c>
      <c r="B59" s="53">
        <v>16</v>
      </c>
      <c r="C59" s="53" t="s">
        <v>7</v>
      </c>
      <c r="D59" s="53">
        <v>1.1000000000000001</v>
      </c>
      <c r="E59" s="53">
        <v>7.4</v>
      </c>
      <c r="F59" s="55">
        <v>5</v>
      </c>
    </row>
    <row r="60" spans="1:6">
      <c r="A60" s="53"/>
      <c r="B60" s="53"/>
      <c r="C60" s="53"/>
      <c r="D60" s="53"/>
      <c r="E60" s="53"/>
      <c r="F60" s="11"/>
    </row>
    <row r="61" spans="1:6">
      <c r="A61" s="53" t="s">
        <v>1111</v>
      </c>
      <c r="B61" s="53">
        <v>16</v>
      </c>
      <c r="C61" s="53" t="s">
        <v>7</v>
      </c>
      <c r="D61" s="53">
        <v>1.8</v>
      </c>
      <c r="E61" s="53">
        <v>6.2</v>
      </c>
      <c r="F61" s="11">
        <v>5</v>
      </c>
    </row>
    <row r="62" spans="1:6">
      <c r="A62" s="53" t="s">
        <v>1112</v>
      </c>
      <c r="B62" s="53">
        <v>16</v>
      </c>
      <c r="C62" s="53" t="s">
        <v>7</v>
      </c>
      <c r="D62" s="53">
        <v>1.5</v>
      </c>
      <c r="E62" s="53">
        <v>6.8</v>
      </c>
      <c r="F62" s="11">
        <v>5</v>
      </c>
    </row>
    <row r="63" spans="1:6">
      <c r="A63" s="53" t="s">
        <v>1113</v>
      </c>
      <c r="B63" s="53">
        <v>16</v>
      </c>
      <c r="C63" s="53" t="s">
        <v>7</v>
      </c>
      <c r="D63" s="53">
        <v>1.3</v>
      </c>
      <c r="E63" s="53">
        <v>6.5</v>
      </c>
      <c r="F63" s="11">
        <v>5</v>
      </c>
    </row>
    <row r="64" spans="1:6">
      <c r="A64" s="53" t="s">
        <v>1114</v>
      </c>
      <c r="B64" s="53">
        <v>16</v>
      </c>
      <c r="C64" s="53" t="s">
        <v>7</v>
      </c>
      <c r="D64" s="53">
        <v>1.4</v>
      </c>
      <c r="E64" s="53">
        <v>5.8</v>
      </c>
      <c r="F64" s="11">
        <v>5</v>
      </c>
    </row>
    <row r="65" spans="1:6">
      <c r="A65" s="53" t="s">
        <v>1115</v>
      </c>
      <c r="B65" s="53">
        <v>16</v>
      </c>
      <c r="C65" s="53" t="s">
        <v>7</v>
      </c>
      <c r="D65" s="53">
        <v>1.4</v>
      </c>
      <c r="E65" s="53">
        <v>5.6</v>
      </c>
      <c r="F65" s="11">
        <v>5</v>
      </c>
    </row>
    <row r="66" spans="1:6">
      <c r="A66" s="53" t="s">
        <v>1116</v>
      </c>
      <c r="B66" s="53">
        <v>18</v>
      </c>
      <c r="C66" s="53" t="s">
        <v>7</v>
      </c>
      <c r="D66" s="53">
        <v>1.5</v>
      </c>
      <c r="E66" s="53">
        <v>5.3</v>
      </c>
      <c r="F66" s="11">
        <v>5</v>
      </c>
    </row>
    <row r="67" spans="1:6">
      <c r="A67" s="53" t="s">
        <v>1117</v>
      </c>
      <c r="B67" s="53">
        <v>16</v>
      </c>
      <c r="C67" s="53" t="s">
        <v>7</v>
      </c>
      <c r="D67" s="53">
        <v>1.6</v>
      </c>
      <c r="E67" s="53">
        <v>6.5</v>
      </c>
      <c r="F67" s="11">
        <v>5</v>
      </c>
    </row>
    <row r="68" spans="1:6">
      <c r="A68" s="53" t="s">
        <v>1118</v>
      </c>
      <c r="B68" s="53">
        <v>16</v>
      </c>
      <c r="C68" s="53" t="s">
        <v>7</v>
      </c>
      <c r="D68" s="53">
        <v>1.4</v>
      </c>
      <c r="E68" s="53">
        <v>6.3</v>
      </c>
      <c r="F68" s="11">
        <v>5</v>
      </c>
    </row>
    <row r="69" spans="1:6">
      <c r="A69" s="53" t="s">
        <v>1119</v>
      </c>
      <c r="B69" s="53">
        <v>16</v>
      </c>
      <c r="C69" s="53" t="s">
        <v>7</v>
      </c>
      <c r="D69" s="53">
        <v>1.2</v>
      </c>
      <c r="E69" s="53">
        <v>5.8</v>
      </c>
      <c r="F69" s="11">
        <v>5</v>
      </c>
    </row>
    <row r="70" spans="1:6">
      <c r="A70" s="53" t="s">
        <v>1120</v>
      </c>
      <c r="B70" s="53">
        <v>16</v>
      </c>
      <c r="C70" s="53" t="s">
        <v>7</v>
      </c>
      <c r="D70" s="53">
        <v>1</v>
      </c>
      <c r="E70" s="53">
        <v>5.8</v>
      </c>
      <c r="F70" s="11">
        <v>5</v>
      </c>
    </row>
    <row r="71" spans="1:6">
      <c r="A71" s="53" t="s">
        <v>1121</v>
      </c>
      <c r="B71" s="53">
        <v>16</v>
      </c>
      <c r="C71" s="53" t="s">
        <v>7</v>
      </c>
      <c r="D71" s="53">
        <v>1.3</v>
      </c>
      <c r="E71" s="53">
        <v>5.8</v>
      </c>
      <c r="F71" s="11">
        <v>5</v>
      </c>
    </row>
    <row r="72" spans="1:6">
      <c r="A72" s="53" t="s">
        <v>1122</v>
      </c>
      <c r="B72" s="53">
        <v>15</v>
      </c>
      <c r="C72" s="53" t="s">
        <v>7</v>
      </c>
      <c r="D72" s="53">
        <v>1.7</v>
      </c>
      <c r="E72" s="53">
        <v>6.2</v>
      </c>
      <c r="F72" s="11">
        <v>5</v>
      </c>
    </row>
    <row r="73" spans="1:6">
      <c r="A73" s="53" t="s">
        <v>1123</v>
      </c>
      <c r="B73" s="53">
        <v>16</v>
      </c>
      <c r="C73" s="53" t="s">
        <v>7</v>
      </c>
      <c r="D73" s="53">
        <v>1.5</v>
      </c>
      <c r="E73" s="53">
        <v>6</v>
      </c>
      <c r="F73" s="11">
        <v>5</v>
      </c>
    </row>
    <row r="74" spans="1:6">
      <c r="A74" s="53" t="s">
        <v>1124</v>
      </c>
      <c r="B74" s="53">
        <v>16</v>
      </c>
      <c r="C74" s="53" t="s">
        <v>7</v>
      </c>
      <c r="D74" s="53">
        <v>1.6</v>
      </c>
      <c r="E74" s="53">
        <v>5.6</v>
      </c>
      <c r="F74" s="11">
        <v>5</v>
      </c>
    </row>
    <row r="75" spans="1:6">
      <c r="A75" s="53" t="s">
        <v>1125</v>
      </c>
      <c r="B75" s="53">
        <v>16</v>
      </c>
      <c r="C75" s="53" t="s">
        <v>7</v>
      </c>
      <c r="D75" s="53">
        <v>1.2</v>
      </c>
      <c r="E75" s="53">
        <v>6</v>
      </c>
      <c r="F75" s="11">
        <v>5</v>
      </c>
    </row>
    <row r="76" spans="1:6">
      <c r="A76" s="53"/>
      <c r="B76" s="53"/>
      <c r="C76" s="53"/>
      <c r="D76" s="53"/>
      <c r="E76" s="53"/>
      <c r="F76" s="11"/>
    </row>
    <row r="77" spans="1:6">
      <c r="A77" s="53" t="s">
        <v>1126</v>
      </c>
      <c r="B77" s="53">
        <v>16</v>
      </c>
      <c r="C77" s="53" t="s">
        <v>7</v>
      </c>
      <c r="D77" s="53">
        <v>1.9</v>
      </c>
      <c r="E77" s="53">
        <v>10.3</v>
      </c>
      <c r="F77" s="11">
        <v>5</v>
      </c>
    </row>
    <row r="78" spans="1:6">
      <c r="A78" s="53" t="s">
        <v>1127</v>
      </c>
      <c r="B78" s="53">
        <v>15</v>
      </c>
      <c r="C78" s="53" t="s">
        <v>7</v>
      </c>
      <c r="D78" s="53">
        <v>1.4</v>
      </c>
      <c r="E78" s="53">
        <v>7.9</v>
      </c>
      <c r="F78" s="11">
        <v>5</v>
      </c>
    </row>
    <row r="79" spans="1:6">
      <c r="A79" s="53" t="s">
        <v>1128</v>
      </c>
      <c r="B79" s="53">
        <v>15</v>
      </c>
      <c r="C79" s="53" t="s">
        <v>7</v>
      </c>
      <c r="D79" s="53">
        <v>1.8</v>
      </c>
      <c r="E79" s="53">
        <v>7.6</v>
      </c>
      <c r="F79" s="11">
        <v>5</v>
      </c>
    </row>
    <row r="80" spans="1:6">
      <c r="A80" s="53" t="s">
        <v>1129</v>
      </c>
      <c r="B80" s="53">
        <v>16</v>
      </c>
      <c r="C80" s="53" t="s">
        <v>7</v>
      </c>
      <c r="D80" s="53">
        <v>1.2</v>
      </c>
      <c r="E80" s="53">
        <v>6.6</v>
      </c>
      <c r="F80" s="11">
        <v>5</v>
      </c>
    </row>
    <row r="81" spans="1:6">
      <c r="A81" s="53" t="s">
        <v>1130</v>
      </c>
      <c r="B81" s="53">
        <v>16</v>
      </c>
      <c r="C81" s="53" t="s">
        <v>7</v>
      </c>
      <c r="D81" s="53">
        <v>1.1000000000000001</v>
      </c>
      <c r="E81" s="53">
        <v>7.4</v>
      </c>
      <c r="F81" s="11">
        <v>5</v>
      </c>
    </row>
    <row r="82" spans="1:6">
      <c r="A82" s="53" t="s">
        <v>1131</v>
      </c>
      <c r="B82" s="53">
        <v>17</v>
      </c>
      <c r="C82" s="53" t="s">
        <v>7</v>
      </c>
      <c r="D82" s="53">
        <v>1.8</v>
      </c>
      <c r="E82" s="53">
        <v>9.9</v>
      </c>
      <c r="F82" s="11">
        <v>5</v>
      </c>
    </row>
    <row r="83" spans="1:6">
      <c r="A83" s="53" t="s">
        <v>1132</v>
      </c>
      <c r="B83" s="53">
        <v>16</v>
      </c>
      <c r="C83" s="53" t="s">
        <v>7</v>
      </c>
      <c r="D83" s="53">
        <v>1.7</v>
      </c>
      <c r="E83" s="53">
        <v>10.199999999999999</v>
      </c>
      <c r="F83" s="11">
        <v>5</v>
      </c>
    </row>
    <row r="84" spans="1:6">
      <c r="A84" s="53" t="s">
        <v>1133</v>
      </c>
      <c r="B84" s="53">
        <v>17</v>
      </c>
      <c r="C84" s="53" t="s">
        <v>7</v>
      </c>
      <c r="D84" s="53">
        <v>1.1000000000000001</v>
      </c>
      <c r="E84" s="53">
        <v>7.8</v>
      </c>
      <c r="F84" s="11">
        <v>5</v>
      </c>
    </row>
    <row r="85" spans="1:6">
      <c r="A85" s="53" t="s">
        <v>1134</v>
      </c>
      <c r="B85" s="53">
        <v>15</v>
      </c>
      <c r="C85" s="53" t="s">
        <v>7</v>
      </c>
      <c r="D85" s="53">
        <v>1.4</v>
      </c>
      <c r="E85" s="53">
        <v>8.5</v>
      </c>
      <c r="F85" s="11">
        <v>5</v>
      </c>
    </row>
    <row r="86" spans="1:6">
      <c r="A86" s="53" t="s">
        <v>1135</v>
      </c>
      <c r="B86" s="53">
        <v>16</v>
      </c>
      <c r="C86" s="53" t="s">
        <v>7</v>
      </c>
      <c r="D86" s="53">
        <v>1.2</v>
      </c>
      <c r="E86" s="53">
        <v>7.5</v>
      </c>
      <c r="F86" s="11">
        <v>5</v>
      </c>
    </row>
    <row r="87" spans="1:6">
      <c r="A87" s="53" t="s">
        <v>1136</v>
      </c>
      <c r="B87" s="53">
        <v>16</v>
      </c>
      <c r="C87" s="53" t="s">
        <v>7</v>
      </c>
      <c r="D87" s="53">
        <v>1.4</v>
      </c>
      <c r="E87" s="53">
        <v>7.7</v>
      </c>
      <c r="F87" s="11">
        <v>5</v>
      </c>
    </row>
    <row r="88" spans="1:6">
      <c r="A88" s="53" t="s">
        <v>1137</v>
      </c>
      <c r="B88" s="53">
        <v>16</v>
      </c>
      <c r="C88" s="53" t="s">
        <v>7</v>
      </c>
      <c r="D88" s="53">
        <v>1.7</v>
      </c>
      <c r="E88" s="53">
        <v>8.6</v>
      </c>
      <c r="F88" s="11">
        <v>5</v>
      </c>
    </row>
    <row r="89" spans="1:6">
      <c r="A89" s="53" t="s">
        <v>1138</v>
      </c>
      <c r="B89" s="53">
        <v>16</v>
      </c>
      <c r="C89" s="53" t="s">
        <v>7</v>
      </c>
      <c r="D89" s="53">
        <v>1</v>
      </c>
      <c r="E89" s="53">
        <v>7.3</v>
      </c>
      <c r="F89" s="11">
        <v>5</v>
      </c>
    </row>
    <row r="90" spans="1:6">
      <c r="A90" s="53" t="s">
        <v>1139</v>
      </c>
      <c r="B90" s="53">
        <v>16</v>
      </c>
      <c r="C90" s="53" t="s">
        <v>7</v>
      </c>
      <c r="D90" s="53">
        <v>1.1000000000000001</v>
      </c>
      <c r="E90" s="53">
        <v>7</v>
      </c>
      <c r="F90" s="11">
        <v>5</v>
      </c>
    </row>
    <row r="91" spans="1:6">
      <c r="A91" s="53" t="s">
        <v>1140</v>
      </c>
      <c r="B91" s="53">
        <v>16</v>
      </c>
      <c r="C91" s="53" t="s">
        <v>7</v>
      </c>
      <c r="D91" s="53">
        <v>1.4</v>
      </c>
      <c r="E91" s="53">
        <v>7.9</v>
      </c>
      <c r="F91" s="11">
        <v>5</v>
      </c>
    </row>
    <row r="92" spans="1:6">
      <c r="A92" s="53" t="s">
        <v>1141</v>
      </c>
      <c r="B92" s="53">
        <v>16</v>
      </c>
      <c r="C92" s="53" t="s">
        <v>7</v>
      </c>
      <c r="D92" s="53">
        <v>1.2</v>
      </c>
      <c r="E92" s="53">
        <v>6.9</v>
      </c>
      <c r="F92" s="11">
        <v>5</v>
      </c>
    </row>
    <row r="93" spans="1:6">
      <c r="A93" s="53" t="s">
        <v>1142</v>
      </c>
      <c r="B93" s="53">
        <v>14</v>
      </c>
      <c r="C93" s="53" t="s">
        <v>7</v>
      </c>
      <c r="D93" s="53">
        <v>1.5</v>
      </c>
      <c r="E93" s="53">
        <v>6.8</v>
      </c>
      <c r="F93" s="11">
        <v>5</v>
      </c>
    </row>
  </sheetData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6CB2C-FB42-4283-93FD-F1EEC0FE42B9}">
  <dimension ref="A1:N83"/>
  <sheetViews>
    <sheetView topLeftCell="D1" workbookViewId="0">
      <selection activeCell="H4" sqref="H4:N11"/>
    </sheetView>
  </sheetViews>
  <sheetFormatPr defaultRowHeight="14.45"/>
  <cols>
    <col min="1" max="1" width="15.28515625" customWidth="1"/>
    <col min="2" max="2" width="11.7109375" customWidth="1"/>
    <col min="3" max="3" width="15.85546875" customWidth="1"/>
    <col min="4" max="4" width="14.28515625" customWidth="1"/>
    <col min="5" max="5" width="19.28515625" customWidth="1"/>
    <col min="6" max="6" width="21.28515625" customWidth="1"/>
    <col min="8" max="8" width="13.28515625" customWidth="1"/>
    <col min="10" max="10" width="16.28515625" customWidth="1"/>
    <col min="11" max="11" width="13" customWidth="1"/>
    <col min="12" max="12" width="13.28515625" customWidth="1"/>
    <col min="13" max="13" width="16" customWidth="1"/>
  </cols>
  <sheetData>
    <row r="1" spans="1:14">
      <c r="F1" t="s">
        <v>639</v>
      </c>
    </row>
    <row r="2" spans="1:14">
      <c r="A2" t="s">
        <v>1</v>
      </c>
      <c r="B2" t="s">
        <v>641</v>
      </c>
      <c r="C2" t="s">
        <v>3</v>
      </c>
      <c r="D2" t="s">
        <v>4</v>
      </c>
      <c r="E2" t="s">
        <v>5</v>
      </c>
      <c r="F2" t="s">
        <v>640</v>
      </c>
    </row>
    <row r="3" spans="1:14">
      <c r="A3" s="2" t="s">
        <v>1143</v>
      </c>
      <c r="B3" s="2">
        <v>16</v>
      </c>
      <c r="C3" s="2" t="s">
        <v>7</v>
      </c>
      <c r="D3" s="2">
        <v>1.4</v>
      </c>
      <c r="E3" s="2">
        <v>7</v>
      </c>
      <c r="F3" s="1">
        <v>5</v>
      </c>
    </row>
    <row r="4" spans="1:14">
      <c r="A4" s="2" t="s">
        <v>1144</v>
      </c>
      <c r="B4" s="2">
        <v>16</v>
      </c>
      <c r="C4" s="2" t="s">
        <v>7</v>
      </c>
      <c r="D4" s="2">
        <v>0.9</v>
      </c>
      <c r="E4" s="2">
        <v>7.7</v>
      </c>
      <c r="F4" s="1">
        <v>5</v>
      </c>
      <c r="H4" s="53"/>
      <c r="I4" s="53" t="s">
        <v>641</v>
      </c>
      <c r="J4" s="53" t="s">
        <v>3</v>
      </c>
      <c r="K4" s="53" t="s">
        <v>4</v>
      </c>
      <c r="L4" s="53" t="s">
        <v>5</v>
      </c>
      <c r="M4" s="53" t="s">
        <v>640</v>
      </c>
      <c r="N4" s="53"/>
    </row>
    <row r="5" spans="1:14">
      <c r="A5" s="2" t="s">
        <v>1145</v>
      </c>
      <c r="B5" s="2">
        <v>17</v>
      </c>
      <c r="C5" s="2" t="s">
        <v>7</v>
      </c>
      <c r="D5" s="2">
        <v>1.2</v>
      </c>
      <c r="E5" s="2">
        <v>6.3</v>
      </c>
      <c r="F5" s="53">
        <v>4</v>
      </c>
      <c r="H5" s="53" t="s">
        <v>643</v>
      </c>
      <c r="I5" s="53">
        <v>60.7</v>
      </c>
      <c r="J5" s="53">
        <v>89.3</v>
      </c>
      <c r="K5" s="53">
        <v>92.8</v>
      </c>
      <c r="L5" s="53">
        <v>25</v>
      </c>
      <c r="M5" s="53">
        <f>AVERAGE(F3:F30)*20</f>
        <v>97.857142857142861</v>
      </c>
      <c r="N5" s="53">
        <f t="shared" ref="N5:N10" si="0">SUM(I5:M5)/5</f>
        <v>73.131428571428572</v>
      </c>
    </row>
    <row r="6" spans="1:14">
      <c r="A6" s="2" t="s">
        <v>1146</v>
      </c>
      <c r="B6" s="2">
        <v>16</v>
      </c>
      <c r="C6" s="2" t="s">
        <v>7</v>
      </c>
      <c r="D6" s="2">
        <v>1.3</v>
      </c>
      <c r="E6" s="2">
        <v>6.5</v>
      </c>
      <c r="F6" s="53">
        <v>5</v>
      </c>
      <c r="H6" s="53" t="s">
        <v>645</v>
      </c>
      <c r="I6" s="53">
        <v>64.3</v>
      </c>
      <c r="J6" s="53">
        <v>78.599999999999994</v>
      </c>
      <c r="K6" s="53">
        <v>92.9</v>
      </c>
      <c r="L6" s="53">
        <v>100</v>
      </c>
      <c r="M6" s="53">
        <f>AVERAGE(F33:F46)*20</f>
        <v>100</v>
      </c>
      <c r="N6" s="53">
        <f t="shared" si="0"/>
        <v>87.16</v>
      </c>
    </row>
    <row r="7" spans="1:14">
      <c r="A7" s="2" t="s">
        <v>1147</v>
      </c>
      <c r="B7" s="2">
        <v>16</v>
      </c>
      <c r="C7" s="2" t="s">
        <v>7</v>
      </c>
      <c r="D7" s="2">
        <v>1.9</v>
      </c>
      <c r="E7" s="2">
        <v>7.7</v>
      </c>
      <c r="F7" s="53">
        <v>5</v>
      </c>
      <c r="H7" s="53" t="s">
        <v>647</v>
      </c>
      <c r="I7" s="53">
        <v>0</v>
      </c>
      <c r="J7" s="53">
        <v>100</v>
      </c>
      <c r="K7" s="53">
        <v>100</v>
      </c>
      <c r="L7" s="53">
        <v>100</v>
      </c>
      <c r="M7" s="53">
        <f>AVERAGE(F48:F49)*20</f>
        <v>100</v>
      </c>
      <c r="N7" s="53">
        <f t="shared" si="0"/>
        <v>80</v>
      </c>
    </row>
    <row r="8" spans="1:14">
      <c r="A8" s="2" t="s">
        <v>1148</v>
      </c>
      <c r="B8" s="2">
        <v>15</v>
      </c>
      <c r="C8" s="2" t="s">
        <v>7</v>
      </c>
      <c r="D8" s="2">
        <v>1.2</v>
      </c>
      <c r="E8" s="2">
        <v>5.8</v>
      </c>
      <c r="F8" s="53">
        <v>4</v>
      </c>
      <c r="H8" s="53" t="s">
        <v>649</v>
      </c>
      <c r="I8" s="53">
        <v>20</v>
      </c>
      <c r="J8" s="53">
        <v>100</v>
      </c>
      <c r="K8" s="53">
        <v>100</v>
      </c>
      <c r="L8" s="53">
        <v>100</v>
      </c>
      <c r="M8" s="53">
        <f>AVERAGE(F51:F55)*20</f>
        <v>96</v>
      </c>
      <c r="N8" s="53">
        <f t="shared" si="0"/>
        <v>83.2</v>
      </c>
    </row>
    <row r="9" spans="1:14">
      <c r="A9" s="2" t="s">
        <v>1149</v>
      </c>
      <c r="B9" s="2">
        <v>16</v>
      </c>
      <c r="C9" s="2" t="s">
        <v>7</v>
      </c>
      <c r="D9" s="2">
        <v>1.6</v>
      </c>
      <c r="E9" s="2">
        <v>6.5</v>
      </c>
      <c r="F9" s="53">
        <v>5</v>
      </c>
      <c r="H9" s="53" t="s">
        <v>651</v>
      </c>
      <c r="I9" s="53">
        <v>58</v>
      </c>
      <c r="J9" s="53">
        <v>83.3</v>
      </c>
      <c r="K9" s="53">
        <v>100</v>
      </c>
      <c r="L9" s="53">
        <v>100</v>
      </c>
      <c r="M9" s="53">
        <f>AVERAGE(F57:F68)*20</f>
        <v>100</v>
      </c>
      <c r="N9" s="53">
        <f>SUM(I9:M9)/5</f>
        <v>88.26</v>
      </c>
    </row>
    <row r="10" spans="1:14">
      <c r="A10" s="2" t="s">
        <v>1150</v>
      </c>
      <c r="B10" s="2">
        <v>16</v>
      </c>
      <c r="C10" s="2" t="s">
        <v>7</v>
      </c>
      <c r="D10" s="2">
        <v>1.4</v>
      </c>
      <c r="E10" s="2">
        <v>6.3</v>
      </c>
      <c r="F10" s="53">
        <v>5</v>
      </c>
      <c r="H10" s="53" t="s">
        <v>653</v>
      </c>
      <c r="I10" s="53">
        <v>85.7</v>
      </c>
      <c r="J10" s="53">
        <v>71.400000000000006</v>
      </c>
      <c r="K10" s="53">
        <v>78.599999999999994</v>
      </c>
      <c r="L10" s="53">
        <v>100</v>
      </c>
      <c r="M10" s="53">
        <f>AVERAGE(F70:F83)*20</f>
        <v>98.571428571428584</v>
      </c>
      <c r="N10" s="53">
        <f t="shared" si="0"/>
        <v>86.854285714285723</v>
      </c>
    </row>
    <row r="11" spans="1:14">
      <c r="A11" s="2" t="s">
        <v>1151</v>
      </c>
      <c r="B11" s="2">
        <v>16</v>
      </c>
      <c r="C11" s="2" t="s">
        <v>7</v>
      </c>
      <c r="D11" s="2">
        <v>1.9</v>
      </c>
      <c r="E11" s="2">
        <v>5.8</v>
      </c>
      <c r="F11" s="53">
        <v>5</v>
      </c>
      <c r="H11" s="53"/>
      <c r="I11" s="53"/>
      <c r="J11" s="53"/>
      <c r="K11" s="53"/>
      <c r="L11" s="53"/>
      <c r="M11" s="53"/>
      <c r="N11" s="53"/>
    </row>
    <row r="12" spans="1:14">
      <c r="A12" s="2" t="s">
        <v>1152</v>
      </c>
      <c r="B12" s="2">
        <v>16</v>
      </c>
      <c r="C12" s="2" t="s">
        <v>7</v>
      </c>
      <c r="D12" s="2">
        <v>1.4</v>
      </c>
      <c r="E12" s="2">
        <v>7.1</v>
      </c>
      <c r="F12" s="53">
        <v>5</v>
      </c>
      <c r="H12" s="53"/>
      <c r="I12" s="53" t="s">
        <v>656</v>
      </c>
      <c r="J12" s="53" t="s">
        <v>657</v>
      </c>
      <c r="K12" s="53" t="s">
        <v>658</v>
      </c>
      <c r="L12" s="53" t="s">
        <v>659</v>
      </c>
      <c r="M12" s="53">
        <v>0.05</v>
      </c>
      <c r="N12" s="53"/>
    </row>
    <row r="13" spans="1:14">
      <c r="A13" s="2" t="s">
        <v>1153</v>
      </c>
      <c r="B13" s="2">
        <v>16</v>
      </c>
      <c r="C13" s="2" t="s">
        <v>7</v>
      </c>
      <c r="D13" s="2">
        <v>1.2</v>
      </c>
      <c r="E13" s="2">
        <v>6.2</v>
      </c>
      <c r="F13" s="53">
        <v>5</v>
      </c>
    </row>
    <row r="14" spans="1:14">
      <c r="A14" s="2" t="s">
        <v>1154</v>
      </c>
      <c r="B14" s="2">
        <v>15</v>
      </c>
      <c r="C14" s="2" t="s">
        <v>7</v>
      </c>
      <c r="D14" s="2">
        <v>1.4</v>
      </c>
      <c r="E14" s="2">
        <v>5.8</v>
      </c>
      <c r="F14" s="53">
        <v>5</v>
      </c>
    </row>
    <row r="15" spans="1:14">
      <c r="A15" s="2" t="s">
        <v>1155</v>
      </c>
      <c r="B15" s="2">
        <v>14</v>
      </c>
      <c r="C15" s="2" t="s">
        <v>7</v>
      </c>
      <c r="D15" s="2">
        <v>1.7</v>
      </c>
      <c r="E15" s="2">
        <v>6.8</v>
      </c>
      <c r="F15" s="53">
        <v>5</v>
      </c>
    </row>
    <row r="16" spans="1:14">
      <c r="A16" s="2" t="s">
        <v>1156</v>
      </c>
      <c r="B16" s="2">
        <v>14</v>
      </c>
      <c r="C16" s="2" t="s">
        <v>7</v>
      </c>
      <c r="D16" s="2">
        <v>1.1000000000000001</v>
      </c>
      <c r="E16" s="2">
        <v>6.7</v>
      </c>
      <c r="F16" s="53">
        <v>5</v>
      </c>
    </row>
    <row r="17" spans="1:6">
      <c r="A17" s="2" t="s">
        <v>1157</v>
      </c>
      <c r="B17" s="2">
        <v>15</v>
      </c>
      <c r="C17" s="2" t="s">
        <v>7</v>
      </c>
      <c r="D17" s="2">
        <v>1.5</v>
      </c>
      <c r="E17" s="2">
        <v>6.5</v>
      </c>
      <c r="F17" s="53">
        <v>5</v>
      </c>
    </row>
    <row r="18" spans="1:6">
      <c r="A18" s="2" t="s">
        <v>1158</v>
      </c>
      <c r="B18" s="2">
        <v>15</v>
      </c>
      <c r="C18" s="2" t="s">
        <v>7</v>
      </c>
      <c r="D18" s="2">
        <v>1.9</v>
      </c>
      <c r="E18" s="2">
        <v>6.9</v>
      </c>
      <c r="F18" s="53">
        <v>5</v>
      </c>
    </row>
    <row r="19" spans="1:6">
      <c r="A19" s="2" t="s">
        <v>1159</v>
      </c>
      <c r="B19" s="2">
        <v>16</v>
      </c>
      <c r="C19" s="2" t="s">
        <v>7</v>
      </c>
      <c r="D19" s="2">
        <v>1.4</v>
      </c>
      <c r="E19" s="2">
        <v>7</v>
      </c>
      <c r="F19" s="53">
        <v>5</v>
      </c>
    </row>
    <row r="20" spans="1:6">
      <c r="A20" s="2" t="s">
        <v>1160</v>
      </c>
      <c r="B20" s="2">
        <v>16</v>
      </c>
      <c r="C20" s="2" t="s">
        <v>7</v>
      </c>
      <c r="D20" s="2">
        <v>0.9</v>
      </c>
      <c r="E20" s="2">
        <v>7.1</v>
      </c>
      <c r="F20" s="53">
        <v>5</v>
      </c>
    </row>
    <row r="21" spans="1:6">
      <c r="A21" s="2" t="s">
        <v>1161</v>
      </c>
      <c r="B21" s="2">
        <v>16</v>
      </c>
      <c r="C21" s="2" t="s">
        <v>7</v>
      </c>
      <c r="D21" s="2">
        <v>1.4</v>
      </c>
      <c r="E21" s="2">
        <v>6.1</v>
      </c>
      <c r="F21" s="53">
        <v>5</v>
      </c>
    </row>
    <row r="22" spans="1:6">
      <c r="A22" s="2" t="s">
        <v>1162</v>
      </c>
      <c r="B22" s="2">
        <v>18</v>
      </c>
      <c r="C22" s="2" t="s">
        <v>7</v>
      </c>
      <c r="D22" s="2">
        <v>1.3</v>
      </c>
      <c r="E22" s="2">
        <v>6.6</v>
      </c>
      <c r="F22" s="53">
        <v>5</v>
      </c>
    </row>
    <row r="23" spans="1:6">
      <c r="A23" s="2" t="s">
        <v>1163</v>
      </c>
      <c r="B23" s="2">
        <v>15</v>
      </c>
      <c r="C23" s="2" t="s">
        <v>7</v>
      </c>
      <c r="D23" s="2">
        <v>1.8</v>
      </c>
      <c r="E23" s="2">
        <v>6.8</v>
      </c>
      <c r="F23" s="53">
        <v>5</v>
      </c>
    </row>
    <row r="24" spans="1:6">
      <c r="A24" s="2" t="s">
        <v>1164</v>
      </c>
      <c r="B24" s="2">
        <v>16</v>
      </c>
      <c r="C24" s="2" t="s">
        <v>7</v>
      </c>
      <c r="D24" s="2">
        <v>2</v>
      </c>
      <c r="E24" s="2">
        <v>6.1</v>
      </c>
      <c r="F24" s="53">
        <v>5</v>
      </c>
    </row>
    <row r="25" spans="1:6">
      <c r="A25" s="2" t="s">
        <v>1165</v>
      </c>
      <c r="B25" s="2">
        <v>15</v>
      </c>
      <c r="C25" s="2" t="s">
        <v>7</v>
      </c>
      <c r="D25" s="2">
        <v>1.7</v>
      </c>
      <c r="E25" s="2">
        <v>6.1</v>
      </c>
      <c r="F25" s="53">
        <v>5</v>
      </c>
    </row>
    <row r="26" spans="1:6">
      <c r="A26" s="2" t="s">
        <v>1166</v>
      </c>
      <c r="B26" s="2">
        <v>15</v>
      </c>
      <c r="C26" s="2" t="s">
        <v>7</v>
      </c>
      <c r="D26" s="2">
        <v>1.3</v>
      </c>
      <c r="E26" s="2">
        <v>5.5</v>
      </c>
      <c r="F26" s="53">
        <v>4</v>
      </c>
    </row>
    <row r="27" spans="1:6">
      <c r="A27" s="2" t="s">
        <v>1167</v>
      </c>
      <c r="B27" s="2">
        <v>14</v>
      </c>
      <c r="C27" s="2" t="s">
        <v>7</v>
      </c>
      <c r="D27" s="2">
        <v>1.5</v>
      </c>
      <c r="E27" s="2">
        <v>7</v>
      </c>
      <c r="F27" s="53">
        <v>5</v>
      </c>
    </row>
    <row r="28" spans="1:6">
      <c r="A28" s="2" t="s">
        <v>1168</v>
      </c>
      <c r="B28" s="2">
        <v>16</v>
      </c>
      <c r="C28" s="2" t="s">
        <v>28</v>
      </c>
      <c r="D28" s="2">
        <v>1.8</v>
      </c>
      <c r="E28" s="2">
        <v>6</v>
      </c>
      <c r="F28" s="53">
        <v>5</v>
      </c>
    </row>
    <row r="29" spans="1:6">
      <c r="A29" s="2" t="s">
        <v>1169</v>
      </c>
      <c r="B29" s="2">
        <v>16</v>
      </c>
      <c r="C29" s="2" t="s">
        <v>28</v>
      </c>
      <c r="D29" s="2">
        <v>1.8</v>
      </c>
      <c r="E29" s="2">
        <v>6.3</v>
      </c>
      <c r="F29" s="53">
        <v>5</v>
      </c>
    </row>
    <row r="30" spans="1:6">
      <c r="A30" s="2" t="s">
        <v>1170</v>
      </c>
      <c r="B30" s="2">
        <v>14</v>
      </c>
      <c r="C30" s="2" t="s">
        <v>28</v>
      </c>
      <c r="D30" s="2">
        <v>2.1</v>
      </c>
      <c r="E30" s="2">
        <v>6.8</v>
      </c>
      <c r="F30" s="53">
        <v>5</v>
      </c>
    </row>
    <row r="31" spans="1:6">
      <c r="A31" s="2"/>
      <c r="B31" s="2"/>
      <c r="C31" s="2"/>
      <c r="D31" s="2"/>
      <c r="E31" s="2"/>
      <c r="F31" s="53"/>
    </row>
    <row r="32" spans="1:6">
      <c r="A32" s="2"/>
      <c r="B32" s="2"/>
      <c r="C32" s="2"/>
      <c r="D32" s="2"/>
      <c r="E32" s="2"/>
      <c r="F32" s="53"/>
    </row>
    <row r="33" spans="1:6">
      <c r="A33" s="2" t="s">
        <v>1171</v>
      </c>
      <c r="B33" s="2">
        <v>17</v>
      </c>
      <c r="C33" s="2" t="s">
        <v>7</v>
      </c>
      <c r="D33" s="2">
        <v>1.3</v>
      </c>
      <c r="E33" s="2">
        <v>7.3</v>
      </c>
      <c r="F33" s="2">
        <v>5</v>
      </c>
    </row>
    <row r="34" spans="1:6">
      <c r="A34" s="2" t="s">
        <v>1172</v>
      </c>
      <c r="B34" s="2">
        <v>16</v>
      </c>
      <c r="C34" s="2" t="s">
        <v>7</v>
      </c>
      <c r="D34" s="2">
        <v>1.3</v>
      </c>
      <c r="E34" s="2">
        <v>10.199999999999999</v>
      </c>
      <c r="F34" s="2">
        <v>5</v>
      </c>
    </row>
    <row r="35" spans="1:6">
      <c r="A35" s="2" t="s">
        <v>1173</v>
      </c>
      <c r="B35" s="2">
        <v>15</v>
      </c>
      <c r="C35" s="2" t="s">
        <v>7</v>
      </c>
      <c r="D35" s="2">
        <v>1.3</v>
      </c>
      <c r="E35" s="2">
        <v>7.9</v>
      </c>
      <c r="F35" s="2">
        <v>5</v>
      </c>
    </row>
    <row r="36" spans="1:6">
      <c r="A36" s="2" t="s">
        <v>1174</v>
      </c>
      <c r="B36" s="2">
        <v>15</v>
      </c>
      <c r="C36" s="2" t="s">
        <v>7</v>
      </c>
      <c r="D36" s="2">
        <v>1.4</v>
      </c>
      <c r="E36" s="2">
        <v>8.6</v>
      </c>
      <c r="F36" s="2">
        <v>5</v>
      </c>
    </row>
    <row r="37" spans="1:6">
      <c r="A37" s="2" t="s">
        <v>1175</v>
      </c>
      <c r="B37" s="2">
        <v>15</v>
      </c>
      <c r="C37" s="2" t="s">
        <v>7</v>
      </c>
      <c r="D37" s="2">
        <v>1.3</v>
      </c>
      <c r="E37" s="2">
        <v>7.1</v>
      </c>
      <c r="F37" s="2">
        <v>5</v>
      </c>
    </row>
    <row r="38" spans="1:6">
      <c r="A38" s="2" t="s">
        <v>1176</v>
      </c>
      <c r="B38" s="2">
        <v>17</v>
      </c>
      <c r="C38" s="2" t="s">
        <v>7</v>
      </c>
      <c r="D38" s="2">
        <v>2.1</v>
      </c>
      <c r="E38" s="2">
        <v>8.6999999999999993</v>
      </c>
      <c r="F38" s="2">
        <v>5</v>
      </c>
    </row>
    <row r="39" spans="1:6">
      <c r="A39" s="2" t="s">
        <v>1177</v>
      </c>
      <c r="B39" s="2">
        <v>16</v>
      </c>
      <c r="C39" s="2" t="s">
        <v>7</v>
      </c>
      <c r="D39" s="2">
        <v>1.9</v>
      </c>
      <c r="E39" s="2">
        <v>8.6</v>
      </c>
      <c r="F39" s="2">
        <v>5</v>
      </c>
    </row>
    <row r="40" spans="1:6">
      <c r="A40" s="2" t="s">
        <v>1178</v>
      </c>
      <c r="B40" s="2">
        <v>15</v>
      </c>
      <c r="C40" s="2" t="s">
        <v>7</v>
      </c>
      <c r="D40" s="2">
        <v>1.6</v>
      </c>
      <c r="E40" s="2">
        <v>8.6</v>
      </c>
      <c r="F40" s="2">
        <v>5</v>
      </c>
    </row>
    <row r="41" spans="1:6">
      <c r="A41" s="2" t="s">
        <v>1179</v>
      </c>
      <c r="B41" s="2">
        <v>17</v>
      </c>
      <c r="C41" s="2" t="s">
        <v>7</v>
      </c>
      <c r="D41" s="2">
        <v>1.6</v>
      </c>
      <c r="E41" s="2">
        <v>8.5</v>
      </c>
      <c r="F41" s="2">
        <v>5</v>
      </c>
    </row>
    <row r="42" spans="1:6">
      <c r="A42" s="2" t="s">
        <v>1180</v>
      </c>
      <c r="B42" s="2">
        <v>17</v>
      </c>
      <c r="C42" s="2" t="s">
        <v>7</v>
      </c>
      <c r="D42" s="2">
        <v>1.9</v>
      </c>
      <c r="E42" s="2">
        <v>8.8000000000000007</v>
      </c>
      <c r="F42" s="2">
        <v>5</v>
      </c>
    </row>
    <row r="43" spans="1:6">
      <c r="A43" s="2" t="s">
        <v>1181</v>
      </c>
      <c r="B43" s="2">
        <v>16</v>
      </c>
      <c r="C43" s="2" t="s">
        <v>28</v>
      </c>
      <c r="D43" s="2">
        <v>0.9</v>
      </c>
      <c r="E43" s="2">
        <v>8.6</v>
      </c>
      <c r="F43" s="2">
        <v>5</v>
      </c>
    </row>
    <row r="44" spans="1:6">
      <c r="A44" s="2" t="s">
        <v>1182</v>
      </c>
      <c r="B44" s="2">
        <v>14</v>
      </c>
      <c r="C44" s="2" t="s">
        <v>28</v>
      </c>
      <c r="D44" s="2">
        <v>1.3</v>
      </c>
      <c r="E44" s="2">
        <v>7.4</v>
      </c>
      <c r="F44" s="2">
        <v>5</v>
      </c>
    </row>
    <row r="45" spans="1:6">
      <c r="A45" s="2" t="s">
        <v>1183</v>
      </c>
      <c r="B45" s="2">
        <v>16</v>
      </c>
      <c r="C45" s="2" t="s">
        <v>7</v>
      </c>
      <c r="D45" s="2">
        <v>1.9</v>
      </c>
      <c r="E45" s="2">
        <v>8.1999999999999993</v>
      </c>
      <c r="F45" s="2">
        <v>5</v>
      </c>
    </row>
    <row r="46" spans="1:6">
      <c r="A46" s="2" t="s">
        <v>1184</v>
      </c>
      <c r="B46" s="2">
        <v>17</v>
      </c>
      <c r="C46" s="2" t="s">
        <v>28</v>
      </c>
      <c r="D46" s="2">
        <v>1.9</v>
      </c>
      <c r="E46" s="2">
        <v>8</v>
      </c>
      <c r="F46" s="2">
        <v>5</v>
      </c>
    </row>
    <row r="47" spans="1:6">
      <c r="A47" s="1"/>
      <c r="B47" s="2"/>
      <c r="C47" s="2"/>
      <c r="D47" s="2"/>
      <c r="E47" s="2"/>
      <c r="F47" s="53"/>
    </row>
    <row r="48" spans="1:6">
      <c r="A48" s="2" t="s">
        <v>1185</v>
      </c>
      <c r="B48" s="2">
        <v>15</v>
      </c>
      <c r="C48" s="2" t="s">
        <v>7</v>
      </c>
      <c r="D48" s="2">
        <v>1.7</v>
      </c>
      <c r="E48" s="2">
        <v>7.1</v>
      </c>
      <c r="F48" s="2">
        <v>5</v>
      </c>
    </row>
    <row r="49" spans="1:6">
      <c r="A49" s="2" t="s">
        <v>1186</v>
      </c>
      <c r="B49" s="2">
        <v>14</v>
      </c>
      <c r="C49" s="2" t="s">
        <v>7</v>
      </c>
      <c r="D49" s="2">
        <v>1.5</v>
      </c>
      <c r="E49" s="2">
        <v>7.2</v>
      </c>
      <c r="F49" s="2">
        <v>5</v>
      </c>
    </row>
    <row r="50" spans="1:6">
      <c r="A50" s="1"/>
      <c r="B50" s="2"/>
      <c r="C50" s="2"/>
      <c r="D50" s="2"/>
      <c r="E50" s="2"/>
      <c r="F50" s="53"/>
    </row>
    <row r="51" spans="1:6">
      <c r="A51" s="2" t="s">
        <v>1187</v>
      </c>
      <c r="B51" s="2">
        <v>14</v>
      </c>
      <c r="C51" s="2" t="s">
        <v>7</v>
      </c>
      <c r="D51" s="2">
        <v>1.5</v>
      </c>
      <c r="E51" s="2">
        <v>6.6</v>
      </c>
      <c r="F51" s="7">
        <v>5</v>
      </c>
    </row>
    <row r="52" spans="1:6">
      <c r="A52" s="2" t="s">
        <v>1188</v>
      </c>
      <c r="B52" s="2">
        <v>15</v>
      </c>
      <c r="C52" s="2" t="s">
        <v>7</v>
      </c>
      <c r="D52" s="2">
        <v>1.3</v>
      </c>
      <c r="E52" s="2">
        <v>6.9</v>
      </c>
      <c r="F52" s="7">
        <v>5</v>
      </c>
    </row>
    <row r="53" spans="1:6">
      <c r="A53" s="2" t="s">
        <v>1189</v>
      </c>
      <c r="B53" s="2">
        <v>14</v>
      </c>
      <c r="C53" s="2" t="s">
        <v>7</v>
      </c>
      <c r="D53" s="2">
        <v>1.2</v>
      </c>
      <c r="E53" s="2">
        <v>6.8</v>
      </c>
      <c r="F53" s="7">
        <v>5</v>
      </c>
    </row>
    <row r="54" spans="1:6">
      <c r="A54" s="2" t="s">
        <v>1190</v>
      </c>
      <c r="B54" s="2">
        <v>16</v>
      </c>
      <c r="C54" s="2" t="s">
        <v>7</v>
      </c>
      <c r="D54" s="2">
        <v>1.9</v>
      </c>
      <c r="E54" s="2">
        <v>7.1</v>
      </c>
      <c r="F54" s="10">
        <v>5</v>
      </c>
    </row>
    <row r="55" spans="1:6">
      <c r="A55" s="2" t="s">
        <v>1191</v>
      </c>
      <c r="B55" s="2">
        <v>15</v>
      </c>
      <c r="C55" s="2" t="s">
        <v>7</v>
      </c>
      <c r="D55" s="2">
        <v>1.2</v>
      </c>
      <c r="E55" s="2">
        <v>6</v>
      </c>
      <c r="F55" s="10">
        <v>4</v>
      </c>
    </row>
    <row r="56" spans="1:6">
      <c r="A56" s="1"/>
      <c r="B56" s="2"/>
      <c r="C56" s="2"/>
      <c r="D56" s="2"/>
      <c r="E56" s="2"/>
      <c r="F56" s="53"/>
    </row>
    <row r="57" spans="1:6">
      <c r="A57" s="2" t="s">
        <v>1192</v>
      </c>
      <c r="B57" s="2">
        <v>16</v>
      </c>
      <c r="C57" s="2" t="s">
        <v>7</v>
      </c>
      <c r="D57" s="2">
        <v>1.6</v>
      </c>
      <c r="E57" s="2">
        <v>9.6999999999999993</v>
      </c>
      <c r="F57" s="11">
        <v>5</v>
      </c>
    </row>
    <row r="58" spans="1:6">
      <c r="A58" s="2" t="s">
        <v>1193</v>
      </c>
      <c r="B58" s="2">
        <v>14</v>
      </c>
      <c r="C58" s="2" t="s">
        <v>7</v>
      </c>
      <c r="D58" s="2">
        <v>1.2</v>
      </c>
      <c r="E58" s="2">
        <v>9.4</v>
      </c>
      <c r="F58" s="11">
        <v>5</v>
      </c>
    </row>
    <row r="59" spans="1:6">
      <c r="A59" s="2" t="s">
        <v>1194</v>
      </c>
      <c r="B59" s="2">
        <v>16</v>
      </c>
      <c r="C59" s="2" t="s">
        <v>7</v>
      </c>
      <c r="D59" s="2">
        <v>1.2</v>
      </c>
      <c r="E59" s="2">
        <v>9</v>
      </c>
      <c r="F59" s="11">
        <v>5</v>
      </c>
    </row>
    <row r="60" spans="1:6">
      <c r="A60" s="2" t="s">
        <v>1195</v>
      </c>
      <c r="B60" s="2">
        <v>16</v>
      </c>
      <c r="C60" s="2" t="s">
        <v>7</v>
      </c>
      <c r="D60" s="2">
        <v>1.9</v>
      </c>
      <c r="E60" s="2">
        <v>8.8000000000000007</v>
      </c>
      <c r="F60" s="11">
        <v>5</v>
      </c>
    </row>
    <row r="61" spans="1:6">
      <c r="A61" s="2" t="s">
        <v>1196</v>
      </c>
      <c r="B61" s="2">
        <v>16</v>
      </c>
      <c r="C61" s="2" t="s">
        <v>7</v>
      </c>
      <c r="D61" s="2">
        <v>1.6</v>
      </c>
      <c r="E61" s="2">
        <v>9.3000000000000007</v>
      </c>
      <c r="F61" s="11">
        <v>5</v>
      </c>
    </row>
    <row r="62" spans="1:6">
      <c r="A62" s="2" t="s">
        <v>1197</v>
      </c>
      <c r="B62" s="2">
        <v>14</v>
      </c>
      <c r="C62" s="2" t="s">
        <v>7</v>
      </c>
      <c r="D62" s="2">
        <v>1.6</v>
      </c>
      <c r="E62" s="2">
        <v>8.8000000000000007</v>
      </c>
      <c r="F62" s="11">
        <v>5</v>
      </c>
    </row>
    <row r="63" spans="1:6">
      <c r="A63" s="2" t="s">
        <v>1198</v>
      </c>
      <c r="B63" s="2">
        <v>16</v>
      </c>
      <c r="C63" s="2" t="s">
        <v>7</v>
      </c>
      <c r="D63" s="2">
        <v>1.9</v>
      </c>
      <c r="E63" s="2">
        <v>9.3000000000000007</v>
      </c>
      <c r="F63" s="11">
        <v>5</v>
      </c>
    </row>
    <row r="64" spans="1:6">
      <c r="A64" s="2" t="s">
        <v>1199</v>
      </c>
      <c r="B64" s="2">
        <v>15</v>
      </c>
      <c r="C64" s="2" t="s">
        <v>7</v>
      </c>
      <c r="D64" s="2">
        <v>1.2</v>
      </c>
      <c r="E64" s="2">
        <v>7.9</v>
      </c>
      <c r="F64" s="11">
        <v>5</v>
      </c>
    </row>
    <row r="65" spans="1:6">
      <c r="A65" s="2" t="s">
        <v>1200</v>
      </c>
      <c r="B65" s="2">
        <v>16</v>
      </c>
      <c r="C65" s="2" t="s">
        <v>7</v>
      </c>
      <c r="D65" s="2">
        <v>1.5</v>
      </c>
      <c r="E65" s="2">
        <v>9.1</v>
      </c>
      <c r="F65" s="11">
        <v>5</v>
      </c>
    </row>
    <row r="66" spans="1:6">
      <c r="A66" s="2" t="s">
        <v>1201</v>
      </c>
      <c r="B66" s="2">
        <v>15</v>
      </c>
      <c r="C66" s="2" t="s">
        <v>7</v>
      </c>
      <c r="D66" s="2">
        <v>1.4</v>
      </c>
      <c r="E66" s="2">
        <v>8.1999999999999993</v>
      </c>
      <c r="F66" s="11">
        <v>5</v>
      </c>
    </row>
    <row r="67" spans="1:6">
      <c r="A67" s="2" t="s">
        <v>1202</v>
      </c>
      <c r="B67" s="2">
        <v>14</v>
      </c>
      <c r="C67" s="2" t="s">
        <v>28</v>
      </c>
      <c r="D67" s="2">
        <v>1.2</v>
      </c>
      <c r="E67" s="2">
        <v>9</v>
      </c>
      <c r="F67" s="11">
        <v>5</v>
      </c>
    </row>
    <row r="68" spans="1:6">
      <c r="A68" s="2" t="s">
        <v>1203</v>
      </c>
      <c r="B68" s="2">
        <v>16</v>
      </c>
      <c r="C68" s="2" t="s">
        <v>28</v>
      </c>
      <c r="D68" s="2">
        <v>2</v>
      </c>
      <c r="E68" s="2">
        <v>8.8000000000000007</v>
      </c>
      <c r="F68" s="11">
        <v>5</v>
      </c>
    </row>
    <row r="69" spans="1:6">
      <c r="A69" s="2"/>
      <c r="B69" s="2"/>
      <c r="C69" s="2"/>
      <c r="D69" s="2"/>
      <c r="E69" s="2"/>
      <c r="F69" s="53"/>
    </row>
    <row r="70" spans="1:6">
      <c r="A70" s="2" t="s">
        <v>1204</v>
      </c>
      <c r="B70" s="2">
        <v>18</v>
      </c>
      <c r="C70" s="2" t="s">
        <v>7</v>
      </c>
      <c r="D70" s="2">
        <v>1.3</v>
      </c>
      <c r="E70" s="2">
        <v>8.1999999999999993</v>
      </c>
      <c r="F70" s="11">
        <v>5</v>
      </c>
    </row>
    <row r="71" spans="1:6">
      <c r="A71" s="2" t="s">
        <v>1205</v>
      </c>
      <c r="B71" s="2">
        <v>16</v>
      </c>
      <c r="C71" s="2" t="s">
        <v>7</v>
      </c>
      <c r="D71" s="2">
        <v>0.9</v>
      </c>
      <c r="E71" s="2">
        <v>8.5</v>
      </c>
      <c r="F71" s="11">
        <v>5</v>
      </c>
    </row>
    <row r="72" spans="1:6">
      <c r="A72" s="2" t="s">
        <v>1206</v>
      </c>
      <c r="B72" s="2">
        <v>16</v>
      </c>
      <c r="C72" s="2" t="s">
        <v>7</v>
      </c>
      <c r="D72" s="2">
        <v>0.7</v>
      </c>
      <c r="E72" s="2">
        <v>9.5</v>
      </c>
      <c r="F72" s="11">
        <v>5</v>
      </c>
    </row>
    <row r="73" spans="1:6">
      <c r="A73" s="2" t="s">
        <v>1207</v>
      </c>
      <c r="B73" s="2">
        <v>17</v>
      </c>
      <c r="C73" s="2" t="s">
        <v>7</v>
      </c>
      <c r="D73" s="2">
        <v>1.9</v>
      </c>
      <c r="E73" s="2">
        <v>8.6</v>
      </c>
      <c r="F73" s="11">
        <v>5</v>
      </c>
    </row>
    <row r="74" spans="1:6">
      <c r="A74" s="2" t="s">
        <v>1208</v>
      </c>
      <c r="B74" s="2">
        <v>17</v>
      </c>
      <c r="C74" s="2" t="s">
        <v>7</v>
      </c>
      <c r="D74" s="2">
        <v>1.4</v>
      </c>
      <c r="E74" s="2">
        <v>7.2</v>
      </c>
      <c r="F74" s="11">
        <v>5</v>
      </c>
    </row>
    <row r="75" spans="1:6">
      <c r="A75" s="2" t="s">
        <v>1209</v>
      </c>
      <c r="B75" s="2">
        <v>16</v>
      </c>
      <c r="C75" s="2" t="s">
        <v>7</v>
      </c>
      <c r="D75" s="2">
        <v>1.7</v>
      </c>
      <c r="E75" s="2">
        <v>8.1999999999999993</v>
      </c>
      <c r="F75" s="11">
        <v>5</v>
      </c>
    </row>
    <row r="76" spans="1:6">
      <c r="A76" s="2" t="s">
        <v>1210</v>
      </c>
      <c r="B76" s="2">
        <v>18</v>
      </c>
      <c r="C76" s="2" t="s">
        <v>7</v>
      </c>
      <c r="D76" s="2">
        <v>1.6</v>
      </c>
      <c r="E76" s="2">
        <v>9.9</v>
      </c>
      <c r="F76" s="11">
        <v>5</v>
      </c>
    </row>
    <row r="77" spans="1:6">
      <c r="A77" s="2" t="s">
        <v>1211</v>
      </c>
      <c r="B77" s="2">
        <v>16</v>
      </c>
      <c r="C77" s="2" t="s">
        <v>7</v>
      </c>
      <c r="D77" s="2">
        <v>1.2</v>
      </c>
      <c r="E77" s="2">
        <v>9.9</v>
      </c>
      <c r="F77" s="11">
        <v>5</v>
      </c>
    </row>
    <row r="78" spans="1:6">
      <c r="A78" s="2" t="s">
        <v>1212</v>
      </c>
      <c r="B78" s="2">
        <v>16</v>
      </c>
      <c r="C78" s="2" t="s">
        <v>7</v>
      </c>
      <c r="D78" s="2">
        <v>1.9</v>
      </c>
      <c r="E78" s="2">
        <v>9.8000000000000007</v>
      </c>
      <c r="F78" s="11">
        <v>5</v>
      </c>
    </row>
    <row r="79" spans="1:6">
      <c r="A79" s="2" t="s">
        <v>1213</v>
      </c>
      <c r="B79" s="2">
        <v>14</v>
      </c>
      <c r="C79" s="2" t="s">
        <v>7</v>
      </c>
      <c r="D79" s="2">
        <v>0.9</v>
      </c>
      <c r="E79" s="2">
        <v>6.8</v>
      </c>
      <c r="F79" s="11">
        <v>5</v>
      </c>
    </row>
    <row r="80" spans="1:6">
      <c r="A80" s="2" t="s">
        <v>1214</v>
      </c>
      <c r="B80" s="2">
        <v>15</v>
      </c>
      <c r="C80" s="2" t="s">
        <v>28</v>
      </c>
      <c r="D80" s="2">
        <v>2</v>
      </c>
      <c r="E80" s="2">
        <v>7.5</v>
      </c>
      <c r="F80" s="11">
        <v>5</v>
      </c>
    </row>
    <row r="81" spans="1:6">
      <c r="A81" s="2" t="s">
        <v>1215</v>
      </c>
      <c r="B81" s="11">
        <v>16</v>
      </c>
      <c r="C81" s="2" t="s">
        <v>28</v>
      </c>
      <c r="D81" s="11">
        <v>1.7</v>
      </c>
      <c r="E81" s="11">
        <v>7.4</v>
      </c>
      <c r="F81" s="11">
        <v>4</v>
      </c>
    </row>
    <row r="82" spans="1:6">
      <c r="A82" s="2" t="s">
        <v>1216</v>
      </c>
      <c r="B82" s="11">
        <v>15</v>
      </c>
      <c r="C82" s="2" t="s">
        <v>28</v>
      </c>
      <c r="D82" s="11">
        <v>1.9</v>
      </c>
      <c r="E82" s="11">
        <v>9.1999999999999993</v>
      </c>
      <c r="F82" s="11">
        <v>5</v>
      </c>
    </row>
    <row r="83" spans="1:6">
      <c r="A83" s="2" t="s">
        <v>1217</v>
      </c>
      <c r="B83" s="2">
        <v>16</v>
      </c>
      <c r="C83" s="2" t="s">
        <v>28</v>
      </c>
      <c r="D83" s="2">
        <v>1.9</v>
      </c>
      <c r="E83" s="2">
        <v>8.1999999999999993</v>
      </c>
      <c r="F83" s="11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4CCFD-84A7-49D4-B5A0-03DA35605F65}">
  <dimension ref="A1:N81"/>
  <sheetViews>
    <sheetView workbookViewId="0">
      <selection activeCell="N17" sqref="N17"/>
    </sheetView>
  </sheetViews>
  <sheetFormatPr defaultRowHeight="14.45"/>
  <cols>
    <col min="2" max="2" width="13.28515625" customWidth="1"/>
    <col min="3" max="3" width="13.85546875" customWidth="1"/>
    <col min="4" max="4" width="17" customWidth="1"/>
    <col min="5" max="5" width="14.7109375" customWidth="1"/>
    <col min="8" max="8" width="9.140625" customWidth="1"/>
    <col min="10" max="10" width="12.7109375" customWidth="1"/>
    <col min="11" max="11" width="13" customWidth="1"/>
    <col min="12" max="12" width="12.28515625" customWidth="1"/>
  </cols>
  <sheetData>
    <row r="1" spans="1:14">
      <c r="F1" t="s">
        <v>639</v>
      </c>
    </row>
    <row r="2" spans="1:14">
      <c r="A2" s="53" t="s">
        <v>1</v>
      </c>
      <c r="B2" s="53" t="s">
        <v>641</v>
      </c>
      <c r="C2" s="53" t="s">
        <v>3</v>
      </c>
      <c r="D2" s="53" t="s">
        <v>4</v>
      </c>
      <c r="E2" s="53" t="s">
        <v>5</v>
      </c>
      <c r="F2" s="53" t="s">
        <v>640</v>
      </c>
    </row>
    <row r="3" spans="1:14">
      <c r="A3" s="11" t="s">
        <v>1218</v>
      </c>
      <c r="B3" s="11">
        <v>16</v>
      </c>
      <c r="C3" s="11" t="s">
        <v>7</v>
      </c>
      <c r="D3" s="11">
        <v>0.6</v>
      </c>
      <c r="E3" s="11">
        <v>6.9</v>
      </c>
      <c r="F3" s="53">
        <v>5</v>
      </c>
    </row>
    <row r="4" spans="1:14">
      <c r="A4" s="11" t="s">
        <v>1219</v>
      </c>
      <c r="B4" s="11">
        <v>16</v>
      </c>
      <c r="C4" s="11" t="s">
        <v>7</v>
      </c>
      <c r="D4" s="11">
        <v>0.9</v>
      </c>
      <c r="E4" s="11">
        <v>7</v>
      </c>
      <c r="F4" s="53">
        <v>5</v>
      </c>
      <c r="H4" s="53"/>
      <c r="I4" s="53" t="s">
        <v>641</v>
      </c>
      <c r="J4" s="53" t="s">
        <v>3</v>
      </c>
      <c r="K4" s="53" t="s">
        <v>4</v>
      </c>
      <c r="L4" s="53" t="s">
        <v>5</v>
      </c>
      <c r="M4" s="53" t="s">
        <v>640</v>
      </c>
      <c r="N4" s="53"/>
    </row>
    <row r="5" spans="1:14">
      <c r="A5" s="11" t="s">
        <v>1220</v>
      </c>
      <c r="B5" s="11">
        <v>16</v>
      </c>
      <c r="C5" s="11" t="s">
        <v>7</v>
      </c>
      <c r="D5" s="11">
        <v>1.4</v>
      </c>
      <c r="E5" s="11">
        <v>7.4</v>
      </c>
      <c r="F5" s="53">
        <v>5</v>
      </c>
      <c r="H5" s="53" t="s">
        <v>643</v>
      </c>
      <c r="I5" s="53">
        <v>65.599999999999994</v>
      </c>
      <c r="J5" s="53">
        <v>89.3</v>
      </c>
      <c r="K5" s="53">
        <v>65.5</v>
      </c>
      <c r="L5" s="53">
        <v>58.6</v>
      </c>
      <c r="M5" s="57">
        <f>AVERAGE(F3:F30)*20</f>
        <v>95</v>
      </c>
      <c r="N5" s="57">
        <f t="shared" ref="N5:N10" si="0">SUM(I5:M5)/5</f>
        <v>74.8</v>
      </c>
    </row>
    <row r="6" spans="1:14">
      <c r="A6" s="11" t="s">
        <v>1221</v>
      </c>
      <c r="B6" s="11">
        <v>15</v>
      </c>
      <c r="C6" s="11" t="s">
        <v>7</v>
      </c>
      <c r="D6" s="11">
        <v>1.3</v>
      </c>
      <c r="E6" s="11">
        <v>9.3000000000000007</v>
      </c>
      <c r="F6" s="53">
        <v>5</v>
      </c>
      <c r="H6" s="53" t="s">
        <v>645</v>
      </c>
      <c r="I6" s="53">
        <v>71.400000000000006</v>
      </c>
      <c r="J6" s="53">
        <v>85.7</v>
      </c>
      <c r="K6" s="53">
        <v>85.7</v>
      </c>
      <c r="L6" s="53">
        <v>100</v>
      </c>
      <c r="M6" s="57">
        <f>AVERAGE(F33:F46)*20</f>
        <v>98.571428571428584</v>
      </c>
      <c r="N6" s="57">
        <f t="shared" si="0"/>
        <v>88.274285714285725</v>
      </c>
    </row>
    <row r="7" spans="1:14">
      <c r="A7" s="11" t="s">
        <v>1222</v>
      </c>
      <c r="B7" s="11">
        <v>16</v>
      </c>
      <c r="C7" s="11" t="s">
        <v>7</v>
      </c>
      <c r="D7" s="11">
        <v>2</v>
      </c>
      <c r="E7" s="11">
        <v>8</v>
      </c>
      <c r="F7" s="53">
        <v>5</v>
      </c>
      <c r="H7" s="53" t="s">
        <v>647</v>
      </c>
      <c r="I7" s="53">
        <v>50</v>
      </c>
      <c r="J7" s="53">
        <v>100</v>
      </c>
      <c r="K7" s="53">
        <v>100</v>
      </c>
      <c r="L7" s="53">
        <v>0</v>
      </c>
      <c r="M7" s="57">
        <f>AVERAGE(F48:F49)*20</f>
        <v>100</v>
      </c>
      <c r="N7" s="57">
        <f t="shared" si="0"/>
        <v>70</v>
      </c>
    </row>
    <row r="8" spans="1:14">
      <c r="A8" s="11" t="s">
        <v>1223</v>
      </c>
      <c r="B8" s="11">
        <v>16</v>
      </c>
      <c r="C8" s="11" t="s">
        <v>7</v>
      </c>
      <c r="D8" s="11">
        <v>1.5</v>
      </c>
      <c r="E8" s="11">
        <v>7.9</v>
      </c>
      <c r="F8" s="53">
        <v>5</v>
      </c>
      <c r="H8" s="53" t="s">
        <v>649</v>
      </c>
      <c r="I8" s="53">
        <v>100</v>
      </c>
      <c r="J8" s="53">
        <v>100</v>
      </c>
      <c r="K8" s="53">
        <v>60</v>
      </c>
      <c r="L8" s="53">
        <v>0</v>
      </c>
      <c r="M8" s="57">
        <f>AVERAGE(F51:F55)*20</f>
        <v>88</v>
      </c>
      <c r="N8" s="57">
        <f t="shared" si="0"/>
        <v>69.599999999999994</v>
      </c>
    </row>
    <row r="9" spans="1:14">
      <c r="A9" s="11" t="s">
        <v>1224</v>
      </c>
      <c r="B9" s="11">
        <v>16</v>
      </c>
      <c r="C9" s="11" t="s">
        <v>7</v>
      </c>
      <c r="D9" s="11">
        <v>1.8</v>
      </c>
      <c r="E9" s="11">
        <v>8.5</v>
      </c>
      <c r="F9" s="53">
        <v>5</v>
      </c>
      <c r="H9" s="53" t="s">
        <v>651</v>
      </c>
      <c r="I9" s="53">
        <v>91.7</v>
      </c>
      <c r="J9" s="53">
        <v>83.3</v>
      </c>
      <c r="K9" s="53">
        <v>100</v>
      </c>
      <c r="L9" s="53">
        <v>100</v>
      </c>
      <c r="M9" s="57">
        <f>AVERAGE(F57:F68)*20</f>
        <v>100</v>
      </c>
      <c r="N9" s="57">
        <f>SUM(I9:M9)/5</f>
        <v>95</v>
      </c>
    </row>
    <row r="10" spans="1:14">
      <c r="A10" s="11" t="s">
        <v>1225</v>
      </c>
      <c r="B10" s="11">
        <v>16</v>
      </c>
      <c r="C10" s="11" t="s">
        <v>7</v>
      </c>
      <c r="D10" s="11">
        <v>1.1000000000000001</v>
      </c>
      <c r="E10" s="11">
        <v>6.4</v>
      </c>
      <c r="F10" s="53">
        <v>5</v>
      </c>
      <c r="H10" s="53" t="s">
        <v>653</v>
      </c>
      <c r="I10" s="53">
        <v>75</v>
      </c>
      <c r="J10" s="53">
        <v>100</v>
      </c>
      <c r="K10" s="53">
        <v>75</v>
      </c>
      <c r="L10" s="53">
        <v>100</v>
      </c>
      <c r="M10" s="57">
        <f>AVERAGE(F70:F83)*20</f>
        <v>98.333333333333343</v>
      </c>
      <c r="N10" s="57">
        <f t="shared" si="0"/>
        <v>89.666666666666671</v>
      </c>
    </row>
    <row r="11" spans="1:14">
      <c r="A11" s="11" t="s">
        <v>1226</v>
      </c>
      <c r="B11" s="11">
        <v>16</v>
      </c>
      <c r="C11" s="11" t="s">
        <v>7</v>
      </c>
      <c r="D11" s="11">
        <v>1.1000000000000001</v>
      </c>
      <c r="E11" s="11">
        <v>7.2</v>
      </c>
      <c r="F11" s="53">
        <v>5</v>
      </c>
      <c r="H11" s="53"/>
      <c r="I11" s="53"/>
      <c r="J11" s="53"/>
      <c r="K11" s="53"/>
      <c r="L11" s="53"/>
      <c r="M11" s="53"/>
      <c r="N11" s="53"/>
    </row>
    <row r="12" spans="1:14">
      <c r="A12" s="11" t="s">
        <v>1227</v>
      </c>
      <c r="B12" s="11">
        <v>16</v>
      </c>
      <c r="C12" s="11" t="s">
        <v>7</v>
      </c>
      <c r="D12" s="11">
        <v>1.1000000000000001</v>
      </c>
      <c r="E12" s="11">
        <v>7.4</v>
      </c>
      <c r="F12" s="53">
        <v>4</v>
      </c>
      <c r="H12" s="53"/>
      <c r="I12" s="53" t="s">
        <v>656</v>
      </c>
      <c r="J12" s="53" t="s">
        <v>657</v>
      </c>
      <c r="K12" s="53" t="s">
        <v>658</v>
      </c>
      <c r="L12" s="53" t="s">
        <v>659</v>
      </c>
      <c r="M12" s="53">
        <v>0.05</v>
      </c>
      <c r="N12" s="53"/>
    </row>
    <row r="13" spans="1:14">
      <c r="A13" s="11" t="s">
        <v>1228</v>
      </c>
      <c r="B13" s="11">
        <v>14</v>
      </c>
      <c r="C13" s="11" t="s">
        <v>7</v>
      </c>
      <c r="D13" s="11">
        <v>1.2</v>
      </c>
      <c r="E13" s="11">
        <v>7.3</v>
      </c>
      <c r="F13" s="53">
        <v>4</v>
      </c>
    </row>
    <row r="14" spans="1:14">
      <c r="A14" s="11" t="s">
        <v>1229</v>
      </c>
      <c r="B14" s="11">
        <v>14</v>
      </c>
      <c r="C14" s="11" t="s">
        <v>7</v>
      </c>
      <c r="D14" s="11">
        <v>1.2</v>
      </c>
      <c r="E14" s="11">
        <v>7.9</v>
      </c>
      <c r="F14" s="53">
        <v>5</v>
      </c>
    </row>
    <row r="15" spans="1:14">
      <c r="A15" s="11" t="s">
        <v>1230</v>
      </c>
      <c r="B15" s="11">
        <v>15</v>
      </c>
      <c r="C15" s="11" t="s">
        <v>7</v>
      </c>
      <c r="D15" s="11">
        <v>2</v>
      </c>
      <c r="E15" s="11">
        <v>8.1999999999999993</v>
      </c>
      <c r="F15" s="53">
        <v>5</v>
      </c>
    </row>
    <row r="16" spans="1:14">
      <c r="A16" s="11" t="s">
        <v>1231</v>
      </c>
      <c r="B16" s="11">
        <v>16</v>
      </c>
      <c r="C16" s="11" t="s">
        <v>7</v>
      </c>
      <c r="D16" s="11">
        <v>1.8</v>
      </c>
      <c r="E16" s="11">
        <v>10.5</v>
      </c>
      <c r="F16" s="53">
        <v>3</v>
      </c>
    </row>
    <row r="17" spans="1:6">
      <c r="A17" s="11" t="s">
        <v>1232</v>
      </c>
      <c r="B17" s="11">
        <v>16</v>
      </c>
      <c r="C17" s="11" t="s">
        <v>7</v>
      </c>
      <c r="D17" s="11">
        <v>0.6</v>
      </c>
      <c r="E17" s="11">
        <v>6.5</v>
      </c>
      <c r="F17" s="53">
        <v>5</v>
      </c>
    </row>
    <row r="18" spans="1:6">
      <c r="A18" s="11" t="s">
        <v>1233</v>
      </c>
      <c r="B18" s="11">
        <v>16</v>
      </c>
      <c r="C18" s="11" t="s">
        <v>7</v>
      </c>
      <c r="D18" s="11">
        <v>1.3</v>
      </c>
      <c r="E18" s="11">
        <v>7.7</v>
      </c>
      <c r="F18" s="53">
        <v>4</v>
      </c>
    </row>
    <row r="19" spans="1:6">
      <c r="A19" s="11" t="s">
        <v>1234</v>
      </c>
      <c r="B19" s="11">
        <v>16</v>
      </c>
      <c r="C19" s="11" t="s">
        <v>7</v>
      </c>
      <c r="D19" s="11">
        <v>0.9</v>
      </c>
      <c r="E19" s="11">
        <v>6.5</v>
      </c>
      <c r="F19" s="53">
        <v>4</v>
      </c>
    </row>
    <row r="20" spans="1:6">
      <c r="A20" s="11" t="s">
        <v>1235</v>
      </c>
      <c r="B20" s="11">
        <v>14</v>
      </c>
      <c r="C20" s="11" t="s">
        <v>7</v>
      </c>
      <c r="D20" s="11">
        <v>1.2</v>
      </c>
      <c r="E20" s="11">
        <v>5.4</v>
      </c>
      <c r="F20" s="53">
        <v>5</v>
      </c>
    </row>
    <row r="21" spans="1:6">
      <c r="A21" s="11" t="s">
        <v>1236</v>
      </c>
      <c r="B21" s="11">
        <v>14</v>
      </c>
      <c r="C21" s="11" t="s">
        <v>7</v>
      </c>
      <c r="D21" s="11">
        <v>1.4</v>
      </c>
      <c r="E21" s="11">
        <v>5</v>
      </c>
      <c r="F21" s="53">
        <v>5</v>
      </c>
    </row>
    <row r="22" spans="1:6">
      <c r="A22" s="11" t="s">
        <v>1237</v>
      </c>
      <c r="B22" s="11">
        <v>14</v>
      </c>
      <c r="C22" s="11" t="s">
        <v>7</v>
      </c>
      <c r="D22" s="11">
        <v>1</v>
      </c>
      <c r="E22" s="11">
        <v>6.9</v>
      </c>
      <c r="F22" s="53">
        <v>4</v>
      </c>
    </row>
    <row r="23" spans="1:6">
      <c r="A23" s="11" t="s">
        <v>1238</v>
      </c>
      <c r="B23" s="11">
        <v>15</v>
      </c>
      <c r="C23" s="11" t="s">
        <v>7</v>
      </c>
      <c r="D23" s="11">
        <v>0.9</v>
      </c>
      <c r="E23" s="11">
        <v>5.9</v>
      </c>
      <c r="F23" s="53">
        <v>5</v>
      </c>
    </row>
    <row r="24" spans="1:6">
      <c r="A24" s="11" t="s">
        <v>1239</v>
      </c>
      <c r="B24" s="11">
        <v>15</v>
      </c>
      <c r="C24" s="11" t="s">
        <v>7</v>
      </c>
      <c r="D24" s="11">
        <v>1.2</v>
      </c>
      <c r="E24" s="11">
        <v>5.5</v>
      </c>
      <c r="F24" s="53">
        <v>5</v>
      </c>
    </row>
    <row r="25" spans="1:6">
      <c r="A25" s="11" t="s">
        <v>1240</v>
      </c>
      <c r="B25" s="11">
        <v>16</v>
      </c>
      <c r="C25" s="11" t="s">
        <v>28</v>
      </c>
      <c r="D25" s="11">
        <v>1.3</v>
      </c>
      <c r="E25" s="11">
        <v>9.6</v>
      </c>
      <c r="F25" s="53">
        <v>5</v>
      </c>
    </row>
    <row r="26" spans="1:6">
      <c r="A26" s="11" t="s">
        <v>1241</v>
      </c>
      <c r="B26" s="11">
        <v>17</v>
      </c>
      <c r="C26" s="11" t="s">
        <v>28</v>
      </c>
      <c r="D26" s="11">
        <v>1.2</v>
      </c>
      <c r="E26" s="11">
        <v>8.4</v>
      </c>
      <c r="F26" s="53">
        <v>5</v>
      </c>
    </row>
    <row r="27" spans="1:6">
      <c r="A27" s="11" t="s">
        <v>1242</v>
      </c>
      <c r="B27" s="11">
        <v>16</v>
      </c>
      <c r="C27" s="11" t="s">
        <v>28</v>
      </c>
      <c r="D27" s="11">
        <v>1</v>
      </c>
      <c r="E27" s="11">
        <v>7.6</v>
      </c>
      <c r="F27" s="53">
        <v>5</v>
      </c>
    </row>
    <row r="28" spans="1:6">
      <c r="A28" s="11" t="s">
        <v>1243</v>
      </c>
      <c r="B28" s="11">
        <v>15</v>
      </c>
      <c r="C28" s="11" t="s">
        <v>28</v>
      </c>
      <c r="D28" s="11">
        <v>1.1000000000000001</v>
      </c>
      <c r="E28" s="11">
        <v>6.4</v>
      </c>
      <c r="F28" s="53">
        <v>5</v>
      </c>
    </row>
    <row r="29" spans="1:6">
      <c r="A29" s="11" t="s">
        <v>1244</v>
      </c>
      <c r="B29" s="11">
        <v>18</v>
      </c>
      <c r="C29" s="11" t="s">
        <v>7</v>
      </c>
      <c r="D29" s="11">
        <v>1.3</v>
      </c>
      <c r="E29" s="11">
        <v>7.1</v>
      </c>
      <c r="F29" s="53">
        <v>5</v>
      </c>
    </row>
    <row r="30" spans="1:6">
      <c r="A30" s="11" t="s">
        <v>1245</v>
      </c>
      <c r="B30" s="11">
        <v>16</v>
      </c>
      <c r="C30" s="11" t="s">
        <v>7</v>
      </c>
      <c r="D30" s="11">
        <v>1.4</v>
      </c>
      <c r="E30" s="11">
        <v>6.3</v>
      </c>
      <c r="F30" s="53">
        <v>5</v>
      </c>
    </row>
    <row r="31" spans="1:6">
      <c r="A31" s="11" t="s">
        <v>1246</v>
      </c>
      <c r="B31" s="11">
        <v>14</v>
      </c>
      <c r="C31" s="11" t="s">
        <v>7</v>
      </c>
      <c r="D31" s="11">
        <v>1.9</v>
      </c>
      <c r="E31" s="11">
        <v>6.3</v>
      </c>
      <c r="F31" s="53">
        <v>5</v>
      </c>
    </row>
    <row r="32" spans="1:6">
      <c r="A32" s="11"/>
      <c r="B32" s="11"/>
      <c r="C32" s="11"/>
      <c r="D32" s="11"/>
      <c r="E32" s="11"/>
      <c r="F32" s="53"/>
    </row>
    <row r="33" spans="1:6">
      <c r="A33" s="11" t="s">
        <v>1247</v>
      </c>
      <c r="B33" s="11">
        <v>18</v>
      </c>
      <c r="C33" s="11" t="s">
        <v>7</v>
      </c>
      <c r="D33" s="11">
        <v>1.8</v>
      </c>
      <c r="E33" s="11">
        <v>9.1999999999999993</v>
      </c>
      <c r="F33" s="53">
        <v>5</v>
      </c>
    </row>
    <row r="34" spans="1:6">
      <c r="A34" s="11" t="s">
        <v>1248</v>
      </c>
      <c r="B34" s="11">
        <v>17</v>
      </c>
      <c r="C34" s="11" t="s">
        <v>7</v>
      </c>
      <c r="D34" s="11">
        <v>1.6</v>
      </c>
      <c r="E34" s="11">
        <v>10.5</v>
      </c>
      <c r="F34" s="53">
        <v>5</v>
      </c>
    </row>
    <row r="35" spans="1:6">
      <c r="A35" s="11" t="s">
        <v>1249</v>
      </c>
      <c r="B35" s="11">
        <v>16</v>
      </c>
      <c r="C35" s="11" t="s">
        <v>7</v>
      </c>
      <c r="D35" s="11">
        <v>1.5</v>
      </c>
      <c r="E35" s="11">
        <v>10.6</v>
      </c>
      <c r="F35" s="53">
        <v>4</v>
      </c>
    </row>
    <row r="36" spans="1:6">
      <c r="A36" s="11" t="s">
        <v>1250</v>
      </c>
      <c r="B36" s="11">
        <v>17</v>
      </c>
      <c r="C36" s="11" t="s">
        <v>7</v>
      </c>
      <c r="D36" s="11">
        <v>1.3</v>
      </c>
      <c r="E36" s="11">
        <v>8.9</v>
      </c>
      <c r="F36" s="53">
        <v>5</v>
      </c>
    </row>
    <row r="37" spans="1:6">
      <c r="A37" s="11" t="s">
        <v>1251</v>
      </c>
      <c r="B37" s="11">
        <v>15</v>
      </c>
      <c r="C37" s="11" t="s">
        <v>7</v>
      </c>
      <c r="D37" s="11">
        <v>1.5</v>
      </c>
      <c r="E37" s="11">
        <v>9.3000000000000007</v>
      </c>
      <c r="F37" s="53">
        <v>5</v>
      </c>
    </row>
    <row r="38" spans="1:6">
      <c r="A38" s="11" t="s">
        <v>1252</v>
      </c>
      <c r="B38" s="11">
        <v>15</v>
      </c>
      <c r="C38" s="11" t="s">
        <v>7</v>
      </c>
      <c r="D38" s="11">
        <v>1.8</v>
      </c>
      <c r="E38" s="11">
        <v>11.8</v>
      </c>
      <c r="F38" s="53">
        <v>5</v>
      </c>
    </row>
    <row r="39" spans="1:6">
      <c r="A39" s="11" t="s">
        <v>1253</v>
      </c>
      <c r="B39" s="11">
        <v>17</v>
      </c>
      <c r="C39" s="11" t="s">
        <v>7</v>
      </c>
      <c r="D39" s="11">
        <v>1.5</v>
      </c>
      <c r="E39" s="11">
        <v>8.9</v>
      </c>
      <c r="F39" s="53">
        <v>5</v>
      </c>
    </row>
    <row r="40" spans="1:6">
      <c r="A40" s="11" t="s">
        <v>1254</v>
      </c>
      <c r="B40" s="11">
        <v>16</v>
      </c>
      <c r="C40" s="11" t="s">
        <v>7</v>
      </c>
      <c r="D40" s="11">
        <v>2</v>
      </c>
      <c r="E40" s="11">
        <v>9.6</v>
      </c>
      <c r="F40" s="53">
        <v>5</v>
      </c>
    </row>
    <row r="41" spans="1:6">
      <c r="A41" s="11" t="s">
        <v>1255</v>
      </c>
      <c r="B41" s="11">
        <v>15</v>
      </c>
      <c r="C41" s="11" t="s">
        <v>7</v>
      </c>
      <c r="D41" s="11">
        <v>2.2000000000000002</v>
      </c>
      <c r="E41" s="11">
        <v>10.4</v>
      </c>
      <c r="F41" s="53">
        <v>5</v>
      </c>
    </row>
    <row r="42" spans="1:6">
      <c r="A42" s="11" t="s">
        <v>1256</v>
      </c>
      <c r="B42" s="11">
        <v>16</v>
      </c>
      <c r="C42" s="11" t="s">
        <v>7</v>
      </c>
      <c r="D42" s="11">
        <v>1.1000000000000001</v>
      </c>
      <c r="E42" s="11">
        <v>8.4</v>
      </c>
      <c r="F42" s="53">
        <v>5</v>
      </c>
    </row>
    <row r="43" spans="1:6">
      <c r="A43" s="11" t="s">
        <v>1257</v>
      </c>
      <c r="B43" s="11">
        <v>15</v>
      </c>
      <c r="C43" s="11" t="s">
        <v>7</v>
      </c>
      <c r="D43" s="11">
        <v>1.3</v>
      </c>
      <c r="E43" s="11">
        <v>9.5</v>
      </c>
      <c r="F43" s="53">
        <v>5</v>
      </c>
    </row>
    <row r="44" spans="1:6">
      <c r="A44" s="11" t="s">
        <v>1258</v>
      </c>
      <c r="B44" s="11">
        <v>17</v>
      </c>
      <c r="C44" s="11" t="s">
        <v>7</v>
      </c>
      <c r="D44" s="11">
        <v>1.5</v>
      </c>
      <c r="E44" s="11">
        <v>8</v>
      </c>
      <c r="F44" s="53">
        <v>5</v>
      </c>
    </row>
    <row r="45" spans="1:6">
      <c r="A45" s="11" t="s">
        <v>1259</v>
      </c>
      <c r="B45" s="11">
        <v>16</v>
      </c>
      <c r="C45" s="11" t="s">
        <v>28</v>
      </c>
      <c r="D45" s="11">
        <v>0.8</v>
      </c>
      <c r="E45" s="11">
        <v>7.6</v>
      </c>
      <c r="F45" s="53">
        <v>5</v>
      </c>
    </row>
    <row r="46" spans="1:6">
      <c r="A46" s="11" t="s">
        <v>1260</v>
      </c>
      <c r="B46" s="11">
        <v>17</v>
      </c>
      <c r="C46" s="11" t="s">
        <v>28</v>
      </c>
      <c r="D46" s="11">
        <v>1.9</v>
      </c>
      <c r="E46" s="11">
        <v>10.9</v>
      </c>
      <c r="F46" s="53">
        <v>5</v>
      </c>
    </row>
    <row r="47" spans="1:6">
      <c r="A47" s="11"/>
      <c r="B47" s="11"/>
      <c r="C47" s="11"/>
      <c r="D47" s="11"/>
      <c r="E47" s="11"/>
      <c r="F47" s="53"/>
    </row>
    <row r="48" spans="1:6">
      <c r="A48" s="11" t="s">
        <v>1261</v>
      </c>
      <c r="B48" s="11">
        <v>16</v>
      </c>
      <c r="C48" s="11" t="s">
        <v>7</v>
      </c>
      <c r="D48" s="11">
        <v>1.2</v>
      </c>
      <c r="E48" s="11">
        <v>6.4</v>
      </c>
      <c r="F48" s="53">
        <v>5</v>
      </c>
    </row>
    <row r="49" spans="1:6">
      <c r="A49" s="11" t="s">
        <v>1262</v>
      </c>
      <c r="B49" s="11">
        <v>14</v>
      </c>
      <c r="C49" s="11" t="s">
        <v>7</v>
      </c>
      <c r="D49" s="11">
        <v>1.3</v>
      </c>
      <c r="E49" s="11">
        <v>6.4</v>
      </c>
      <c r="F49" s="53">
        <v>5</v>
      </c>
    </row>
    <row r="50" spans="1:6">
      <c r="A50" s="11"/>
      <c r="B50" s="11"/>
      <c r="C50" s="11"/>
      <c r="D50" s="11"/>
      <c r="E50" s="11"/>
      <c r="F50" s="53"/>
    </row>
    <row r="51" spans="1:6">
      <c r="A51" s="11" t="s">
        <v>1263</v>
      </c>
      <c r="B51" s="11">
        <v>16</v>
      </c>
      <c r="C51" s="11" t="s">
        <v>7</v>
      </c>
      <c r="D51" s="11">
        <v>1.2</v>
      </c>
      <c r="E51" s="11">
        <v>6.7</v>
      </c>
      <c r="F51" s="53">
        <v>4</v>
      </c>
    </row>
    <row r="52" spans="1:6">
      <c r="A52" s="11" t="s">
        <v>1264</v>
      </c>
      <c r="B52" s="11">
        <v>16</v>
      </c>
      <c r="C52" s="11" t="s">
        <v>7</v>
      </c>
      <c r="D52" s="11">
        <v>1.2</v>
      </c>
      <c r="E52" s="11">
        <v>6.9</v>
      </c>
      <c r="F52" s="53">
        <v>5</v>
      </c>
    </row>
    <row r="53" spans="1:6">
      <c r="A53" s="11" t="s">
        <v>1265</v>
      </c>
      <c r="B53" s="11">
        <v>16</v>
      </c>
      <c r="C53" s="11" t="s">
        <v>7</v>
      </c>
      <c r="D53" s="11">
        <v>1.1000000000000001</v>
      </c>
      <c r="E53" s="11">
        <v>6.6</v>
      </c>
      <c r="F53" s="53">
        <v>4</v>
      </c>
    </row>
    <row r="54" spans="1:6">
      <c r="A54" s="11" t="s">
        <v>1266</v>
      </c>
      <c r="B54" s="11">
        <v>16</v>
      </c>
      <c r="C54" s="11" t="s">
        <v>7</v>
      </c>
      <c r="D54" s="11">
        <v>1.4</v>
      </c>
      <c r="E54" s="11">
        <v>6.6</v>
      </c>
      <c r="F54" s="53">
        <v>5</v>
      </c>
    </row>
    <row r="55" spans="1:6">
      <c r="A55" s="11" t="s">
        <v>1267</v>
      </c>
      <c r="B55" s="11">
        <v>16</v>
      </c>
      <c r="C55" s="11" t="s">
        <v>7</v>
      </c>
      <c r="D55" s="11">
        <v>0.7</v>
      </c>
      <c r="E55" s="11">
        <v>6.7</v>
      </c>
      <c r="F55" s="53">
        <v>4</v>
      </c>
    </row>
    <row r="56" spans="1:6">
      <c r="A56" s="11"/>
      <c r="B56" s="11"/>
      <c r="C56" s="11"/>
      <c r="D56" s="11"/>
      <c r="E56" s="11"/>
      <c r="F56" s="53"/>
    </row>
    <row r="57" spans="1:6">
      <c r="A57" s="11" t="s">
        <v>1268</v>
      </c>
      <c r="B57" s="11">
        <v>18</v>
      </c>
      <c r="C57" s="11" t="s">
        <v>7</v>
      </c>
      <c r="D57" s="11">
        <v>1.4</v>
      </c>
      <c r="E57" s="11">
        <v>8.5</v>
      </c>
      <c r="F57" s="11">
        <v>5</v>
      </c>
    </row>
    <row r="58" spans="1:6">
      <c r="A58" s="11" t="s">
        <v>1269</v>
      </c>
      <c r="B58" s="11">
        <v>17</v>
      </c>
      <c r="C58" s="11" t="s">
        <v>7</v>
      </c>
      <c r="D58" s="11">
        <v>1.5</v>
      </c>
      <c r="E58" s="11">
        <v>8</v>
      </c>
      <c r="F58" s="11">
        <v>5</v>
      </c>
    </row>
    <row r="59" spans="1:6">
      <c r="A59" s="11" t="s">
        <v>1270</v>
      </c>
      <c r="B59" s="11">
        <v>17</v>
      </c>
      <c r="C59" s="11" t="s">
        <v>7</v>
      </c>
      <c r="D59" s="11">
        <v>1.5</v>
      </c>
      <c r="E59" s="11">
        <v>10.3</v>
      </c>
      <c r="F59" s="11">
        <v>5</v>
      </c>
    </row>
    <row r="60" spans="1:6">
      <c r="A60" s="11" t="s">
        <v>1271</v>
      </c>
      <c r="B60" s="11">
        <v>17</v>
      </c>
      <c r="C60" s="11" t="s">
        <v>7</v>
      </c>
      <c r="D60" s="11">
        <v>1.6</v>
      </c>
      <c r="E60" s="11">
        <v>9.1</v>
      </c>
      <c r="F60" s="11">
        <v>5</v>
      </c>
    </row>
    <row r="61" spans="1:6">
      <c r="A61" s="11" t="s">
        <v>1272</v>
      </c>
      <c r="B61" s="11">
        <v>17</v>
      </c>
      <c r="C61" s="11" t="s">
        <v>7</v>
      </c>
      <c r="D61" s="11">
        <v>1.3</v>
      </c>
      <c r="E61" s="11">
        <v>8.9</v>
      </c>
      <c r="F61" s="11">
        <v>5</v>
      </c>
    </row>
    <row r="62" spans="1:6">
      <c r="A62" s="11" t="s">
        <v>1273</v>
      </c>
      <c r="B62" s="11">
        <v>15</v>
      </c>
      <c r="C62" s="11" t="s">
        <v>7</v>
      </c>
      <c r="D62" s="11">
        <v>1.6</v>
      </c>
      <c r="E62" s="11">
        <v>8.6</v>
      </c>
      <c r="F62" s="11">
        <v>5</v>
      </c>
    </row>
    <row r="63" spans="1:6">
      <c r="A63" s="11" t="s">
        <v>1274</v>
      </c>
      <c r="B63" s="11">
        <v>16</v>
      </c>
      <c r="C63" s="11" t="s">
        <v>7</v>
      </c>
      <c r="D63" s="11">
        <v>1.2</v>
      </c>
      <c r="E63" s="11">
        <v>10.1</v>
      </c>
      <c r="F63" s="11">
        <v>5</v>
      </c>
    </row>
    <row r="64" spans="1:6">
      <c r="A64" s="11" t="s">
        <v>1275</v>
      </c>
      <c r="B64" s="11">
        <v>15</v>
      </c>
      <c r="C64" s="11" t="s">
        <v>7</v>
      </c>
      <c r="D64" s="11">
        <v>1.2</v>
      </c>
      <c r="E64" s="11">
        <v>11.9</v>
      </c>
      <c r="F64" s="11">
        <v>5</v>
      </c>
    </row>
    <row r="65" spans="1:6">
      <c r="A65" s="11" t="s">
        <v>1276</v>
      </c>
      <c r="B65" s="11">
        <v>18</v>
      </c>
      <c r="C65" s="11" t="s">
        <v>7</v>
      </c>
      <c r="D65" s="11">
        <v>1.4</v>
      </c>
      <c r="E65" s="11">
        <v>8.1</v>
      </c>
      <c r="F65" s="11">
        <v>5</v>
      </c>
    </row>
    <row r="66" spans="1:6">
      <c r="A66" s="11" t="s">
        <v>1277</v>
      </c>
      <c r="B66" s="11">
        <v>16</v>
      </c>
      <c r="C66" s="11" t="s">
        <v>28</v>
      </c>
      <c r="D66" s="11">
        <v>1.2</v>
      </c>
      <c r="E66" s="11">
        <v>9</v>
      </c>
      <c r="F66" s="11">
        <v>5</v>
      </c>
    </row>
    <row r="67" spans="1:6">
      <c r="A67" s="11" t="s">
        <v>1278</v>
      </c>
      <c r="B67" s="11">
        <v>17</v>
      </c>
      <c r="C67" s="11" t="s">
        <v>28</v>
      </c>
      <c r="D67" s="11">
        <v>2</v>
      </c>
      <c r="E67" s="11">
        <v>12.9</v>
      </c>
      <c r="F67" s="11">
        <v>5</v>
      </c>
    </row>
    <row r="68" spans="1:6">
      <c r="A68" s="11" t="s">
        <v>1279</v>
      </c>
      <c r="B68" s="11">
        <v>16</v>
      </c>
      <c r="C68" s="11" t="s">
        <v>7</v>
      </c>
      <c r="D68" s="11">
        <v>1.2</v>
      </c>
      <c r="E68" s="11">
        <v>9.1999999999999993</v>
      </c>
      <c r="F68" s="11">
        <v>5</v>
      </c>
    </row>
    <row r="69" spans="1:6">
      <c r="A69" s="11"/>
      <c r="B69" s="11"/>
      <c r="C69" s="11"/>
      <c r="D69" s="11"/>
      <c r="E69" s="11"/>
      <c r="F69" s="53"/>
    </row>
    <row r="70" spans="1:6">
      <c r="A70" s="11" t="s">
        <v>1280</v>
      </c>
      <c r="B70" s="11">
        <v>16</v>
      </c>
      <c r="C70" s="11" t="s">
        <v>7</v>
      </c>
      <c r="D70" s="11">
        <v>1</v>
      </c>
      <c r="E70" s="11">
        <v>8.4</v>
      </c>
      <c r="F70" s="11">
        <v>5</v>
      </c>
    </row>
    <row r="71" spans="1:6">
      <c r="A71" s="11" t="s">
        <v>1281</v>
      </c>
      <c r="B71" s="11">
        <v>16</v>
      </c>
      <c r="C71" s="11" t="s">
        <v>7</v>
      </c>
      <c r="D71" s="11">
        <v>1.2</v>
      </c>
      <c r="E71" s="11">
        <v>8.1999999999999993</v>
      </c>
      <c r="F71" s="11">
        <v>5</v>
      </c>
    </row>
    <row r="72" spans="1:6">
      <c r="A72" s="11" t="s">
        <v>1282</v>
      </c>
      <c r="B72" s="11">
        <v>16</v>
      </c>
      <c r="C72" s="11" t="s">
        <v>7</v>
      </c>
      <c r="D72" s="11">
        <v>1.5</v>
      </c>
      <c r="E72" s="11">
        <v>8.3000000000000007</v>
      </c>
      <c r="F72" s="11">
        <v>5</v>
      </c>
    </row>
    <row r="73" spans="1:6">
      <c r="A73" s="11" t="s">
        <v>1283</v>
      </c>
      <c r="B73" s="11">
        <v>16</v>
      </c>
      <c r="C73" s="11" t="s">
        <v>7</v>
      </c>
      <c r="D73" s="11">
        <v>1.7</v>
      </c>
      <c r="E73" s="11">
        <v>7.7</v>
      </c>
      <c r="F73" s="11">
        <v>5</v>
      </c>
    </row>
    <row r="74" spans="1:6">
      <c r="A74" s="11" t="s">
        <v>1284</v>
      </c>
      <c r="B74" s="11">
        <v>16</v>
      </c>
      <c r="C74" s="11" t="s">
        <v>7</v>
      </c>
      <c r="D74" s="11">
        <v>0.9</v>
      </c>
      <c r="E74" s="11">
        <v>7.8</v>
      </c>
      <c r="F74" s="11">
        <v>5</v>
      </c>
    </row>
    <row r="75" spans="1:6">
      <c r="A75" s="11" t="s">
        <v>1285</v>
      </c>
      <c r="B75" s="11">
        <v>16</v>
      </c>
      <c r="C75" s="11" t="s">
        <v>7</v>
      </c>
      <c r="D75" s="11">
        <v>1.3</v>
      </c>
      <c r="E75" s="11">
        <v>8</v>
      </c>
      <c r="F75" s="11">
        <v>5</v>
      </c>
    </row>
    <row r="76" spans="1:6">
      <c r="A76" s="11" t="s">
        <v>1286</v>
      </c>
      <c r="B76" s="11">
        <v>14</v>
      </c>
      <c r="C76" s="11" t="s">
        <v>7</v>
      </c>
      <c r="D76" s="11">
        <v>0.7</v>
      </c>
      <c r="E76" s="11">
        <v>8.1</v>
      </c>
      <c r="F76" s="11">
        <v>5</v>
      </c>
    </row>
    <row r="77" spans="1:6">
      <c r="A77" s="11" t="s">
        <v>1287</v>
      </c>
      <c r="B77" s="11">
        <v>18</v>
      </c>
      <c r="C77" s="11" t="s">
        <v>7</v>
      </c>
      <c r="D77" s="11">
        <v>1.4</v>
      </c>
      <c r="E77" s="11">
        <v>8.6</v>
      </c>
      <c r="F77" s="11">
        <v>5</v>
      </c>
    </row>
    <row r="78" spans="1:6">
      <c r="A78" s="11" t="s">
        <v>1288</v>
      </c>
      <c r="B78" s="11">
        <v>16</v>
      </c>
      <c r="C78" s="11" t="s">
        <v>7</v>
      </c>
      <c r="D78" s="11">
        <v>1.2</v>
      </c>
      <c r="E78" s="11">
        <v>7.4</v>
      </c>
      <c r="F78" s="11">
        <v>4</v>
      </c>
    </row>
    <row r="79" spans="1:6">
      <c r="A79" s="11" t="s">
        <v>1289</v>
      </c>
      <c r="B79" s="11">
        <v>15</v>
      </c>
      <c r="C79" s="11" t="s">
        <v>7</v>
      </c>
      <c r="D79" s="11">
        <v>1.3</v>
      </c>
      <c r="E79" s="11">
        <v>6.9</v>
      </c>
      <c r="F79" s="11">
        <v>5</v>
      </c>
    </row>
    <row r="80" spans="1:6">
      <c r="A80" s="11" t="s">
        <v>1290</v>
      </c>
      <c r="B80" s="11">
        <v>18</v>
      </c>
      <c r="C80" s="11" t="s">
        <v>7</v>
      </c>
      <c r="D80" s="11">
        <v>1.8</v>
      </c>
      <c r="E80" s="11">
        <v>7.8</v>
      </c>
      <c r="F80" s="11">
        <v>5</v>
      </c>
    </row>
    <row r="81" spans="1:6">
      <c r="A81" s="11" t="s">
        <v>1291</v>
      </c>
      <c r="B81" s="11">
        <v>14</v>
      </c>
      <c r="C81" s="11" t="s">
        <v>7</v>
      </c>
      <c r="D81" s="11">
        <v>1.2</v>
      </c>
      <c r="E81" s="11">
        <v>8.1</v>
      </c>
      <c r="F81" s="11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0326F-EC89-4C5A-B2D8-BF39329210FC}">
  <dimension ref="A1:N76"/>
  <sheetViews>
    <sheetView topLeftCell="A16" zoomScale="98" zoomScaleNormal="98" workbookViewId="0">
      <selection activeCell="N10" sqref="N9:N10"/>
    </sheetView>
  </sheetViews>
  <sheetFormatPr defaultRowHeight="14.45"/>
  <cols>
    <col min="9" max="9" width="13.28515625" customWidth="1"/>
    <col min="10" max="10" width="12" customWidth="1"/>
  </cols>
  <sheetData>
    <row r="1" spans="1:14">
      <c r="F1" t="s">
        <v>639</v>
      </c>
    </row>
    <row r="2" spans="1:14">
      <c r="A2" s="53" t="s">
        <v>1</v>
      </c>
      <c r="B2" s="53" t="s">
        <v>641</v>
      </c>
      <c r="C2" s="53" t="s">
        <v>3</v>
      </c>
      <c r="D2" s="53" t="s">
        <v>4</v>
      </c>
      <c r="E2" s="53" t="s">
        <v>5</v>
      </c>
      <c r="F2" s="53" t="s">
        <v>640</v>
      </c>
    </row>
    <row r="3" spans="1:14">
      <c r="A3" s="11" t="s">
        <v>1292</v>
      </c>
      <c r="B3" s="11">
        <v>16</v>
      </c>
      <c r="C3" s="11" t="s">
        <v>28</v>
      </c>
      <c r="D3" s="11">
        <v>0.9</v>
      </c>
      <c r="E3" s="11">
        <v>8.3000000000000007</v>
      </c>
      <c r="F3" s="53">
        <v>5</v>
      </c>
    </row>
    <row r="4" spans="1:14">
      <c r="A4" s="11" t="s">
        <v>1293</v>
      </c>
      <c r="B4" s="11">
        <v>18</v>
      </c>
      <c r="C4" s="11" t="s">
        <v>7</v>
      </c>
      <c r="D4" s="11">
        <v>1.4</v>
      </c>
      <c r="E4" s="11">
        <v>7.5</v>
      </c>
      <c r="F4" s="53">
        <v>5</v>
      </c>
      <c r="H4" s="53"/>
      <c r="I4" s="53" t="s">
        <v>641</v>
      </c>
      <c r="J4" s="53" t="s">
        <v>3</v>
      </c>
      <c r="K4" s="53" t="s">
        <v>4</v>
      </c>
      <c r="L4" s="53" t="s">
        <v>5</v>
      </c>
      <c r="M4" s="53" t="s">
        <v>640</v>
      </c>
      <c r="N4" s="53"/>
    </row>
    <row r="5" spans="1:14">
      <c r="A5" s="11" t="s">
        <v>1294</v>
      </c>
      <c r="B5" s="11">
        <v>16</v>
      </c>
      <c r="C5" s="11" t="s">
        <v>7</v>
      </c>
      <c r="D5" s="11">
        <v>1.4</v>
      </c>
      <c r="E5" s="11">
        <v>9.6</v>
      </c>
      <c r="F5" s="53">
        <v>5</v>
      </c>
      <c r="H5" s="53" t="s">
        <v>643</v>
      </c>
      <c r="I5" s="53">
        <v>75</v>
      </c>
      <c r="J5" s="53">
        <v>83.3</v>
      </c>
      <c r="K5" s="53">
        <v>75</v>
      </c>
      <c r="L5" s="53">
        <v>75</v>
      </c>
      <c r="M5" s="53">
        <f>AVERAGE(F3:F26)*20</f>
        <v>99.166666666666657</v>
      </c>
      <c r="N5" s="57">
        <f t="shared" ref="N5:N10" si="0">SUM(I5:M5)/5</f>
        <v>81.493333333333339</v>
      </c>
    </row>
    <row r="6" spans="1:14">
      <c r="A6" s="11" t="s">
        <v>1295</v>
      </c>
      <c r="B6" s="11">
        <v>15</v>
      </c>
      <c r="C6" s="11" t="s">
        <v>7</v>
      </c>
      <c r="D6" s="11">
        <v>1.9</v>
      </c>
      <c r="E6" s="11">
        <v>7.5</v>
      </c>
      <c r="F6" s="53">
        <v>5</v>
      </c>
      <c r="H6" s="53" t="s">
        <v>645</v>
      </c>
      <c r="I6" s="53">
        <v>50</v>
      </c>
      <c r="J6" s="53">
        <v>78.599999999999994</v>
      </c>
      <c r="K6" s="53">
        <v>93</v>
      </c>
      <c r="L6" s="53">
        <v>100</v>
      </c>
      <c r="M6" s="53">
        <f>AVERAGE(F28:F41)*20</f>
        <v>98.571428571428584</v>
      </c>
      <c r="N6" s="57">
        <f t="shared" si="0"/>
        <v>84.034285714285716</v>
      </c>
    </row>
    <row r="7" spans="1:14">
      <c r="A7" s="11" t="s">
        <v>1296</v>
      </c>
      <c r="B7" s="11">
        <v>17</v>
      </c>
      <c r="C7" s="11" t="s">
        <v>7</v>
      </c>
      <c r="D7" s="11">
        <v>1.3</v>
      </c>
      <c r="E7" s="11">
        <v>8.6999999999999993</v>
      </c>
      <c r="F7" s="53">
        <v>5</v>
      </c>
      <c r="H7" s="53" t="s">
        <v>647</v>
      </c>
      <c r="I7" s="53">
        <v>100</v>
      </c>
      <c r="J7" s="53">
        <v>100</v>
      </c>
      <c r="K7" s="53">
        <v>0</v>
      </c>
      <c r="L7" s="53">
        <v>0</v>
      </c>
      <c r="M7" s="53">
        <f>AVERAGE(F43:F44)*20</f>
        <v>100</v>
      </c>
      <c r="N7" s="53">
        <f t="shared" si="0"/>
        <v>60</v>
      </c>
    </row>
    <row r="8" spans="1:14">
      <c r="A8" s="11" t="s">
        <v>1297</v>
      </c>
      <c r="B8" s="11">
        <v>16</v>
      </c>
      <c r="C8" s="11" t="s">
        <v>7</v>
      </c>
      <c r="D8" s="11">
        <v>1.5</v>
      </c>
      <c r="E8" s="11">
        <v>7.1</v>
      </c>
      <c r="F8" s="53">
        <v>5</v>
      </c>
      <c r="H8" s="53" t="s">
        <v>649</v>
      </c>
      <c r="I8" s="53">
        <v>80</v>
      </c>
      <c r="J8" s="53">
        <v>100</v>
      </c>
      <c r="K8" s="53">
        <v>80</v>
      </c>
      <c r="L8" s="53">
        <v>0</v>
      </c>
      <c r="M8" s="53">
        <f>AVERAGE(F46:F50)*20</f>
        <v>100</v>
      </c>
      <c r="N8" s="53">
        <f t="shared" si="0"/>
        <v>72</v>
      </c>
    </row>
    <row r="9" spans="1:14">
      <c r="A9" s="11" t="s">
        <v>1298</v>
      </c>
      <c r="B9" s="11">
        <v>18</v>
      </c>
      <c r="C9" s="11" t="s">
        <v>7</v>
      </c>
      <c r="D9" s="11">
        <v>1.7</v>
      </c>
      <c r="E9" s="11">
        <v>6.3</v>
      </c>
      <c r="F9" s="53">
        <v>5</v>
      </c>
      <c r="H9" s="53" t="s">
        <v>651</v>
      </c>
      <c r="I9" s="53">
        <v>91.7</v>
      </c>
      <c r="J9" s="53">
        <v>100</v>
      </c>
      <c r="K9" s="53">
        <v>83.3</v>
      </c>
      <c r="L9" s="53">
        <v>91.7</v>
      </c>
      <c r="M9" s="53">
        <f>AVERAGE(F52:F63)*20</f>
        <v>100</v>
      </c>
      <c r="N9" s="57">
        <f>SUM(I9:M9)/5</f>
        <v>93.34</v>
      </c>
    </row>
    <row r="10" spans="1:14">
      <c r="A10" s="11" t="s">
        <v>1299</v>
      </c>
      <c r="B10" s="11">
        <v>15</v>
      </c>
      <c r="C10" s="11" t="s">
        <v>7</v>
      </c>
      <c r="D10" s="11">
        <v>1.3</v>
      </c>
      <c r="E10" s="11">
        <v>7.4</v>
      </c>
      <c r="F10" s="53">
        <v>5</v>
      </c>
      <c r="H10" s="53" t="s">
        <v>653</v>
      </c>
      <c r="I10" s="53">
        <v>58.3</v>
      </c>
      <c r="J10" s="53">
        <v>83.3</v>
      </c>
      <c r="K10" s="53">
        <v>58.3</v>
      </c>
      <c r="L10" s="53">
        <v>91.7</v>
      </c>
      <c r="M10" s="53">
        <f>AVERAGE(F65:F78)*20</f>
        <v>95</v>
      </c>
      <c r="N10" s="57">
        <f t="shared" si="0"/>
        <v>77.319999999999993</v>
      </c>
    </row>
    <row r="11" spans="1:14">
      <c r="A11" s="11" t="s">
        <v>1300</v>
      </c>
      <c r="B11" s="11">
        <v>16</v>
      </c>
      <c r="C11" s="11" t="s">
        <v>7</v>
      </c>
      <c r="D11" s="11">
        <v>1.3</v>
      </c>
      <c r="E11" s="11">
        <v>7.2</v>
      </c>
      <c r="F11" s="53">
        <v>5</v>
      </c>
      <c r="H11" s="53"/>
      <c r="I11" s="53"/>
      <c r="J11" s="53"/>
      <c r="K11" s="53"/>
      <c r="L11" s="53"/>
      <c r="M11" s="53"/>
      <c r="N11" s="53"/>
    </row>
    <row r="12" spans="1:14">
      <c r="A12" s="11" t="s">
        <v>1301</v>
      </c>
      <c r="B12" s="11">
        <v>14</v>
      </c>
      <c r="C12" s="11" t="s">
        <v>7</v>
      </c>
      <c r="D12" s="11">
        <v>1.3</v>
      </c>
      <c r="E12" s="11">
        <v>7.6</v>
      </c>
      <c r="F12" s="53">
        <v>5</v>
      </c>
      <c r="H12" s="53"/>
      <c r="I12" s="53" t="s">
        <v>656</v>
      </c>
      <c r="J12" s="53" t="s">
        <v>657</v>
      </c>
      <c r="K12" s="53" t="s">
        <v>658</v>
      </c>
      <c r="L12" s="53" t="s">
        <v>659</v>
      </c>
      <c r="M12" s="53">
        <v>0.05</v>
      </c>
      <c r="N12" s="53"/>
    </row>
    <row r="13" spans="1:14">
      <c r="A13" s="11" t="s">
        <v>1302</v>
      </c>
      <c r="B13" s="11">
        <v>16</v>
      </c>
      <c r="C13" s="11" t="s">
        <v>7</v>
      </c>
      <c r="D13" s="11">
        <v>1.8</v>
      </c>
      <c r="E13" s="11">
        <v>7.8</v>
      </c>
      <c r="F13" s="53">
        <v>5</v>
      </c>
    </row>
    <row r="14" spans="1:14">
      <c r="A14" s="11" t="s">
        <v>1303</v>
      </c>
      <c r="B14" s="11">
        <v>14</v>
      </c>
      <c r="C14" s="11" t="s">
        <v>7</v>
      </c>
      <c r="D14" s="11">
        <v>1.2</v>
      </c>
      <c r="E14" s="11">
        <v>7.2</v>
      </c>
      <c r="F14" s="53">
        <v>5</v>
      </c>
    </row>
    <row r="15" spans="1:14">
      <c r="A15" s="11" t="s">
        <v>1304</v>
      </c>
      <c r="B15" s="11">
        <v>18</v>
      </c>
      <c r="C15" s="11" t="s">
        <v>7</v>
      </c>
      <c r="D15" s="11">
        <v>1.4</v>
      </c>
      <c r="E15" s="11">
        <v>7</v>
      </c>
      <c r="F15" s="53">
        <v>5</v>
      </c>
    </row>
    <row r="16" spans="1:14">
      <c r="A16" s="11" t="s">
        <v>1305</v>
      </c>
      <c r="B16" s="11">
        <v>16</v>
      </c>
      <c r="C16" s="11" t="s">
        <v>7</v>
      </c>
      <c r="D16" s="11">
        <v>1.6</v>
      </c>
      <c r="E16" s="11">
        <v>7.8</v>
      </c>
      <c r="F16" s="53">
        <v>5</v>
      </c>
      <c r="H16" t="s">
        <v>1306</v>
      </c>
      <c r="J16">
        <v>5.6</v>
      </c>
    </row>
    <row r="17" spans="1:10">
      <c r="A17" s="11" t="s">
        <v>1307</v>
      </c>
      <c r="B17" s="11">
        <v>16</v>
      </c>
      <c r="C17" s="11" t="s">
        <v>7</v>
      </c>
      <c r="D17" s="11">
        <v>1</v>
      </c>
      <c r="E17" s="11">
        <v>7.2</v>
      </c>
      <c r="F17" s="53">
        <v>5</v>
      </c>
      <c r="H17" t="s">
        <v>1308</v>
      </c>
      <c r="J17">
        <v>3.9</v>
      </c>
    </row>
    <row r="18" spans="1:10">
      <c r="A18" s="11" t="s">
        <v>1309</v>
      </c>
      <c r="B18" s="11">
        <v>14</v>
      </c>
      <c r="C18" s="11" t="s">
        <v>7</v>
      </c>
      <c r="D18" s="11">
        <v>1.5</v>
      </c>
      <c r="E18" s="11">
        <v>8.1</v>
      </c>
      <c r="F18" s="53">
        <v>5</v>
      </c>
      <c r="H18" t="s">
        <v>1310</v>
      </c>
      <c r="J18">
        <v>4.7</v>
      </c>
    </row>
    <row r="19" spans="1:10">
      <c r="A19" s="11" t="s">
        <v>1311</v>
      </c>
      <c r="B19" s="11">
        <v>16</v>
      </c>
      <c r="C19" s="11" t="s">
        <v>7</v>
      </c>
      <c r="D19" s="11">
        <v>1.9</v>
      </c>
      <c r="E19" s="11">
        <v>7.2</v>
      </c>
      <c r="F19" s="53">
        <v>5</v>
      </c>
    </row>
    <row r="20" spans="1:10">
      <c r="A20" s="11" t="s">
        <v>1312</v>
      </c>
      <c r="B20" s="11">
        <v>16</v>
      </c>
      <c r="C20" s="11" t="s">
        <v>7</v>
      </c>
      <c r="D20" s="11">
        <v>1.9</v>
      </c>
      <c r="E20" s="11">
        <v>7.6</v>
      </c>
      <c r="F20" s="53">
        <v>5</v>
      </c>
    </row>
    <row r="21" spans="1:10">
      <c r="A21" s="11" t="s">
        <v>1313</v>
      </c>
      <c r="B21" s="11">
        <v>16</v>
      </c>
      <c r="C21" s="11" t="s">
        <v>7</v>
      </c>
      <c r="D21" s="11">
        <v>1.5</v>
      </c>
      <c r="E21" s="11">
        <v>6.2</v>
      </c>
      <c r="F21" s="53">
        <v>5</v>
      </c>
    </row>
    <row r="22" spans="1:10">
      <c r="A22" s="11" t="s">
        <v>1314</v>
      </c>
      <c r="B22" s="11">
        <v>16</v>
      </c>
      <c r="C22" s="11" t="s">
        <v>7</v>
      </c>
      <c r="D22" s="11">
        <v>1.7</v>
      </c>
      <c r="E22" s="11">
        <v>7.2</v>
      </c>
      <c r="F22" s="53">
        <v>5</v>
      </c>
    </row>
    <row r="23" spans="1:10">
      <c r="A23" s="11" t="s">
        <v>1315</v>
      </c>
      <c r="B23" s="11">
        <v>16</v>
      </c>
      <c r="C23" s="11" t="s">
        <v>7</v>
      </c>
      <c r="D23" s="11">
        <v>0.9</v>
      </c>
      <c r="E23" s="11">
        <v>5.9</v>
      </c>
      <c r="F23" s="53">
        <v>4</v>
      </c>
    </row>
    <row r="24" spans="1:10">
      <c r="A24" s="11" t="s">
        <v>1316</v>
      </c>
      <c r="B24" s="11">
        <v>14</v>
      </c>
      <c r="C24" s="11" t="s">
        <v>28</v>
      </c>
      <c r="D24" s="11">
        <v>0.7</v>
      </c>
      <c r="E24" s="11">
        <v>7.2</v>
      </c>
      <c r="F24" s="53">
        <v>5</v>
      </c>
    </row>
    <row r="25" spans="1:10">
      <c r="A25" s="11" t="s">
        <v>1317</v>
      </c>
      <c r="B25" s="11">
        <v>16</v>
      </c>
      <c r="C25" s="11" t="s">
        <v>28</v>
      </c>
      <c r="D25" s="11">
        <v>2</v>
      </c>
      <c r="E25" s="11">
        <v>7.4</v>
      </c>
      <c r="F25" s="53">
        <v>5</v>
      </c>
    </row>
    <row r="26" spans="1:10">
      <c r="A26" s="11" t="s">
        <v>1318</v>
      </c>
      <c r="B26" s="11">
        <v>17</v>
      </c>
      <c r="C26" s="11" t="s">
        <v>28</v>
      </c>
      <c r="D26" s="11">
        <v>1.3</v>
      </c>
      <c r="E26" s="11">
        <v>9.3000000000000007</v>
      </c>
      <c r="F26" s="53">
        <v>5</v>
      </c>
    </row>
    <row r="27" spans="1:10">
      <c r="A27" s="11"/>
      <c r="B27" s="11"/>
      <c r="C27" s="11"/>
      <c r="D27" s="11"/>
      <c r="E27" s="11"/>
      <c r="F27" s="53"/>
    </row>
    <row r="28" spans="1:10">
      <c r="A28" s="11" t="s">
        <v>1319</v>
      </c>
      <c r="B28" s="11">
        <v>15</v>
      </c>
      <c r="C28" s="11" t="s">
        <v>7</v>
      </c>
      <c r="D28" s="11">
        <v>1.7</v>
      </c>
      <c r="E28" s="11">
        <v>9.6</v>
      </c>
      <c r="F28" s="53">
        <v>5</v>
      </c>
    </row>
    <row r="29" spans="1:10">
      <c r="A29" s="11" t="s">
        <v>1320</v>
      </c>
      <c r="B29" s="11">
        <v>16</v>
      </c>
      <c r="C29" s="11" t="s">
        <v>7</v>
      </c>
      <c r="D29" s="11">
        <v>2</v>
      </c>
      <c r="E29" s="11">
        <v>8.5</v>
      </c>
      <c r="F29" s="53">
        <v>5</v>
      </c>
    </row>
    <row r="30" spans="1:10">
      <c r="A30" s="11" t="s">
        <v>1321</v>
      </c>
      <c r="B30" s="11">
        <v>18</v>
      </c>
      <c r="C30" s="11" t="s">
        <v>7</v>
      </c>
      <c r="D30" s="11">
        <v>1.3</v>
      </c>
      <c r="E30" s="11">
        <v>9.8000000000000007</v>
      </c>
      <c r="F30" s="53">
        <v>5</v>
      </c>
    </row>
    <row r="31" spans="1:10">
      <c r="A31" s="11" t="s">
        <v>1322</v>
      </c>
      <c r="B31" s="11">
        <v>15</v>
      </c>
      <c r="C31" s="11" t="s">
        <v>7</v>
      </c>
      <c r="D31" s="11">
        <v>1.6</v>
      </c>
      <c r="E31" s="11">
        <v>9.3000000000000007</v>
      </c>
      <c r="F31" s="53">
        <v>5</v>
      </c>
    </row>
    <row r="32" spans="1:10">
      <c r="A32" s="11" t="s">
        <v>1323</v>
      </c>
      <c r="B32" s="11">
        <v>14</v>
      </c>
      <c r="C32" s="11" t="s">
        <v>7</v>
      </c>
      <c r="D32" s="11">
        <v>1.6</v>
      </c>
      <c r="E32" s="11">
        <v>10.199999999999999</v>
      </c>
      <c r="F32" s="53">
        <v>5</v>
      </c>
    </row>
    <row r="33" spans="1:6">
      <c r="A33" s="11" t="s">
        <v>1324</v>
      </c>
      <c r="B33" s="11">
        <v>18</v>
      </c>
      <c r="C33" s="11" t="s">
        <v>7</v>
      </c>
      <c r="D33" s="11">
        <v>1.3</v>
      </c>
      <c r="E33" s="11">
        <v>9.6</v>
      </c>
      <c r="F33" s="53">
        <v>5</v>
      </c>
    </row>
    <row r="34" spans="1:6">
      <c r="A34" s="11" t="s">
        <v>1325</v>
      </c>
      <c r="B34" s="11">
        <v>16</v>
      </c>
      <c r="C34" s="11" t="s">
        <v>7</v>
      </c>
      <c r="D34" s="11">
        <v>1.4</v>
      </c>
      <c r="E34" s="11">
        <v>9.4</v>
      </c>
      <c r="F34" s="53">
        <v>5</v>
      </c>
    </row>
    <row r="35" spans="1:6">
      <c r="A35" s="11" t="s">
        <v>1326</v>
      </c>
      <c r="B35" s="11">
        <v>15</v>
      </c>
      <c r="C35" s="11" t="s">
        <v>7</v>
      </c>
      <c r="D35" s="11">
        <v>2</v>
      </c>
      <c r="E35" s="11">
        <v>8</v>
      </c>
      <c r="F35" s="53">
        <v>5</v>
      </c>
    </row>
    <row r="36" spans="1:6">
      <c r="A36" s="11" t="s">
        <v>1327</v>
      </c>
      <c r="B36" s="11">
        <v>16</v>
      </c>
      <c r="C36" s="11" t="s">
        <v>7</v>
      </c>
      <c r="D36" s="11">
        <v>1.7</v>
      </c>
      <c r="E36" s="11">
        <v>8.6</v>
      </c>
      <c r="F36" s="53">
        <v>4</v>
      </c>
    </row>
    <row r="37" spans="1:6">
      <c r="A37" s="11" t="s">
        <v>1328</v>
      </c>
      <c r="B37" s="11">
        <v>14</v>
      </c>
      <c r="C37" s="11" t="s">
        <v>7</v>
      </c>
      <c r="D37" s="11">
        <v>1.7</v>
      </c>
      <c r="E37" s="11">
        <v>8.6999999999999993</v>
      </c>
      <c r="F37" s="53">
        <v>5</v>
      </c>
    </row>
    <row r="38" spans="1:6">
      <c r="A38" s="11" t="s">
        <v>1329</v>
      </c>
      <c r="B38" s="11">
        <v>17</v>
      </c>
      <c r="C38" s="11" t="s">
        <v>7</v>
      </c>
      <c r="D38" s="11">
        <v>1.6</v>
      </c>
      <c r="E38" s="11">
        <v>8.8000000000000007</v>
      </c>
      <c r="F38" s="53">
        <v>5</v>
      </c>
    </row>
    <row r="39" spans="1:6">
      <c r="A39" s="11" t="s">
        <v>1330</v>
      </c>
      <c r="B39" s="11">
        <v>16</v>
      </c>
      <c r="C39" s="11" t="s">
        <v>28</v>
      </c>
      <c r="D39" s="11">
        <v>1.1000000000000001</v>
      </c>
      <c r="E39" s="11">
        <v>10.199999999999999</v>
      </c>
      <c r="F39" s="53">
        <v>5</v>
      </c>
    </row>
    <row r="40" spans="1:6">
      <c r="A40" s="11" t="s">
        <v>1331</v>
      </c>
      <c r="B40" s="11">
        <v>15</v>
      </c>
      <c r="C40" s="11" t="s">
        <v>28</v>
      </c>
      <c r="D40" s="11">
        <v>1.9</v>
      </c>
      <c r="E40" s="11">
        <v>10</v>
      </c>
      <c r="F40" s="53">
        <v>5</v>
      </c>
    </row>
    <row r="41" spans="1:6">
      <c r="A41" s="11" t="s">
        <v>1332</v>
      </c>
      <c r="B41" s="11">
        <v>15</v>
      </c>
      <c r="C41" s="11" t="s">
        <v>28</v>
      </c>
      <c r="D41" s="11">
        <v>1.2</v>
      </c>
      <c r="E41" s="11">
        <v>8.4</v>
      </c>
      <c r="F41" s="53">
        <v>5</v>
      </c>
    </row>
    <row r="42" spans="1:6">
      <c r="A42" s="11"/>
      <c r="B42" s="11"/>
      <c r="C42" s="11"/>
      <c r="D42" s="11"/>
      <c r="E42" s="11"/>
      <c r="F42" s="53"/>
    </row>
    <row r="43" spans="1:6">
      <c r="A43" s="11" t="s">
        <v>1333</v>
      </c>
      <c r="B43" s="11">
        <v>16</v>
      </c>
      <c r="C43" s="11" t="s">
        <v>7</v>
      </c>
      <c r="D43" s="11">
        <v>1</v>
      </c>
      <c r="E43" s="11">
        <v>6.7</v>
      </c>
      <c r="F43" s="53">
        <v>5</v>
      </c>
    </row>
    <row r="44" spans="1:6">
      <c r="A44" s="11" t="s">
        <v>1334</v>
      </c>
      <c r="B44" s="11">
        <v>16</v>
      </c>
      <c r="C44" s="11" t="s">
        <v>7</v>
      </c>
      <c r="D44" s="11">
        <v>1.1000000000000001</v>
      </c>
      <c r="E44" s="11">
        <v>6.9</v>
      </c>
      <c r="F44" s="53">
        <v>5</v>
      </c>
    </row>
    <row r="45" spans="1:6">
      <c r="A45" s="11"/>
      <c r="B45" s="11"/>
      <c r="C45" s="11"/>
      <c r="D45" s="11"/>
      <c r="E45" s="11"/>
      <c r="F45" s="53"/>
    </row>
    <row r="46" spans="1:6">
      <c r="A46" s="11" t="s">
        <v>1335</v>
      </c>
      <c r="B46" s="11">
        <v>16</v>
      </c>
      <c r="C46" s="11" t="s">
        <v>7</v>
      </c>
      <c r="D46" s="11">
        <v>1.1000000000000001</v>
      </c>
      <c r="E46" s="11">
        <v>6.8</v>
      </c>
      <c r="F46" s="53">
        <v>5</v>
      </c>
    </row>
    <row r="47" spans="1:6">
      <c r="A47" s="11" t="s">
        <v>1336</v>
      </c>
      <c r="B47" s="11">
        <v>16</v>
      </c>
      <c r="C47" s="11" t="s">
        <v>7</v>
      </c>
      <c r="D47" s="11">
        <v>1.2</v>
      </c>
      <c r="E47" s="11">
        <v>6.7</v>
      </c>
      <c r="F47" s="53">
        <v>5</v>
      </c>
    </row>
    <row r="48" spans="1:6">
      <c r="A48" s="11" t="s">
        <v>1337</v>
      </c>
      <c r="B48" s="11">
        <v>16</v>
      </c>
      <c r="C48" s="11" t="s">
        <v>7</v>
      </c>
      <c r="D48" s="11">
        <v>1.4</v>
      </c>
      <c r="E48" s="11">
        <v>6.7</v>
      </c>
      <c r="F48" s="53">
        <v>5</v>
      </c>
    </row>
    <row r="49" spans="1:6">
      <c r="A49" s="11" t="s">
        <v>1338</v>
      </c>
      <c r="B49" s="11">
        <v>15</v>
      </c>
      <c r="C49" s="11" t="s">
        <v>7</v>
      </c>
      <c r="D49" s="11">
        <v>1.6</v>
      </c>
      <c r="E49" s="11">
        <v>6.7</v>
      </c>
      <c r="F49" s="53">
        <v>5</v>
      </c>
    </row>
    <row r="50" spans="1:6">
      <c r="A50" s="11" t="s">
        <v>1339</v>
      </c>
      <c r="B50" s="11">
        <v>18</v>
      </c>
      <c r="C50" s="11" t="s">
        <v>7</v>
      </c>
      <c r="D50" s="11">
        <v>1.3</v>
      </c>
      <c r="E50" s="11">
        <v>6.9</v>
      </c>
      <c r="F50" s="53">
        <v>5</v>
      </c>
    </row>
    <row r="51" spans="1:6">
      <c r="A51" s="11"/>
      <c r="B51" s="11"/>
      <c r="C51" s="11"/>
      <c r="D51" s="11"/>
      <c r="E51" s="11"/>
      <c r="F51" s="53"/>
    </row>
    <row r="52" spans="1:6">
      <c r="A52" s="11" t="s">
        <v>1340</v>
      </c>
      <c r="B52" s="11">
        <v>16</v>
      </c>
      <c r="C52" s="11" t="s">
        <v>7</v>
      </c>
      <c r="D52" s="11">
        <v>1</v>
      </c>
      <c r="E52" s="11">
        <v>8.5</v>
      </c>
      <c r="F52" s="11">
        <v>5</v>
      </c>
    </row>
    <row r="53" spans="1:6">
      <c r="A53" s="11" t="s">
        <v>1341</v>
      </c>
      <c r="B53" s="11">
        <v>18</v>
      </c>
      <c r="C53" s="11" t="s">
        <v>7</v>
      </c>
      <c r="D53" s="11">
        <v>1.4</v>
      </c>
      <c r="E53" s="11">
        <v>8.1</v>
      </c>
      <c r="F53" s="11">
        <v>5</v>
      </c>
    </row>
    <row r="54" spans="1:6">
      <c r="A54" s="11" t="s">
        <v>1342</v>
      </c>
      <c r="B54" s="11">
        <v>17</v>
      </c>
      <c r="C54" s="11" t="s">
        <v>7</v>
      </c>
      <c r="D54" s="11">
        <v>1.4</v>
      </c>
      <c r="E54" s="11">
        <v>8.1999999999999993</v>
      </c>
      <c r="F54" s="11">
        <v>5</v>
      </c>
    </row>
    <row r="55" spans="1:6">
      <c r="A55" s="11" t="s">
        <v>1343</v>
      </c>
      <c r="B55" s="11">
        <v>18</v>
      </c>
      <c r="C55" s="11" t="s">
        <v>7</v>
      </c>
      <c r="D55" s="11">
        <v>1.6</v>
      </c>
      <c r="E55" s="11">
        <v>8</v>
      </c>
      <c r="F55" s="11">
        <v>5</v>
      </c>
    </row>
    <row r="56" spans="1:6">
      <c r="A56" s="11" t="s">
        <v>1344</v>
      </c>
      <c r="B56" s="11">
        <v>16</v>
      </c>
      <c r="C56" s="11" t="s">
        <v>7</v>
      </c>
      <c r="D56" s="11">
        <v>1.2</v>
      </c>
      <c r="E56" s="11">
        <v>8</v>
      </c>
      <c r="F56" s="11">
        <v>5</v>
      </c>
    </row>
    <row r="57" spans="1:6">
      <c r="A57" s="11" t="s">
        <v>1345</v>
      </c>
      <c r="B57" s="11">
        <v>16</v>
      </c>
      <c r="C57" s="11" t="s">
        <v>7</v>
      </c>
      <c r="D57" s="11">
        <v>1.4</v>
      </c>
      <c r="E57" s="11">
        <v>6.7</v>
      </c>
      <c r="F57" s="11">
        <v>5</v>
      </c>
    </row>
    <row r="58" spans="1:6">
      <c r="A58" s="11" t="s">
        <v>1346</v>
      </c>
      <c r="B58" s="11">
        <v>14</v>
      </c>
      <c r="C58" s="11" t="s">
        <v>7</v>
      </c>
      <c r="D58" s="11">
        <v>1.7</v>
      </c>
      <c r="E58" s="11">
        <v>7.3</v>
      </c>
      <c r="F58" s="11">
        <v>5</v>
      </c>
    </row>
    <row r="59" spans="1:6">
      <c r="A59" s="11" t="s">
        <v>1347</v>
      </c>
      <c r="B59" s="11">
        <v>16</v>
      </c>
      <c r="C59" s="11" t="s">
        <v>7</v>
      </c>
      <c r="D59" s="11">
        <v>1.3</v>
      </c>
      <c r="E59" s="11">
        <v>7.4</v>
      </c>
      <c r="F59" s="11">
        <v>5</v>
      </c>
    </row>
    <row r="60" spans="1:6">
      <c r="A60" s="11" t="s">
        <v>1348</v>
      </c>
      <c r="B60" s="11">
        <v>16</v>
      </c>
      <c r="C60" s="11" t="s">
        <v>7</v>
      </c>
      <c r="D60" s="11">
        <v>1.4</v>
      </c>
      <c r="E60" s="11">
        <v>7.2</v>
      </c>
      <c r="F60" s="11">
        <v>5</v>
      </c>
    </row>
    <row r="61" spans="1:6">
      <c r="A61" s="11" t="s">
        <v>1349</v>
      </c>
      <c r="B61" s="11">
        <v>16</v>
      </c>
      <c r="C61" s="11" t="s">
        <v>7</v>
      </c>
      <c r="D61" s="11">
        <v>1.1000000000000001</v>
      </c>
      <c r="E61" s="11">
        <v>7.8</v>
      </c>
      <c r="F61" s="11">
        <v>5</v>
      </c>
    </row>
    <row r="62" spans="1:6">
      <c r="A62" s="11" t="s">
        <v>1350</v>
      </c>
      <c r="B62" s="11">
        <v>16</v>
      </c>
      <c r="C62" s="11" t="s">
        <v>7</v>
      </c>
      <c r="D62" s="11">
        <v>2</v>
      </c>
      <c r="E62" s="11">
        <v>7.2</v>
      </c>
      <c r="F62" s="11">
        <v>5</v>
      </c>
    </row>
    <row r="63" spans="1:6">
      <c r="A63" s="11" t="s">
        <v>1351</v>
      </c>
      <c r="B63" s="11">
        <v>18</v>
      </c>
      <c r="C63" s="11" t="s">
        <v>7</v>
      </c>
      <c r="D63" s="11">
        <v>1.9</v>
      </c>
      <c r="E63" s="11">
        <v>7.7</v>
      </c>
      <c r="F63" s="11">
        <v>5</v>
      </c>
    </row>
    <row r="64" spans="1:6">
      <c r="A64" s="11"/>
      <c r="B64" s="11"/>
      <c r="C64" s="11"/>
      <c r="D64" s="11"/>
      <c r="E64" s="11"/>
      <c r="F64" s="11"/>
    </row>
    <row r="65" spans="1:6">
      <c r="A65" s="11" t="s">
        <v>1352</v>
      </c>
      <c r="B65" s="11">
        <v>16</v>
      </c>
      <c r="C65" s="11" t="s">
        <v>7</v>
      </c>
      <c r="D65" s="11">
        <v>1.6</v>
      </c>
      <c r="E65" s="11">
        <v>8.5</v>
      </c>
      <c r="F65" s="53">
        <v>5</v>
      </c>
    </row>
    <row r="66" spans="1:6">
      <c r="A66" s="11" t="s">
        <v>1353</v>
      </c>
      <c r="B66" s="11">
        <v>16</v>
      </c>
      <c r="C66" s="11" t="s">
        <v>7</v>
      </c>
      <c r="D66" s="56">
        <v>1.1000000000000001</v>
      </c>
      <c r="E66" s="56">
        <v>11.9</v>
      </c>
      <c r="F66" s="53">
        <v>4</v>
      </c>
    </row>
    <row r="67" spans="1:6">
      <c r="A67" s="11" t="s">
        <v>1354</v>
      </c>
      <c r="B67" s="11">
        <v>15</v>
      </c>
      <c r="C67" s="11" t="s">
        <v>7</v>
      </c>
      <c r="D67" s="11">
        <v>2</v>
      </c>
      <c r="E67" s="11">
        <v>9.3000000000000007</v>
      </c>
      <c r="F67" s="53">
        <v>5</v>
      </c>
    </row>
    <row r="68" spans="1:6">
      <c r="A68" s="11" t="s">
        <v>1355</v>
      </c>
      <c r="B68" s="11">
        <v>15</v>
      </c>
      <c r="C68" s="11" t="s">
        <v>7</v>
      </c>
      <c r="D68" s="11">
        <v>1</v>
      </c>
      <c r="E68" s="11">
        <v>7.7</v>
      </c>
      <c r="F68" s="53">
        <v>4</v>
      </c>
    </row>
    <row r="69" spans="1:6">
      <c r="A69" s="11" t="s">
        <v>1356</v>
      </c>
      <c r="B69" s="11">
        <v>14</v>
      </c>
      <c r="C69" s="11" t="s">
        <v>7</v>
      </c>
      <c r="D69" s="11">
        <v>1.2</v>
      </c>
      <c r="E69" s="11">
        <v>8.6999999999999993</v>
      </c>
      <c r="F69" s="53">
        <v>5</v>
      </c>
    </row>
    <row r="70" spans="1:6">
      <c r="A70" s="11" t="s">
        <v>1357</v>
      </c>
      <c r="B70" s="11">
        <v>16</v>
      </c>
      <c r="C70" s="11" t="s">
        <v>7</v>
      </c>
      <c r="D70" s="11">
        <v>1</v>
      </c>
      <c r="E70" s="11">
        <v>8.1</v>
      </c>
      <c r="F70" s="53">
        <v>5</v>
      </c>
    </row>
    <row r="71" spans="1:6">
      <c r="A71" s="11" t="s">
        <v>1358</v>
      </c>
      <c r="B71" s="11">
        <v>15</v>
      </c>
      <c r="C71" s="11" t="s">
        <v>7</v>
      </c>
      <c r="D71" s="11">
        <v>1.2</v>
      </c>
      <c r="E71" s="11">
        <v>7.3</v>
      </c>
      <c r="F71" s="53">
        <v>5</v>
      </c>
    </row>
    <row r="72" spans="1:6">
      <c r="A72" s="11" t="s">
        <v>1359</v>
      </c>
      <c r="B72" s="11">
        <v>16</v>
      </c>
      <c r="C72" s="11" t="s">
        <v>7</v>
      </c>
      <c r="D72" s="11">
        <v>1.1000000000000001</v>
      </c>
      <c r="E72" s="11">
        <v>7.1</v>
      </c>
      <c r="F72" s="53">
        <v>4</v>
      </c>
    </row>
    <row r="73" spans="1:6">
      <c r="A73" s="11" t="s">
        <v>1360</v>
      </c>
      <c r="B73" s="11">
        <v>14</v>
      </c>
      <c r="C73" s="11" t="s">
        <v>7</v>
      </c>
      <c r="D73" s="11">
        <v>1.5</v>
      </c>
      <c r="E73" s="11">
        <v>8.1</v>
      </c>
      <c r="F73" s="53">
        <v>5</v>
      </c>
    </row>
    <row r="74" spans="1:6">
      <c r="A74" s="11" t="s">
        <v>1361</v>
      </c>
      <c r="B74" s="11">
        <v>16</v>
      </c>
      <c r="C74" s="11" t="s">
        <v>7</v>
      </c>
      <c r="D74" s="11">
        <v>1.9</v>
      </c>
      <c r="E74" s="11">
        <v>7</v>
      </c>
      <c r="F74" s="53">
        <v>5</v>
      </c>
    </row>
    <row r="75" spans="1:6">
      <c r="A75" s="11" t="s">
        <v>1362</v>
      </c>
      <c r="B75" s="11">
        <v>16</v>
      </c>
      <c r="C75" s="11" t="s">
        <v>28</v>
      </c>
      <c r="D75" s="11">
        <v>1.6</v>
      </c>
      <c r="E75" s="11">
        <v>6.8</v>
      </c>
      <c r="F75" s="53">
        <v>5</v>
      </c>
    </row>
    <row r="76" spans="1:6">
      <c r="A76" s="11" t="s">
        <v>1363</v>
      </c>
      <c r="B76" s="11">
        <v>16</v>
      </c>
      <c r="C76" s="11" t="s">
        <v>28</v>
      </c>
      <c r="D76" s="11">
        <v>0.9</v>
      </c>
      <c r="E76" s="11">
        <v>8.4</v>
      </c>
      <c r="F76" s="53">
        <v>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C13C-80ED-4743-BCA9-F6B72F232F26}">
  <dimension ref="A1:M79"/>
  <sheetViews>
    <sheetView topLeftCell="A4" workbookViewId="0">
      <selection activeCell="M6" sqref="M6"/>
    </sheetView>
  </sheetViews>
  <sheetFormatPr defaultRowHeight="14.45"/>
  <cols>
    <col min="5" max="5" width="11.85546875" customWidth="1"/>
    <col min="6" max="6" width="16.140625" customWidth="1"/>
    <col min="9" max="9" width="13.28515625" customWidth="1"/>
    <col min="11" max="11" width="12.28515625" customWidth="1"/>
    <col min="12" max="12" width="12" customWidth="1"/>
    <col min="13" max="13" width="11.28515625" bestFit="1" customWidth="1"/>
  </cols>
  <sheetData>
    <row r="1" spans="1:13">
      <c r="F1" t="s">
        <v>639</v>
      </c>
    </row>
    <row r="2" spans="1:13">
      <c r="A2" s="53" t="s">
        <v>1</v>
      </c>
      <c r="B2" s="53" t="s">
        <v>641</v>
      </c>
      <c r="C2" s="53" t="s">
        <v>3</v>
      </c>
      <c r="D2" s="53" t="s">
        <v>4</v>
      </c>
      <c r="E2" s="53" t="s">
        <v>5</v>
      </c>
      <c r="F2" s="53" t="s">
        <v>640</v>
      </c>
    </row>
    <row r="3" spans="1:13">
      <c r="A3" s="11" t="s">
        <v>1364</v>
      </c>
      <c r="B3" s="11">
        <v>16</v>
      </c>
      <c r="C3" s="11" t="s">
        <v>7</v>
      </c>
      <c r="D3" s="11">
        <v>1.6</v>
      </c>
      <c r="E3" s="11">
        <v>10</v>
      </c>
      <c r="F3" s="53">
        <v>5</v>
      </c>
    </row>
    <row r="4" spans="1:13">
      <c r="A4" s="11" t="s">
        <v>1365</v>
      </c>
      <c r="B4" s="11">
        <v>15</v>
      </c>
      <c r="C4" s="11" t="s">
        <v>7</v>
      </c>
      <c r="D4" s="11">
        <v>1.6</v>
      </c>
      <c r="E4" s="11">
        <v>8.1999999999999993</v>
      </c>
      <c r="F4" s="53">
        <v>5</v>
      </c>
      <c r="H4" s="53"/>
      <c r="I4" s="53" t="s">
        <v>641</v>
      </c>
      <c r="J4" s="53" t="s">
        <v>3</v>
      </c>
      <c r="K4" s="53" t="s">
        <v>4</v>
      </c>
      <c r="L4" s="53" t="s">
        <v>5</v>
      </c>
      <c r="M4" s="53" t="s">
        <v>640</v>
      </c>
    </row>
    <row r="5" spans="1:13">
      <c r="A5" s="11" t="s">
        <v>1366</v>
      </c>
      <c r="B5" s="11">
        <v>15</v>
      </c>
      <c r="C5" s="11" t="s">
        <v>7</v>
      </c>
      <c r="D5" s="11">
        <v>1.9</v>
      </c>
      <c r="E5" s="11">
        <v>10.5</v>
      </c>
      <c r="F5" s="53">
        <v>5</v>
      </c>
      <c r="H5" s="53" t="s">
        <v>643</v>
      </c>
      <c r="I5" s="53">
        <v>69</v>
      </c>
      <c r="J5" s="53">
        <v>19.2</v>
      </c>
      <c r="K5" s="53">
        <v>88.5</v>
      </c>
      <c r="L5" s="53">
        <v>96.6</v>
      </c>
      <c r="M5" s="53">
        <f>AVERAGE(F3:F28)*20</f>
        <v>100</v>
      </c>
    </row>
    <row r="6" spans="1:13">
      <c r="A6" s="11" t="s">
        <v>1367</v>
      </c>
      <c r="B6" s="11">
        <v>16</v>
      </c>
      <c r="C6" s="11" t="s">
        <v>7</v>
      </c>
      <c r="D6" s="11">
        <v>1</v>
      </c>
      <c r="E6" s="11">
        <v>8.1999999999999993</v>
      </c>
      <c r="F6" s="53">
        <v>5</v>
      </c>
      <c r="H6" s="53" t="s">
        <v>645</v>
      </c>
      <c r="I6" s="53">
        <v>71.400000000000006</v>
      </c>
      <c r="J6" s="53">
        <v>71.400000000000006</v>
      </c>
      <c r="K6" s="53">
        <v>85.7</v>
      </c>
      <c r="L6" s="53">
        <v>100</v>
      </c>
      <c r="M6" s="57">
        <f>AVERAGE(F30:F43)*20</f>
        <v>97.142857142857139</v>
      </c>
    </row>
    <row r="7" spans="1:13">
      <c r="A7" s="11" t="s">
        <v>1368</v>
      </c>
      <c r="B7" s="11">
        <v>16</v>
      </c>
      <c r="C7" s="11" t="s">
        <v>7</v>
      </c>
      <c r="D7" s="11">
        <v>1.2</v>
      </c>
      <c r="E7" s="11">
        <v>6.2</v>
      </c>
      <c r="F7" s="53">
        <v>5</v>
      </c>
      <c r="H7" s="53" t="s">
        <v>647</v>
      </c>
      <c r="I7" s="53">
        <v>0</v>
      </c>
      <c r="J7" s="53">
        <v>100</v>
      </c>
      <c r="K7" s="53">
        <v>100</v>
      </c>
      <c r="L7" s="53">
        <v>100</v>
      </c>
      <c r="M7" s="53">
        <f>AVERAGE(F45:F46)*20</f>
        <v>100</v>
      </c>
    </row>
    <row r="8" spans="1:13">
      <c r="A8" s="11" t="s">
        <v>1369</v>
      </c>
      <c r="B8" s="11">
        <v>14</v>
      </c>
      <c r="C8" s="11" t="s">
        <v>28</v>
      </c>
      <c r="D8" s="11">
        <v>1.2</v>
      </c>
      <c r="E8" s="11">
        <v>8</v>
      </c>
      <c r="F8" s="53">
        <v>5</v>
      </c>
      <c r="H8" s="53" t="s">
        <v>649</v>
      </c>
      <c r="I8" s="53">
        <v>80</v>
      </c>
      <c r="J8" s="53">
        <v>100</v>
      </c>
      <c r="K8" s="53">
        <v>100</v>
      </c>
      <c r="L8" s="53">
        <v>100</v>
      </c>
      <c r="M8" s="53">
        <f>AVERAGE(F48:F52)*20</f>
        <v>96</v>
      </c>
    </row>
    <row r="9" spans="1:13">
      <c r="A9" s="11" t="s">
        <v>1370</v>
      </c>
      <c r="B9" s="11">
        <v>16</v>
      </c>
      <c r="C9" s="11" t="s">
        <v>28</v>
      </c>
      <c r="D9" s="11">
        <v>1.5</v>
      </c>
      <c r="E9" s="11">
        <v>9.6999999999999993</v>
      </c>
      <c r="F9" s="53">
        <v>5</v>
      </c>
      <c r="H9" s="53" t="s">
        <v>651</v>
      </c>
      <c r="I9" s="53">
        <v>100</v>
      </c>
      <c r="J9" s="53">
        <v>58.3</v>
      </c>
      <c r="K9" s="53">
        <v>66.7</v>
      </c>
      <c r="L9" s="53">
        <v>58.3</v>
      </c>
      <c r="M9" s="53">
        <f>AVERAGE(F54:F65)*20</f>
        <v>100</v>
      </c>
    </row>
    <row r="10" spans="1:13">
      <c r="A10" s="11" t="s">
        <v>1371</v>
      </c>
      <c r="B10" s="11">
        <v>15</v>
      </c>
      <c r="C10" s="11" t="s">
        <v>28</v>
      </c>
      <c r="D10" s="11">
        <v>1.8</v>
      </c>
      <c r="E10" s="11">
        <v>9.8000000000000007</v>
      </c>
      <c r="F10" s="53">
        <v>5</v>
      </c>
      <c r="H10" s="53" t="s">
        <v>653</v>
      </c>
      <c r="I10" s="53">
        <v>25</v>
      </c>
      <c r="J10" s="53">
        <v>25</v>
      </c>
      <c r="K10" s="53">
        <v>83.3</v>
      </c>
      <c r="L10" s="53">
        <v>100</v>
      </c>
      <c r="M10" s="53">
        <f>AVERAGE(F67:F78)*20</f>
        <v>95</v>
      </c>
    </row>
    <row r="11" spans="1:13">
      <c r="A11" s="11" t="s">
        <v>1372</v>
      </c>
      <c r="B11" s="11">
        <v>16</v>
      </c>
      <c r="C11" s="11" t="s">
        <v>28</v>
      </c>
      <c r="D11" s="11">
        <v>2.2999999999999998</v>
      </c>
      <c r="E11" s="11">
        <v>9.1999999999999993</v>
      </c>
      <c r="F11" s="53">
        <v>5</v>
      </c>
    </row>
    <row r="12" spans="1:13">
      <c r="A12" s="11" t="s">
        <v>1373</v>
      </c>
      <c r="B12" s="11">
        <v>15</v>
      </c>
      <c r="C12" s="11" t="s">
        <v>28</v>
      </c>
      <c r="D12" s="11">
        <v>1.6</v>
      </c>
      <c r="E12" s="11">
        <v>9.3000000000000007</v>
      </c>
      <c r="F12" s="53">
        <v>5</v>
      </c>
      <c r="I12" t="s">
        <v>656</v>
      </c>
      <c r="J12" t="s">
        <v>657</v>
      </c>
      <c r="K12" t="s">
        <v>658</v>
      </c>
      <c r="L12" t="s">
        <v>659</v>
      </c>
      <c r="M12">
        <v>0.05</v>
      </c>
    </row>
    <row r="13" spans="1:13">
      <c r="A13" s="11" t="s">
        <v>1374</v>
      </c>
      <c r="B13" s="11">
        <v>14</v>
      </c>
      <c r="C13" s="11" t="s">
        <v>28</v>
      </c>
      <c r="D13" s="11">
        <v>1.6</v>
      </c>
      <c r="E13" s="11">
        <v>9.6</v>
      </c>
      <c r="F13" s="53">
        <v>5</v>
      </c>
    </row>
    <row r="14" spans="1:13">
      <c r="A14" s="11" t="s">
        <v>1375</v>
      </c>
      <c r="B14" s="11">
        <v>16</v>
      </c>
      <c r="C14" s="11" t="s">
        <v>28</v>
      </c>
      <c r="D14" s="11">
        <v>1.6</v>
      </c>
      <c r="E14" s="11">
        <v>8.1</v>
      </c>
      <c r="F14" s="53">
        <v>5</v>
      </c>
    </row>
    <row r="15" spans="1:13">
      <c r="A15" s="11" t="s">
        <v>1376</v>
      </c>
      <c r="B15" s="11">
        <v>16</v>
      </c>
      <c r="C15" s="11" t="s">
        <v>28</v>
      </c>
      <c r="D15" s="11">
        <v>1.8</v>
      </c>
      <c r="E15" s="11">
        <v>8.1</v>
      </c>
      <c r="F15" s="53">
        <v>5</v>
      </c>
    </row>
    <row r="16" spans="1:13">
      <c r="A16" s="11" t="s">
        <v>1377</v>
      </c>
      <c r="B16" s="11">
        <v>14</v>
      </c>
      <c r="C16" s="11" t="s">
        <v>28</v>
      </c>
      <c r="D16" s="11">
        <v>1.3</v>
      </c>
      <c r="E16" s="11">
        <v>6.9</v>
      </c>
      <c r="F16" s="53">
        <v>5</v>
      </c>
      <c r="H16" t="s">
        <v>1306</v>
      </c>
      <c r="J16">
        <v>5.3</v>
      </c>
    </row>
    <row r="17" spans="1:10">
      <c r="A17" s="11" t="s">
        <v>1378</v>
      </c>
      <c r="B17" s="11">
        <v>15</v>
      </c>
      <c r="C17" s="11" t="s">
        <v>28</v>
      </c>
      <c r="D17" s="11">
        <v>2.1</v>
      </c>
      <c r="E17" s="11">
        <v>7.3</v>
      </c>
      <c r="F17" s="53">
        <v>5</v>
      </c>
      <c r="H17" t="s">
        <v>1308</v>
      </c>
      <c r="J17">
        <v>1.9</v>
      </c>
    </row>
    <row r="18" spans="1:10">
      <c r="A18" s="11" t="s">
        <v>1379</v>
      </c>
      <c r="B18" s="11">
        <v>16</v>
      </c>
      <c r="C18" s="11" t="s">
        <v>28</v>
      </c>
      <c r="D18" s="11">
        <v>1.2</v>
      </c>
      <c r="E18" s="11">
        <v>7.1</v>
      </c>
      <c r="F18" s="53">
        <v>5</v>
      </c>
      <c r="H18" t="s">
        <v>1310</v>
      </c>
      <c r="J18">
        <v>4.0999999999999996</v>
      </c>
    </row>
    <row r="19" spans="1:10">
      <c r="A19" s="11" t="s">
        <v>1380</v>
      </c>
      <c r="B19" s="11">
        <v>16</v>
      </c>
      <c r="C19" s="11" t="s">
        <v>28</v>
      </c>
      <c r="D19" s="11">
        <v>1.5</v>
      </c>
      <c r="E19" s="11">
        <v>7.3</v>
      </c>
      <c r="F19" s="53">
        <v>5</v>
      </c>
    </row>
    <row r="20" spans="1:10">
      <c r="A20" s="11" t="s">
        <v>1381</v>
      </c>
      <c r="B20" s="11">
        <v>16</v>
      </c>
      <c r="C20" s="11" t="s">
        <v>28</v>
      </c>
      <c r="D20" s="11">
        <v>1.1000000000000001</v>
      </c>
      <c r="E20" s="11">
        <v>7.4</v>
      </c>
      <c r="F20" s="53">
        <v>5</v>
      </c>
    </row>
    <row r="21" spans="1:10">
      <c r="A21" s="11" t="s">
        <v>1382</v>
      </c>
      <c r="B21" s="11">
        <v>18</v>
      </c>
      <c r="C21" s="11" t="s">
        <v>28</v>
      </c>
      <c r="D21" s="11">
        <v>1.4</v>
      </c>
      <c r="E21" s="11">
        <v>7.5</v>
      </c>
      <c r="F21" s="53">
        <v>5</v>
      </c>
    </row>
    <row r="22" spans="1:10">
      <c r="A22" s="11" t="s">
        <v>1383</v>
      </c>
      <c r="B22" s="11">
        <v>16</v>
      </c>
      <c r="C22" s="11" t="s">
        <v>28</v>
      </c>
      <c r="D22" s="11">
        <v>1.6</v>
      </c>
      <c r="E22" s="11">
        <v>7.8</v>
      </c>
      <c r="F22" s="53">
        <v>5</v>
      </c>
    </row>
    <row r="23" spans="1:10">
      <c r="A23" s="11" t="s">
        <v>1384</v>
      </c>
      <c r="B23" s="11">
        <v>16</v>
      </c>
      <c r="C23" s="11" t="s">
        <v>28</v>
      </c>
      <c r="D23" s="11">
        <v>1.2</v>
      </c>
      <c r="E23" s="11">
        <v>7.2</v>
      </c>
      <c r="F23" s="53">
        <v>5</v>
      </c>
    </row>
    <row r="24" spans="1:10">
      <c r="A24" s="11" t="s">
        <v>1385</v>
      </c>
      <c r="B24" s="11">
        <v>16</v>
      </c>
      <c r="C24" s="11" t="s">
        <v>28</v>
      </c>
      <c r="D24" s="11">
        <v>1.8</v>
      </c>
      <c r="E24" s="11">
        <v>7.1</v>
      </c>
      <c r="F24" s="53">
        <v>5</v>
      </c>
    </row>
    <row r="25" spans="1:10">
      <c r="A25" s="11" t="s">
        <v>1386</v>
      </c>
      <c r="B25" s="11">
        <v>16</v>
      </c>
      <c r="C25" s="11" t="s">
        <v>28</v>
      </c>
      <c r="D25" s="11">
        <v>1</v>
      </c>
      <c r="E25" s="11">
        <v>7.1</v>
      </c>
      <c r="F25" s="53">
        <v>5</v>
      </c>
    </row>
    <row r="26" spans="1:10">
      <c r="A26" s="11" t="s">
        <v>1387</v>
      </c>
      <c r="B26" s="11">
        <v>14</v>
      </c>
      <c r="C26" s="11" t="s">
        <v>28</v>
      </c>
      <c r="D26" s="11">
        <v>1.4</v>
      </c>
      <c r="E26" s="11">
        <v>7.6</v>
      </c>
      <c r="F26" s="53">
        <v>5</v>
      </c>
    </row>
    <row r="27" spans="1:10">
      <c r="A27" s="11" t="s">
        <v>1388</v>
      </c>
      <c r="B27" s="11">
        <v>16</v>
      </c>
      <c r="C27" s="11" t="s">
        <v>28</v>
      </c>
      <c r="D27" s="11">
        <v>1.8</v>
      </c>
      <c r="E27" s="11">
        <v>7</v>
      </c>
      <c r="F27" s="53">
        <v>5</v>
      </c>
    </row>
    <row r="28" spans="1:10">
      <c r="A28" s="11" t="s">
        <v>1389</v>
      </c>
      <c r="B28" s="11">
        <v>14</v>
      </c>
      <c r="C28" s="11" t="s">
        <v>28</v>
      </c>
      <c r="D28" s="11">
        <v>1.5</v>
      </c>
      <c r="E28" s="11">
        <v>7.8</v>
      </c>
      <c r="F28" s="11">
        <v>5</v>
      </c>
    </row>
    <row r="29" spans="1:10">
      <c r="A29" s="11"/>
      <c r="B29" s="53"/>
      <c r="C29" s="53"/>
      <c r="D29" s="53"/>
      <c r="E29" s="53"/>
      <c r="F29" s="53"/>
    </row>
    <row r="30" spans="1:10">
      <c r="A30" s="11" t="s">
        <v>1390</v>
      </c>
      <c r="B30" s="11">
        <v>15</v>
      </c>
      <c r="C30" s="11" t="s">
        <v>7</v>
      </c>
      <c r="D30" s="11">
        <v>1.8</v>
      </c>
      <c r="E30" s="11">
        <v>8.1999999999999993</v>
      </c>
      <c r="F30" s="11">
        <v>5</v>
      </c>
      <c r="G30" s="5"/>
    </row>
    <row r="31" spans="1:10">
      <c r="A31" s="11" t="s">
        <v>1391</v>
      </c>
      <c r="B31" s="11">
        <v>14</v>
      </c>
      <c r="C31" s="11" t="s">
        <v>7</v>
      </c>
      <c r="D31" s="11">
        <v>1.4</v>
      </c>
      <c r="E31" s="11">
        <v>8.3000000000000007</v>
      </c>
      <c r="F31" s="11">
        <v>5</v>
      </c>
      <c r="G31" s="5"/>
    </row>
    <row r="32" spans="1:10">
      <c r="A32" s="11" t="s">
        <v>1392</v>
      </c>
      <c r="B32" s="11">
        <v>15</v>
      </c>
      <c r="C32" s="11" t="s">
        <v>7</v>
      </c>
      <c r="D32" s="11">
        <v>2.2999999999999998</v>
      </c>
      <c r="E32" s="11">
        <v>11.2</v>
      </c>
      <c r="F32" s="11">
        <v>5</v>
      </c>
      <c r="G32" s="5"/>
    </row>
    <row r="33" spans="1:7">
      <c r="A33" s="11" t="s">
        <v>1393</v>
      </c>
      <c r="B33" s="11">
        <v>16</v>
      </c>
      <c r="C33" s="11" t="s">
        <v>7</v>
      </c>
      <c r="D33" s="11">
        <v>1.2</v>
      </c>
      <c r="E33" s="11">
        <v>9.1999999999999993</v>
      </c>
      <c r="F33" s="11">
        <v>5</v>
      </c>
      <c r="G33" s="5"/>
    </row>
    <row r="34" spans="1:7">
      <c r="A34" s="11" t="s">
        <v>1394</v>
      </c>
      <c r="B34" s="11">
        <v>16</v>
      </c>
      <c r="C34" s="11" t="s">
        <v>28</v>
      </c>
      <c r="D34" s="11">
        <v>2.2000000000000002</v>
      </c>
      <c r="E34" s="11">
        <v>11.1</v>
      </c>
      <c r="F34" s="11">
        <v>5</v>
      </c>
      <c r="G34" s="5"/>
    </row>
    <row r="35" spans="1:7">
      <c r="A35" s="11" t="s">
        <v>1395</v>
      </c>
      <c r="B35" s="11">
        <v>16</v>
      </c>
      <c r="C35" s="11" t="s">
        <v>28</v>
      </c>
      <c r="D35" s="11">
        <v>2</v>
      </c>
      <c r="E35" s="11">
        <v>10.4</v>
      </c>
      <c r="F35" s="11">
        <v>5</v>
      </c>
      <c r="G35" s="5"/>
    </row>
    <row r="36" spans="1:7">
      <c r="A36" s="11" t="s">
        <v>1396</v>
      </c>
      <c r="B36" s="11">
        <v>14</v>
      </c>
      <c r="C36" s="11" t="s">
        <v>28</v>
      </c>
      <c r="D36" s="11">
        <v>1.8</v>
      </c>
      <c r="E36" s="11">
        <v>9.4</v>
      </c>
      <c r="F36" s="11">
        <v>5</v>
      </c>
      <c r="G36" s="5"/>
    </row>
    <row r="37" spans="1:7">
      <c r="A37" s="11" t="s">
        <v>1397</v>
      </c>
      <c r="B37" s="11">
        <v>15</v>
      </c>
      <c r="C37" s="11" t="s">
        <v>28</v>
      </c>
      <c r="D37" s="11">
        <v>2</v>
      </c>
      <c r="E37" s="11">
        <v>9.1</v>
      </c>
      <c r="F37" s="11">
        <v>5</v>
      </c>
      <c r="G37" s="5"/>
    </row>
    <row r="38" spans="1:7">
      <c r="A38" s="11" t="s">
        <v>1398</v>
      </c>
      <c r="B38" s="11">
        <v>18</v>
      </c>
      <c r="C38" s="11" t="s">
        <v>7</v>
      </c>
      <c r="D38" s="11">
        <v>1.4</v>
      </c>
      <c r="E38" s="11">
        <v>8.3000000000000007</v>
      </c>
      <c r="F38" s="11">
        <v>4</v>
      </c>
      <c r="G38" s="5"/>
    </row>
    <row r="39" spans="1:7">
      <c r="A39" s="11" t="s">
        <v>1399</v>
      </c>
      <c r="B39" s="11">
        <v>16</v>
      </c>
      <c r="C39" s="11" t="s">
        <v>7</v>
      </c>
      <c r="D39" s="11">
        <v>2</v>
      </c>
      <c r="E39" s="11">
        <v>9</v>
      </c>
      <c r="F39" s="11">
        <v>5</v>
      </c>
      <c r="G39" s="5"/>
    </row>
    <row r="40" spans="1:7">
      <c r="A40" s="11" t="s">
        <v>1400</v>
      </c>
      <c r="B40" s="11">
        <v>16</v>
      </c>
      <c r="C40" s="11" t="s">
        <v>7</v>
      </c>
      <c r="D40" s="11">
        <v>2.1</v>
      </c>
      <c r="E40" s="11">
        <v>10</v>
      </c>
      <c r="F40" s="11">
        <v>5</v>
      </c>
      <c r="G40" s="5"/>
    </row>
    <row r="41" spans="1:7">
      <c r="A41" s="11" t="s">
        <v>1401</v>
      </c>
      <c r="B41" s="11">
        <v>16</v>
      </c>
      <c r="C41" s="11" t="s">
        <v>7</v>
      </c>
      <c r="D41" s="11">
        <v>2</v>
      </c>
      <c r="E41" s="11">
        <v>9.6999999999999993</v>
      </c>
      <c r="F41" s="11">
        <v>5</v>
      </c>
      <c r="G41" s="5"/>
    </row>
    <row r="42" spans="1:7">
      <c r="A42" s="11" t="s">
        <v>1402</v>
      </c>
      <c r="B42" s="11">
        <v>16</v>
      </c>
      <c r="C42" s="11" t="s">
        <v>7</v>
      </c>
      <c r="D42" s="11">
        <v>1.1000000000000001</v>
      </c>
      <c r="E42" s="11">
        <v>7.9</v>
      </c>
      <c r="F42" s="11">
        <v>5</v>
      </c>
      <c r="G42" s="5"/>
    </row>
    <row r="43" spans="1:7">
      <c r="A43" s="11" t="s">
        <v>1403</v>
      </c>
      <c r="B43" s="11">
        <v>16</v>
      </c>
      <c r="C43" s="11" t="s">
        <v>7</v>
      </c>
      <c r="D43" s="11">
        <v>1</v>
      </c>
      <c r="E43" s="11">
        <v>8</v>
      </c>
      <c r="F43" s="11">
        <v>4</v>
      </c>
      <c r="G43" s="5"/>
    </row>
    <row r="44" spans="1:7">
      <c r="A44" s="11"/>
      <c r="B44" s="53"/>
      <c r="C44" s="53"/>
      <c r="D44" s="53"/>
      <c r="E44" s="53"/>
      <c r="F44" s="53"/>
    </row>
    <row r="45" spans="1:7">
      <c r="A45" s="11" t="s">
        <v>1404</v>
      </c>
      <c r="B45" s="11">
        <v>14</v>
      </c>
      <c r="C45" s="11" t="s">
        <v>7</v>
      </c>
      <c r="D45" s="11">
        <v>1.3</v>
      </c>
      <c r="E45" s="11">
        <v>7.3</v>
      </c>
      <c r="F45" s="53">
        <v>5</v>
      </c>
    </row>
    <row r="46" spans="1:7">
      <c r="A46" s="11" t="s">
        <v>1405</v>
      </c>
      <c r="B46" s="11">
        <v>15</v>
      </c>
      <c r="C46" s="11" t="s">
        <v>7</v>
      </c>
      <c r="D46" s="11">
        <v>1.3</v>
      </c>
      <c r="E46" s="11">
        <v>7.3</v>
      </c>
      <c r="F46" s="53">
        <v>5</v>
      </c>
    </row>
    <row r="47" spans="1:7">
      <c r="A47" s="11"/>
      <c r="B47" s="53"/>
      <c r="C47" s="53"/>
      <c r="D47" s="53"/>
      <c r="E47" s="53"/>
      <c r="F47" s="53"/>
    </row>
    <row r="48" spans="1:7">
      <c r="A48" s="11" t="s">
        <v>1406</v>
      </c>
      <c r="B48" s="11">
        <v>15</v>
      </c>
      <c r="C48" s="11" t="s">
        <v>7</v>
      </c>
      <c r="D48" s="11">
        <v>1.5</v>
      </c>
      <c r="E48" s="11">
        <v>7.4</v>
      </c>
      <c r="F48" s="11">
        <v>5</v>
      </c>
    </row>
    <row r="49" spans="1:6">
      <c r="A49" s="11" t="s">
        <v>1407</v>
      </c>
      <c r="B49" s="11">
        <v>16</v>
      </c>
      <c r="C49" s="11" t="s">
        <v>7</v>
      </c>
      <c r="D49" s="11">
        <v>1.7</v>
      </c>
      <c r="E49" s="11">
        <v>7.6</v>
      </c>
      <c r="F49" s="11">
        <v>5</v>
      </c>
    </row>
    <row r="50" spans="1:6">
      <c r="A50" s="11" t="s">
        <v>1408</v>
      </c>
      <c r="B50" s="11">
        <v>16</v>
      </c>
      <c r="C50" s="11" t="s">
        <v>7</v>
      </c>
      <c r="D50" s="11">
        <v>1.2</v>
      </c>
      <c r="E50" s="11">
        <v>7.4</v>
      </c>
      <c r="F50" s="11">
        <v>5</v>
      </c>
    </row>
    <row r="51" spans="1:6">
      <c r="A51" s="11" t="s">
        <v>1409</v>
      </c>
      <c r="B51" s="11">
        <v>16</v>
      </c>
      <c r="C51" s="11" t="s">
        <v>7</v>
      </c>
      <c r="D51" s="11">
        <v>1.4</v>
      </c>
      <c r="E51" s="11">
        <v>7.6</v>
      </c>
      <c r="F51" s="11">
        <v>4</v>
      </c>
    </row>
    <row r="52" spans="1:6">
      <c r="A52" s="11" t="s">
        <v>1410</v>
      </c>
      <c r="B52" s="11">
        <v>16</v>
      </c>
      <c r="C52" s="11" t="s">
        <v>7</v>
      </c>
      <c r="D52" s="11">
        <v>1.2</v>
      </c>
      <c r="E52" s="11">
        <v>7.2</v>
      </c>
      <c r="F52" s="11">
        <v>5</v>
      </c>
    </row>
    <row r="53" spans="1:6">
      <c r="A53" s="53"/>
      <c r="B53" s="53"/>
      <c r="C53" s="53"/>
      <c r="D53" s="53"/>
      <c r="E53" s="53"/>
      <c r="F53" s="53"/>
    </row>
    <row r="54" spans="1:6">
      <c r="A54" s="11" t="s">
        <v>1411</v>
      </c>
      <c r="B54" s="11">
        <v>16</v>
      </c>
      <c r="C54" s="11" t="s">
        <v>7</v>
      </c>
      <c r="D54" s="11">
        <v>1.6</v>
      </c>
      <c r="E54" s="11">
        <v>6.5</v>
      </c>
      <c r="F54" s="11">
        <v>5</v>
      </c>
    </row>
    <row r="55" spans="1:6">
      <c r="A55" s="11" t="s">
        <v>1412</v>
      </c>
      <c r="B55" s="11">
        <v>16</v>
      </c>
      <c r="C55" s="11" t="s">
        <v>7</v>
      </c>
      <c r="D55" s="11">
        <v>1.4</v>
      </c>
      <c r="E55" s="11">
        <v>6.4</v>
      </c>
      <c r="F55" s="11">
        <v>5</v>
      </c>
    </row>
    <row r="56" spans="1:6">
      <c r="A56" s="11" t="s">
        <v>1413</v>
      </c>
      <c r="B56" s="11">
        <v>16</v>
      </c>
      <c r="C56" s="11" t="s">
        <v>7</v>
      </c>
      <c r="D56" s="11">
        <v>1</v>
      </c>
      <c r="E56" s="11">
        <v>6</v>
      </c>
      <c r="F56" s="11">
        <v>5</v>
      </c>
    </row>
    <row r="57" spans="1:6">
      <c r="A57" s="11" t="s">
        <v>1414</v>
      </c>
      <c r="B57" s="11">
        <v>17</v>
      </c>
      <c r="C57" s="11" t="s">
        <v>7</v>
      </c>
      <c r="D57" s="11">
        <v>1.2</v>
      </c>
      <c r="E57" s="11">
        <v>6.7</v>
      </c>
      <c r="F57" s="11">
        <v>5</v>
      </c>
    </row>
    <row r="58" spans="1:6">
      <c r="A58" s="11" t="s">
        <v>1415</v>
      </c>
      <c r="B58" s="11">
        <v>16</v>
      </c>
      <c r="C58" s="11" t="s">
        <v>7</v>
      </c>
      <c r="D58" s="11">
        <v>1</v>
      </c>
      <c r="E58" s="11">
        <v>6.7</v>
      </c>
      <c r="F58" s="11">
        <v>5</v>
      </c>
    </row>
    <row r="59" spans="1:6">
      <c r="A59" s="11" t="s">
        <v>1416</v>
      </c>
      <c r="B59" s="11">
        <v>16</v>
      </c>
      <c r="C59" s="11" t="s">
        <v>28</v>
      </c>
      <c r="D59" s="11">
        <v>1.1000000000000001</v>
      </c>
      <c r="E59" s="11">
        <v>7</v>
      </c>
      <c r="F59" s="11">
        <v>5</v>
      </c>
    </row>
    <row r="60" spans="1:6">
      <c r="A60" s="11" t="s">
        <v>1417</v>
      </c>
      <c r="B60" s="11">
        <v>17</v>
      </c>
      <c r="C60" s="11" t="s">
        <v>28</v>
      </c>
      <c r="D60" s="11">
        <v>1.7</v>
      </c>
      <c r="E60" s="11">
        <v>7.6</v>
      </c>
      <c r="F60" s="11">
        <v>5</v>
      </c>
    </row>
    <row r="61" spans="1:6">
      <c r="A61" s="11" t="s">
        <v>1418</v>
      </c>
      <c r="B61" s="11">
        <v>16</v>
      </c>
      <c r="C61" s="11" t="s">
        <v>28</v>
      </c>
      <c r="D61" s="11">
        <v>1.6</v>
      </c>
      <c r="E61" s="11">
        <v>8.3000000000000007</v>
      </c>
      <c r="F61" s="11">
        <v>5</v>
      </c>
    </row>
    <row r="62" spans="1:6">
      <c r="A62" s="11" t="s">
        <v>1419</v>
      </c>
      <c r="B62" s="11">
        <v>16</v>
      </c>
      <c r="C62" s="11" t="s">
        <v>28</v>
      </c>
      <c r="D62" s="11">
        <v>1.6</v>
      </c>
      <c r="E62" s="11">
        <v>8.5</v>
      </c>
      <c r="F62" s="11">
        <v>5</v>
      </c>
    </row>
    <row r="63" spans="1:6">
      <c r="A63" s="11" t="s">
        <v>1420</v>
      </c>
      <c r="B63" s="11">
        <v>16</v>
      </c>
      <c r="C63" s="11" t="s">
        <v>28</v>
      </c>
      <c r="D63" s="11">
        <v>1.8</v>
      </c>
      <c r="E63" s="11">
        <v>8.6</v>
      </c>
      <c r="F63" s="11">
        <v>5</v>
      </c>
    </row>
    <row r="64" spans="1:6">
      <c r="A64" s="11" t="s">
        <v>1421</v>
      </c>
      <c r="B64" s="11">
        <v>16</v>
      </c>
      <c r="C64" s="11" t="s">
        <v>28</v>
      </c>
      <c r="D64" s="11">
        <v>1.3</v>
      </c>
      <c r="E64" s="11">
        <v>9.1999999999999993</v>
      </c>
      <c r="F64" s="11">
        <v>5</v>
      </c>
    </row>
    <row r="65" spans="1:6">
      <c r="A65" s="11" t="s">
        <v>1422</v>
      </c>
      <c r="B65" s="11">
        <v>16</v>
      </c>
      <c r="C65" s="11" t="s">
        <v>28</v>
      </c>
      <c r="D65" s="11">
        <v>1.1000000000000001</v>
      </c>
      <c r="E65" s="11">
        <v>7.7</v>
      </c>
      <c r="F65" s="11">
        <v>5</v>
      </c>
    </row>
    <row r="66" spans="1:6">
      <c r="A66" s="11"/>
      <c r="B66" s="11"/>
      <c r="C66" s="11"/>
      <c r="D66" s="11"/>
      <c r="E66" s="11"/>
      <c r="F66" s="53"/>
    </row>
    <row r="67" spans="1:6">
      <c r="A67" s="11" t="s">
        <v>1423</v>
      </c>
      <c r="B67" s="11">
        <v>14</v>
      </c>
      <c r="C67" s="11" t="s">
        <v>7</v>
      </c>
      <c r="D67" s="11">
        <v>2.1</v>
      </c>
      <c r="E67" s="11">
        <v>10.6</v>
      </c>
      <c r="F67" s="11">
        <v>5</v>
      </c>
    </row>
    <row r="68" spans="1:6">
      <c r="A68" s="11" t="s">
        <v>1424</v>
      </c>
      <c r="B68" s="11">
        <v>15</v>
      </c>
      <c r="C68" s="11" t="s">
        <v>7</v>
      </c>
      <c r="D68" s="11">
        <v>1.6</v>
      </c>
      <c r="E68" s="11">
        <v>8.8000000000000007</v>
      </c>
      <c r="F68" s="11">
        <v>5</v>
      </c>
    </row>
    <row r="69" spans="1:6">
      <c r="A69" s="11" t="s">
        <v>1425</v>
      </c>
      <c r="B69" s="11">
        <v>15</v>
      </c>
      <c r="C69" s="11" t="s">
        <v>7</v>
      </c>
      <c r="D69" s="11">
        <v>1.9</v>
      </c>
      <c r="E69" s="11">
        <v>8.6</v>
      </c>
      <c r="F69" s="11">
        <v>4</v>
      </c>
    </row>
    <row r="70" spans="1:6">
      <c r="A70" s="11" t="s">
        <v>1426</v>
      </c>
      <c r="B70" s="11">
        <v>14</v>
      </c>
      <c r="C70" s="11" t="s">
        <v>28</v>
      </c>
      <c r="D70" s="11">
        <v>1.4</v>
      </c>
      <c r="E70" s="11">
        <v>7.6</v>
      </c>
      <c r="F70" s="11">
        <v>5</v>
      </c>
    </row>
    <row r="71" spans="1:6">
      <c r="A71" s="11" t="s">
        <v>1427</v>
      </c>
      <c r="B71" s="11">
        <v>14</v>
      </c>
      <c r="C71" s="11" t="s">
        <v>28</v>
      </c>
      <c r="D71" s="11">
        <v>1.1000000000000001</v>
      </c>
      <c r="E71" s="11">
        <v>8</v>
      </c>
      <c r="F71" s="11">
        <v>5</v>
      </c>
    </row>
    <row r="72" spans="1:6">
      <c r="A72" s="11" t="s">
        <v>1428</v>
      </c>
      <c r="B72" s="11">
        <v>16</v>
      </c>
      <c r="C72" s="11" t="s">
        <v>28</v>
      </c>
      <c r="D72" s="11">
        <v>2.2000000000000002</v>
      </c>
      <c r="E72" s="11">
        <v>10.6</v>
      </c>
      <c r="F72" s="11">
        <v>5</v>
      </c>
    </row>
    <row r="73" spans="1:6">
      <c r="A73" s="11" t="s">
        <v>1429</v>
      </c>
      <c r="B73" s="11">
        <v>16</v>
      </c>
      <c r="C73" s="11" t="s">
        <v>28</v>
      </c>
      <c r="D73" s="11">
        <v>2.9</v>
      </c>
      <c r="E73" s="11">
        <v>9.9</v>
      </c>
      <c r="F73" s="11">
        <v>4</v>
      </c>
    </row>
    <row r="74" spans="1:6">
      <c r="A74" s="11" t="s">
        <v>1430</v>
      </c>
      <c r="B74" s="11">
        <v>14</v>
      </c>
      <c r="C74" s="11" t="s">
        <v>28</v>
      </c>
      <c r="D74" s="11">
        <v>2.2000000000000002</v>
      </c>
      <c r="E74" s="11">
        <v>12.6</v>
      </c>
      <c r="F74" s="11">
        <v>4</v>
      </c>
    </row>
    <row r="75" spans="1:6">
      <c r="A75" s="11" t="s">
        <v>1431</v>
      </c>
      <c r="B75" s="11">
        <v>14</v>
      </c>
      <c r="C75" s="11" t="s">
        <v>28</v>
      </c>
      <c r="D75" s="11">
        <v>1.1000000000000001</v>
      </c>
      <c r="E75" s="11">
        <v>8.8000000000000007</v>
      </c>
      <c r="F75" s="11">
        <v>5</v>
      </c>
    </row>
    <row r="76" spans="1:6">
      <c r="A76" s="11" t="s">
        <v>1432</v>
      </c>
      <c r="B76" s="11">
        <v>16</v>
      </c>
      <c r="C76" s="11" t="s">
        <v>28</v>
      </c>
      <c r="D76" s="11">
        <v>1.5</v>
      </c>
      <c r="E76" s="11">
        <v>9.6</v>
      </c>
      <c r="F76" s="11">
        <v>5</v>
      </c>
    </row>
    <row r="77" spans="1:6">
      <c r="A77" s="11" t="s">
        <v>1433</v>
      </c>
      <c r="B77" s="11">
        <v>15</v>
      </c>
      <c r="C77" s="11" t="s">
        <v>28</v>
      </c>
      <c r="D77" s="11">
        <v>1.7</v>
      </c>
      <c r="E77" s="11">
        <v>8.9</v>
      </c>
      <c r="F77" s="11">
        <v>5</v>
      </c>
    </row>
    <row r="78" spans="1:6">
      <c r="A78" s="11" t="s">
        <v>1434</v>
      </c>
      <c r="B78" s="11">
        <v>15</v>
      </c>
      <c r="C78" s="11" t="s">
        <v>28</v>
      </c>
      <c r="D78" s="11">
        <v>1.4</v>
      </c>
      <c r="E78" s="11">
        <v>8.8000000000000007</v>
      </c>
      <c r="F78" s="11">
        <v>5</v>
      </c>
    </row>
    <row r="79" spans="1:6">
      <c r="E79" s="5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73944-FA38-45D5-8DC7-679155DD8EEA}">
  <dimension ref="A1:M78"/>
  <sheetViews>
    <sheetView topLeftCell="A11" workbookViewId="0">
      <selection activeCell="M5" sqref="M5:M10"/>
    </sheetView>
  </sheetViews>
  <sheetFormatPr defaultRowHeight="14.45"/>
  <cols>
    <col min="6" max="6" width="14.28515625" customWidth="1"/>
    <col min="9" max="9" width="16.85546875" customWidth="1"/>
    <col min="13" max="13" width="10.7109375" customWidth="1"/>
  </cols>
  <sheetData>
    <row r="1" spans="1:13">
      <c r="F1" t="s">
        <v>639</v>
      </c>
    </row>
    <row r="2" spans="1:13">
      <c r="A2" s="53" t="s">
        <v>1</v>
      </c>
      <c r="B2" s="53" t="s">
        <v>641</v>
      </c>
      <c r="C2" s="53" t="s">
        <v>3</v>
      </c>
      <c r="D2" s="53" t="s">
        <v>4</v>
      </c>
      <c r="E2" s="53" t="s">
        <v>5</v>
      </c>
      <c r="F2" s="53" t="s">
        <v>640</v>
      </c>
    </row>
    <row r="3" spans="1:13">
      <c r="A3" s="53" t="s">
        <v>1435</v>
      </c>
      <c r="B3" s="11">
        <v>16</v>
      </c>
      <c r="C3" s="11" t="s">
        <v>7</v>
      </c>
      <c r="D3" s="11">
        <v>1.4</v>
      </c>
      <c r="E3" s="11">
        <v>8.1</v>
      </c>
      <c r="F3" s="11">
        <v>5</v>
      </c>
    </row>
    <row r="4" spans="1:13">
      <c r="A4" s="53" t="s">
        <v>1436</v>
      </c>
      <c r="B4" s="11">
        <v>16</v>
      </c>
      <c r="C4" s="11" t="s">
        <v>7</v>
      </c>
      <c r="D4" s="11">
        <v>1.2</v>
      </c>
      <c r="E4" s="11">
        <v>8</v>
      </c>
      <c r="F4" s="11">
        <v>5</v>
      </c>
      <c r="H4" s="53"/>
      <c r="I4" s="53" t="s">
        <v>641</v>
      </c>
      <c r="J4" s="53" t="s">
        <v>3</v>
      </c>
      <c r="K4" s="53" t="s">
        <v>4</v>
      </c>
      <c r="L4" s="53" t="s">
        <v>5</v>
      </c>
      <c r="M4" s="53" t="s">
        <v>640</v>
      </c>
    </row>
    <row r="5" spans="1:13">
      <c r="A5" s="53" t="s">
        <v>1437</v>
      </c>
      <c r="B5" s="11">
        <v>16</v>
      </c>
      <c r="C5" s="11" t="s">
        <v>7</v>
      </c>
      <c r="D5" s="11">
        <v>1.6</v>
      </c>
      <c r="E5" s="11">
        <v>7.6</v>
      </c>
      <c r="F5" s="11">
        <v>5</v>
      </c>
      <c r="H5" s="53" t="s">
        <v>643</v>
      </c>
      <c r="I5" s="53">
        <v>73.099999999999994</v>
      </c>
      <c r="J5" s="53">
        <v>42.2</v>
      </c>
      <c r="K5" s="53">
        <v>73.099999999999994</v>
      </c>
      <c r="L5" s="53">
        <v>50</v>
      </c>
      <c r="M5" s="57">
        <f>AVERAGE(F3:F28)*20</f>
        <v>95.833333333333343</v>
      </c>
    </row>
    <row r="6" spans="1:13">
      <c r="A6" s="53" t="s">
        <v>1438</v>
      </c>
      <c r="B6" s="11">
        <v>16</v>
      </c>
      <c r="C6" s="11" t="s">
        <v>7</v>
      </c>
      <c r="D6" s="11">
        <v>1</v>
      </c>
      <c r="E6" s="11">
        <v>7.6</v>
      </c>
      <c r="F6" s="11">
        <v>5</v>
      </c>
      <c r="H6" s="53" t="s">
        <v>645</v>
      </c>
      <c r="I6" s="53">
        <v>71.400000000000006</v>
      </c>
      <c r="J6" s="53">
        <v>55.7</v>
      </c>
      <c r="K6" s="53">
        <v>85.7</v>
      </c>
      <c r="L6" s="53">
        <v>100</v>
      </c>
      <c r="M6" s="57">
        <f>AVERAGE(F30:F43)*20</f>
        <v>97.142857142857139</v>
      </c>
    </row>
    <row r="7" spans="1:13">
      <c r="A7" s="53" t="s">
        <v>1439</v>
      </c>
      <c r="B7" s="11">
        <v>17</v>
      </c>
      <c r="C7" s="11" t="s">
        <v>7</v>
      </c>
      <c r="D7" s="11">
        <v>1.5</v>
      </c>
      <c r="E7" s="11">
        <v>6</v>
      </c>
      <c r="F7" s="11">
        <v>4</v>
      </c>
      <c r="H7" s="53" t="s">
        <v>647</v>
      </c>
      <c r="I7" s="53">
        <v>0</v>
      </c>
      <c r="J7" s="53">
        <v>100</v>
      </c>
      <c r="K7" s="53">
        <v>50</v>
      </c>
      <c r="L7" s="53">
        <v>100</v>
      </c>
      <c r="M7" s="57">
        <f>AVERAGE(F45:F46)*20</f>
        <v>100</v>
      </c>
    </row>
    <row r="8" spans="1:13">
      <c r="A8" s="53" t="s">
        <v>1440</v>
      </c>
      <c r="B8" s="11">
        <v>16</v>
      </c>
      <c r="C8" s="11" t="s">
        <v>28</v>
      </c>
      <c r="D8" s="11">
        <v>1.6</v>
      </c>
      <c r="E8" s="11">
        <v>9.3000000000000007</v>
      </c>
      <c r="F8" s="11">
        <v>5</v>
      </c>
      <c r="H8" s="53" t="s">
        <v>649</v>
      </c>
      <c r="I8" s="53">
        <v>40</v>
      </c>
      <c r="J8" s="53">
        <v>100</v>
      </c>
      <c r="K8" s="53">
        <v>40</v>
      </c>
      <c r="L8" s="53">
        <v>0</v>
      </c>
      <c r="M8" s="57">
        <f>AVERAGE(F48:F52)*20</f>
        <v>100</v>
      </c>
    </row>
    <row r="9" spans="1:13">
      <c r="A9" s="53" t="s">
        <v>1441</v>
      </c>
      <c r="B9" s="11">
        <v>17</v>
      </c>
      <c r="C9" s="11" t="s">
        <v>28</v>
      </c>
      <c r="D9" s="11">
        <v>1.4</v>
      </c>
      <c r="E9" s="11">
        <v>7.5</v>
      </c>
      <c r="F9" s="11">
        <v>5</v>
      </c>
      <c r="H9" s="53" t="s">
        <v>651</v>
      </c>
      <c r="I9" s="53">
        <v>100</v>
      </c>
      <c r="J9" s="53">
        <v>8.3000000000000007</v>
      </c>
      <c r="K9" s="53">
        <v>75</v>
      </c>
      <c r="L9" s="53">
        <v>58.3</v>
      </c>
      <c r="M9" s="57">
        <f>AVERAGE(F54:F65)*20</f>
        <v>78.333333333333329</v>
      </c>
    </row>
    <row r="10" spans="1:13">
      <c r="A10" s="53" t="s">
        <v>1442</v>
      </c>
      <c r="B10" s="11">
        <v>15</v>
      </c>
      <c r="C10" s="11" t="s">
        <v>28</v>
      </c>
      <c r="D10" s="11">
        <v>1.7</v>
      </c>
      <c r="E10" s="11">
        <v>7.5</v>
      </c>
      <c r="F10" s="11">
        <v>5</v>
      </c>
      <c r="H10" s="53" t="s">
        <v>653</v>
      </c>
      <c r="I10" s="53">
        <v>58.3</v>
      </c>
      <c r="J10" s="53">
        <v>41.7</v>
      </c>
      <c r="K10" s="53">
        <v>91.7</v>
      </c>
      <c r="L10" s="53">
        <v>100</v>
      </c>
      <c r="M10" s="57">
        <f>AVERAGE(F67:F78)*20</f>
        <v>98.333333333333343</v>
      </c>
    </row>
    <row r="11" spans="1:13">
      <c r="A11" s="53" t="s">
        <v>1443</v>
      </c>
      <c r="B11" s="11">
        <v>16</v>
      </c>
      <c r="C11" s="11" t="s">
        <v>28</v>
      </c>
      <c r="D11" s="11">
        <v>1.3</v>
      </c>
      <c r="E11" s="11">
        <v>6.3</v>
      </c>
      <c r="F11" s="11">
        <v>5</v>
      </c>
      <c r="H11" s="53"/>
      <c r="I11" s="53"/>
      <c r="J11" s="53"/>
      <c r="K11" s="53"/>
      <c r="L11" s="53"/>
      <c r="M11" s="53"/>
    </row>
    <row r="12" spans="1:13">
      <c r="A12" s="53" t="s">
        <v>1444</v>
      </c>
      <c r="B12" s="11">
        <v>17</v>
      </c>
      <c r="C12" s="11" t="s">
        <v>28</v>
      </c>
      <c r="D12" s="11">
        <v>1.2</v>
      </c>
      <c r="E12" s="11">
        <v>7.3</v>
      </c>
      <c r="F12" s="11">
        <v>5</v>
      </c>
      <c r="H12" s="53"/>
      <c r="I12" s="53" t="s">
        <v>656</v>
      </c>
      <c r="J12" s="53" t="s">
        <v>657</v>
      </c>
      <c r="K12" s="53" t="s">
        <v>658</v>
      </c>
      <c r="L12" s="53" t="s">
        <v>659</v>
      </c>
      <c r="M12" s="53">
        <v>0.05</v>
      </c>
    </row>
    <row r="13" spans="1:13">
      <c r="A13" s="53" t="s">
        <v>1445</v>
      </c>
      <c r="B13" s="11">
        <v>16</v>
      </c>
      <c r="C13" s="11" t="s">
        <v>7</v>
      </c>
      <c r="D13" s="11">
        <v>1.5</v>
      </c>
      <c r="E13" s="11">
        <v>7</v>
      </c>
      <c r="F13" s="11">
        <v>5</v>
      </c>
    </row>
    <row r="14" spans="1:13">
      <c r="A14" s="53" t="s">
        <v>1446</v>
      </c>
      <c r="B14" s="11">
        <v>15</v>
      </c>
      <c r="C14" s="11" t="s">
        <v>7</v>
      </c>
      <c r="D14" s="11">
        <v>1</v>
      </c>
      <c r="E14" s="11">
        <v>5.7</v>
      </c>
      <c r="F14" s="11">
        <v>5</v>
      </c>
    </row>
    <row r="15" spans="1:13">
      <c r="A15" s="53" t="s">
        <v>1447</v>
      </c>
      <c r="B15" s="11">
        <v>16</v>
      </c>
      <c r="C15" s="11" t="s">
        <v>7</v>
      </c>
      <c r="D15" s="11">
        <v>1.2</v>
      </c>
      <c r="E15" s="11">
        <v>6.3</v>
      </c>
      <c r="F15" s="11">
        <v>5</v>
      </c>
    </row>
    <row r="16" spans="1:13">
      <c r="A16" s="53" t="s">
        <v>1448</v>
      </c>
      <c r="B16" s="11">
        <v>15</v>
      </c>
      <c r="C16" s="11" t="s">
        <v>442</v>
      </c>
      <c r="D16" s="11">
        <v>1.1000000000000001</v>
      </c>
      <c r="E16" s="11">
        <v>7.6</v>
      </c>
      <c r="F16" s="11">
        <v>5</v>
      </c>
      <c r="H16" t="s">
        <v>1306</v>
      </c>
      <c r="J16">
        <v>5.6</v>
      </c>
    </row>
    <row r="17" spans="1:10">
      <c r="A17" s="53" t="s">
        <v>1449</v>
      </c>
      <c r="B17" s="11">
        <v>14</v>
      </c>
      <c r="C17" s="11" t="s">
        <v>442</v>
      </c>
      <c r="D17" s="11">
        <v>2.4</v>
      </c>
      <c r="E17" s="11">
        <v>9.5</v>
      </c>
      <c r="F17" s="11">
        <v>5</v>
      </c>
      <c r="H17" t="s">
        <v>1308</v>
      </c>
      <c r="J17">
        <v>2.8</v>
      </c>
    </row>
    <row r="18" spans="1:10">
      <c r="A18" s="53" t="s">
        <v>1450</v>
      </c>
      <c r="B18" s="11">
        <v>16</v>
      </c>
      <c r="C18" s="11" t="s">
        <v>442</v>
      </c>
      <c r="D18" s="11">
        <v>1.1000000000000001</v>
      </c>
      <c r="E18" s="11">
        <v>7.6</v>
      </c>
      <c r="F18" s="11">
        <v>5</v>
      </c>
      <c r="H18" t="s">
        <v>1310</v>
      </c>
      <c r="J18">
        <v>4</v>
      </c>
    </row>
    <row r="19" spans="1:10">
      <c r="A19" s="53" t="s">
        <v>1451</v>
      </c>
      <c r="B19" s="11">
        <v>15</v>
      </c>
      <c r="C19" s="11" t="s">
        <v>7</v>
      </c>
      <c r="D19" s="11">
        <v>1.2</v>
      </c>
      <c r="E19" s="11">
        <v>5.8</v>
      </c>
      <c r="F19" s="11">
        <v>3</v>
      </c>
    </row>
    <row r="20" spans="1:10">
      <c r="A20" s="53" t="s">
        <v>1452</v>
      </c>
      <c r="B20" s="11">
        <v>18</v>
      </c>
      <c r="C20" s="11" t="s">
        <v>7</v>
      </c>
      <c r="D20" s="11">
        <v>1.7</v>
      </c>
      <c r="E20" s="11">
        <v>5.7</v>
      </c>
      <c r="F20" s="11">
        <v>4</v>
      </c>
    </row>
    <row r="21" spans="1:10">
      <c r="A21" s="53" t="s">
        <v>1453</v>
      </c>
      <c r="B21" s="11">
        <v>14</v>
      </c>
      <c r="C21" s="11" t="s">
        <v>28</v>
      </c>
      <c r="D21" s="11">
        <v>1.3</v>
      </c>
      <c r="E21" s="11">
        <v>5.2</v>
      </c>
      <c r="F21" s="11">
        <v>5</v>
      </c>
    </row>
    <row r="22" spans="1:10">
      <c r="A22" s="53" t="s">
        <v>1454</v>
      </c>
      <c r="B22" s="11">
        <v>19</v>
      </c>
      <c r="C22" s="11" t="s">
        <v>7</v>
      </c>
      <c r="D22" s="11">
        <v>1.5</v>
      </c>
      <c r="E22" s="11">
        <v>5.3</v>
      </c>
      <c r="F22" s="11">
        <v>5</v>
      </c>
    </row>
    <row r="23" spans="1:10">
      <c r="A23" s="53" t="s">
        <v>1455</v>
      </c>
      <c r="B23" s="11">
        <v>18</v>
      </c>
      <c r="C23" s="11" t="s">
        <v>7</v>
      </c>
      <c r="D23" s="11">
        <v>1.5</v>
      </c>
      <c r="E23" s="11">
        <v>6</v>
      </c>
      <c r="F23" s="11">
        <v>5</v>
      </c>
    </row>
    <row r="24" spans="1:10">
      <c r="A24" s="53" t="s">
        <v>1456</v>
      </c>
      <c r="B24" s="11">
        <v>18</v>
      </c>
      <c r="C24" s="11" t="s">
        <v>7</v>
      </c>
      <c r="D24" s="11">
        <v>1.2</v>
      </c>
      <c r="E24" s="11">
        <v>5.4</v>
      </c>
      <c r="F24" s="11">
        <v>4</v>
      </c>
    </row>
    <row r="25" spans="1:10">
      <c r="A25" s="53" t="s">
        <v>1457</v>
      </c>
      <c r="B25" s="11">
        <v>17</v>
      </c>
      <c r="C25" s="11" t="s">
        <v>28</v>
      </c>
      <c r="D25" s="11">
        <v>1.3</v>
      </c>
      <c r="E25" s="11">
        <v>9.4</v>
      </c>
      <c r="F25" s="11">
        <v>5</v>
      </c>
    </row>
    <row r="26" spans="1:10">
      <c r="A26" s="53" t="s">
        <v>1458</v>
      </c>
      <c r="B26" s="11">
        <v>17</v>
      </c>
      <c r="C26" s="11" t="s">
        <v>7</v>
      </c>
      <c r="D26" s="11">
        <v>1</v>
      </c>
      <c r="E26" s="11">
        <v>5.2</v>
      </c>
      <c r="F26" s="11">
        <v>5</v>
      </c>
    </row>
    <row r="27" spans="1:10">
      <c r="A27" s="53" t="s">
        <v>1459</v>
      </c>
      <c r="B27" s="53"/>
      <c r="C27" s="53"/>
      <c r="D27" s="53"/>
      <c r="E27" s="53"/>
      <c r="F27" s="11"/>
    </row>
    <row r="28" spans="1:10">
      <c r="A28" s="53" t="s">
        <v>1460</v>
      </c>
      <c r="B28" s="53"/>
      <c r="C28" s="53"/>
      <c r="D28" s="53"/>
      <c r="E28" s="53"/>
      <c r="F28" s="11"/>
    </row>
    <row r="29" spans="1:10">
      <c r="A29" s="53"/>
      <c r="B29" s="53"/>
      <c r="C29" s="53"/>
      <c r="D29" s="53"/>
      <c r="E29" s="53"/>
      <c r="F29" s="11"/>
    </row>
    <row r="30" spans="1:10">
      <c r="A30" s="11" t="s">
        <v>1461</v>
      </c>
      <c r="B30" s="11">
        <v>16</v>
      </c>
      <c r="C30" s="11" t="s">
        <v>7</v>
      </c>
      <c r="D30" s="11">
        <v>1.2</v>
      </c>
      <c r="E30" s="11">
        <v>9</v>
      </c>
      <c r="F30" s="11">
        <v>5</v>
      </c>
    </row>
    <row r="31" spans="1:10">
      <c r="A31" s="11" t="s">
        <v>1462</v>
      </c>
      <c r="B31" s="11">
        <v>18</v>
      </c>
      <c r="C31" s="11" t="s">
        <v>7</v>
      </c>
      <c r="D31" s="11">
        <v>1.6</v>
      </c>
      <c r="E31" s="11">
        <v>8.3000000000000007</v>
      </c>
      <c r="F31" s="11">
        <v>5</v>
      </c>
    </row>
    <row r="32" spans="1:10">
      <c r="A32" s="11" t="s">
        <v>1463</v>
      </c>
      <c r="B32" s="11">
        <v>15</v>
      </c>
      <c r="C32" s="11" t="s">
        <v>7</v>
      </c>
      <c r="D32" s="11">
        <v>1.4</v>
      </c>
      <c r="E32" s="11">
        <v>8</v>
      </c>
      <c r="F32" s="11">
        <v>5</v>
      </c>
    </row>
    <row r="33" spans="1:6">
      <c r="A33" s="11" t="s">
        <v>1464</v>
      </c>
      <c r="B33" s="11">
        <v>16</v>
      </c>
      <c r="C33" s="11" t="s">
        <v>7</v>
      </c>
      <c r="D33" s="11">
        <v>1.4</v>
      </c>
      <c r="E33" s="11">
        <v>8.1</v>
      </c>
      <c r="F33" s="11">
        <v>5</v>
      </c>
    </row>
    <row r="34" spans="1:6">
      <c r="A34" s="11" t="s">
        <v>1465</v>
      </c>
      <c r="B34" s="11">
        <v>16</v>
      </c>
      <c r="C34" s="11" t="s">
        <v>7</v>
      </c>
      <c r="D34" s="11">
        <v>1.2</v>
      </c>
      <c r="E34" s="11">
        <v>10</v>
      </c>
      <c r="F34" s="11">
        <v>5</v>
      </c>
    </row>
    <row r="35" spans="1:6">
      <c r="A35" s="11" t="s">
        <v>1466</v>
      </c>
      <c r="B35" s="11">
        <v>18</v>
      </c>
      <c r="C35" s="11" t="s">
        <v>28</v>
      </c>
      <c r="D35" s="11">
        <v>1</v>
      </c>
      <c r="E35" s="11">
        <v>7.1</v>
      </c>
      <c r="F35" s="11">
        <v>4</v>
      </c>
    </row>
    <row r="36" spans="1:6">
      <c r="A36" s="11" t="s">
        <v>1467</v>
      </c>
      <c r="B36" s="11">
        <v>16</v>
      </c>
      <c r="C36" s="11" t="s">
        <v>28</v>
      </c>
      <c r="D36" s="11">
        <v>1.1000000000000001</v>
      </c>
      <c r="E36" s="11">
        <v>8.1</v>
      </c>
      <c r="F36" s="11">
        <v>5</v>
      </c>
    </row>
    <row r="37" spans="1:6">
      <c r="A37" s="11" t="s">
        <v>1468</v>
      </c>
      <c r="B37" s="11">
        <v>14</v>
      </c>
      <c r="C37" s="11" t="s">
        <v>28</v>
      </c>
      <c r="D37" s="11">
        <v>1.2</v>
      </c>
      <c r="E37" s="11">
        <v>8.9</v>
      </c>
      <c r="F37" s="11">
        <v>5</v>
      </c>
    </row>
    <row r="38" spans="1:6">
      <c r="A38" s="11" t="s">
        <v>1469</v>
      </c>
      <c r="B38" s="11">
        <v>15</v>
      </c>
      <c r="C38" s="11" t="s">
        <v>442</v>
      </c>
      <c r="D38" s="11">
        <v>1.4</v>
      </c>
      <c r="E38" s="11">
        <v>9.4</v>
      </c>
      <c r="F38" s="11">
        <v>5</v>
      </c>
    </row>
    <row r="39" spans="1:6">
      <c r="A39" s="11" t="s">
        <v>1470</v>
      </c>
      <c r="B39" s="11">
        <v>15</v>
      </c>
      <c r="C39" s="11" t="s">
        <v>442</v>
      </c>
      <c r="D39" s="11">
        <v>1.8</v>
      </c>
      <c r="E39" s="11">
        <v>10.3</v>
      </c>
      <c r="F39" s="11">
        <v>5</v>
      </c>
    </row>
    <row r="40" spans="1:6">
      <c r="A40" s="11" t="s">
        <v>1471</v>
      </c>
      <c r="B40" s="11">
        <v>17</v>
      </c>
      <c r="C40" s="11" t="s">
        <v>442</v>
      </c>
      <c r="D40" s="11">
        <v>1.6</v>
      </c>
      <c r="E40" s="11">
        <v>8.6</v>
      </c>
      <c r="F40" s="11">
        <v>5</v>
      </c>
    </row>
    <row r="41" spans="1:6">
      <c r="A41" s="11" t="s">
        <v>1472</v>
      </c>
      <c r="B41" s="11">
        <v>16</v>
      </c>
      <c r="C41" s="11" t="s">
        <v>442</v>
      </c>
      <c r="D41" s="11">
        <v>1.5</v>
      </c>
      <c r="E41" s="11">
        <v>8.3000000000000007</v>
      </c>
      <c r="F41" s="11">
        <v>5</v>
      </c>
    </row>
    <row r="42" spans="1:6">
      <c r="A42" s="11" t="s">
        <v>1473</v>
      </c>
      <c r="B42" s="11">
        <v>16</v>
      </c>
      <c r="C42" s="11" t="s">
        <v>442</v>
      </c>
      <c r="D42" s="11">
        <v>2</v>
      </c>
      <c r="E42" s="11">
        <v>7.7</v>
      </c>
      <c r="F42" s="11">
        <v>4</v>
      </c>
    </row>
    <row r="43" spans="1:6">
      <c r="A43" s="11" t="s">
        <v>1474</v>
      </c>
      <c r="B43" s="11">
        <v>16</v>
      </c>
      <c r="C43" s="11" t="s">
        <v>442</v>
      </c>
      <c r="D43" s="11">
        <v>2</v>
      </c>
      <c r="E43" s="11">
        <v>11.2</v>
      </c>
      <c r="F43" s="11">
        <v>5</v>
      </c>
    </row>
    <row r="44" spans="1:6">
      <c r="A44" s="53"/>
      <c r="B44" s="53"/>
      <c r="C44" s="53"/>
      <c r="D44" s="53"/>
      <c r="E44" s="53"/>
      <c r="F44" s="11"/>
    </row>
    <row r="45" spans="1:6">
      <c r="A45" s="53" t="s">
        <v>1475</v>
      </c>
      <c r="B45" s="11">
        <v>14</v>
      </c>
      <c r="C45" s="11" t="s">
        <v>7</v>
      </c>
      <c r="D45" s="11">
        <v>1.6</v>
      </c>
      <c r="E45" s="11">
        <v>7.2</v>
      </c>
      <c r="F45" s="11">
        <v>5</v>
      </c>
    </row>
    <row r="46" spans="1:6">
      <c r="A46" s="53" t="s">
        <v>1476</v>
      </c>
      <c r="B46" s="11">
        <v>14</v>
      </c>
      <c r="C46" s="11" t="s">
        <v>7</v>
      </c>
      <c r="D46" s="11">
        <v>1.1000000000000001</v>
      </c>
      <c r="E46" s="11">
        <v>7</v>
      </c>
      <c r="F46" s="11">
        <v>5</v>
      </c>
    </row>
    <row r="47" spans="1:6">
      <c r="A47" s="53"/>
      <c r="B47" s="11"/>
      <c r="C47" s="11"/>
      <c r="D47" s="11"/>
      <c r="E47" s="11"/>
      <c r="F47" s="11"/>
    </row>
    <row r="48" spans="1:6">
      <c r="A48" s="53" t="s">
        <v>1477</v>
      </c>
      <c r="B48" s="11">
        <v>15</v>
      </c>
      <c r="C48" s="11" t="s">
        <v>7</v>
      </c>
      <c r="D48" s="11">
        <v>1.1000000000000001</v>
      </c>
      <c r="E48" s="11">
        <v>6.4</v>
      </c>
      <c r="F48" s="11">
        <v>5</v>
      </c>
    </row>
    <row r="49" spans="1:6">
      <c r="A49" s="53" t="s">
        <v>1478</v>
      </c>
      <c r="B49" s="11">
        <v>16</v>
      </c>
      <c r="C49" s="11" t="s">
        <v>7</v>
      </c>
      <c r="D49" s="11">
        <v>1.2</v>
      </c>
      <c r="E49" s="11">
        <v>6.3</v>
      </c>
      <c r="F49" s="11">
        <v>5</v>
      </c>
    </row>
    <row r="50" spans="1:6">
      <c r="A50" s="53" t="s">
        <v>1479</v>
      </c>
      <c r="B50" s="11">
        <v>17</v>
      </c>
      <c r="C50" s="11" t="s">
        <v>7</v>
      </c>
      <c r="D50" s="11">
        <v>1.4</v>
      </c>
      <c r="E50" s="11">
        <v>6.4</v>
      </c>
      <c r="F50" s="11">
        <v>5</v>
      </c>
    </row>
    <row r="51" spans="1:6">
      <c r="A51" s="53" t="s">
        <v>1480</v>
      </c>
      <c r="B51" s="11">
        <v>14</v>
      </c>
      <c r="C51" s="11" t="s">
        <v>7</v>
      </c>
      <c r="D51" s="11">
        <v>1</v>
      </c>
      <c r="E51" s="11">
        <v>6.5</v>
      </c>
      <c r="F51" s="11">
        <v>5</v>
      </c>
    </row>
    <row r="52" spans="1:6">
      <c r="A52" s="53" t="s">
        <v>1481</v>
      </c>
      <c r="B52" s="11">
        <v>15</v>
      </c>
      <c r="C52" s="11" t="s">
        <v>7</v>
      </c>
      <c r="D52" s="11">
        <v>1</v>
      </c>
      <c r="E52" s="11">
        <v>6.7</v>
      </c>
      <c r="F52" s="11">
        <v>5</v>
      </c>
    </row>
    <row r="53" spans="1:6">
      <c r="A53" s="53"/>
      <c r="B53" s="53"/>
      <c r="C53" s="53"/>
      <c r="D53" s="53"/>
      <c r="E53" s="53"/>
      <c r="F53" s="53"/>
    </row>
    <row r="54" spans="1:6">
      <c r="A54" s="53" t="s">
        <v>1482</v>
      </c>
      <c r="B54" s="11">
        <v>16</v>
      </c>
      <c r="C54" s="11" t="s">
        <v>28</v>
      </c>
      <c r="D54" s="11">
        <v>1.4</v>
      </c>
      <c r="E54" s="11">
        <v>6.8</v>
      </c>
      <c r="F54" s="11">
        <v>4</v>
      </c>
    </row>
    <row r="55" spans="1:6">
      <c r="A55" s="53" t="s">
        <v>1483</v>
      </c>
      <c r="B55" s="11">
        <v>16</v>
      </c>
      <c r="C55" s="11" t="s">
        <v>7</v>
      </c>
      <c r="D55" s="11">
        <v>1.1000000000000001</v>
      </c>
      <c r="E55" s="11">
        <v>6</v>
      </c>
      <c r="F55" s="11">
        <v>5</v>
      </c>
    </row>
    <row r="56" spans="1:6">
      <c r="A56" s="53" t="s">
        <v>1484</v>
      </c>
      <c r="B56" s="11">
        <v>16</v>
      </c>
      <c r="C56" s="11" t="s">
        <v>28</v>
      </c>
      <c r="D56" s="11">
        <v>1</v>
      </c>
      <c r="E56" s="11">
        <v>7.5</v>
      </c>
      <c r="F56" s="11">
        <v>4</v>
      </c>
    </row>
    <row r="57" spans="1:6">
      <c r="A57" s="53" t="s">
        <v>1485</v>
      </c>
      <c r="B57" s="11">
        <v>16</v>
      </c>
      <c r="C57" s="11" t="s">
        <v>28</v>
      </c>
      <c r="D57" s="11">
        <v>1.1000000000000001</v>
      </c>
      <c r="E57" s="11">
        <v>7.2</v>
      </c>
      <c r="F57" s="11">
        <v>4</v>
      </c>
    </row>
    <row r="58" spans="1:6">
      <c r="A58" s="53" t="s">
        <v>1486</v>
      </c>
      <c r="B58" s="11">
        <v>16</v>
      </c>
      <c r="C58" s="11" t="s">
        <v>28</v>
      </c>
      <c r="D58" s="11">
        <v>1.2</v>
      </c>
      <c r="E58" s="11">
        <v>7.3</v>
      </c>
      <c r="F58" s="11">
        <v>4</v>
      </c>
    </row>
    <row r="59" spans="1:6">
      <c r="A59" s="53" t="s">
        <v>1487</v>
      </c>
      <c r="B59" s="11">
        <v>16</v>
      </c>
      <c r="C59" s="11" t="s">
        <v>28</v>
      </c>
      <c r="D59" s="11">
        <v>1.4</v>
      </c>
      <c r="E59" s="11">
        <v>7.9</v>
      </c>
      <c r="F59" s="11">
        <v>4</v>
      </c>
    </row>
    <row r="60" spans="1:6">
      <c r="A60" s="53" t="s">
        <v>1488</v>
      </c>
      <c r="B60" s="11">
        <v>17</v>
      </c>
      <c r="C60" s="11" t="s">
        <v>28</v>
      </c>
      <c r="D60" s="11">
        <v>1.4</v>
      </c>
      <c r="E60" s="11">
        <v>7.8</v>
      </c>
      <c r="F60" s="11">
        <v>4</v>
      </c>
    </row>
    <row r="61" spans="1:6">
      <c r="A61" s="53" t="s">
        <v>1489</v>
      </c>
      <c r="B61" s="11">
        <v>16</v>
      </c>
      <c r="C61" s="11" t="s">
        <v>28</v>
      </c>
      <c r="D61" s="11">
        <v>1.5</v>
      </c>
      <c r="E61" s="11">
        <v>6</v>
      </c>
      <c r="F61" s="11">
        <v>4</v>
      </c>
    </row>
    <row r="62" spans="1:6">
      <c r="A62" s="53" t="s">
        <v>1490</v>
      </c>
      <c r="B62" s="11">
        <v>17</v>
      </c>
      <c r="C62" s="11" t="s">
        <v>28</v>
      </c>
      <c r="D62" s="11">
        <v>1.2</v>
      </c>
      <c r="E62" s="11">
        <v>6.5</v>
      </c>
      <c r="F62" s="11">
        <v>4</v>
      </c>
    </row>
    <row r="63" spans="1:6">
      <c r="A63" s="53" t="s">
        <v>1491</v>
      </c>
      <c r="B63" s="11">
        <v>16</v>
      </c>
      <c r="C63" s="11" t="s">
        <v>28</v>
      </c>
      <c r="D63" s="11">
        <v>1.3</v>
      </c>
      <c r="E63" s="11">
        <v>7.3</v>
      </c>
      <c r="F63" s="11">
        <v>4</v>
      </c>
    </row>
    <row r="64" spans="1:6">
      <c r="A64" s="53" t="s">
        <v>1492</v>
      </c>
      <c r="B64" s="11">
        <v>16</v>
      </c>
      <c r="C64" s="11" t="s">
        <v>442</v>
      </c>
      <c r="D64" s="11">
        <v>1.5</v>
      </c>
      <c r="E64" s="11">
        <v>6.9</v>
      </c>
      <c r="F64" s="11">
        <v>3</v>
      </c>
    </row>
    <row r="65" spans="1:6">
      <c r="A65" s="53" t="s">
        <v>1493</v>
      </c>
      <c r="B65" s="11">
        <v>16</v>
      </c>
      <c r="C65" s="11" t="s">
        <v>442</v>
      </c>
      <c r="D65" s="11">
        <v>1.2</v>
      </c>
      <c r="E65" s="11">
        <v>7.6</v>
      </c>
      <c r="F65" s="11">
        <v>3</v>
      </c>
    </row>
    <row r="66" spans="1:6">
      <c r="A66" s="53"/>
      <c r="B66" s="53"/>
      <c r="C66" s="53"/>
      <c r="D66" s="53"/>
      <c r="E66" s="53"/>
      <c r="F66" s="53"/>
    </row>
    <row r="67" spans="1:6">
      <c r="A67" s="53" t="s">
        <v>1494</v>
      </c>
      <c r="B67" s="11">
        <v>16</v>
      </c>
      <c r="C67" s="11" t="s">
        <v>7</v>
      </c>
      <c r="D67" s="11">
        <v>1.7</v>
      </c>
      <c r="E67" s="11">
        <v>11.6</v>
      </c>
      <c r="F67" s="11">
        <v>5</v>
      </c>
    </row>
    <row r="68" spans="1:6">
      <c r="A68" s="53" t="s">
        <v>1495</v>
      </c>
      <c r="B68" s="11">
        <v>16</v>
      </c>
      <c r="C68" s="11" t="s">
        <v>7</v>
      </c>
      <c r="D68" s="11">
        <v>1.7</v>
      </c>
      <c r="E68" s="11">
        <v>10</v>
      </c>
      <c r="F68" s="11">
        <v>5</v>
      </c>
    </row>
    <row r="69" spans="1:6">
      <c r="A69" s="53" t="s">
        <v>1496</v>
      </c>
      <c r="B69" s="11">
        <v>16</v>
      </c>
      <c r="C69" s="11" t="s">
        <v>7</v>
      </c>
      <c r="D69" s="11">
        <v>1.7</v>
      </c>
      <c r="E69" s="11">
        <v>11</v>
      </c>
      <c r="F69" s="11">
        <v>5</v>
      </c>
    </row>
    <row r="70" spans="1:6">
      <c r="A70" s="53" t="s">
        <v>1497</v>
      </c>
      <c r="B70" s="11">
        <v>14</v>
      </c>
      <c r="C70" s="11" t="s">
        <v>7</v>
      </c>
      <c r="D70" s="11">
        <v>1.5</v>
      </c>
      <c r="E70" s="11">
        <v>10.9</v>
      </c>
      <c r="F70" s="11">
        <v>5</v>
      </c>
    </row>
    <row r="71" spans="1:6">
      <c r="A71" s="53" t="s">
        <v>1498</v>
      </c>
      <c r="B71" s="11">
        <v>15</v>
      </c>
      <c r="C71" s="11" t="s">
        <v>7</v>
      </c>
      <c r="D71" s="11">
        <v>1.7</v>
      </c>
      <c r="E71" s="11">
        <v>10.6</v>
      </c>
      <c r="F71" s="11">
        <v>5</v>
      </c>
    </row>
    <row r="72" spans="1:6">
      <c r="A72" s="53" t="s">
        <v>1499</v>
      </c>
      <c r="B72" s="11">
        <v>15</v>
      </c>
      <c r="C72" s="11" t="s">
        <v>28</v>
      </c>
      <c r="D72" s="11">
        <v>1.4</v>
      </c>
      <c r="E72" s="11">
        <v>10.5</v>
      </c>
      <c r="F72" s="11">
        <v>5</v>
      </c>
    </row>
    <row r="73" spans="1:6">
      <c r="A73" s="53" t="s">
        <v>1500</v>
      </c>
      <c r="B73" s="11">
        <v>16</v>
      </c>
      <c r="C73" s="11" t="s">
        <v>28</v>
      </c>
      <c r="D73" s="11">
        <v>1.2</v>
      </c>
      <c r="E73" s="11">
        <v>9</v>
      </c>
      <c r="F73" s="11">
        <v>5</v>
      </c>
    </row>
    <row r="74" spans="1:6">
      <c r="A74" s="53" t="s">
        <v>1501</v>
      </c>
      <c r="B74" s="11">
        <v>14</v>
      </c>
      <c r="C74" s="11" t="s">
        <v>28</v>
      </c>
      <c r="D74" s="11">
        <v>1</v>
      </c>
      <c r="E74" s="11">
        <v>9.9</v>
      </c>
      <c r="F74" s="11">
        <v>5</v>
      </c>
    </row>
    <row r="75" spans="1:6">
      <c r="A75" s="53" t="s">
        <v>1502</v>
      </c>
      <c r="B75" s="11">
        <v>16</v>
      </c>
      <c r="C75" s="11" t="s">
        <v>442</v>
      </c>
      <c r="D75" s="11">
        <v>1.9</v>
      </c>
      <c r="E75" s="11">
        <v>10</v>
      </c>
      <c r="F75" s="11">
        <v>5</v>
      </c>
    </row>
    <row r="76" spans="1:6">
      <c r="A76" s="53" t="s">
        <v>1503</v>
      </c>
      <c r="B76" s="11">
        <v>15</v>
      </c>
      <c r="C76" s="11" t="s">
        <v>442</v>
      </c>
      <c r="D76" s="11">
        <v>2</v>
      </c>
      <c r="E76" s="11">
        <v>10</v>
      </c>
      <c r="F76" s="11">
        <v>5</v>
      </c>
    </row>
    <row r="77" spans="1:6">
      <c r="A77" s="53" t="s">
        <v>1504</v>
      </c>
      <c r="B77" s="11">
        <v>16</v>
      </c>
      <c r="C77" s="11" t="s">
        <v>442</v>
      </c>
      <c r="D77" s="11">
        <v>1.9</v>
      </c>
      <c r="E77" s="11">
        <v>9.9</v>
      </c>
      <c r="F77" s="11">
        <v>5</v>
      </c>
    </row>
    <row r="78" spans="1:6">
      <c r="A78" s="53" t="s">
        <v>1505</v>
      </c>
      <c r="B78" s="11">
        <v>16</v>
      </c>
      <c r="C78" s="11" t="s">
        <v>442</v>
      </c>
      <c r="D78" s="11">
        <v>1.2</v>
      </c>
      <c r="E78" s="11">
        <v>9.3000000000000007</v>
      </c>
      <c r="F78" s="11">
        <v>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2B535-19BC-4727-A767-629887BEACA2}">
  <dimension ref="A1:M87"/>
  <sheetViews>
    <sheetView topLeftCell="A58" workbookViewId="0">
      <selection activeCell="E69" sqref="E69:E80"/>
    </sheetView>
  </sheetViews>
  <sheetFormatPr defaultRowHeight="14.45"/>
  <cols>
    <col min="4" max="4" width="13.140625" customWidth="1"/>
    <col min="5" max="5" width="11.7109375" customWidth="1"/>
    <col min="6" max="6" width="14.28515625" customWidth="1"/>
    <col min="8" max="8" width="10.85546875" customWidth="1"/>
    <col min="9" max="9" width="13.140625" customWidth="1"/>
    <col min="10" max="10" width="11.7109375" customWidth="1"/>
    <col min="11" max="11" width="11.28515625" customWidth="1"/>
    <col min="12" max="12" width="12.42578125" customWidth="1"/>
  </cols>
  <sheetData>
    <row r="1" spans="1:13">
      <c r="F1" t="s">
        <v>639</v>
      </c>
    </row>
    <row r="2" spans="1:13">
      <c r="A2" s="53" t="s">
        <v>1</v>
      </c>
      <c r="B2" s="53" t="s">
        <v>641</v>
      </c>
      <c r="C2" s="53" t="s">
        <v>3</v>
      </c>
      <c r="D2" s="53" t="s">
        <v>4</v>
      </c>
      <c r="E2" s="53" t="s">
        <v>5</v>
      </c>
      <c r="F2" s="53" t="s">
        <v>640</v>
      </c>
    </row>
    <row r="3" spans="1:13">
      <c r="A3" s="11" t="s">
        <v>1506</v>
      </c>
      <c r="B3" s="11">
        <v>15</v>
      </c>
      <c r="C3" s="11" t="s">
        <v>7</v>
      </c>
      <c r="D3" s="11">
        <v>1.3</v>
      </c>
      <c r="E3" s="11">
        <v>8.1999999999999993</v>
      </c>
      <c r="F3" s="11">
        <v>5</v>
      </c>
    </row>
    <row r="4" spans="1:13">
      <c r="A4" s="11" t="s">
        <v>1507</v>
      </c>
      <c r="B4" s="11">
        <v>16</v>
      </c>
      <c r="C4" s="11" t="s">
        <v>7</v>
      </c>
      <c r="D4" s="11">
        <v>2</v>
      </c>
      <c r="E4" s="11">
        <v>7.8</v>
      </c>
      <c r="F4" s="11">
        <v>5</v>
      </c>
      <c r="I4" t="s">
        <v>641</v>
      </c>
      <c r="J4" t="s">
        <v>3</v>
      </c>
      <c r="K4" t="s">
        <v>4</v>
      </c>
      <c r="L4" t="s">
        <v>5</v>
      </c>
      <c r="M4" t="s">
        <v>640</v>
      </c>
    </row>
    <row r="5" spans="1:13">
      <c r="A5" s="11" t="s">
        <v>1508</v>
      </c>
      <c r="B5" s="11">
        <v>15</v>
      </c>
      <c r="C5" s="11" t="s">
        <v>7</v>
      </c>
      <c r="D5" s="11">
        <v>1.3</v>
      </c>
      <c r="E5" s="11">
        <v>9.3000000000000007</v>
      </c>
      <c r="F5" s="11">
        <v>5</v>
      </c>
      <c r="H5" t="s">
        <v>643</v>
      </c>
      <c r="I5">
        <v>46.4</v>
      </c>
      <c r="J5">
        <v>67.900000000000006</v>
      </c>
      <c r="K5">
        <v>85.7</v>
      </c>
      <c r="L5">
        <v>92.9</v>
      </c>
      <c r="M5" s="22">
        <f>AVERAGE(F3:F30)*20</f>
        <v>96.428571428571416</v>
      </c>
    </row>
    <row r="6" spans="1:13">
      <c r="A6" s="11" t="s">
        <v>1509</v>
      </c>
      <c r="B6" s="11">
        <v>16</v>
      </c>
      <c r="C6" s="11" t="s">
        <v>7</v>
      </c>
      <c r="D6" s="11">
        <v>1.3</v>
      </c>
      <c r="E6" s="11">
        <v>7.2</v>
      </c>
      <c r="F6" s="11">
        <v>4</v>
      </c>
      <c r="H6" t="s">
        <v>645</v>
      </c>
      <c r="I6">
        <v>64.3</v>
      </c>
      <c r="J6">
        <v>85.7</v>
      </c>
      <c r="K6">
        <v>85.7</v>
      </c>
      <c r="L6">
        <v>100</v>
      </c>
      <c r="M6" s="22">
        <f>AVERAGE(F32:F45)*20</f>
        <v>97.142857142857139</v>
      </c>
    </row>
    <row r="7" spans="1:13">
      <c r="A7" s="11" t="s">
        <v>1510</v>
      </c>
      <c r="B7" s="11">
        <v>17</v>
      </c>
      <c r="C7" s="11" t="s">
        <v>7</v>
      </c>
      <c r="D7" s="11">
        <v>1.2</v>
      </c>
      <c r="E7" s="11">
        <v>9.1999999999999993</v>
      </c>
      <c r="F7" s="11">
        <v>5</v>
      </c>
      <c r="H7" t="s">
        <v>647</v>
      </c>
      <c r="I7">
        <v>100</v>
      </c>
      <c r="J7">
        <v>100</v>
      </c>
      <c r="K7">
        <v>50</v>
      </c>
      <c r="L7">
        <v>100</v>
      </c>
      <c r="M7">
        <f>AVERAGE(F47:F48)*20</f>
        <v>100</v>
      </c>
    </row>
    <row r="8" spans="1:13">
      <c r="A8" s="11" t="s">
        <v>1511</v>
      </c>
      <c r="B8" s="11">
        <v>14</v>
      </c>
      <c r="C8" s="11" t="s">
        <v>7</v>
      </c>
      <c r="D8" s="11">
        <v>1.7</v>
      </c>
      <c r="E8" s="11">
        <v>8.5</v>
      </c>
      <c r="F8" s="11">
        <v>4</v>
      </c>
      <c r="H8" t="s">
        <v>649</v>
      </c>
      <c r="I8">
        <v>80</v>
      </c>
      <c r="J8">
        <v>100</v>
      </c>
      <c r="K8">
        <v>60</v>
      </c>
      <c r="L8">
        <v>0</v>
      </c>
      <c r="M8">
        <f>AVERAGE(F50:F54)*20</f>
        <v>100</v>
      </c>
    </row>
    <row r="9" spans="1:13">
      <c r="A9" s="11" t="s">
        <v>1512</v>
      </c>
      <c r="B9" s="11">
        <v>15</v>
      </c>
      <c r="C9" s="11" t="s">
        <v>7</v>
      </c>
      <c r="D9" s="11">
        <v>1.1000000000000001</v>
      </c>
      <c r="E9" s="11">
        <v>7.8</v>
      </c>
      <c r="F9" s="11">
        <v>5</v>
      </c>
      <c r="H9" t="s">
        <v>651</v>
      </c>
      <c r="I9">
        <v>100</v>
      </c>
      <c r="J9">
        <v>16.8</v>
      </c>
      <c r="K9">
        <v>83.3</v>
      </c>
      <c r="L9">
        <v>58.3</v>
      </c>
      <c r="M9">
        <f>AVERAGE(F56:F67)*20</f>
        <v>95</v>
      </c>
    </row>
    <row r="10" spans="1:13">
      <c r="A10" s="11" t="s">
        <v>1513</v>
      </c>
      <c r="B10" s="11">
        <v>14</v>
      </c>
      <c r="C10" s="11" t="s">
        <v>7</v>
      </c>
      <c r="D10" s="11">
        <v>1.5</v>
      </c>
      <c r="E10" s="11">
        <v>9.1999999999999993</v>
      </c>
      <c r="F10" s="11">
        <v>5</v>
      </c>
      <c r="H10" t="s">
        <v>653</v>
      </c>
      <c r="I10">
        <v>91.7</v>
      </c>
      <c r="J10">
        <v>41.7</v>
      </c>
      <c r="K10">
        <v>91.7</v>
      </c>
      <c r="L10">
        <v>100</v>
      </c>
      <c r="M10">
        <f>AVERAGE(F69:F80)*20</f>
        <v>100</v>
      </c>
    </row>
    <row r="11" spans="1:13">
      <c r="A11" s="11" t="s">
        <v>1514</v>
      </c>
      <c r="B11" s="11">
        <v>16</v>
      </c>
      <c r="C11" s="11" t="s">
        <v>7</v>
      </c>
      <c r="D11" s="11">
        <v>1.4</v>
      </c>
      <c r="E11" s="11">
        <v>7.8</v>
      </c>
      <c r="F11" s="11">
        <v>5</v>
      </c>
    </row>
    <row r="12" spans="1:13">
      <c r="A12" s="11" t="s">
        <v>1515</v>
      </c>
      <c r="B12" s="11">
        <v>15</v>
      </c>
      <c r="C12" s="11" t="s">
        <v>7</v>
      </c>
      <c r="D12" s="11">
        <v>1.1000000000000001</v>
      </c>
      <c r="E12" s="11">
        <v>8.8000000000000007</v>
      </c>
      <c r="F12" s="11">
        <v>4</v>
      </c>
      <c r="I12" t="s">
        <v>656</v>
      </c>
      <c r="J12" t="s">
        <v>657</v>
      </c>
      <c r="K12" t="s">
        <v>658</v>
      </c>
      <c r="L12" t="s">
        <v>659</v>
      </c>
      <c r="M12">
        <v>0.05</v>
      </c>
    </row>
    <row r="13" spans="1:13">
      <c r="A13" s="11" t="s">
        <v>1516</v>
      </c>
      <c r="B13" s="11">
        <v>17</v>
      </c>
      <c r="C13" s="11" t="s">
        <v>7</v>
      </c>
      <c r="D13" s="11">
        <v>2</v>
      </c>
      <c r="E13" s="11">
        <v>9.5</v>
      </c>
      <c r="F13" s="11">
        <v>5</v>
      </c>
    </row>
    <row r="14" spans="1:13">
      <c r="A14" s="11" t="s">
        <v>1517</v>
      </c>
      <c r="B14" s="11">
        <v>16</v>
      </c>
      <c r="C14" s="11" t="s">
        <v>7</v>
      </c>
      <c r="D14" s="11">
        <v>1.1000000000000001</v>
      </c>
      <c r="E14" s="11">
        <v>7</v>
      </c>
      <c r="F14" s="11">
        <v>5</v>
      </c>
    </row>
    <row r="15" spans="1:13">
      <c r="A15" s="11" t="s">
        <v>1518</v>
      </c>
      <c r="B15" s="11">
        <v>15</v>
      </c>
      <c r="C15" s="11" t="s">
        <v>7</v>
      </c>
      <c r="D15" s="11">
        <v>1.4</v>
      </c>
      <c r="E15" s="11">
        <v>9.8000000000000007</v>
      </c>
      <c r="F15" s="11">
        <v>5</v>
      </c>
    </row>
    <row r="16" spans="1:13">
      <c r="A16" s="11" t="s">
        <v>1519</v>
      </c>
      <c r="B16" s="11">
        <v>14</v>
      </c>
      <c r="C16" s="11" t="s">
        <v>7</v>
      </c>
      <c r="D16" s="11">
        <v>1.3</v>
      </c>
      <c r="E16" s="11">
        <v>9.6999999999999993</v>
      </c>
      <c r="F16" s="11">
        <v>5</v>
      </c>
      <c r="H16" t="s">
        <v>1306</v>
      </c>
      <c r="J16">
        <v>4.0999999999999996</v>
      </c>
    </row>
    <row r="17" spans="1:10">
      <c r="A17" s="11" t="s">
        <v>1520</v>
      </c>
      <c r="B17" s="11">
        <v>16</v>
      </c>
      <c r="C17" s="11" t="s">
        <v>7</v>
      </c>
      <c r="D17" s="11">
        <v>1.7</v>
      </c>
      <c r="E17" s="11">
        <v>9.1999999999999993</v>
      </c>
      <c r="F17" s="11">
        <v>5</v>
      </c>
      <c r="H17" t="s">
        <v>1308</v>
      </c>
      <c r="J17">
        <v>1.8</v>
      </c>
    </row>
    <row r="18" spans="1:10">
      <c r="A18" s="11" t="s">
        <v>1521</v>
      </c>
      <c r="B18" s="11">
        <v>15</v>
      </c>
      <c r="C18" s="11" t="s">
        <v>7</v>
      </c>
      <c r="D18" s="11">
        <v>1.1000000000000001</v>
      </c>
      <c r="E18" s="11">
        <v>8</v>
      </c>
      <c r="F18" s="11">
        <v>5</v>
      </c>
      <c r="H18" t="s">
        <v>1310</v>
      </c>
      <c r="J18">
        <v>3.2</v>
      </c>
    </row>
    <row r="19" spans="1:10">
      <c r="A19" s="11" t="s">
        <v>1522</v>
      </c>
      <c r="B19" s="11">
        <v>16</v>
      </c>
      <c r="C19" s="11" t="s">
        <v>28</v>
      </c>
      <c r="D19" s="11">
        <v>1.7</v>
      </c>
      <c r="E19" s="11">
        <v>10.3</v>
      </c>
      <c r="F19" s="11">
        <v>5</v>
      </c>
    </row>
    <row r="20" spans="1:10">
      <c r="A20" s="11" t="s">
        <v>1523</v>
      </c>
      <c r="B20" s="11">
        <v>16</v>
      </c>
      <c r="C20" s="11" t="s">
        <v>28</v>
      </c>
      <c r="D20" s="11">
        <v>1.4</v>
      </c>
      <c r="E20" s="11">
        <v>11.5</v>
      </c>
      <c r="F20" s="11">
        <v>5</v>
      </c>
    </row>
    <row r="21" spans="1:10">
      <c r="A21" s="11" t="s">
        <v>1524</v>
      </c>
      <c r="B21" s="11">
        <v>16</v>
      </c>
      <c r="C21" s="11" t="s">
        <v>28</v>
      </c>
      <c r="D21" s="11">
        <v>1.2</v>
      </c>
      <c r="E21" s="11">
        <v>8.6999999999999993</v>
      </c>
      <c r="F21" s="11">
        <v>5</v>
      </c>
    </row>
    <row r="22" spans="1:10">
      <c r="A22" s="11" t="s">
        <v>1525</v>
      </c>
      <c r="B22" s="11">
        <v>14</v>
      </c>
      <c r="C22" s="11" t="s">
        <v>28</v>
      </c>
      <c r="D22" s="11">
        <v>1.3</v>
      </c>
      <c r="E22" s="11">
        <v>7.4</v>
      </c>
      <c r="F22" s="11">
        <v>5</v>
      </c>
    </row>
    <row r="23" spans="1:10">
      <c r="A23" s="11" t="s">
        <v>1526</v>
      </c>
      <c r="B23" s="11">
        <v>15</v>
      </c>
      <c r="C23" s="11" t="s">
        <v>28</v>
      </c>
      <c r="D23" s="11">
        <v>1.3</v>
      </c>
      <c r="E23" s="11">
        <v>7.7</v>
      </c>
      <c r="F23" s="11">
        <v>5</v>
      </c>
    </row>
    <row r="24" spans="1:10">
      <c r="A24" s="11" t="s">
        <v>1527</v>
      </c>
      <c r="B24" s="11">
        <v>14</v>
      </c>
      <c r="C24" s="11" t="s">
        <v>28</v>
      </c>
      <c r="D24" s="11">
        <v>1.3</v>
      </c>
      <c r="E24" s="11">
        <v>6.3</v>
      </c>
      <c r="F24" s="11">
        <v>4</v>
      </c>
    </row>
    <row r="25" spans="1:10">
      <c r="A25" s="11" t="s">
        <v>1528</v>
      </c>
      <c r="B25" s="11">
        <v>15</v>
      </c>
      <c r="C25" s="11" t="s">
        <v>7</v>
      </c>
      <c r="D25" s="11">
        <v>1.8</v>
      </c>
      <c r="E25" s="11">
        <v>8.5</v>
      </c>
      <c r="F25" s="11">
        <v>5</v>
      </c>
    </row>
    <row r="26" spans="1:10">
      <c r="A26" s="11" t="s">
        <v>1529</v>
      </c>
      <c r="B26" s="11">
        <v>15</v>
      </c>
      <c r="C26" s="11" t="s">
        <v>7</v>
      </c>
      <c r="D26" s="11">
        <v>1.2</v>
      </c>
      <c r="E26" s="11">
        <v>8.6</v>
      </c>
      <c r="F26" s="11">
        <v>5</v>
      </c>
    </row>
    <row r="27" spans="1:10">
      <c r="A27" s="11" t="s">
        <v>1530</v>
      </c>
      <c r="B27" s="11">
        <v>16</v>
      </c>
      <c r="C27" s="11" t="s">
        <v>7</v>
      </c>
      <c r="D27" s="11">
        <v>1.5</v>
      </c>
      <c r="E27" s="11">
        <v>6.5</v>
      </c>
      <c r="F27" s="11">
        <v>4</v>
      </c>
    </row>
    <row r="28" spans="1:10">
      <c r="A28" s="11" t="s">
        <v>1531</v>
      </c>
      <c r="B28" s="11">
        <v>16</v>
      </c>
      <c r="C28" s="11" t="s">
        <v>442</v>
      </c>
      <c r="D28" s="11">
        <v>1.8</v>
      </c>
      <c r="E28" s="11">
        <v>12.2</v>
      </c>
      <c r="F28" s="11">
        <v>5</v>
      </c>
    </row>
    <row r="29" spans="1:10">
      <c r="A29" s="11" t="s">
        <v>1532</v>
      </c>
      <c r="B29" s="11">
        <v>16</v>
      </c>
      <c r="C29" s="11" t="s">
        <v>442</v>
      </c>
      <c r="D29" s="11">
        <v>1.5</v>
      </c>
      <c r="E29" s="11">
        <v>8.8000000000000007</v>
      </c>
      <c r="F29" s="11">
        <v>5</v>
      </c>
    </row>
    <row r="30" spans="1:10">
      <c r="A30" s="11" t="s">
        <v>1533</v>
      </c>
      <c r="B30" s="11">
        <v>15</v>
      </c>
      <c r="C30" s="11" t="s">
        <v>442</v>
      </c>
      <c r="D30" s="11">
        <v>1.8</v>
      </c>
      <c r="E30" s="11">
        <v>10</v>
      </c>
      <c r="F30" s="11">
        <v>5</v>
      </c>
    </row>
    <row r="31" spans="1:10">
      <c r="A31" s="11"/>
      <c r="B31" s="11"/>
      <c r="C31" s="11"/>
      <c r="D31" s="11"/>
      <c r="E31" s="11"/>
      <c r="F31" s="11"/>
    </row>
    <row r="32" spans="1:10">
      <c r="A32" s="11" t="s">
        <v>1534</v>
      </c>
      <c r="B32" s="11">
        <v>15</v>
      </c>
      <c r="C32" s="11" t="s">
        <v>7</v>
      </c>
      <c r="D32" s="11">
        <v>1.3</v>
      </c>
      <c r="E32" s="11">
        <v>9.4</v>
      </c>
      <c r="F32" s="11">
        <v>5</v>
      </c>
    </row>
    <row r="33" spans="1:6">
      <c r="A33" s="11" t="s">
        <v>1535</v>
      </c>
      <c r="B33" s="11">
        <v>15</v>
      </c>
      <c r="C33" s="11" t="s">
        <v>7</v>
      </c>
      <c r="D33" s="11">
        <v>1.1000000000000001</v>
      </c>
      <c r="E33" s="11">
        <v>8</v>
      </c>
      <c r="F33" s="11">
        <v>5</v>
      </c>
    </row>
    <row r="34" spans="1:6">
      <c r="A34" s="11" t="s">
        <v>1536</v>
      </c>
      <c r="B34" s="11">
        <v>16</v>
      </c>
      <c r="C34" s="11" t="s">
        <v>7</v>
      </c>
      <c r="D34" s="11">
        <v>1.5</v>
      </c>
      <c r="E34" s="11">
        <v>7.9</v>
      </c>
      <c r="F34" s="11">
        <v>4</v>
      </c>
    </row>
    <row r="35" spans="1:6">
      <c r="A35" s="11" t="s">
        <v>1537</v>
      </c>
      <c r="B35" s="11">
        <v>16</v>
      </c>
      <c r="C35" s="11" t="s">
        <v>7</v>
      </c>
      <c r="D35" s="11">
        <v>2.2999999999999998</v>
      </c>
      <c r="E35" s="11">
        <v>9.6999999999999993</v>
      </c>
      <c r="F35" s="11">
        <v>5</v>
      </c>
    </row>
    <row r="36" spans="1:6">
      <c r="A36" s="11" t="s">
        <v>1538</v>
      </c>
      <c r="B36" s="11">
        <v>16</v>
      </c>
      <c r="C36" s="11" t="s">
        <v>7</v>
      </c>
      <c r="D36" s="11">
        <v>1.5</v>
      </c>
      <c r="E36" s="11">
        <v>8.6</v>
      </c>
      <c r="F36" s="11">
        <v>5</v>
      </c>
    </row>
    <row r="37" spans="1:6">
      <c r="A37" s="11" t="s">
        <v>1539</v>
      </c>
      <c r="B37" s="11">
        <v>16</v>
      </c>
      <c r="C37" s="11" t="s">
        <v>7</v>
      </c>
      <c r="D37" s="11">
        <v>1.7</v>
      </c>
      <c r="E37" s="11">
        <v>10.5</v>
      </c>
      <c r="F37" s="11">
        <v>5</v>
      </c>
    </row>
    <row r="38" spans="1:6">
      <c r="A38" s="11" t="s">
        <v>1540</v>
      </c>
      <c r="B38" s="11">
        <v>16</v>
      </c>
      <c r="C38" s="11" t="s">
        <v>7</v>
      </c>
      <c r="D38" s="11">
        <v>1.8</v>
      </c>
      <c r="E38" s="11">
        <v>8.9</v>
      </c>
      <c r="F38" s="11">
        <v>5</v>
      </c>
    </row>
    <row r="39" spans="1:6">
      <c r="A39" s="11" t="s">
        <v>1541</v>
      </c>
      <c r="B39" s="11">
        <v>14</v>
      </c>
      <c r="C39" s="11" t="s">
        <v>7</v>
      </c>
      <c r="D39" s="11">
        <v>1.6</v>
      </c>
      <c r="E39" s="11">
        <v>8.1999999999999993</v>
      </c>
      <c r="F39" s="11">
        <v>5</v>
      </c>
    </row>
    <row r="40" spans="1:6">
      <c r="A40" s="11" t="s">
        <v>1542</v>
      </c>
      <c r="B40" s="11">
        <v>16</v>
      </c>
      <c r="C40" s="11" t="s">
        <v>7</v>
      </c>
      <c r="D40" s="11">
        <v>2</v>
      </c>
      <c r="E40" s="11">
        <v>9.5</v>
      </c>
      <c r="F40" s="11">
        <v>5</v>
      </c>
    </row>
    <row r="41" spans="1:6">
      <c r="A41" s="11" t="s">
        <v>1543</v>
      </c>
      <c r="B41" s="11">
        <v>18</v>
      </c>
      <c r="C41" s="11" t="s">
        <v>7</v>
      </c>
      <c r="D41" s="11">
        <v>1.1000000000000001</v>
      </c>
      <c r="E41" s="11">
        <v>8</v>
      </c>
      <c r="F41" s="11">
        <v>4</v>
      </c>
    </row>
    <row r="42" spans="1:6">
      <c r="A42" s="11" t="s">
        <v>1544</v>
      </c>
      <c r="B42" s="11">
        <v>16</v>
      </c>
      <c r="C42" s="11" t="s">
        <v>28</v>
      </c>
      <c r="D42" s="11">
        <v>1.9</v>
      </c>
      <c r="E42" s="11">
        <v>9.4</v>
      </c>
      <c r="F42" s="11">
        <v>5</v>
      </c>
    </row>
    <row r="43" spans="1:6">
      <c r="A43" s="11" t="s">
        <v>1545</v>
      </c>
      <c r="B43" s="11">
        <v>15</v>
      </c>
      <c r="C43" s="11" t="s">
        <v>28</v>
      </c>
      <c r="D43" s="11">
        <v>1.4</v>
      </c>
      <c r="E43" s="11">
        <v>11.2</v>
      </c>
      <c r="F43" s="11">
        <v>5</v>
      </c>
    </row>
    <row r="44" spans="1:6">
      <c r="A44" s="11" t="s">
        <v>1546</v>
      </c>
      <c r="B44" s="11">
        <v>16</v>
      </c>
      <c r="C44" s="11" t="s">
        <v>28</v>
      </c>
      <c r="D44" s="11">
        <v>1.6</v>
      </c>
      <c r="E44" s="11">
        <v>9.4</v>
      </c>
      <c r="F44" s="11">
        <v>5</v>
      </c>
    </row>
    <row r="45" spans="1:6">
      <c r="A45" s="11" t="s">
        <v>1547</v>
      </c>
      <c r="B45" s="11">
        <v>14</v>
      </c>
      <c r="C45" s="11" t="s">
        <v>28</v>
      </c>
      <c r="D45" s="11">
        <v>1.7</v>
      </c>
      <c r="E45" s="11">
        <v>8.6999999999999993</v>
      </c>
      <c r="F45" s="11">
        <v>5</v>
      </c>
    </row>
    <row r="46" spans="1:6">
      <c r="A46" s="11"/>
      <c r="B46" s="11"/>
      <c r="C46" s="11"/>
      <c r="D46" s="11"/>
      <c r="E46" s="11"/>
      <c r="F46" s="11"/>
    </row>
    <row r="47" spans="1:6">
      <c r="A47" s="11" t="s">
        <v>1548</v>
      </c>
      <c r="B47" s="11">
        <v>17</v>
      </c>
      <c r="C47" s="11" t="s">
        <v>7</v>
      </c>
      <c r="D47" s="11">
        <v>1.1000000000000001</v>
      </c>
      <c r="E47" s="11">
        <v>7</v>
      </c>
      <c r="F47" s="11">
        <v>5</v>
      </c>
    </row>
    <row r="48" spans="1:6">
      <c r="A48" s="11" t="s">
        <v>1549</v>
      </c>
      <c r="B48" s="11">
        <v>16</v>
      </c>
      <c r="C48" s="11" t="s">
        <v>7</v>
      </c>
      <c r="D48" s="11">
        <v>1.4</v>
      </c>
      <c r="E48" s="11">
        <v>7</v>
      </c>
      <c r="F48" s="11">
        <v>5</v>
      </c>
    </row>
    <row r="49" spans="1:6">
      <c r="A49" s="11"/>
      <c r="B49" s="11"/>
      <c r="C49" s="11"/>
      <c r="D49" s="11"/>
      <c r="E49" s="11"/>
      <c r="F49" s="11"/>
    </row>
    <row r="50" spans="1:6">
      <c r="A50" s="11" t="s">
        <v>1550</v>
      </c>
      <c r="B50" s="11">
        <v>16</v>
      </c>
      <c r="C50" s="11" t="s">
        <v>7</v>
      </c>
      <c r="D50" s="11">
        <v>1.1000000000000001</v>
      </c>
      <c r="E50" s="11">
        <v>6.3</v>
      </c>
      <c r="F50" s="11">
        <v>5</v>
      </c>
    </row>
    <row r="51" spans="1:6">
      <c r="A51" s="11" t="s">
        <v>1551</v>
      </c>
      <c r="B51" s="11">
        <v>15</v>
      </c>
      <c r="C51" s="11" t="s">
        <v>7</v>
      </c>
      <c r="D51" s="11">
        <v>1</v>
      </c>
      <c r="E51" s="11">
        <v>6</v>
      </c>
      <c r="F51" s="11">
        <v>5</v>
      </c>
    </row>
    <row r="52" spans="1:6">
      <c r="A52" s="11" t="s">
        <v>1552</v>
      </c>
      <c r="B52" s="11">
        <v>16</v>
      </c>
      <c r="C52" s="11" t="s">
        <v>7</v>
      </c>
      <c r="D52" s="11">
        <v>1.4</v>
      </c>
      <c r="E52" s="11">
        <v>6.5</v>
      </c>
      <c r="F52" s="11">
        <v>5</v>
      </c>
    </row>
    <row r="53" spans="1:6">
      <c r="A53" s="11" t="s">
        <v>1553</v>
      </c>
      <c r="B53" s="11">
        <v>16</v>
      </c>
      <c r="C53" s="11" t="s">
        <v>7</v>
      </c>
      <c r="D53" s="11">
        <v>1.3</v>
      </c>
      <c r="E53" s="11">
        <v>6</v>
      </c>
      <c r="F53" s="11">
        <v>5</v>
      </c>
    </row>
    <row r="54" spans="1:6">
      <c r="A54" s="11" t="s">
        <v>1554</v>
      </c>
      <c r="B54" s="11">
        <v>16</v>
      </c>
      <c r="C54" s="11" t="s">
        <v>7</v>
      </c>
      <c r="D54" s="11">
        <v>1.3</v>
      </c>
      <c r="E54" s="11">
        <v>6.1</v>
      </c>
      <c r="F54" s="11">
        <v>5</v>
      </c>
    </row>
    <row r="55" spans="1:6">
      <c r="A55" s="11"/>
      <c r="B55" s="11"/>
      <c r="C55" s="11"/>
      <c r="D55" s="11"/>
      <c r="E55" s="11"/>
      <c r="F55" s="11"/>
    </row>
    <row r="56" spans="1:6">
      <c r="A56" s="11" t="s">
        <v>1555</v>
      </c>
      <c r="B56" s="11">
        <v>16</v>
      </c>
      <c r="C56" s="11" t="s">
        <v>7</v>
      </c>
      <c r="D56" s="11">
        <v>1.4</v>
      </c>
      <c r="E56" s="11">
        <v>6</v>
      </c>
      <c r="F56" s="11">
        <v>5</v>
      </c>
    </row>
    <row r="57" spans="1:6">
      <c r="A57" s="11" t="s">
        <v>1556</v>
      </c>
      <c r="B57" s="11">
        <v>16</v>
      </c>
      <c r="C57" s="11" t="s">
        <v>7</v>
      </c>
      <c r="D57" s="11">
        <v>1.5</v>
      </c>
      <c r="E57" s="11">
        <v>7.4</v>
      </c>
      <c r="F57" s="11">
        <v>5</v>
      </c>
    </row>
    <row r="58" spans="1:6">
      <c r="A58" s="11" t="s">
        <v>1557</v>
      </c>
      <c r="B58" s="11">
        <v>16</v>
      </c>
      <c r="C58" s="11" t="s">
        <v>28</v>
      </c>
      <c r="D58" s="11">
        <v>1.3</v>
      </c>
      <c r="E58" s="11">
        <v>6.7</v>
      </c>
      <c r="F58" s="11">
        <v>5</v>
      </c>
    </row>
    <row r="59" spans="1:6">
      <c r="A59" s="11" t="s">
        <v>1558</v>
      </c>
      <c r="B59" s="11">
        <v>16</v>
      </c>
      <c r="C59" s="11" t="s">
        <v>28</v>
      </c>
      <c r="D59" s="11">
        <v>1.1000000000000001</v>
      </c>
      <c r="E59" s="11">
        <v>6.6</v>
      </c>
      <c r="F59" s="11">
        <v>4</v>
      </c>
    </row>
    <row r="60" spans="1:6">
      <c r="A60" s="11" t="s">
        <v>1559</v>
      </c>
      <c r="B60" s="11">
        <v>17</v>
      </c>
      <c r="C60" s="11" t="s">
        <v>28</v>
      </c>
      <c r="D60" s="11">
        <v>1.1000000000000001</v>
      </c>
      <c r="E60" s="11">
        <v>7.1</v>
      </c>
      <c r="F60" s="11">
        <v>4</v>
      </c>
    </row>
    <row r="61" spans="1:6">
      <c r="A61" s="11" t="s">
        <v>1560</v>
      </c>
      <c r="B61" s="11">
        <v>16</v>
      </c>
      <c r="C61" s="11" t="s">
        <v>28</v>
      </c>
      <c r="D61" s="11">
        <v>1.4</v>
      </c>
      <c r="E61" s="11">
        <v>6.3</v>
      </c>
      <c r="F61" s="11">
        <v>5</v>
      </c>
    </row>
    <row r="62" spans="1:6">
      <c r="A62" s="11" t="s">
        <v>1561</v>
      </c>
      <c r="B62" s="11">
        <v>16</v>
      </c>
      <c r="C62" s="11" t="s">
        <v>28</v>
      </c>
      <c r="D62" s="11">
        <v>1.3</v>
      </c>
      <c r="E62" s="11">
        <v>6.4</v>
      </c>
      <c r="F62" s="11">
        <v>5</v>
      </c>
    </row>
    <row r="63" spans="1:6">
      <c r="A63" s="11" t="s">
        <v>1562</v>
      </c>
      <c r="B63" s="11">
        <v>16</v>
      </c>
      <c r="C63" s="11" t="s">
        <v>28</v>
      </c>
      <c r="D63" s="11">
        <v>2</v>
      </c>
      <c r="E63" s="11">
        <v>7.5</v>
      </c>
      <c r="F63" s="11">
        <v>5</v>
      </c>
    </row>
    <row r="64" spans="1:6">
      <c r="A64" s="11" t="s">
        <v>1563</v>
      </c>
      <c r="B64" s="11">
        <v>16</v>
      </c>
      <c r="C64" s="11" t="s">
        <v>28</v>
      </c>
      <c r="D64" s="11">
        <v>1.2</v>
      </c>
      <c r="E64" s="11">
        <v>8.6999999999999993</v>
      </c>
      <c r="F64" s="11">
        <v>4</v>
      </c>
    </row>
    <row r="65" spans="1:6">
      <c r="A65" s="11" t="s">
        <v>1564</v>
      </c>
      <c r="B65" s="11">
        <v>16</v>
      </c>
      <c r="C65" s="11" t="s">
        <v>28</v>
      </c>
      <c r="D65" s="11">
        <v>1.7</v>
      </c>
      <c r="E65" s="11">
        <v>10.9</v>
      </c>
      <c r="F65" s="11">
        <v>5</v>
      </c>
    </row>
    <row r="66" spans="1:6">
      <c r="A66" s="11" t="s">
        <v>1565</v>
      </c>
      <c r="B66" s="11">
        <v>16</v>
      </c>
      <c r="C66" s="11" t="s">
        <v>28</v>
      </c>
      <c r="D66" s="11">
        <v>1.9</v>
      </c>
      <c r="E66" s="11">
        <v>8</v>
      </c>
      <c r="F66" s="11">
        <v>5</v>
      </c>
    </row>
    <row r="67" spans="1:6">
      <c r="A67" s="11" t="s">
        <v>1566</v>
      </c>
      <c r="B67" s="11">
        <v>16</v>
      </c>
      <c r="C67" s="11" t="s">
        <v>28</v>
      </c>
      <c r="D67" s="11">
        <v>1.7</v>
      </c>
      <c r="E67" s="11">
        <v>8.4</v>
      </c>
      <c r="F67" s="11">
        <v>5</v>
      </c>
    </row>
    <row r="68" spans="1:6">
      <c r="A68" s="11"/>
      <c r="B68" s="11"/>
      <c r="C68" s="11"/>
      <c r="D68" s="11"/>
      <c r="E68" s="11"/>
      <c r="F68" s="11"/>
    </row>
    <row r="69" spans="1:6">
      <c r="A69" s="11" t="s">
        <v>1567</v>
      </c>
      <c r="B69" s="11">
        <v>16</v>
      </c>
      <c r="C69" s="11" t="s">
        <v>28</v>
      </c>
      <c r="D69" s="11">
        <v>1.6</v>
      </c>
      <c r="E69" s="11">
        <v>10.199999999999999</v>
      </c>
      <c r="F69" s="11">
        <v>5</v>
      </c>
    </row>
    <row r="70" spans="1:6">
      <c r="A70" s="11" t="s">
        <v>1568</v>
      </c>
      <c r="B70" s="11">
        <v>18</v>
      </c>
      <c r="C70" s="11" t="s">
        <v>28</v>
      </c>
      <c r="D70" s="11">
        <v>1.8</v>
      </c>
      <c r="E70" s="11">
        <v>7.2</v>
      </c>
      <c r="F70" s="11">
        <v>5</v>
      </c>
    </row>
    <row r="71" spans="1:6">
      <c r="A71" s="11" t="s">
        <v>1569</v>
      </c>
      <c r="B71" s="11">
        <v>16</v>
      </c>
      <c r="C71" s="11" t="s">
        <v>28</v>
      </c>
      <c r="D71" s="11">
        <v>1.2</v>
      </c>
      <c r="E71" s="11">
        <v>10.7</v>
      </c>
      <c r="F71" s="11">
        <v>5</v>
      </c>
    </row>
    <row r="72" spans="1:6">
      <c r="A72" s="11" t="s">
        <v>1570</v>
      </c>
      <c r="B72" s="11">
        <v>16</v>
      </c>
      <c r="C72" s="11" t="s">
        <v>28</v>
      </c>
      <c r="D72" s="11">
        <v>1.6</v>
      </c>
      <c r="E72" s="11">
        <v>8</v>
      </c>
      <c r="F72" s="11">
        <v>5</v>
      </c>
    </row>
    <row r="73" spans="1:6">
      <c r="A73" s="11" t="s">
        <v>1571</v>
      </c>
      <c r="B73" s="11">
        <v>16</v>
      </c>
      <c r="C73" s="11" t="s">
        <v>28</v>
      </c>
      <c r="D73" s="11">
        <v>2.2999999999999998</v>
      </c>
      <c r="E73" s="11">
        <v>10.199999999999999</v>
      </c>
      <c r="F73" s="11">
        <v>5</v>
      </c>
    </row>
    <row r="74" spans="1:6">
      <c r="A74" s="11" t="s">
        <v>1572</v>
      </c>
      <c r="B74" s="11">
        <v>17</v>
      </c>
      <c r="C74" s="11" t="s">
        <v>28</v>
      </c>
      <c r="D74" s="11">
        <v>1.3</v>
      </c>
      <c r="E74" s="11">
        <v>8.8000000000000007</v>
      </c>
      <c r="F74" s="11">
        <v>5</v>
      </c>
    </row>
    <row r="75" spans="1:6">
      <c r="A75" s="11" t="s">
        <v>1573</v>
      </c>
      <c r="B75" s="11">
        <v>16</v>
      </c>
      <c r="C75" s="11" t="s">
        <v>28</v>
      </c>
      <c r="D75" s="11">
        <v>1.2</v>
      </c>
      <c r="E75" s="11">
        <v>10.6</v>
      </c>
      <c r="F75" s="11">
        <v>5</v>
      </c>
    </row>
    <row r="76" spans="1:6">
      <c r="A76" s="11" t="s">
        <v>1574</v>
      </c>
      <c r="B76" s="11">
        <v>16</v>
      </c>
      <c r="C76" s="11" t="s">
        <v>7</v>
      </c>
      <c r="D76" s="11">
        <v>1.1000000000000001</v>
      </c>
      <c r="E76" s="11">
        <v>8.1999999999999993</v>
      </c>
      <c r="F76" s="11">
        <v>5</v>
      </c>
    </row>
    <row r="77" spans="1:6">
      <c r="A77" s="11" t="s">
        <v>1575</v>
      </c>
      <c r="B77" s="11">
        <v>16</v>
      </c>
      <c r="C77" s="11" t="s">
        <v>7</v>
      </c>
      <c r="D77" s="11">
        <v>1.6</v>
      </c>
      <c r="E77" s="11">
        <v>6.6</v>
      </c>
      <c r="F77" s="11">
        <v>5</v>
      </c>
    </row>
    <row r="78" spans="1:6">
      <c r="A78" s="11" t="s">
        <v>1576</v>
      </c>
      <c r="B78" s="11">
        <v>16</v>
      </c>
      <c r="C78" s="11" t="s">
        <v>7</v>
      </c>
      <c r="D78" s="11">
        <v>1.8</v>
      </c>
      <c r="E78" s="11">
        <v>7.5</v>
      </c>
      <c r="F78" s="11">
        <v>5</v>
      </c>
    </row>
    <row r="79" spans="1:6">
      <c r="A79" s="11" t="s">
        <v>1577</v>
      </c>
      <c r="B79" s="11">
        <v>16</v>
      </c>
      <c r="C79" s="11" t="s">
        <v>7</v>
      </c>
      <c r="D79" s="11">
        <v>1.7</v>
      </c>
      <c r="E79" s="11">
        <v>10</v>
      </c>
      <c r="F79" s="11">
        <v>5</v>
      </c>
    </row>
    <row r="80" spans="1:6">
      <c r="A80" s="11" t="s">
        <v>1578</v>
      </c>
      <c r="B80" s="11">
        <v>15</v>
      </c>
      <c r="C80" s="11" t="s">
        <v>7</v>
      </c>
      <c r="D80" s="11">
        <v>1.4</v>
      </c>
      <c r="E80" s="11">
        <v>9.5</v>
      </c>
      <c r="F80" s="11">
        <v>5</v>
      </c>
    </row>
    <row r="81" spans="5:5">
      <c r="E81" s="5"/>
    </row>
    <row r="82" spans="5:5">
      <c r="E82" s="5"/>
    </row>
    <row r="83" spans="5:5">
      <c r="E83" s="5"/>
    </row>
    <row r="84" spans="5:5">
      <c r="E84" s="5"/>
    </row>
    <row r="85" spans="5:5">
      <c r="E85" s="5"/>
    </row>
    <row r="86" spans="5:5">
      <c r="E86" s="5"/>
    </row>
    <row r="87" spans="5:5">
      <c r="E87" s="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A917-7D1D-46B0-BDC4-7337D6332CFD}">
  <dimension ref="A1:M78"/>
  <sheetViews>
    <sheetView workbookViewId="0">
      <pane ySplit="2" topLeftCell="A60" activePane="bottomLeft" state="frozen"/>
      <selection pane="bottomLeft" activeCell="E67" sqref="E67:E78"/>
    </sheetView>
  </sheetViews>
  <sheetFormatPr defaultRowHeight="14.45"/>
  <cols>
    <col min="6" max="6" width="19.28515625" customWidth="1"/>
    <col min="7" max="7" width="17" customWidth="1"/>
    <col min="9" max="9" width="11" customWidth="1"/>
    <col min="10" max="10" width="12.28515625" customWidth="1"/>
    <col min="11" max="11" width="13.28515625" customWidth="1"/>
    <col min="13" max="13" width="11.85546875" customWidth="1"/>
  </cols>
  <sheetData>
    <row r="1" spans="1:13">
      <c r="F1" t="s">
        <v>639</v>
      </c>
    </row>
    <row r="2" spans="1:13">
      <c r="A2" s="5" t="s">
        <v>1</v>
      </c>
      <c r="B2" s="5" t="s">
        <v>641</v>
      </c>
      <c r="C2" s="5" t="s">
        <v>3</v>
      </c>
      <c r="D2" s="5" t="s">
        <v>4</v>
      </c>
      <c r="E2" s="5" t="s">
        <v>5</v>
      </c>
      <c r="F2" s="5" t="s">
        <v>640</v>
      </c>
    </row>
    <row r="3" spans="1:13">
      <c r="A3" s="53" t="s">
        <v>1579</v>
      </c>
      <c r="B3" s="11">
        <v>15</v>
      </c>
      <c r="C3" s="11" t="s">
        <v>7</v>
      </c>
      <c r="D3" s="11">
        <v>1.4</v>
      </c>
      <c r="E3" s="11">
        <v>6.8</v>
      </c>
      <c r="F3" s="11">
        <v>5</v>
      </c>
    </row>
    <row r="4" spans="1:13">
      <c r="A4" s="53" t="s">
        <v>1580</v>
      </c>
      <c r="B4" s="11">
        <v>16</v>
      </c>
      <c r="C4" s="11" t="s">
        <v>7</v>
      </c>
      <c r="D4" s="11">
        <v>1.5</v>
      </c>
      <c r="E4" s="11">
        <v>7.5</v>
      </c>
      <c r="F4" s="11">
        <v>5</v>
      </c>
      <c r="H4" s="53"/>
      <c r="I4" s="53" t="s">
        <v>641</v>
      </c>
      <c r="J4" s="53" t="s">
        <v>3</v>
      </c>
      <c r="K4" s="53" t="s">
        <v>4</v>
      </c>
      <c r="L4" s="53" t="s">
        <v>5</v>
      </c>
      <c r="M4" s="53" t="s">
        <v>640</v>
      </c>
    </row>
    <row r="5" spans="1:13">
      <c r="A5" s="53" t="s">
        <v>1581</v>
      </c>
      <c r="B5" s="11">
        <v>16</v>
      </c>
      <c r="C5" s="11" t="s">
        <v>7</v>
      </c>
      <c r="D5" s="11">
        <v>1.6</v>
      </c>
      <c r="E5" s="11">
        <v>7.5</v>
      </c>
      <c r="F5" s="11">
        <v>5</v>
      </c>
      <c r="H5" s="53" t="s">
        <v>643</v>
      </c>
      <c r="I5" s="11">
        <v>65.400000000000006</v>
      </c>
      <c r="J5" s="11">
        <v>38.5</v>
      </c>
      <c r="K5" s="11">
        <v>57.7</v>
      </c>
      <c r="L5" s="11">
        <v>46.6</v>
      </c>
      <c r="M5" s="57">
        <f>AVERAGE(F3:F28)*20</f>
        <v>93.846153846153854</v>
      </c>
    </row>
    <row r="6" spans="1:13">
      <c r="A6" s="53" t="s">
        <v>1582</v>
      </c>
      <c r="B6" s="11">
        <v>16</v>
      </c>
      <c r="C6" s="11" t="s">
        <v>28</v>
      </c>
      <c r="D6" s="11">
        <v>1.7</v>
      </c>
      <c r="E6" s="11">
        <v>6.7</v>
      </c>
      <c r="F6" s="11">
        <v>5</v>
      </c>
      <c r="H6" s="53" t="s">
        <v>645</v>
      </c>
      <c r="I6" s="11">
        <v>78.599999999999994</v>
      </c>
      <c r="J6" s="11">
        <v>42.8</v>
      </c>
      <c r="K6" s="11">
        <v>92.9</v>
      </c>
      <c r="L6" s="11">
        <v>100</v>
      </c>
      <c r="M6" s="57">
        <f>AVERAGE(F30:F43)*20</f>
        <v>97.142857142857139</v>
      </c>
    </row>
    <row r="7" spans="1:13">
      <c r="A7" s="53" t="s">
        <v>1583</v>
      </c>
      <c r="B7" s="11">
        <v>14</v>
      </c>
      <c r="C7" s="11" t="s">
        <v>28</v>
      </c>
      <c r="D7" s="11">
        <v>1.4</v>
      </c>
      <c r="E7" s="11">
        <v>5.8</v>
      </c>
      <c r="F7" s="11">
        <v>5</v>
      </c>
      <c r="H7" s="53" t="s">
        <v>647</v>
      </c>
      <c r="I7" s="11">
        <v>50</v>
      </c>
      <c r="J7" s="11">
        <v>100</v>
      </c>
      <c r="K7" s="11">
        <v>100</v>
      </c>
      <c r="L7" s="11">
        <v>100</v>
      </c>
      <c r="M7" s="57">
        <f>AVERAGE(F45:F46)*20</f>
        <v>100</v>
      </c>
    </row>
    <row r="8" spans="1:13">
      <c r="A8" s="53" t="s">
        <v>1584</v>
      </c>
      <c r="B8" s="11">
        <v>16</v>
      </c>
      <c r="C8" s="11" t="s">
        <v>28</v>
      </c>
      <c r="D8" s="11">
        <v>1.5</v>
      </c>
      <c r="E8" s="11">
        <v>7.2</v>
      </c>
      <c r="F8" s="11">
        <v>5</v>
      </c>
      <c r="H8" s="53" t="s">
        <v>649</v>
      </c>
      <c r="I8" s="11">
        <v>60</v>
      </c>
      <c r="J8" s="11">
        <v>100</v>
      </c>
      <c r="K8" s="11">
        <v>60</v>
      </c>
      <c r="L8" s="11">
        <v>0</v>
      </c>
      <c r="M8" s="57">
        <f>AVERAGE(F48:F52)*20</f>
        <v>96</v>
      </c>
    </row>
    <row r="9" spans="1:13">
      <c r="A9" s="53" t="s">
        <v>1585</v>
      </c>
      <c r="B9" s="11">
        <v>16</v>
      </c>
      <c r="C9" s="11" t="s">
        <v>28</v>
      </c>
      <c r="D9" s="11">
        <v>1.4</v>
      </c>
      <c r="E9" s="11">
        <v>7.2</v>
      </c>
      <c r="F9" s="11">
        <v>5</v>
      </c>
      <c r="H9" s="53" t="s">
        <v>651</v>
      </c>
      <c r="I9" s="11">
        <v>100</v>
      </c>
      <c r="J9" s="11">
        <v>66.7</v>
      </c>
      <c r="K9" s="11">
        <v>91.7</v>
      </c>
      <c r="L9" s="11">
        <v>75</v>
      </c>
      <c r="M9" s="57">
        <f>AVERAGE(F54:F65)*20</f>
        <v>96.666666666666657</v>
      </c>
    </row>
    <row r="10" spans="1:13">
      <c r="A10" s="53" t="s">
        <v>1586</v>
      </c>
      <c r="B10" s="11">
        <v>14</v>
      </c>
      <c r="C10" s="11" t="s">
        <v>28</v>
      </c>
      <c r="D10" s="11">
        <v>1.2</v>
      </c>
      <c r="E10" s="11">
        <v>5.8</v>
      </c>
      <c r="F10" s="11">
        <v>3</v>
      </c>
      <c r="H10" s="53" t="s">
        <v>653</v>
      </c>
      <c r="I10" s="11">
        <v>100</v>
      </c>
      <c r="J10" s="11">
        <v>75</v>
      </c>
      <c r="K10" s="11">
        <v>91.7</v>
      </c>
      <c r="L10" s="11">
        <v>100</v>
      </c>
      <c r="M10" s="57">
        <f>AVERAGE(F67:F78)*20</f>
        <v>95</v>
      </c>
    </row>
    <row r="11" spans="1:13">
      <c r="A11" s="53" t="s">
        <v>1587</v>
      </c>
      <c r="B11" s="11">
        <v>19</v>
      </c>
      <c r="C11" s="11" t="s">
        <v>28</v>
      </c>
      <c r="D11" s="11">
        <v>1.6</v>
      </c>
      <c r="E11" s="11">
        <v>8.4</v>
      </c>
      <c r="F11" s="11">
        <v>5</v>
      </c>
    </row>
    <row r="12" spans="1:13">
      <c r="A12" s="53" t="s">
        <v>1588</v>
      </c>
      <c r="B12" s="11">
        <v>17</v>
      </c>
      <c r="C12" s="11" t="s">
        <v>28</v>
      </c>
      <c r="D12" s="11">
        <v>1.4</v>
      </c>
      <c r="E12" s="11">
        <v>6.7</v>
      </c>
      <c r="F12" s="11">
        <v>5</v>
      </c>
      <c r="I12" t="s">
        <v>656</v>
      </c>
      <c r="J12" t="s">
        <v>657</v>
      </c>
      <c r="K12" t="s">
        <v>658</v>
      </c>
      <c r="L12" t="s">
        <v>659</v>
      </c>
      <c r="M12">
        <v>0.05</v>
      </c>
    </row>
    <row r="13" spans="1:13">
      <c r="A13" s="53" t="s">
        <v>1589</v>
      </c>
      <c r="B13" s="11">
        <v>16</v>
      </c>
      <c r="C13" s="11" t="s">
        <v>28</v>
      </c>
      <c r="D13" s="11">
        <v>1</v>
      </c>
      <c r="E13" s="11">
        <v>5.9</v>
      </c>
      <c r="F13" s="11">
        <v>5</v>
      </c>
    </row>
    <row r="14" spans="1:13">
      <c r="A14" s="53" t="s">
        <v>1590</v>
      </c>
      <c r="B14" s="11">
        <v>14</v>
      </c>
      <c r="C14" s="11" t="s">
        <v>28</v>
      </c>
      <c r="D14" s="11">
        <v>1</v>
      </c>
      <c r="E14" s="11">
        <v>5.9</v>
      </c>
      <c r="F14" s="11">
        <v>5</v>
      </c>
    </row>
    <row r="15" spans="1:13">
      <c r="A15" s="53" t="s">
        <v>1591</v>
      </c>
      <c r="B15" s="11">
        <v>16</v>
      </c>
      <c r="C15" s="11" t="s">
        <v>28</v>
      </c>
      <c r="D15" s="11">
        <v>1.4</v>
      </c>
      <c r="E15" s="11">
        <v>7</v>
      </c>
      <c r="F15" s="11">
        <v>5</v>
      </c>
    </row>
    <row r="16" spans="1:13">
      <c r="A16" s="53" t="s">
        <v>1592</v>
      </c>
      <c r="B16" s="11">
        <v>14</v>
      </c>
      <c r="C16" s="11" t="s">
        <v>28</v>
      </c>
      <c r="D16" s="11">
        <v>1</v>
      </c>
      <c r="E16" s="11">
        <v>6.4</v>
      </c>
      <c r="F16" s="11">
        <v>4</v>
      </c>
      <c r="H16" t="s">
        <v>1306</v>
      </c>
      <c r="J16">
        <v>5.2</v>
      </c>
    </row>
    <row r="17" spans="1:10">
      <c r="A17" s="53" t="s">
        <v>1593</v>
      </c>
      <c r="B17" s="11">
        <v>16</v>
      </c>
      <c r="C17" s="11" t="s">
        <v>28</v>
      </c>
      <c r="D17" s="11">
        <v>1</v>
      </c>
      <c r="E17" s="11">
        <v>6.4</v>
      </c>
      <c r="F17" s="11">
        <v>4</v>
      </c>
      <c r="H17" t="s">
        <v>1308</v>
      </c>
      <c r="J17">
        <v>2.4</v>
      </c>
    </row>
    <row r="18" spans="1:10">
      <c r="A18" s="53" t="s">
        <v>1594</v>
      </c>
      <c r="B18" s="11">
        <v>16</v>
      </c>
      <c r="C18" s="11" t="s">
        <v>28</v>
      </c>
      <c r="D18" s="11">
        <v>1.2</v>
      </c>
      <c r="E18" s="11">
        <v>6.8</v>
      </c>
      <c r="F18" s="11">
        <v>5</v>
      </c>
      <c r="H18" t="s">
        <v>1310</v>
      </c>
      <c r="J18">
        <v>4.0999999999999996</v>
      </c>
    </row>
    <row r="19" spans="1:10">
      <c r="A19" s="53" t="s">
        <v>1595</v>
      </c>
      <c r="B19" s="11">
        <v>17</v>
      </c>
      <c r="C19" s="11" t="s">
        <v>28</v>
      </c>
      <c r="D19" s="11">
        <v>1.4</v>
      </c>
      <c r="E19" s="11">
        <v>7.8</v>
      </c>
      <c r="F19" s="11">
        <v>5</v>
      </c>
    </row>
    <row r="20" spans="1:10">
      <c r="A20" s="53" t="s">
        <v>1596</v>
      </c>
      <c r="B20" s="11">
        <v>16</v>
      </c>
      <c r="C20" s="11" t="s">
        <v>28</v>
      </c>
      <c r="D20" s="11">
        <v>1.1000000000000001</v>
      </c>
      <c r="E20" s="11">
        <v>6.9</v>
      </c>
      <c r="F20" s="11">
        <v>3</v>
      </c>
      <c r="G20" t="s">
        <v>1022</v>
      </c>
    </row>
    <row r="21" spans="1:10">
      <c r="A21" s="53" t="s">
        <v>1597</v>
      </c>
      <c r="B21" s="11">
        <v>17</v>
      </c>
      <c r="C21" s="11" t="s">
        <v>28</v>
      </c>
      <c r="D21" s="11">
        <v>1.7</v>
      </c>
      <c r="E21" s="11">
        <v>8.4</v>
      </c>
      <c r="F21" s="11">
        <v>5</v>
      </c>
    </row>
    <row r="22" spans="1:10">
      <c r="A22" s="53" t="s">
        <v>1598</v>
      </c>
      <c r="B22" s="11">
        <v>16</v>
      </c>
      <c r="C22" s="11" t="s">
        <v>7</v>
      </c>
      <c r="D22" s="11">
        <v>1.4</v>
      </c>
      <c r="E22" s="11">
        <v>7</v>
      </c>
      <c r="F22" s="11">
        <v>5</v>
      </c>
    </row>
    <row r="23" spans="1:10">
      <c r="A23" s="53" t="s">
        <v>1599</v>
      </c>
      <c r="B23" s="11">
        <v>15</v>
      </c>
      <c r="C23" s="11" t="s">
        <v>7</v>
      </c>
      <c r="D23" s="11">
        <v>1.7</v>
      </c>
      <c r="E23" s="11">
        <v>8.5</v>
      </c>
      <c r="F23" s="11">
        <v>5</v>
      </c>
    </row>
    <row r="24" spans="1:10">
      <c r="A24" s="53" t="s">
        <v>1600</v>
      </c>
      <c r="B24" s="11">
        <v>15</v>
      </c>
      <c r="C24" s="11" t="s">
        <v>7</v>
      </c>
      <c r="D24" s="11">
        <v>1</v>
      </c>
      <c r="E24" s="11">
        <v>6.4</v>
      </c>
      <c r="F24" s="11">
        <v>5</v>
      </c>
    </row>
    <row r="25" spans="1:10">
      <c r="A25" s="53" t="s">
        <v>1601</v>
      </c>
      <c r="B25" s="11">
        <v>17</v>
      </c>
      <c r="C25" s="11" t="s">
        <v>7</v>
      </c>
      <c r="D25" s="11">
        <v>1.4</v>
      </c>
      <c r="E25" s="11">
        <v>5.6</v>
      </c>
      <c r="F25" s="11">
        <v>3</v>
      </c>
      <c r="G25" t="s">
        <v>1602</v>
      </c>
    </row>
    <row r="26" spans="1:10">
      <c r="A26" s="53" t="s">
        <v>1603</v>
      </c>
      <c r="B26" s="11">
        <v>16</v>
      </c>
      <c r="C26" s="11" t="s">
        <v>7</v>
      </c>
      <c r="D26" s="11">
        <v>1.4</v>
      </c>
      <c r="E26" s="11">
        <v>8.9</v>
      </c>
      <c r="F26" s="11">
        <v>5</v>
      </c>
    </row>
    <row r="27" spans="1:10">
      <c r="A27" s="53" t="s">
        <v>1604</v>
      </c>
      <c r="B27" s="11">
        <v>16</v>
      </c>
      <c r="C27" s="11" t="s">
        <v>7</v>
      </c>
      <c r="D27" s="11">
        <v>1.1000000000000001</v>
      </c>
      <c r="E27" s="11">
        <v>7.7</v>
      </c>
      <c r="F27" s="11">
        <v>5</v>
      </c>
    </row>
    <row r="28" spans="1:10">
      <c r="A28" s="53" t="s">
        <v>1605</v>
      </c>
      <c r="B28" s="11">
        <v>16</v>
      </c>
      <c r="C28" s="11" t="s">
        <v>7</v>
      </c>
      <c r="D28" s="11">
        <v>1</v>
      </c>
      <c r="E28" s="11">
        <v>8.5</v>
      </c>
      <c r="F28" s="11">
        <v>5</v>
      </c>
    </row>
    <row r="29" spans="1:10">
      <c r="A29" s="53"/>
      <c r="B29" s="11"/>
      <c r="C29" s="11"/>
      <c r="D29" s="11"/>
      <c r="E29" s="11"/>
      <c r="F29" s="11"/>
    </row>
    <row r="30" spans="1:10">
      <c r="A30" s="53" t="s">
        <v>1606</v>
      </c>
      <c r="B30" s="11">
        <v>16</v>
      </c>
      <c r="C30" s="11" t="s">
        <v>7</v>
      </c>
      <c r="D30" s="11">
        <v>1.3</v>
      </c>
      <c r="E30" s="11">
        <v>8.8000000000000007</v>
      </c>
      <c r="F30" s="11">
        <v>5</v>
      </c>
    </row>
    <row r="31" spans="1:10">
      <c r="A31" s="53" t="s">
        <v>1607</v>
      </c>
      <c r="B31" s="11">
        <v>16</v>
      </c>
      <c r="C31" s="11" t="s">
        <v>7</v>
      </c>
      <c r="D31" s="11">
        <v>1.3</v>
      </c>
      <c r="E31" s="11">
        <v>9.4</v>
      </c>
      <c r="F31" s="11">
        <v>5</v>
      </c>
    </row>
    <row r="32" spans="1:10">
      <c r="A32" s="53" t="s">
        <v>1608</v>
      </c>
      <c r="B32" s="11">
        <v>16</v>
      </c>
      <c r="C32" s="11" t="s">
        <v>7</v>
      </c>
      <c r="D32" s="11">
        <v>1.5</v>
      </c>
      <c r="E32" s="11">
        <v>9.1999999999999993</v>
      </c>
      <c r="F32" s="11">
        <v>5</v>
      </c>
    </row>
    <row r="33" spans="1:6">
      <c r="A33" s="53" t="s">
        <v>1609</v>
      </c>
      <c r="B33" s="11">
        <v>16</v>
      </c>
      <c r="C33" s="11" t="s">
        <v>7</v>
      </c>
      <c r="D33" s="11">
        <v>1.4</v>
      </c>
      <c r="E33" s="11">
        <v>10.4</v>
      </c>
      <c r="F33" s="11">
        <v>5</v>
      </c>
    </row>
    <row r="34" spans="1:6">
      <c r="A34" s="53" t="s">
        <v>1610</v>
      </c>
      <c r="B34" s="11">
        <v>16</v>
      </c>
      <c r="C34" s="11" t="s">
        <v>7</v>
      </c>
      <c r="D34" s="11">
        <v>1.7</v>
      </c>
      <c r="E34" s="11">
        <v>9.1999999999999993</v>
      </c>
      <c r="F34" s="11">
        <v>5</v>
      </c>
    </row>
    <row r="35" spans="1:6">
      <c r="A35" s="53" t="s">
        <v>1611</v>
      </c>
      <c r="B35" s="11">
        <v>15</v>
      </c>
      <c r="C35" s="11" t="s">
        <v>7</v>
      </c>
      <c r="D35" s="11">
        <v>1.7</v>
      </c>
      <c r="E35" s="11">
        <v>10.3</v>
      </c>
      <c r="F35" s="11">
        <v>5</v>
      </c>
    </row>
    <row r="36" spans="1:6">
      <c r="A36" s="53" t="s">
        <v>1612</v>
      </c>
      <c r="B36" s="11">
        <v>15</v>
      </c>
      <c r="C36" s="11" t="s">
        <v>28</v>
      </c>
      <c r="D36" s="11">
        <v>1.5</v>
      </c>
      <c r="E36" s="11">
        <v>9.5</v>
      </c>
      <c r="F36" s="11">
        <v>5</v>
      </c>
    </row>
    <row r="37" spans="1:6">
      <c r="A37" s="53" t="s">
        <v>1613</v>
      </c>
      <c r="B37" s="11">
        <v>16</v>
      </c>
      <c r="C37" s="11" t="s">
        <v>28</v>
      </c>
      <c r="D37" s="11">
        <v>1.7</v>
      </c>
      <c r="E37" s="11">
        <v>10.3</v>
      </c>
      <c r="F37" s="11">
        <v>5</v>
      </c>
    </row>
    <row r="38" spans="1:6">
      <c r="A38" s="53" t="s">
        <v>1614</v>
      </c>
      <c r="B38" s="11">
        <v>17</v>
      </c>
      <c r="C38" s="11" t="s">
        <v>28</v>
      </c>
      <c r="D38" s="11">
        <v>1.7</v>
      </c>
      <c r="E38" s="11">
        <v>10.4</v>
      </c>
      <c r="F38" s="11">
        <v>5</v>
      </c>
    </row>
    <row r="39" spans="1:6">
      <c r="A39" s="53" t="s">
        <v>1615</v>
      </c>
      <c r="B39" s="11">
        <v>16</v>
      </c>
      <c r="C39" s="11" t="s">
        <v>28</v>
      </c>
      <c r="D39" s="11">
        <v>1.1000000000000001</v>
      </c>
      <c r="E39" s="11">
        <v>7.9</v>
      </c>
      <c r="F39" s="11">
        <v>4</v>
      </c>
    </row>
    <row r="40" spans="1:6">
      <c r="A40" s="53" t="s">
        <v>1616</v>
      </c>
      <c r="B40" s="11">
        <v>16</v>
      </c>
      <c r="C40" s="11" t="s">
        <v>28</v>
      </c>
      <c r="D40" s="11">
        <v>1.7</v>
      </c>
      <c r="E40" s="11">
        <v>8.3000000000000007</v>
      </c>
      <c r="F40" s="11">
        <v>5</v>
      </c>
    </row>
    <row r="41" spans="1:6">
      <c r="A41" s="53" t="s">
        <v>1617</v>
      </c>
      <c r="B41" s="11">
        <v>15</v>
      </c>
      <c r="C41" s="11" t="s">
        <v>28</v>
      </c>
      <c r="D41" s="11">
        <v>1.7</v>
      </c>
      <c r="E41" s="11">
        <v>8.1</v>
      </c>
      <c r="F41" s="11">
        <v>4</v>
      </c>
    </row>
    <row r="42" spans="1:6">
      <c r="A42" s="53" t="s">
        <v>1618</v>
      </c>
      <c r="B42" s="11">
        <v>17</v>
      </c>
      <c r="C42" s="11" t="s">
        <v>28</v>
      </c>
      <c r="D42" s="11">
        <v>1.8</v>
      </c>
      <c r="E42" s="11">
        <v>11.4</v>
      </c>
      <c r="F42" s="11">
        <v>5</v>
      </c>
    </row>
    <row r="43" spans="1:6">
      <c r="A43" s="53" t="s">
        <v>1619</v>
      </c>
      <c r="B43" s="11">
        <v>17</v>
      </c>
      <c r="C43" s="11" t="s">
        <v>28</v>
      </c>
      <c r="D43" s="11">
        <v>1.5</v>
      </c>
      <c r="E43" s="11">
        <v>9.3000000000000007</v>
      </c>
      <c r="F43" s="11">
        <v>5</v>
      </c>
    </row>
    <row r="44" spans="1:6">
      <c r="A44" s="53"/>
      <c r="B44" s="11"/>
      <c r="C44" s="11"/>
      <c r="D44" s="11"/>
      <c r="E44" s="11"/>
      <c r="F44" s="11"/>
    </row>
    <row r="45" spans="1:6">
      <c r="A45" s="53" t="s">
        <v>1620</v>
      </c>
      <c r="B45" s="11">
        <v>14</v>
      </c>
      <c r="C45" s="11" t="s">
        <v>7</v>
      </c>
      <c r="D45" s="11">
        <v>1.2</v>
      </c>
      <c r="E45" s="11">
        <v>7.7</v>
      </c>
      <c r="F45" s="11">
        <v>5</v>
      </c>
    </row>
    <row r="46" spans="1:6">
      <c r="A46" s="53" t="s">
        <v>1621</v>
      </c>
      <c r="B46" s="11">
        <v>16</v>
      </c>
      <c r="C46" s="11" t="s">
        <v>7</v>
      </c>
      <c r="D46" s="11">
        <v>1.3</v>
      </c>
      <c r="E46" s="11">
        <v>7.9</v>
      </c>
      <c r="F46" s="11">
        <v>5</v>
      </c>
    </row>
    <row r="47" spans="1:6">
      <c r="A47" s="53"/>
      <c r="B47" s="11"/>
      <c r="C47" s="11"/>
      <c r="D47" s="11"/>
      <c r="E47" s="11"/>
      <c r="F47" s="11"/>
    </row>
    <row r="48" spans="1:6">
      <c r="A48" s="53" t="s">
        <v>1622</v>
      </c>
      <c r="B48" s="11">
        <v>14</v>
      </c>
      <c r="C48" s="11" t="s">
        <v>7</v>
      </c>
      <c r="D48" s="11">
        <v>1.2</v>
      </c>
      <c r="E48" s="11">
        <v>6.4</v>
      </c>
      <c r="F48" s="11">
        <v>4</v>
      </c>
    </row>
    <row r="49" spans="1:6">
      <c r="A49" s="53" t="s">
        <v>1623</v>
      </c>
      <c r="B49" s="11">
        <v>14</v>
      </c>
      <c r="C49" s="11" t="s">
        <v>7</v>
      </c>
      <c r="D49" s="11">
        <v>1.1000000000000001</v>
      </c>
      <c r="E49" s="11">
        <v>6.6</v>
      </c>
      <c r="F49" s="11">
        <v>5</v>
      </c>
    </row>
    <row r="50" spans="1:6">
      <c r="A50" s="53" t="s">
        <v>1624</v>
      </c>
      <c r="B50" s="11">
        <v>16</v>
      </c>
      <c r="C50" s="11" t="s">
        <v>7</v>
      </c>
      <c r="D50" s="11">
        <v>1.7</v>
      </c>
      <c r="E50" s="11">
        <v>6.9</v>
      </c>
      <c r="F50" s="11">
        <v>5</v>
      </c>
    </row>
    <row r="51" spans="1:6">
      <c r="A51" s="53" t="s">
        <v>1625</v>
      </c>
      <c r="B51" s="11">
        <v>16</v>
      </c>
      <c r="C51" s="11" t="s">
        <v>7</v>
      </c>
      <c r="D51" s="11">
        <v>1.3</v>
      </c>
      <c r="E51" s="11">
        <v>6.9</v>
      </c>
      <c r="F51" s="11">
        <v>5</v>
      </c>
    </row>
    <row r="52" spans="1:6">
      <c r="A52" s="53" t="s">
        <v>1626</v>
      </c>
      <c r="B52" s="11">
        <v>16</v>
      </c>
      <c r="C52" s="11" t="s">
        <v>7</v>
      </c>
      <c r="D52" s="11">
        <v>1.1000000000000001</v>
      </c>
      <c r="E52" s="11">
        <v>6.9</v>
      </c>
      <c r="F52" s="11">
        <v>5</v>
      </c>
    </row>
    <row r="53" spans="1:6">
      <c r="A53" s="53"/>
      <c r="B53" s="11"/>
      <c r="C53" s="11"/>
      <c r="D53" s="11"/>
      <c r="E53" s="11"/>
      <c r="F53" s="11"/>
    </row>
    <row r="54" spans="1:6">
      <c r="A54" s="53" t="s">
        <v>1627</v>
      </c>
      <c r="B54" s="11">
        <v>16</v>
      </c>
      <c r="C54" s="11" t="s">
        <v>7</v>
      </c>
      <c r="D54" s="11">
        <v>1.3</v>
      </c>
      <c r="E54" s="11">
        <v>6.7</v>
      </c>
      <c r="F54" s="11">
        <v>5</v>
      </c>
    </row>
    <row r="55" spans="1:6">
      <c r="A55" s="53" t="s">
        <v>1628</v>
      </c>
      <c r="B55" s="11">
        <v>16</v>
      </c>
      <c r="C55" s="11" t="s">
        <v>7</v>
      </c>
      <c r="D55" s="11">
        <v>1.5</v>
      </c>
      <c r="E55" s="11">
        <v>7.4</v>
      </c>
      <c r="F55" s="11">
        <v>5</v>
      </c>
    </row>
    <row r="56" spans="1:6">
      <c r="A56" s="53" t="s">
        <v>1629</v>
      </c>
      <c r="B56" s="11">
        <v>16</v>
      </c>
      <c r="C56" s="11" t="s">
        <v>7</v>
      </c>
      <c r="D56" s="11">
        <v>1.1000000000000001</v>
      </c>
      <c r="E56" s="11">
        <v>7.6</v>
      </c>
      <c r="F56" s="11">
        <v>5</v>
      </c>
    </row>
    <row r="57" spans="1:6">
      <c r="A57" s="53" t="s">
        <v>1630</v>
      </c>
      <c r="B57" s="11">
        <v>16</v>
      </c>
      <c r="C57" s="11" t="s">
        <v>7</v>
      </c>
      <c r="D57" s="11">
        <v>1.8</v>
      </c>
      <c r="E57" s="11">
        <v>8.8000000000000007</v>
      </c>
      <c r="F57" s="11">
        <v>4</v>
      </c>
    </row>
    <row r="58" spans="1:6">
      <c r="A58" s="53" t="s">
        <v>1631</v>
      </c>
      <c r="B58" s="11">
        <v>16</v>
      </c>
      <c r="C58" s="11" t="s">
        <v>7</v>
      </c>
      <c r="D58" s="11">
        <v>1.6</v>
      </c>
      <c r="E58" s="11">
        <v>7.9</v>
      </c>
      <c r="F58" s="11">
        <v>5</v>
      </c>
    </row>
    <row r="59" spans="1:6">
      <c r="A59" s="53" t="s">
        <v>1632</v>
      </c>
      <c r="B59" s="11">
        <v>16</v>
      </c>
      <c r="C59" s="11" t="s">
        <v>28</v>
      </c>
      <c r="D59" s="11">
        <v>1.5</v>
      </c>
      <c r="E59" s="11">
        <v>7.6</v>
      </c>
      <c r="F59" s="11">
        <v>5</v>
      </c>
    </row>
    <row r="60" spans="1:6">
      <c r="A60" s="53" t="s">
        <v>1633</v>
      </c>
      <c r="B60" s="11">
        <v>16</v>
      </c>
      <c r="C60" s="11" t="s">
        <v>7</v>
      </c>
      <c r="D60" s="11">
        <v>1.5</v>
      </c>
      <c r="E60" s="11">
        <v>6.4</v>
      </c>
      <c r="F60" s="11">
        <v>5</v>
      </c>
    </row>
    <row r="61" spans="1:6">
      <c r="A61" s="53" t="s">
        <v>1634</v>
      </c>
      <c r="B61" s="11">
        <v>16</v>
      </c>
      <c r="C61" s="11" t="s">
        <v>7</v>
      </c>
      <c r="D61" s="11">
        <v>1.4</v>
      </c>
      <c r="E61" s="11">
        <v>6.7</v>
      </c>
      <c r="F61" s="11">
        <v>5</v>
      </c>
    </row>
    <row r="62" spans="1:6">
      <c r="A62" s="53" t="s">
        <v>1635</v>
      </c>
      <c r="B62" s="11">
        <v>16</v>
      </c>
      <c r="C62" s="11" t="s">
        <v>28</v>
      </c>
      <c r="D62" s="11">
        <v>1.3</v>
      </c>
      <c r="E62" s="11">
        <v>8.1999999999999993</v>
      </c>
      <c r="F62" s="11">
        <v>4</v>
      </c>
    </row>
    <row r="63" spans="1:6">
      <c r="A63" s="53" t="s">
        <v>1636</v>
      </c>
      <c r="B63" s="11">
        <v>16</v>
      </c>
      <c r="C63" s="11" t="s">
        <v>7</v>
      </c>
      <c r="D63" s="11">
        <v>1.5</v>
      </c>
      <c r="E63" s="11">
        <v>8.5</v>
      </c>
      <c r="F63" s="11">
        <v>5</v>
      </c>
    </row>
    <row r="64" spans="1:6">
      <c r="A64" s="53" t="s">
        <v>1637</v>
      </c>
      <c r="B64" s="11">
        <v>16</v>
      </c>
      <c r="C64" s="11" t="s">
        <v>28</v>
      </c>
      <c r="D64" s="11">
        <v>1.5</v>
      </c>
      <c r="E64" s="11">
        <v>8</v>
      </c>
      <c r="F64" s="11">
        <v>5</v>
      </c>
    </row>
    <row r="65" spans="1:6">
      <c r="A65" s="53" t="s">
        <v>1638</v>
      </c>
      <c r="B65" s="11">
        <v>16</v>
      </c>
      <c r="C65" s="11" t="s">
        <v>28</v>
      </c>
      <c r="D65" s="11">
        <v>1.6</v>
      </c>
      <c r="E65" s="11">
        <v>8.4</v>
      </c>
      <c r="F65" s="11">
        <v>5</v>
      </c>
    </row>
    <row r="66" spans="1:6">
      <c r="A66" s="53"/>
      <c r="B66" s="11"/>
      <c r="C66" s="11"/>
      <c r="D66" s="11"/>
      <c r="E66" s="11"/>
      <c r="F66" s="11"/>
    </row>
    <row r="67" spans="1:6">
      <c r="A67" s="53" t="s">
        <v>1639</v>
      </c>
      <c r="B67" s="11">
        <v>17</v>
      </c>
      <c r="C67" s="11" t="s">
        <v>7</v>
      </c>
      <c r="D67" s="11">
        <v>1.4</v>
      </c>
      <c r="E67" s="11">
        <v>9.5</v>
      </c>
      <c r="F67" s="11">
        <v>4</v>
      </c>
    </row>
    <row r="68" spans="1:6">
      <c r="A68" s="53" t="s">
        <v>1640</v>
      </c>
      <c r="B68" s="11">
        <v>17</v>
      </c>
      <c r="C68" s="11" t="s">
        <v>7</v>
      </c>
      <c r="D68" s="11">
        <v>1.5</v>
      </c>
      <c r="E68" s="11">
        <v>8.9</v>
      </c>
      <c r="F68" s="11">
        <v>5</v>
      </c>
    </row>
    <row r="69" spans="1:6">
      <c r="A69" s="53" t="s">
        <v>1641</v>
      </c>
      <c r="B69" s="11">
        <v>17</v>
      </c>
      <c r="C69" s="11" t="s">
        <v>7</v>
      </c>
      <c r="D69" s="11">
        <v>1.4</v>
      </c>
      <c r="E69" s="11">
        <v>8</v>
      </c>
      <c r="F69" s="11">
        <v>4</v>
      </c>
    </row>
    <row r="70" spans="1:6">
      <c r="A70" s="53" t="s">
        <v>1642</v>
      </c>
      <c r="B70" s="11">
        <v>16</v>
      </c>
      <c r="C70" s="11" t="s">
        <v>28</v>
      </c>
      <c r="D70" s="11">
        <v>1.6</v>
      </c>
      <c r="E70" s="11">
        <v>8.4</v>
      </c>
      <c r="F70" s="11">
        <v>5</v>
      </c>
    </row>
    <row r="71" spans="1:6">
      <c r="A71" s="53" t="s">
        <v>1643</v>
      </c>
      <c r="B71" s="11">
        <v>16</v>
      </c>
      <c r="C71" s="11" t="s">
        <v>7</v>
      </c>
      <c r="D71" s="11">
        <v>1.3</v>
      </c>
      <c r="E71" s="11">
        <v>8.4</v>
      </c>
      <c r="F71" s="11">
        <v>4</v>
      </c>
    </row>
    <row r="72" spans="1:6">
      <c r="A72" s="53" t="s">
        <v>1644</v>
      </c>
      <c r="B72" s="11">
        <v>17</v>
      </c>
      <c r="C72" s="11" t="s">
        <v>7</v>
      </c>
      <c r="D72" s="11">
        <v>1.3</v>
      </c>
      <c r="E72" s="11">
        <v>9.1</v>
      </c>
      <c r="F72" s="11">
        <v>5</v>
      </c>
    </row>
    <row r="73" spans="1:6">
      <c r="A73" s="53" t="s">
        <v>1645</v>
      </c>
      <c r="B73" s="11">
        <v>16</v>
      </c>
      <c r="C73" s="11" t="s">
        <v>7</v>
      </c>
      <c r="D73" s="11">
        <v>1.4</v>
      </c>
      <c r="E73" s="11">
        <v>10.1</v>
      </c>
      <c r="F73" s="11">
        <v>5</v>
      </c>
    </row>
    <row r="74" spans="1:6">
      <c r="A74" s="53" t="s">
        <v>1646</v>
      </c>
      <c r="B74" s="11">
        <v>16</v>
      </c>
      <c r="C74" s="11" t="s">
        <v>7</v>
      </c>
      <c r="D74" s="11">
        <v>1.4</v>
      </c>
      <c r="E74" s="11">
        <v>10.4</v>
      </c>
      <c r="F74" s="11">
        <v>5</v>
      </c>
    </row>
    <row r="75" spans="1:6">
      <c r="A75" s="53" t="s">
        <v>1647</v>
      </c>
      <c r="B75" s="11">
        <v>16</v>
      </c>
      <c r="C75" s="11" t="s">
        <v>7</v>
      </c>
      <c r="D75" s="11">
        <v>1.2</v>
      </c>
      <c r="E75" s="11">
        <v>8.6999999999999993</v>
      </c>
      <c r="F75" s="11">
        <v>5</v>
      </c>
    </row>
    <row r="76" spans="1:6">
      <c r="A76" s="53" t="s">
        <v>1648</v>
      </c>
      <c r="B76" s="11">
        <v>16</v>
      </c>
      <c r="C76" s="11" t="s">
        <v>7</v>
      </c>
      <c r="D76" s="11">
        <v>1.5</v>
      </c>
      <c r="E76" s="11">
        <v>9</v>
      </c>
      <c r="F76" s="11">
        <v>5</v>
      </c>
    </row>
    <row r="77" spans="1:6">
      <c r="A77" s="53" t="s">
        <v>1649</v>
      </c>
      <c r="B77" s="11">
        <v>16</v>
      </c>
      <c r="C77" s="11" t="s">
        <v>28</v>
      </c>
      <c r="D77" s="11">
        <v>1.8</v>
      </c>
      <c r="E77" s="11">
        <v>8.5</v>
      </c>
      <c r="F77" s="11">
        <v>5</v>
      </c>
    </row>
    <row r="78" spans="1:6">
      <c r="A78" s="53" t="s">
        <v>1650</v>
      </c>
      <c r="B78" s="11">
        <v>16</v>
      </c>
      <c r="C78" s="11" t="s">
        <v>28</v>
      </c>
      <c r="D78" s="11">
        <v>1.1000000000000001</v>
      </c>
      <c r="E78" s="11">
        <v>8.5</v>
      </c>
      <c r="F78" s="11">
        <v>5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1087C-F71B-4CBD-9C69-5925562FDC19}">
  <dimension ref="A1:N48"/>
  <sheetViews>
    <sheetView workbookViewId="0">
      <pane ySplit="2" topLeftCell="A18" activePane="bottomLeft" state="frozen"/>
      <selection pane="bottomLeft" activeCell="E41" sqref="E41:E48"/>
    </sheetView>
  </sheetViews>
  <sheetFormatPr defaultRowHeight="14.45"/>
  <cols>
    <col min="6" max="6" width="18.28515625" customWidth="1"/>
    <col min="7" max="7" width="12.7109375" customWidth="1"/>
    <col min="9" max="9" width="11.28515625" customWidth="1"/>
    <col min="10" max="10" width="15.28515625" customWidth="1"/>
    <col min="12" max="12" width="11.7109375" customWidth="1"/>
    <col min="13" max="13" width="13.85546875" customWidth="1"/>
    <col min="14" max="14" width="14.28515625" customWidth="1"/>
  </cols>
  <sheetData>
    <row r="1" spans="1:14">
      <c r="A1" s="11"/>
      <c r="B1" s="11"/>
      <c r="C1" s="11"/>
      <c r="D1" s="11"/>
      <c r="E1" s="11"/>
      <c r="F1" s="11" t="s">
        <v>639</v>
      </c>
      <c r="G1" s="11"/>
      <c r="H1" s="5"/>
    </row>
    <row r="2" spans="1:14">
      <c r="A2" s="11" t="s">
        <v>1</v>
      </c>
      <c r="B2" s="11" t="s">
        <v>641</v>
      </c>
      <c r="C2" s="11" t="s">
        <v>3</v>
      </c>
      <c r="D2" s="11" t="s">
        <v>4</v>
      </c>
      <c r="E2" s="11" t="s">
        <v>5</v>
      </c>
      <c r="F2" s="11" t="s">
        <v>640</v>
      </c>
      <c r="G2" s="11"/>
      <c r="H2" s="5"/>
    </row>
    <row r="3" spans="1:14">
      <c r="A3" s="11" t="s">
        <v>1651</v>
      </c>
      <c r="B3" s="11">
        <v>13</v>
      </c>
      <c r="C3" s="11" t="s">
        <v>442</v>
      </c>
      <c r="D3" s="11">
        <v>1.2</v>
      </c>
      <c r="E3" s="11">
        <v>6</v>
      </c>
      <c r="F3" s="11">
        <v>5</v>
      </c>
      <c r="G3" s="11">
        <v>5</v>
      </c>
      <c r="H3" s="5"/>
    </row>
    <row r="4" spans="1:14">
      <c r="A4" s="11" t="s">
        <v>1652</v>
      </c>
      <c r="B4" s="11">
        <v>17</v>
      </c>
      <c r="C4" s="11" t="s">
        <v>7</v>
      </c>
      <c r="D4" s="11">
        <v>1.7</v>
      </c>
      <c r="E4" s="11">
        <v>7.3</v>
      </c>
      <c r="F4" s="11">
        <v>5</v>
      </c>
      <c r="G4" s="11">
        <v>5</v>
      </c>
      <c r="H4" s="5"/>
      <c r="I4" s="53"/>
      <c r="J4" s="53" t="s">
        <v>641</v>
      </c>
      <c r="K4" s="53" t="s">
        <v>3</v>
      </c>
      <c r="L4" s="53" t="s">
        <v>4</v>
      </c>
      <c r="M4" s="53" t="s">
        <v>5</v>
      </c>
      <c r="N4" s="53" t="s">
        <v>640</v>
      </c>
    </row>
    <row r="5" spans="1:14">
      <c r="A5" s="11" t="s">
        <v>1653</v>
      </c>
      <c r="B5" s="11">
        <v>13</v>
      </c>
      <c r="C5" s="11" t="s">
        <v>442</v>
      </c>
      <c r="D5" s="11">
        <v>1.4</v>
      </c>
      <c r="E5" s="11">
        <v>6.7</v>
      </c>
      <c r="F5" s="11">
        <v>4</v>
      </c>
      <c r="G5" s="11">
        <v>4</v>
      </c>
      <c r="H5" s="5"/>
      <c r="I5" s="53" t="s">
        <v>643</v>
      </c>
      <c r="J5" s="53">
        <v>58.8</v>
      </c>
      <c r="K5" s="53">
        <v>38</v>
      </c>
      <c r="L5" s="53">
        <v>76.900000000000006</v>
      </c>
      <c r="M5" s="53">
        <v>15.4</v>
      </c>
      <c r="N5" s="57">
        <f>AVERAGE(F3:F15)*20</f>
        <v>96.92307692307692</v>
      </c>
    </row>
    <row r="6" spans="1:14">
      <c r="A6" s="11" t="s">
        <v>1654</v>
      </c>
      <c r="B6" s="11">
        <v>16</v>
      </c>
      <c r="C6" s="11" t="s">
        <v>28</v>
      </c>
      <c r="D6" s="11">
        <v>1.6</v>
      </c>
      <c r="E6" s="11">
        <v>5.5</v>
      </c>
      <c r="F6" s="11">
        <v>4</v>
      </c>
      <c r="G6" s="11" t="s">
        <v>1655</v>
      </c>
      <c r="H6" s="5"/>
      <c r="I6" s="53" t="s">
        <v>645</v>
      </c>
      <c r="J6" s="53">
        <v>60</v>
      </c>
      <c r="K6" s="53">
        <v>50</v>
      </c>
      <c r="L6" s="53">
        <v>100</v>
      </c>
      <c r="M6" s="53">
        <v>100</v>
      </c>
      <c r="N6" s="53">
        <f>AVERAGE(F17:F26)*20</f>
        <v>100</v>
      </c>
    </row>
    <row r="7" spans="1:14">
      <c r="A7" s="11" t="s">
        <v>1656</v>
      </c>
      <c r="B7" s="11">
        <v>14</v>
      </c>
      <c r="C7" s="11" t="s">
        <v>442</v>
      </c>
      <c r="D7" s="11">
        <v>1.7</v>
      </c>
      <c r="E7" s="11">
        <v>7.1</v>
      </c>
      <c r="F7" s="11">
        <v>5</v>
      </c>
      <c r="G7" s="11">
        <v>5</v>
      </c>
      <c r="H7" s="5"/>
      <c r="I7" s="53" t="s">
        <v>647</v>
      </c>
      <c r="J7" s="53">
        <v>100</v>
      </c>
      <c r="K7" s="53">
        <v>100</v>
      </c>
      <c r="L7" s="53">
        <v>100</v>
      </c>
      <c r="M7" s="53">
        <v>100</v>
      </c>
      <c r="N7" s="53">
        <f>AVERAGE(F28:F28)*20</f>
        <v>100</v>
      </c>
    </row>
    <row r="8" spans="1:14">
      <c r="A8" s="11" t="s">
        <v>1657</v>
      </c>
      <c r="B8" s="11">
        <v>16</v>
      </c>
      <c r="C8" s="11" t="s">
        <v>7</v>
      </c>
      <c r="D8" s="11">
        <v>1.5</v>
      </c>
      <c r="E8" s="11">
        <v>5.5</v>
      </c>
      <c r="F8" s="11">
        <v>5</v>
      </c>
      <c r="G8" s="11">
        <v>5</v>
      </c>
      <c r="H8" s="5"/>
      <c r="I8" s="53" t="s">
        <v>649</v>
      </c>
      <c r="J8" s="53">
        <v>100</v>
      </c>
      <c r="K8" s="53">
        <v>100</v>
      </c>
      <c r="L8" s="53">
        <v>100</v>
      </c>
      <c r="M8" s="53">
        <v>100</v>
      </c>
      <c r="N8" s="53">
        <f>AVERAGE(F30:F32)*20</f>
        <v>100</v>
      </c>
    </row>
    <row r="9" spans="1:14">
      <c r="A9" s="11" t="s">
        <v>1658</v>
      </c>
      <c r="B9" s="11">
        <v>14</v>
      </c>
      <c r="C9" s="11" t="s">
        <v>442</v>
      </c>
      <c r="D9" s="11">
        <v>1.1000000000000001</v>
      </c>
      <c r="E9" s="11">
        <v>6.1</v>
      </c>
      <c r="F9" s="11">
        <v>5</v>
      </c>
      <c r="G9" s="11">
        <v>5</v>
      </c>
      <c r="H9" s="5"/>
      <c r="I9" s="53" t="s">
        <v>651</v>
      </c>
      <c r="J9" s="53">
        <v>66.7</v>
      </c>
      <c r="K9" s="53">
        <v>33.299999999999997</v>
      </c>
      <c r="L9" s="53">
        <v>100</v>
      </c>
      <c r="M9" s="53">
        <v>100</v>
      </c>
      <c r="N9" s="57">
        <f>AVERAGE(F34:F39)*20</f>
        <v>96.666666666666657</v>
      </c>
    </row>
    <row r="10" spans="1:14">
      <c r="A10" s="11" t="s">
        <v>1659</v>
      </c>
      <c r="B10" s="11">
        <v>17</v>
      </c>
      <c r="C10" s="11" t="s">
        <v>28</v>
      </c>
      <c r="D10" s="11">
        <v>1.7</v>
      </c>
      <c r="E10" s="11">
        <v>6.1</v>
      </c>
      <c r="F10" s="11">
        <v>5</v>
      </c>
      <c r="G10" s="11">
        <v>5</v>
      </c>
      <c r="H10" s="5"/>
      <c r="I10" s="53" t="s">
        <v>653</v>
      </c>
      <c r="J10" s="53">
        <v>62.5</v>
      </c>
      <c r="K10" s="53">
        <v>50</v>
      </c>
      <c r="L10" s="53">
        <v>100</v>
      </c>
      <c r="M10" s="53">
        <v>100</v>
      </c>
      <c r="N10" s="53">
        <f>AVERAGE(F41:F48)*20</f>
        <v>100</v>
      </c>
    </row>
    <row r="11" spans="1:14">
      <c r="A11" s="11" t="s">
        <v>1660</v>
      </c>
      <c r="B11" s="11">
        <v>17</v>
      </c>
      <c r="C11" s="11" t="s">
        <v>28</v>
      </c>
      <c r="D11" s="11">
        <v>1.6</v>
      </c>
      <c r="E11" s="11">
        <v>5.4</v>
      </c>
      <c r="F11" s="11">
        <v>5</v>
      </c>
      <c r="G11" s="11">
        <v>5</v>
      </c>
      <c r="H11" s="5"/>
      <c r="I11" s="53"/>
      <c r="J11" s="53"/>
      <c r="K11" s="53"/>
      <c r="L11" s="53"/>
      <c r="M11" s="53"/>
      <c r="N11" s="53"/>
    </row>
    <row r="12" spans="1:14">
      <c r="A12" s="11" t="s">
        <v>1661</v>
      </c>
      <c r="B12" s="11">
        <v>16</v>
      </c>
      <c r="C12" s="11" t="s">
        <v>7</v>
      </c>
      <c r="D12" s="11">
        <v>1.1000000000000001</v>
      </c>
      <c r="E12" s="11">
        <v>5.5</v>
      </c>
      <c r="F12" s="11">
        <v>5</v>
      </c>
      <c r="G12" s="11">
        <v>5</v>
      </c>
      <c r="H12" s="5"/>
      <c r="I12" s="53"/>
      <c r="J12" s="53" t="s">
        <v>656</v>
      </c>
      <c r="K12" s="53" t="s">
        <v>657</v>
      </c>
      <c r="L12" s="53" t="s">
        <v>658</v>
      </c>
      <c r="M12" s="53" t="s">
        <v>659</v>
      </c>
      <c r="N12" s="53">
        <v>0.05</v>
      </c>
    </row>
    <row r="13" spans="1:14">
      <c r="A13" s="11" t="s">
        <v>1662</v>
      </c>
      <c r="B13" s="11">
        <v>17</v>
      </c>
      <c r="C13" s="11" t="s">
        <v>7</v>
      </c>
      <c r="D13" s="11">
        <v>1.4</v>
      </c>
      <c r="E13" s="11">
        <v>5.4</v>
      </c>
      <c r="F13" s="11">
        <v>5</v>
      </c>
      <c r="G13" s="11">
        <v>5</v>
      </c>
      <c r="H13" s="5"/>
    </row>
    <row r="14" spans="1:14">
      <c r="A14" s="11" t="s">
        <v>1663</v>
      </c>
      <c r="B14" s="11">
        <v>15</v>
      </c>
      <c r="C14" s="11" t="s">
        <v>28</v>
      </c>
      <c r="D14" s="11">
        <v>1.5</v>
      </c>
      <c r="E14" s="11">
        <v>6</v>
      </c>
      <c r="F14" s="11">
        <v>5</v>
      </c>
      <c r="G14" s="11">
        <v>5</v>
      </c>
      <c r="H14" s="5"/>
    </row>
    <row r="15" spans="1:14">
      <c r="A15" s="11" t="s">
        <v>1664</v>
      </c>
      <c r="B15" s="11">
        <v>15</v>
      </c>
      <c r="C15" s="11" t="s">
        <v>7</v>
      </c>
      <c r="D15" s="11">
        <v>0.9</v>
      </c>
      <c r="E15" s="11">
        <v>5.0999999999999996</v>
      </c>
      <c r="F15" s="11">
        <v>5</v>
      </c>
      <c r="G15" s="11">
        <v>5</v>
      </c>
      <c r="H15" s="5"/>
    </row>
    <row r="16" spans="1:14">
      <c r="A16" s="11"/>
      <c r="B16" s="11"/>
      <c r="C16" s="11"/>
      <c r="D16" s="11"/>
      <c r="E16" s="11"/>
      <c r="F16" s="11"/>
      <c r="G16" s="11"/>
      <c r="H16" s="5"/>
      <c r="I16" s="53" t="s">
        <v>1306</v>
      </c>
      <c r="J16" s="53"/>
      <c r="K16" s="53">
        <v>4.3</v>
      </c>
    </row>
    <row r="17" spans="1:11">
      <c r="A17" s="11" t="s">
        <v>1665</v>
      </c>
      <c r="B17" s="11">
        <v>16</v>
      </c>
      <c r="C17" s="11" t="s">
        <v>7</v>
      </c>
      <c r="D17" s="11">
        <v>1.5</v>
      </c>
      <c r="E17" s="11">
        <v>9.3000000000000007</v>
      </c>
      <c r="F17" s="11">
        <v>5</v>
      </c>
      <c r="G17" s="11">
        <v>5</v>
      </c>
      <c r="H17" s="5"/>
      <c r="I17" s="53" t="s">
        <v>1308</v>
      </c>
      <c r="J17" s="53"/>
      <c r="K17" s="53">
        <v>2.2000000000000002</v>
      </c>
    </row>
    <row r="18" spans="1:11">
      <c r="A18" s="11" t="s">
        <v>1666</v>
      </c>
      <c r="B18" s="11">
        <v>17</v>
      </c>
      <c r="C18" s="11" t="s">
        <v>7</v>
      </c>
      <c r="D18" s="11">
        <v>2.2000000000000002</v>
      </c>
      <c r="E18" s="11">
        <v>11</v>
      </c>
      <c r="F18" s="11">
        <v>5</v>
      </c>
      <c r="G18" s="11">
        <v>5</v>
      </c>
      <c r="H18" s="5"/>
      <c r="I18" s="53" t="s">
        <v>1310</v>
      </c>
      <c r="J18" s="53"/>
      <c r="K18" s="53">
        <v>3.1</v>
      </c>
    </row>
    <row r="19" spans="1:11">
      <c r="A19" s="11" t="s">
        <v>1667</v>
      </c>
      <c r="B19" s="11">
        <v>16</v>
      </c>
      <c r="C19" s="11" t="s">
        <v>442</v>
      </c>
      <c r="D19" s="11">
        <v>1.3</v>
      </c>
      <c r="E19" s="11">
        <v>9.8000000000000007</v>
      </c>
      <c r="F19" s="11">
        <v>5</v>
      </c>
      <c r="G19" s="11">
        <v>5</v>
      </c>
      <c r="H19" s="5"/>
    </row>
    <row r="20" spans="1:11">
      <c r="A20" s="11" t="s">
        <v>1668</v>
      </c>
      <c r="B20" s="11">
        <v>16</v>
      </c>
      <c r="C20" s="11" t="s">
        <v>28</v>
      </c>
      <c r="D20" s="11">
        <v>2.1</v>
      </c>
      <c r="E20" s="11">
        <v>10.6</v>
      </c>
      <c r="F20" s="11">
        <v>5</v>
      </c>
      <c r="G20" s="11">
        <v>5</v>
      </c>
      <c r="H20" s="5"/>
    </row>
    <row r="21" spans="1:11">
      <c r="A21" s="11" t="s">
        <v>1669</v>
      </c>
      <c r="B21" s="11">
        <v>15</v>
      </c>
      <c r="C21" s="11" t="s">
        <v>28</v>
      </c>
      <c r="D21" s="11">
        <v>1.3</v>
      </c>
      <c r="E21" s="11">
        <v>10</v>
      </c>
      <c r="F21" s="11">
        <v>5</v>
      </c>
      <c r="G21" s="11">
        <v>5</v>
      </c>
      <c r="H21" s="5"/>
    </row>
    <row r="22" spans="1:11">
      <c r="A22" s="11" t="s">
        <v>1670</v>
      </c>
      <c r="B22" s="11">
        <v>15</v>
      </c>
      <c r="C22" s="11" t="s">
        <v>7</v>
      </c>
      <c r="D22" s="11">
        <v>1.4</v>
      </c>
      <c r="E22" s="11">
        <v>9.1</v>
      </c>
      <c r="F22" s="11">
        <v>5</v>
      </c>
      <c r="G22" s="11">
        <v>5</v>
      </c>
      <c r="H22" s="5"/>
      <c r="J22" s="11"/>
    </row>
    <row r="23" spans="1:11">
      <c r="A23" s="11" t="s">
        <v>1671</v>
      </c>
      <c r="B23" s="11">
        <v>15</v>
      </c>
      <c r="C23" s="11" t="s">
        <v>442</v>
      </c>
      <c r="D23" s="11">
        <v>1.4</v>
      </c>
      <c r="E23" s="11">
        <v>9.4</v>
      </c>
      <c r="F23" s="11">
        <v>5</v>
      </c>
      <c r="G23" s="11">
        <v>5</v>
      </c>
      <c r="H23" s="5"/>
    </row>
    <row r="24" spans="1:11">
      <c r="A24" s="11" t="s">
        <v>1672</v>
      </c>
      <c r="B24" s="11">
        <v>15</v>
      </c>
      <c r="C24" s="11" t="s">
        <v>7</v>
      </c>
      <c r="D24" s="11">
        <v>1.9</v>
      </c>
      <c r="E24" s="11">
        <v>11.3</v>
      </c>
      <c r="F24" s="11">
        <v>5</v>
      </c>
      <c r="G24" s="11">
        <v>5</v>
      </c>
      <c r="H24" s="5"/>
    </row>
    <row r="25" spans="1:11">
      <c r="A25" s="11" t="s">
        <v>1673</v>
      </c>
      <c r="B25" s="11">
        <v>16</v>
      </c>
      <c r="C25" s="11" t="s">
        <v>7</v>
      </c>
      <c r="D25" s="11">
        <v>1.9</v>
      </c>
      <c r="E25" s="11">
        <v>10</v>
      </c>
      <c r="F25" s="11">
        <v>5</v>
      </c>
      <c r="G25" s="11">
        <v>5</v>
      </c>
      <c r="H25" s="5"/>
    </row>
    <row r="26" spans="1:11">
      <c r="A26" s="11" t="s">
        <v>1674</v>
      </c>
      <c r="B26" s="11">
        <v>14</v>
      </c>
      <c r="C26" s="11" t="s">
        <v>28</v>
      </c>
      <c r="D26" s="11">
        <v>2.1</v>
      </c>
      <c r="E26" s="11">
        <v>9.6</v>
      </c>
      <c r="F26" s="11">
        <v>5</v>
      </c>
      <c r="G26" s="11">
        <v>5</v>
      </c>
      <c r="H26" s="5"/>
    </row>
    <row r="27" spans="1:11">
      <c r="A27" s="11"/>
      <c r="B27" s="11"/>
      <c r="C27" s="11"/>
      <c r="D27" s="11"/>
      <c r="E27" s="11"/>
      <c r="F27" s="11"/>
      <c r="G27" s="11"/>
      <c r="H27" s="5"/>
    </row>
    <row r="28" spans="1:11">
      <c r="A28" s="11" t="s">
        <v>1675</v>
      </c>
      <c r="B28" s="11">
        <v>16</v>
      </c>
      <c r="C28" s="11" t="s">
        <v>7</v>
      </c>
      <c r="D28" s="11">
        <v>1.9</v>
      </c>
      <c r="E28" s="11">
        <v>8.6999999999999993</v>
      </c>
      <c r="F28" s="11">
        <v>5</v>
      </c>
      <c r="G28" s="11">
        <v>5</v>
      </c>
      <c r="H28" s="5"/>
    </row>
    <row r="29" spans="1:11">
      <c r="A29" s="11"/>
      <c r="B29" s="11"/>
      <c r="C29" s="11"/>
      <c r="D29" s="11"/>
      <c r="E29" s="11"/>
      <c r="F29" s="11"/>
      <c r="G29" s="11"/>
      <c r="H29" s="5"/>
    </row>
    <row r="30" spans="1:11">
      <c r="A30" s="11" t="s">
        <v>1676</v>
      </c>
      <c r="B30" s="11">
        <v>16</v>
      </c>
      <c r="C30" s="11" t="s">
        <v>7</v>
      </c>
      <c r="D30" s="11">
        <v>1.2</v>
      </c>
      <c r="E30" s="11">
        <v>7.6</v>
      </c>
      <c r="F30" s="11">
        <v>5</v>
      </c>
      <c r="G30" s="11">
        <v>5</v>
      </c>
      <c r="H30" s="5"/>
    </row>
    <row r="31" spans="1:11">
      <c r="A31" s="11" t="s">
        <v>1677</v>
      </c>
      <c r="B31" s="11">
        <v>16</v>
      </c>
      <c r="C31" s="11" t="s">
        <v>7</v>
      </c>
      <c r="D31" s="11">
        <v>1.3</v>
      </c>
      <c r="E31" s="11">
        <v>7.6</v>
      </c>
      <c r="F31" s="11">
        <v>5</v>
      </c>
      <c r="G31" s="11">
        <v>5</v>
      </c>
      <c r="H31" s="5"/>
    </row>
    <row r="32" spans="1:11">
      <c r="A32" s="11" t="s">
        <v>1678</v>
      </c>
      <c r="B32" s="11">
        <v>16</v>
      </c>
      <c r="C32" s="11" t="s">
        <v>7</v>
      </c>
      <c r="D32" s="11">
        <v>1.8</v>
      </c>
      <c r="E32" s="11">
        <v>7.1</v>
      </c>
      <c r="F32" s="11">
        <v>5</v>
      </c>
      <c r="G32" s="11">
        <v>5</v>
      </c>
      <c r="H32" s="5"/>
    </row>
    <row r="33" spans="1:8">
      <c r="A33" s="11"/>
      <c r="B33" s="11"/>
      <c r="C33" s="11"/>
      <c r="D33" s="11"/>
      <c r="E33" s="11"/>
      <c r="F33" s="11"/>
      <c r="G33" s="11"/>
      <c r="H33" s="5"/>
    </row>
    <row r="34" spans="1:8">
      <c r="A34" s="11" t="s">
        <v>1679</v>
      </c>
      <c r="B34" s="11">
        <v>16</v>
      </c>
      <c r="C34" s="11" t="s">
        <v>28</v>
      </c>
      <c r="D34" s="11">
        <v>2.5</v>
      </c>
      <c r="E34" s="11">
        <v>7.8</v>
      </c>
      <c r="F34" s="11">
        <v>5</v>
      </c>
      <c r="G34" s="11">
        <v>5</v>
      </c>
      <c r="H34" s="5"/>
    </row>
    <row r="35" spans="1:8">
      <c r="A35" s="11" t="s">
        <v>1680</v>
      </c>
      <c r="B35" s="11">
        <v>17</v>
      </c>
      <c r="C35" s="11" t="s">
        <v>7</v>
      </c>
      <c r="D35" s="11">
        <v>1.2</v>
      </c>
      <c r="E35" s="11">
        <v>6.3</v>
      </c>
      <c r="F35" s="11">
        <v>5</v>
      </c>
      <c r="G35" s="11">
        <v>5</v>
      </c>
      <c r="H35" s="5"/>
    </row>
    <row r="36" spans="1:8">
      <c r="A36" s="11" t="s">
        <v>1681</v>
      </c>
      <c r="B36" s="11">
        <v>16</v>
      </c>
      <c r="C36" s="11" t="s">
        <v>7</v>
      </c>
      <c r="D36" s="11">
        <v>1.4</v>
      </c>
      <c r="E36" s="11">
        <v>6.7</v>
      </c>
      <c r="F36" s="11">
        <v>5</v>
      </c>
      <c r="G36" s="11">
        <v>5</v>
      </c>
      <c r="H36" s="5"/>
    </row>
    <row r="37" spans="1:8">
      <c r="A37" s="11" t="s">
        <v>1682</v>
      </c>
      <c r="B37" s="11">
        <v>15</v>
      </c>
      <c r="C37" s="11" t="s">
        <v>442</v>
      </c>
      <c r="D37" s="11">
        <v>1.2</v>
      </c>
      <c r="E37" s="11">
        <v>7.8</v>
      </c>
      <c r="F37" s="11">
        <v>5</v>
      </c>
      <c r="G37" s="11">
        <v>5</v>
      </c>
      <c r="H37" s="5"/>
    </row>
    <row r="38" spans="1:8">
      <c r="A38" s="11" t="s">
        <v>1683</v>
      </c>
      <c r="B38" s="11">
        <v>16</v>
      </c>
      <c r="C38" s="11" t="s">
        <v>442</v>
      </c>
      <c r="D38" s="11">
        <v>1.3</v>
      </c>
      <c r="E38" s="11">
        <v>5.7</v>
      </c>
      <c r="F38" s="11">
        <v>4</v>
      </c>
      <c r="G38" s="11">
        <v>4</v>
      </c>
      <c r="H38" s="5"/>
    </row>
    <row r="39" spans="1:8">
      <c r="A39" s="11" t="s">
        <v>1684</v>
      </c>
      <c r="B39" s="11">
        <v>15</v>
      </c>
      <c r="C39" s="11" t="s">
        <v>28</v>
      </c>
      <c r="D39" s="11">
        <v>1.4</v>
      </c>
      <c r="E39" s="11">
        <v>7.1</v>
      </c>
      <c r="F39" s="11">
        <v>5</v>
      </c>
      <c r="G39" s="11">
        <v>5</v>
      </c>
      <c r="H39" s="5"/>
    </row>
    <row r="40" spans="1:8">
      <c r="A40" s="11"/>
      <c r="B40" s="11"/>
      <c r="C40" s="11"/>
      <c r="D40" s="11"/>
      <c r="E40" s="11"/>
      <c r="F40" s="11"/>
      <c r="G40" s="11"/>
      <c r="H40" s="5"/>
    </row>
    <row r="41" spans="1:8">
      <c r="A41" s="11" t="s">
        <v>1685</v>
      </c>
      <c r="B41" s="11">
        <v>13</v>
      </c>
      <c r="C41" s="11" t="s">
        <v>28</v>
      </c>
      <c r="D41" s="11">
        <v>1.7</v>
      </c>
      <c r="E41" s="11">
        <v>10.199999999999999</v>
      </c>
      <c r="F41" s="11">
        <v>5</v>
      </c>
      <c r="G41" s="11">
        <v>5</v>
      </c>
      <c r="H41" s="5"/>
    </row>
    <row r="42" spans="1:8">
      <c r="A42" s="11" t="s">
        <v>1686</v>
      </c>
      <c r="B42" s="11">
        <v>17</v>
      </c>
      <c r="C42" s="11" t="s">
        <v>7</v>
      </c>
      <c r="D42" s="11">
        <v>1.4</v>
      </c>
      <c r="E42" s="11">
        <v>10.199999999999999</v>
      </c>
      <c r="F42" s="11">
        <v>5</v>
      </c>
      <c r="G42" s="11">
        <v>5</v>
      </c>
      <c r="H42" s="5"/>
    </row>
    <row r="43" spans="1:8">
      <c r="A43" s="11" t="s">
        <v>1687</v>
      </c>
      <c r="B43" s="11">
        <v>17</v>
      </c>
      <c r="C43" s="11" t="s">
        <v>7</v>
      </c>
      <c r="D43" s="11">
        <v>1.2</v>
      </c>
      <c r="E43" s="11">
        <v>8.6999999999999993</v>
      </c>
      <c r="F43" s="11">
        <v>5</v>
      </c>
      <c r="G43" s="11">
        <v>5</v>
      </c>
      <c r="H43" s="5"/>
    </row>
    <row r="44" spans="1:8">
      <c r="A44" s="11" t="s">
        <v>1688</v>
      </c>
      <c r="B44" s="11">
        <v>15</v>
      </c>
      <c r="C44" s="11" t="s">
        <v>7</v>
      </c>
      <c r="D44" s="11">
        <v>2</v>
      </c>
      <c r="E44" s="11">
        <v>11.9</v>
      </c>
      <c r="F44" s="11">
        <v>5</v>
      </c>
      <c r="G44" s="11">
        <v>5</v>
      </c>
      <c r="H44" s="5"/>
    </row>
    <row r="45" spans="1:8">
      <c r="A45" s="11" t="s">
        <v>1689</v>
      </c>
      <c r="B45" s="11">
        <v>16</v>
      </c>
      <c r="C45" s="11" t="s">
        <v>442</v>
      </c>
      <c r="D45" s="11">
        <v>1.5</v>
      </c>
      <c r="E45" s="11">
        <v>8.3000000000000007</v>
      </c>
      <c r="F45" s="11">
        <v>5</v>
      </c>
      <c r="G45" s="11">
        <v>5</v>
      </c>
      <c r="H45" s="5"/>
    </row>
    <row r="46" spans="1:8">
      <c r="A46" s="11" t="s">
        <v>1690</v>
      </c>
      <c r="B46" s="11">
        <v>18</v>
      </c>
      <c r="C46" s="11" t="s">
        <v>442</v>
      </c>
      <c r="D46" s="11">
        <v>1.5</v>
      </c>
      <c r="E46" s="11">
        <v>10.4</v>
      </c>
      <c r="F46" s="11">
        <v>5</v>
      </c>
      <c r="G46" s="11">
        <v>5</v>
      </c>
      <c r="H46" s="5"/>
    </row>
    <row r="47" spans="1:8">
      <c r="A47" s="11" t="s">
        <v>1691</v>
      </c>
      <c r="B47" s="11">
        <v>14</v>
      </c>
      <c r="C47" s="11" t="s">
        <v>7</v>
      </c>
      <c r="D47" s="11">
        <v>1</v>
      </c>
      <c r="E47" s="11">
        <v>8.1</v>
      </c>
      <c r="F47" s="11">
        <v>5</v>
      </c>
      <c r="G47" s="11">
        <v>5</v>
      </c>
      <c r="H47" s="5"/>
    </row>
    <row r="48" spans="1:8">
      <c r="A48" s="11" t="s">
        <v>1692</v>
      </c>
      <c r="B48" s="11">
        <v>16</v>
      </c>
      <c r="C48" s="11" t="s">
        <v>28</v>
      </c>
      <c r="D48" s="11">
        <v>1.8</v>
      </c>
      <c r="E48" s="11">
        <v>10.5</v>
      </c>
      <c r="F48" s="11">
        <v>5</v>
      </c>
      <c r="G48" s="11">
        <v>5</v>
      </c>
      <c r="H48" s="5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FDBA9-F679-4EBD-B77F-CA4E318DEA5A}">
  <dimension ref="A1:M68"/>
  <sheetViews>
    <sheetView workbookViewId="0">
      <pane ySplit="2" topLeftCell="A39" activePane="bottomLeft" state="frozen"/>
      <selection pane="bottomLeft" activeCell="E58" sqref="E58:E68"/>
    </sheetView>
  </sheetViews>
  <sheetFormatPr defaultRowHeight="14.45"/>
  <cols>
    <col min="4" max="4" width="12.28515625" customWidth="1"/>
    <col min="6" max="6" width="15" customWidth="1"/>
    <col min="8" max="8" width="13.28515625" customWidth="1"/>
    <col min="9" max="9" width="7.140625" customWidth="1"/>
    <col min="11" max="13" width="14.28515625" customWidth="1"/>
  </cols>
  <sheetData>
    <row r="1" spans="1:13">
      <c r="A1" s="53"/>
      <c r="B1" s="53"/>
      <c r="C1" s="53"/>
      <c r="D1" s="53"/>
      <c r="E1" s="53"/>
      <c r="F1" s="53" t="s">
        <v>639</v>
      </c>
    </row>
    <row r="2" spans="1:13">
      <c r="A2" s="53" t="s">
        <v>1</v>
      </c>
      <c r="B2" s="53" t="s">
        <v>641</v>
      </c>
      <c r="C2" s="53" t="s">
        <v>3</v>
      </c>
      <c r="D2" s="53" t="s">
        <v>4</v>
      </c>
      <c r="E2" s="53" t="s">
        <v>5</v>
      </c>
      <c r="F2" s="53" t="s">
        <v>640</v>
      </c>
    </row>
    <row r="3" spans="1:13">
      <c r="A3" s="11" t="s">
        <v>1693</v>
      </c>
      <c r="B3" s="11">
        <v>15</v>
      </c>
      <c r="C3" s="5" t="s">
        <v>7</v>
      </c>
      <c r="D3" s="11">
        <v>1.9</v>
      </c>
      <c r="E3" s="11">
        <v>7</v>
      </c>
      <c r="F3" s="11">
        <v>5</v>
      </c>
    </row>
    <row r="4" spans="1:13">
      <c r="A4" s="11" t="s">
        <v>1694</v>
      </c>
      <c r="B4" s="11">
        <v>18</v>
      </c>
      <c r="C4" s="11" t="s">
        <v>7</v>
      </c>
      <c r="D4" s="11">
        <v>1</v>
      </c>
      <c r="E4" s="11">
        <v>6.5</v>
      </c>
      <c r="F4" s="11">
        <v>5</v>
      </c>
      <c r="H4" s="53"/>
      <c r="I4" s="53" t="s">
        <v>641</v>
      </c>
      <c r="J4" s="53" t="s">
        <v>3</v>
      </c>
      <c r="K4" s="53" t="s">
        <v>4</v>
      </c>
      <c r="L4" s="53" t="s">
        <v>5</v>
      </c>
      <c r="M4" s="53" t="s">
        <v>640</v>
      </c>
    </row>
    <row r="5" spans="1:13">
      <c r="A5" s="11" t="s">
        <v>1695</v>
      </c>
      <c r="B5" s="11">
        <v>15</v>
      </c>
      <c r="C5" s="11" t="s">
        <v>7</v>
      </c>
      <c r="D5" s="11">
        <v>1.1000000000000001</v>
      </c>
      <c r="E5" s="11">
        <v>5.2</v>
      </c>
      <c r="F5" s="11">
        <v>5</v>
      </c>
      <c r="H5" s="53" t="s">
        <v>643</v>
      </c>
      <c r="I5" s="53">
        <v>40</v>
      </c>
      <c r="J5" s="53">
        <v>30</v>
      </c>
      <c r="K5" s="53">
        <v>65</v>
      </c>
      <c r="L5" s="53">
        <v>10</v>
      </c>
      <c r="M5" s="57">
        <f>AVERAGE(F3:F22)*20</f>
        <v>97</v>
      </c>
    </row>
    <row r="6" spans="1:13">
      <c r="A6" s="11" t="s">
        <v>1696</v>
      </c>
      <c r="B6" s="11">
        <v>15</v>
      </c>
      <c r="C6" s="11" t="s">
        <v>28</v>
      </c>
      <c r="D6" s="11">
        <v>1.1000000000000001</v>
      </c>
      <c r="E6" s="11">
        <v>5</v>
      </c>
      <c r="F6" s="11">
        <v>4</v>
      </c>
      <c r="H6" s="53" t="s">
        <v>645</v>
      </c>
      <c r="I6" s="53">
        <v>44.4</v>
      </c>
      <c r="J6" s="53">
        <v>0</v>
      </c>
      <c r="K6" s="53">
        <v>88.9</v>
      </c>
      <c r="L6" s="53">
        <v>88.9</v>
      </c>
      <c r="M6" s="57">
        <f>AVERAGE(F24:F32)*20</f>
        <v>93.333333333333343</v>
      </c>
    </row>
    <row r="7" spans="1:13">
      <c r="A7" s="11" t="s">
        <v>1697</v>
      </c>
      <c r="B7" s="11">
        <v>14</v>
      </c>
      <c r="C7" s="11" t="s">
        <v>28</v>
      </c>
      <c r="D7" s="11">
        <v>1.3</v>
      </c>
      <c r="E7" s="11">
        <v>5</v>
      </c>
      <c r="F7" s="11">
        <v>5</v>
      </c>
      <c r="H7" s="53" t="s">
        <v>647</v>
      </c>
      <c r="I7" s="53">
        <v>100</v>
      </c>
      <c r="J7" s="53">
        <v>50</v>
      </c>
      <c r="K7" s="53">
        <v>100</v>
      </c>
      <c r="L7" s="53">
        <v>100</v>
      </c>
      <c r="M7" s="57">
        <f>AVERAGE(F34:F35)*20</f>
        <v>100</v>
      </c>
    </row>
    <row r="8" spans="1:13">
      <c r="A8" s="11" t="s">
        <v>1698</v>
      </c>
      <c r="B8" s="11">
        <v>15</v>
      </c>
      <c r="C8" s="11" t="s">
        <v>28</v>
      </c>
      <c r="D8" s="11">
        <v>1.3</v>
      </c>
      <c r="E8" s="11">
        <v>6.1</v>
      </c>
      <c r="F8" s="11">
        <v>5</v>
      </c>
      <c r="H8" s="53" t="s">
        <v>649</v>
      </c>
      <c r="I8" s="53">
        <v>100</v>
      </c>
      <c r="J8" s="53">
        <v>100</v>
      </c>
      <c r="K8" s="53">
        <v>40</v>
      </c>
      <c r="L8" s="53">
        <v>40</v>
      </c>
      <c r="M8" s="57">
        <f>AVERAGE(F37:F41)*20</f>
        <v>100</v>
      </c>
    </row>
    <row r="9" spans="1:13">
      <c r="A9" s="11" t="s">
        <v>1699</v>
      </c>
      <c r="B9" s="11">
        <v>16</v>
      </c>
      <c r="C9" s="11" t="s">
        <v>28</v>
      </c>
      <c r="D9" s="11">
        <v>1.6</v>
      </c>
      <c r="E9" s="11">
        <v>5.7</v>
      </c>
      <c r="F9" s="11">
        <v>5</v>
      </c>
      <c r="H9" s="53" t="s">
        <v>651</v>
      </c>
      <c r="I9" s="53">
        <v>100</v>
      </c>
      <c r="J9" s="53">
        <v>21.4</v>
      </c>
      <c r="K9" s="53">
        <v>92.8</v>
      </c>
      <c r="L9" s="53">
        <v>71.400000000000006</v>
      </c>
      <c r="M9" s="57">
        <f>AVERAGE(F43:F54)*20</f>
        <v>96.666666666666657</v>
      </c>
    </row>
    <row r="10" spans="1:13">
      <c r="A10" s="11" t="s">
        <v>1700</v>
      </c>
      <c r="B10" s="11">
        <v>15</v>
      </c>
      <c r="C10" s="11" t="s">
        <v>28</v>
      </c>
      <c r="D10" s="11">
        <v>1.6</v>
      </c>
      <c r="E10" s="11">
        <v>5.6</v>
      </c>
      <c r="F10" s="11">
        <v>5</v>
      </c>
      <c r="H10" s="53" t="s">
        <v>653</v>
      </c>
      <c r="I10" s="53">
        <v>72.7</v>
      </c>
      <c r="J10" s="53">
        <v>18.2</v>
      </c>
      <c r="K10" s="53">
        <v>81.8</v>
      </c>
      <c r="L10" s="53">
        <v>90.9</v>
      </c>
      <c r="M10" s="53">
        <f>AVERAGE(F58:F68)*20</f>
        <v>100</v>
      </c>
    </row>
    <row r="11" spans="1:13">
      <c r="A11" s="11" t="s">
        <v>1701</v>
      </c>
      <c r="B11" s="11">
        <v>14</v>
      </c>
      <c r="C11" s="11" t="s">
        <v>1702</v>
      </c>
      <c r="D11" s="11">
        <v>1</v>
      </c>
      <c r="E11" s="11">
        <v>5.5</v>
      </c>
      <c r="F11" s="11">
        <v>5</v>
      </c>
    </row>
    <row r="12" spans="1:13">
      <c r="A12" s="11" t="s">
        <v>1703</v>
      </c>
      <c r="B12" s="11">
        <v>15</v>
      </c>
      <c r="C12" s="11" t="s">
        <v>1702</v>
      </c>
      <c r="D12" s="11">
        <v>1.1000000000000001</v>
      </c>
      <c r="E12" s="11">
        <v>5.9</v>
      </c>
      <c r="F12" s="11">
        <v>5</v>
      </c>
      <c r="I12" t="s">
        <v>656</v>
      </c>
      <c r="J12" t="s">
        <v>657</v>
      </c>
      <c r="K12" t="s">
        <v>658</v>
      </c>
      <c r="L12" t="s">
        <v>659</v>
      </c>
      <c r="M12">
        <v>0.05</v>
      </c>
    </row>
    <row r="13" spans="1:13">
      <c r="A13" s="11" t="s">
        <v>1704</v>
      </c>
      <c r="B13" s="11">
        <v>17</v>
      </c>
      <c r="C13" s="11" t="s">
        <v>7</v>
      </c>
      <c r="D13" s="11">
        <v>1.9</v>
      </c>
      <c r="E13" s="11">
        <v>7.3</v>
      </c>
      <c r="F13" s="11">
        <v>5</v>
      </c>
    </row>
    <row r="14" spans="1:13">
      <c r="A14" s="11" t="s">
        <v>1705</v>
      </c>
      <c r="B14" s="11">
        <v>15</v>
      </c>
      <c r="C14" s="11" t="s">
        <v>28</v>
      </c>
      <c r="D14" s="11">
        <v>1.3</v>
      </c>
      <c r="E14" s="11">
        <v>6.3</v>
      </c>
      <c r="F14" s="11">
        <v>5</v>
      </c>
    </row>
    <row r="15" spans="1:13">
      <c r="A15" s="11" t="s">
        <v>1706</v>
      </c>
      <c r="B15" s="11">
        <v>16</v>
      </c>
      <c r="C15" s="11" t="s">
        <v>28</v>
      </c>
      <c r="D15" s="11">
        <v>2</v>
      </c>
      <c r="E15" s="11">
        <v>5.6</v>
      </c>
      <c r="F15" s="11">
        <v>4</v>
      </c>
    </row>
    <row r="16" spans="1:13">
      <c r="A16" s="11" t="s">
        <v>1707</v>
      </c>
      <c r="B16" s="11">
        <v>16</v>
      </c>
      <c r="C16" s="11" t="s">
        <v>1702</v>
      </c>
      <c r="D16" s="11">
        <v>1.1000000000000001</v>
      </c>
      <c r="E16" s="11">
        <v>5.3</v>
      </c>
      <c r="F16" s="11">
        <v>5</v>
      </c>
      <c r="H16" s="53" t="s">
        <v>1306</v>
      </c>
      <c r="I16" s="53"/>
      <c r="J16" s="53">
        <v>5.3</v>
      </c>
    </row>
    <row r="17" spans="1:10">
      <c r="A17" s="11" t="s">
        <v>1708</v>
      </c>
      <c r="B17" s="11">
        <v>16</v>
      </c>
      <c r="C17" s="11" t="s">
        <v>1702</v>
      </c>
      <c r="D17" s="11">
        <v>1.7</v>
      </c>
      <c r="E17" s="11">
        <v>5.0999999999999996</v>
      </c>
      <c r="F17" s="11">
        <v>5</v>
      </c>
      <c r="H17" s="53" t="s">
        <v>1308</v>
      </c>
      <c r="I17" s="53"/>
      <c r="J17" s="53">
        <v>1.3</v>
      </c>
    </row>
    <row r="18" spans="1:10">
      <c r="A18" s="11" t="s">
        <v>1709</v>
      </c>
      <c r="B18" s="11">
        <v>15</v>
      </c>
      <c r="C18" s="11" t="s">
        <v>7</v>
      </c>
      <c r="D18" s="11">
        <v>1.9</v>
      </c>
      <c r="E18" s="11">
        <v>5</v>
      </c>
      <c r="F18" s="11">
        <v>5</v>
      </c>
      <c r="H18" s="53" t="s">
        <v>1310</v>
      </c>
      <c r="I18" s="53"/>
      <c r="J18" s="53">
        <v>4.3</v>
      </c>
    </row>
    <row r="19" spans="1:10">
      <c r="A19" s="11" t="s">
        <v>1710</v>
      </c>
      <c r="B19" s="11">
        <v>16</v>
      </c>
      <c r="C19" s="11" t="s">
        <v>28</v>
      </c>
      <c r="D19" s="11">
        <v>1.4</v>
      </c>
      <c r="E19" s="11">
        <v>5</v>
      </c>
      <c r="F19" s="11">
        <v>4</v>
      </c>
    </row>
    <row r="20" spans="1:10">
      <c r="A20" s="11" t="s">
        <v>1711</v>
      </c>
      <c r="B20" s="11">
        <v>14</v>
      </c>
      <c r="C20" s="11" t="s">
        <v>7</v>
      </c>
      <c r="D20" s="11">
        <v>1</v>
      </c>
      <c r="E20" s="11">
        <v>5.2</v>
      </c>
      <c r="F20" s="11">
        <v>5</v>
      </c>
    </row>
    <row r="21" spans="1:10">
      <c r="A21" s="11" t="s">
        <v>1712</v>
      </c>
      <c r="B21" s="11">
        <v>14</v>
      </c>
      <c r="C21" s="11" t="s">
        <v>28</v>
      </c>
      <c r="D21" s="11">
        <v>1.5</v>
      </c>
      <c r="E21" s="11">
        <v>5.6</v>
      </c>
      <c r="F21" s="11">
        <v>5</v>
      </c>
    </row>
    <row r="22" spans="1:10">
      <c r="A22" s="11" t="s">
        <v>1713</v>
      </c>
      <c r="B22" s="11">
        <v>16</v>
      </c>
      <c r="C22" s="11" t="s">
        <v>1702</v>
      </c>
      <c r="D22" s="11">
        <v>1.3</v>
      </c>
      <c r="E22" s="11">
        <v>5.4</v>
      </c>
      <c r="F22" s="11">
        <v>5</v>
      </c>
    </row>
    <row r="23" spans="1:10">
      <c r="A23" s="53"/>
      <c r="B23" s="53"/>
      <c r="C23" s="53"/>
      <c r="D23" s="53"/>
      <c r="E23" s="53"/>
      <c r="F23" s="11"/>
    </row>
    <row r="24" spans="1:10">
      <c r="A24" s="11" t="s">
        <v>1714</v>
      </c>
      <c r="B24" s="11">
        <v>16</v>
      </c>
      <c r="C24" s="11" t="s">
        <v>28</v>
      </c>
      <c r="D24" s="11">
        <v>1.9</v>
      </c>
      <c r="E24" s="11">
        <v>11.2</v>
      </c>
      <c r="F24" s="11">
        <v>5</v>
      </c>
    </row>
    <row r="25" spans="1:10">
      <c r="A25" s="11" t="s">
        <v>1715</v>
      </c>
      <c r="B25" s="11">
        <v>16</v>
      </c>
      <c r="C25" s="11" t="s">
        <v>28</v>
      </c>
      <c r="D25" s="11">
        <v>1.7</v>
      </c>
      <c r="E25" s="11">
        <v>9.4</v>
      </c>
      <c r="F25" s="11">
        <v>5</v>
      </c>
    </row>
    <row r="26" spans="1:10">
      <c r="A26" s="11" t="s">
        <v>1716</v>
      </c>
      <c r="B26" s="11">
        <v>14</v>
      </c>
      <c r="C26" s="11" t="s">
        <v>1702</v>
      </c>
      <c r="D26" s="11">
        <v>1</v>
      </c>
      <c r="E26" s="11">
        <v>6.9</v>
      </c>
      <c r="F26" s="11">
        <v>5</v>
      </c>
    </row>
    <row r="27" spans="1:10">
      <c r="A27" s="11" t="s">
        <v>1717</v>
      </c>
      <c r="B27" s="11">
        <v>16</v>
      </c>
      <c r="C27" s="11" t="s">
        <v>1702</v>
      </c>
      <c r="D27" s="11">
        <v>1.7</v>
      </c>
      <c r="E27" s="11">
        <v>9</v>
      </c>
      <c r="F27" s="11">
        <v>5</v>
      </c>
    </row>
    <row r="28" spans="1:10">
      <c r="A28" s="11" t="s">
        <v>1718</v>
      </c>
      <c r="B28" s="11">
        <v>15</v>
      </c>
      <c r="C28" s="11" t="s">
        <v>1702</v>
      </c>
      <c r="D28" s="11">
        <v>1.5</v>
      </c>
      <c r="E28" s="11">
        <v>8.1999999999999993</v>
      </c>
      <c r="F28" s="11">
        <v>5</v>
      </c>
    </row>
    <row r="29" spans="1:10">
      <c r="A29" s="11" t="s">
        <v>1719</v>
      </c>
      <c r="B29" s="11">
        <v>15</v>
      </c>
      <c r="C29" s="11" t="s">
        <v>1702</v>
      </c>
      <c r="D29" s="11">
        <v>1.4</v>
      </c>
      <c r="E29" s="11">
        <v>8.1</v>
      </c>
      <c r="F29" s="11">
        <v>5</v>
      </c>
    </row>
    <row r="30" spans="1:10">
      <c r="A30" s="11" t="s">
        <v>1720</v>
      </c>
      <c r="B30" s="11">
        <v>15</v>
      </c>
      <c r="C30" s="11" t="s">
        <v>1702</v>
      </c>
      <c r="D30" s="11">
        <v>1.7</v>
      </c>
      <c r="E30" s="11">
        <v>8.3000000000000007</v>
      </c>
      <c r="F30" s="11">
        <v>5</v>
      </c>
    </row>
    <row r="31" spans="1:10">
      <c r="A31" s="11" t="s">
        <v>1721</v>
      </c>
      <c r="B31" s="11">
        <v>14</v>
      </c>
      <c r="C31" s="11" t="s">
        <v>28</v>
      </c>
      <c r="D31" s="11">
        <v>1.3</v>
      </c>
      <c r="E31" s="11">
        <v>7.3</v>
      </c>
      <c r="F31" s="11">
        <v>4</v>
      </c>
    </row>
    <row r="32" spans="1:10">
      <c r="A32" s="11" t="s">
        <v>1722</v>
      </c>
      <c r="B32" s="11">
        <v>16</v>
      </c>
      <c r="C32" s="11" t="s">
        <v>28</v>
      </c>
      <c r="D32" s="11">
        <v>1.5</v>
      </c>
      <c r="E32" s="11">
        <v>7.1</v>
      </c>
      <c r="F32" s="11">
        <v>3</v>
      </c>
    </row>
    <row r="33" spans="1:6">
      <c r="A33" s="11"/>
      <c r="B33" s="11"/>
      <c r="C33" s="11"/>
      <c r="D33" s="11"/>
      <c r="E33" s="11"/>
      <c r="F33" s="11"/>
    </row>
    <row r="34" spans="1:6">
      <c r="A34" s="11" t="s">
        <v>1723</v>
      </c>
      <c r="B34" s="11">
        <v>16</v>
      </c>
      <c r="C34" s="11" t="s">
        <v>7</v>
      </c>
      <c r="D34" s="11">
        <v>1.2</v>
      </c>
      <c r="E34" s="11">
        <v>8.5</v>
      </c>
      <c r="F34" s="11">
        <v>5</v>
      </c>
    </row>
    <row r="35" spans="1:6">
      <c r="A35" s="11" t="s">
        <v>1724</v>
      </c>
      <c r="B35" s="11">
        <v>16</v>
      </c>
      <c r="C35" s="11" t="s">
        <v>28</v>
      </c>
      <c r="D35" s="11">
        <v>1.7</v>
      </c>
      <c r="E35" s="11">
        <v>9.1</v>
      </c>
      <c r="F35" s="11">
        <v>5</v>
      </c>
    </row>
    <row r="36" spans="1:6">
      <c r="A36" s="11"/>
      <c r="B36" s="11"/>
      <c r="C36" s="11"/>
      <c r="D36" s="11"/>
      <c r="E36" s="11"/>
      <c r="F36" s="11"/>
    </row>
    <row r="37" spans="1:6">
      <c r="A37" s="11" t="s">
        <v>1725</v>
      </c>
      <c r="B37" s="11">
        <v>16</v>
      </c>
      <c r="C37" s="11" t="s">
        <v>7</v>
      </c>
      <c r="D37" s="11">
        <v>1.1000000000000001</v>
      </c>
      <c r="E37" s="11">
        <v>7.2</v>
      </c>
      <c r="F37" s="11">
        <v>5</v>
      </c>
    </row>
    <row r="38" spans="1:6">
      <c r="A38" s="11" t="s">
        <v>1726</v>
      </c>
      <c r="B38" s="11">
        <v>19</v>
      </c>
      <c r="C38" s="11" t="s">
        <v>7</v>
      </c>
      <c r="D38" s="11">
        <v>1.3</v>
      </c>
      <c r="E38" s="11">
        <v>7.2</v>
      </c>
      <c r="F38" s="11">
        <v>5</v>
      </c>
    </row>
    <row r="39" spans="1:6">
      <c r="A39" s="11" t="s">
        <v>1727</v>
      </c>
      <c r="B39" s="11">
        <v>16</v>
      </c>
      <c r="C39" s="11" t="s">
        <v>7</v>
      </c>
      <c r="D39" s="11">
        <v>1.1000000000000001</v>
      </c>
      <c r="E39" s="11">
        <v>5.9</v>
      </c>
      <c r="F39" s="11">
        <v>5</v>
      </c>
    </row>
    <row r="40" spans="1:6">
      <c r="A40" s="11" t="s">
        <v>1728</v>
      </c>
      <c r="B40" s="11">
        <v>16</v>
      </c>
      <c r="C40" s="11" t="s">
        <v>7</v>
      </c>
      <c r="D40" s="11">
        <v>1.1000000000000001</v>
      </c>
      <c r="E40" s="11">
        <v>6.8</v>
      </c>
      <c r="F40" s="11">
        <v>5</v>
      </c>
    </row>
    <row r="41" spans="1:6">
      <c r="A41" s="11" t="s">
        <v>1729</v>
      </c>
      <c r="B41" s="11">
        <v>16</v>
      </c>
      <c r="C41" s="11" t="s">
        <v>7</v>
      </c>
      <c r="D41" s="11">
        <v>1.7</v>
      </c>
      <c r="E41" s="11">
        <v>5.4</v>
      </c>
      <c r="F41" s="11">
        <v>5</v>
      </c>
    </row>
    <row r="42" spans="1:6">
      <c r="A42" s="11"/>
      <c r="B42" s="11"/>
      <c r="C42" s="11"/>
      <c r="D42" s="11"/>
      <c r="E42" s="11"/>
      <c r="F42" s="11"/>
    </row>
    <row r="43" spans="1:6">
      <c r="A43" s="11" t="s">
        <v>1730</v>
      </c>
      <c r="B43" s="11">
        <v>16</v>
      </c>
      <c r="C43" s="11" t="s">
        <v>7</v>
      </c>
      <c r="D43" s="11">
        <v>1.7</v>
      </c>
      <c r="E43" s="11">
        <v>8.3000000000000007</v>
      </c>
      <c r="F43" s="11">
        <v>5</v>
      </c>
    </row>
    <row r="44" spans="1:6">
      <c r="A44" s="11" t="s">
        <v>1731</v>
      </c>
      <c r="B44" s="11">
        <v>16</v>
      </c>
      <c r="C44" s="11" t="s">
        <v>7</v>
      </c>
      <c r="D44" s="11">
        <v>1.9</v>
      </c>
      <c r="E44" s="11">
        <v>6.9</v>
      </c>
      <c r="F44" s="11">
        <v>5</v>
      </c>
    </row>
    <row r="45" spans="1:6">
      <c r="A45" s="11" t="s">
        <v>1732</v>
      </c>
      <c r="B45" s="11">
        <v>18</v>
      </c>
      <c r="C45" s="11" t="s">
        <v>7</v>
      </c>
      <c r="D45" s="11">
        <v>1.7</v>
      </c>
      <c r="E45" s="11">
        <v>8</v>
      </c>
      <c r="F45" s="11">
        <v>5</v>
      </c>
    </row>
    <row r="46" spans="1:6">
      <c r="A46" s="11" t="s">
        <v>1733</v>
      </c>
      <c r="B46" s="11">
        <v>16</v>
      </c>
      <c r="C46" s="11" t="s">
        <v>28</v>
      </c>
      <c r="D46" s="11">
        <v>1.3</v>
      </c>
      <c r="E46" s="11">
        <v>7</v>
      </c>
      <c r="F46" s="11">
        <v>5</v>
      </c>
    </row>
    <row r="47" spans="1:6">
      <c r="A47" s="11" t="s">
        <v>1734</v>
      </c>
      <c r="B47" s="11">
        <v>16</v>
      </c>
      <c r="C47" s="11" t="s">
        <v>28</v>
      </c>
      <c r="D47" s="11">
        <v>1.6</v>
      </c>
      <c r="E47" s="11">
        <v>6.4</v>
      </c>
      <c r="F47" s="11">
        <v>5</v>
      </c>
    </row>
    <row r="48" spans="1:6">
      <c r="A48" s="11" t="s">
        <v>1735</v>
      </c>
      <c r="B48" s="11">
        <v>16</v>
      </c>
      <c r="C48" s="11" t="s">
        <v>28</v>
      </c>
      <c r="D48" s="11">
        <v>1.1000000000000001</v>
      </c>
      <c r="E48" s="11">
        <v>5</v>
      </c>
      <c r="F48" s="11">
        <v>4</v>
      </c>
    </row>
    <row r="49" spans="1:6">
      <c r="A49" s="11" t="s">
        <v>1736</v>
      </c>
      <c r="B49" s="11">
        <v>17</v>
      </c>
      <c r="C49" s="11" t="s">
        <v>1702</v>
      </c>
      <c r="D49" s="11">
        <v>1.2</v>
      </c>
      <c r="E49" s="11">
        <v>5.6</v>
      </c>
      <c r="F49" s="11">
        <v>4</v>
      </c>
    </row>
    <row r="50" spans="1:6">
      <c r="A50" s="11" t="s">
        <v>1737</v>
      </c>
      <c r="B50" s="11">
        <v>16</v>
      </c>
      <c r="C50" s="11" t="s">
        <v>1702</v>
      </c>
      <c r="D50" s="11">
        <v>1.3</v>
      </c>
      <c r="E50" s="11">
        <v>9</v>
      </c>
      <c r="F50" s="11">
        <v>5</v>
      </c>
    </row>
    <row r="51" spans="1:6">
      <c r="A51" s="11" t="s">
        <v>1738</v>
      </c>
      <c r="B51" s="11">
        <v>16</v>
      </c>
      <c r="C51" s="11" t="s">
        <v>1702</v>
      </c>
      <c r="D51" s="11">
        <v>1.7</v>
      </c>
      <c r="E51" s="11">
        <v>7.6</v>
      </c>
      <c r="F51" s="11">
        <v>5</v>
      </c>
    </row>
    <row r="52" spans="1:6">
      <c r="A52" s="11" t="s">
        <v>1739</v>
      </c>
      <c r="B52" s="11">
        <v>16</v>
      </c>
      <c r="C52" s="11" t="s">
        <v>1702</v>
      </c>
      <c r="D52" s="11">
        <v>1.2</v>
      </c>
      <c r="E52" s="11">
        <v>7.3</v>
      </c>
      <c r="F52" s="11">
        <v>5</v>
      </c>
    </row>
    <row r="53" spans="1:6">
      <c r="A53" s="11" t="s">
        <v>1740</v>
      </c>
      <c r="B53" s="11">
        <v>16</v>
      </c>
      <c r="C53" s="11" t="s">
        <v>1702</v>
      </c>
      <c r="D53" s="11">
        <v>1.6</v>
      </c>
      <c r="E53" s="11">
        <v>9.3000000000000007</v>
      </c>
      <c r="F53" s="11">
        <v>5</v>
      </c>
    </row>
    <row r="54" spans="1:6">
      <c r="A54" s="11" t="s">
        <v>1741</v>
      </c>
      <c r="B54" s="11">
        <v>16</v>
      </c>
      <c r="C54" s="11" t="s">
        <v>28</v>
      </c>
      <c r="D54" s="11">
        <v>1.6</v>
      </c>
      <c r="E54" s="11">
        <v>9.1999999999999993</v>
      </c>
      <c r="F54" s="11">
        <v>5</v>
      </c>
    </row>
    <row r="55" spans="1:6">
      <c r="A55" s="11" t="s">
        <v>1742</v>
      </c>
      <c r="B55" s="11">
        <v>16</v>
      </c>
      <c r="C55" s="11" t="s">
        <v>28</v>
      </c>
      <c r="D55" s="11">
        <v>1.5</v>
      </c>
      <c r="E55" s="11">
        <v>8.4</v>
      </c>
      <c r="F55" s="11">
        <v>5</v>
      </c>
    </row>
    <row r="56" spans="1:6">
      <c r="A56" s="11" t="s">
        <v>1743</v>
      </c>
      <c r="B56" s="11">
        <v>16</v>
      </c>
      <c r="C56" s="11" t="s">
        <v>28</v>
      </c>
      <c r="D56" s="11">
        <v>1.3</v>
      </c>
      <c r="E56" s="11">
        <v>7</v>
      </c>
      <c r="F56" s="11">
        <v>5</v>
      </c>
    </row>
    <row r="57" spans="1:6">
      <c r="A57" s="11"/>
      <c r="B57" s="11"/>
      <c r="C57" s="11"/>
      <c r="D57" s="11"/>
      <c r="E57" s="11"/>
      <c r="F57" s="11"/>
    </row>
    <row r="58" spans="1:6">
      <c r="A58" s="11" t="s">
        <v>1639</v>
      </c>
      <c r="B58" s="11">
        <v>17</v>
      </c>
      <c r="C58" s="11" t="s">
        <v>7</v>
      </c>
      <c r="D58" s="11">
        <v>1.3</v>
      </c>
      <c r="E58" s="11">
        <v>8.1999999999999993</v>
      </c>
      <c r="F58" s="11">
        <v>5</v>
      </c>
    </row>
    <row r="59" spans="1:6">
      <c r="A59" s="11" t="s">
        <v>1640</v>
      </c>
      <c r="B59" s="11">
        <v>17</v>
      </c>
      <c r="C59" s="11" t="s">
        <v>7</v>
      </c>
      <c r="D59" s="11">
        <v>1.3</v>
      </c>
      <c r="E59" s="11">
        <v>7.7</v>
      </c>
      <c r="F59" s="11">
        <v>5</v>
      </c>
    </row>
    <row r="60" spans="1:6">
      <c r="A60" s="11" t="s">
        <v>1641</v>
      </c>
      <c r="B60" s="11">
        <v>15</v>
      </c>
      <c r="C60" s="11" t="s">
        <v>28</v>
      </c>
      <c r="D60" s="11">
        <v>1.5</v>
      </c>
      <c r="E60" s="11">
        <v>9.3000000000000007</v>
      </c>
      <c r="F60" s="11">
        <v>5</v>
      </c>
    </row>
    <row r="61" spans="1:6">
      <c r="A61" s="11" t="s">
        <v>1642</v>
      </c>
      <c r="B61" s="11">
        <v>16</v>
      </c>
      <c r="C61" s="11" t="s">
        <v>28</v>
      </c>
      <c r="D61" s="11">
        <v>1.5</v>
      </c>
      <c r="E61" s="11">
        <v>9</v>
      </c>
      <c r="F61" s="11">
        <v>5</v>
      </c>
    </row>
    <row r="62" spans="1:6">
      <c r="A62" s="11" t="s">
        <v>1643</v>
      </c>
      <c r="B62" s="11">
        <v>17</v>
      </c>
      <c r="C62" s="11" t="s">
        <v>1702</v>
      </c>
      <c r="D62" s="11">
        <v>1.1000000000000001</v>
      </c>
      <c r="E62" s="11">
        <v>7.1</v>
      </c>
      <c r="F62" s="11">
        <v>5</v>
      </c>
    </row>
    <row r="63" spans="1:6">
      <c r="A63" s="11" t="s">
        <v>1644</v>
      </c>
      <c r="B63" s="11">
        <v>17</v>
      </c>
      <c r="C63" s="11" t="s">
        <v>1702</v>
      </c>
      <c r="D63" s="11">
        <v>1.1000000000000001</v>
      </c>
      <c r="E63" s="11">
        <v>7.7</v>
      </c>
      <c r="F63" s="11">
        <v>5</v>
      </c>
    </row>
    <row r="64" spans="1:6">
      <c r="A64" s="11" t="s">
        <v>1645</v>
      </c>
      <c r="B64" s="11">
        <v>17</v>
      </c>
      <c r="C64" s="11" t="s">
        <v>1702</v>
      </c>
      <c r="D64" s="11">
        <v>1.9</v>
      </c>
      <c r="E64" s="11">
        <v>10.3</v>
      </c>
      <c r="F64" s="11">
        <v>5</v>
      </c>
    </row>
    <row r="65" spans="1:6">
      <c r="A65" s="11" t="s">
        <v>1646</v>
      </c>
      <c r="B65" s="11">
        <v>16</v>
      </c>
      <c r="C65" s="11" t="s">
        <v>1702</v>
      </c>
      <c r="D65" s="11">
        <v>1.9</v>
      </c>
      <c r="E65" s="11">
        <v>9.1</v>
      </c>
      <c r="F65" s="11">
        <v>5</v>
      </c>
    </row>
    <row r="66" spans="1:6">
      <c r="A66" s="11" t="s">
        <v>1647</v>
      </c>
      <c r="B66" s="11">
        <v>16</v>
      </c>
      <c r="C66" s="11" t="s">
        <v>1702</v>
      </c>
      <c r="D66" s="11">
        <v>2</v>
      </c>
      <c r="E66" s="11">
        <v>8.9</v>
      </c>
      <c r="F66" s="11">
        <v>5</v>
      </c>
    </row>
    <row r="67" spans="1:6">
      <c r="A67" s="11" t="s">
        <v>1648</v>
      </c>
      <c r="B67" s="11">
        <v>14</v>
      </c>
      <c r="C67" s="11" t="s">
        <v>28</v>
      </c>
      <c r="D67" s="11">
        <v>1.4</v>
      </c>
      <c r="E67" s="11">
        <v>6.3</v>
      </c>
      <c r="F67" s="11">
        <v>5</v>
      </c>
    </row>
    <row r="68" spans="1:6">
      <c r="A68" s="11" t="s">
        <v>1649</v>
      </c>
      <c r="B68" s="11">
        <v>15</v>
      </c>
      <c r="C68" s="11" t="s">
        <v>28</v>
      </c>
      <c r="D68" s="11">
        <v>1.6</v>
      </c>
      <c r="E68" s="11">
        <v>8.4</v>
      </c>
      <c r="F68" s="11">
        <v>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55C2D-5455-4B7D-ADE3-013A75C09221}">
  <dimension ref="A1:M89"/>
  <sheetViews>
    <sheetView workbookViewId="0">
      <pane ySplit="2" topLeftCell="A21" activePane="bottomLeft" state="frozen"/>
      <selection pane="bottomLeft" activeCell="E78" sqref="E78:E89"/>
    </sheetView>
  </sheetViews>
  <sheetFormatPr defaultRowHeight="14.45"/>
  <cols>
    <col min="4" max="4" width="11.7109375" customWidth="1"/>
    <col min="5" max="5" width="14" customWidth="1"/>
    <col min="6" max="6" width="12.28515625" customWidth="1"/>
    <col min="8" max="8" width="12" customWidth="1"/>
    <col min="9" max="9" width="11.7109375" customWidth="1"/>
    <col min="11" max="11" width="11.28515625" customWidth="1"/>
    <col min="12" max="12" width="12.85546875" customWidth="1"/>
    <col min="13" max="13" width="14.28515625" customWidth="1"/>
  </cols>
  <sheetData>
    <row r="1" spans="1:13">
      <c r="F1" t="s">
        <v>639</v>
      </c>
      <c r="H1" s="58" t="s">
        <v>1744</v>
      </c>
    </row>
    <row r="2" spans="1:13">
      <c r="A2" s="53" t="s">
        <v>1</v>
      </c>
      <c r="B2" s="53" t="s">
        <v>641</v>
      </c>
      <c r="C2" s="53" t="s">
        <v>3</v>
      </c>
      <c r="D2" s="53" t="s">
        <v>4</v>
      </c>
      <c r="E2" s="53" t="s">
        <v>5</v>
      </c>
      <c r="F2" s="53" t="s">
        <v>640</v>
      </c>
    </row>
    <row r="3" spans="1:13">
      <c r="A3" s="11" t="s">
        <v>1745</v>
      </c>
      <c r="B3" s="11">
        <v>16</v>
      </c>
      <c r="C3" s="11" t="s">
        <v>28</v>
      </c>
      <c r="D3" s="11">
        <v>1.4</v>
      </c>
      <c r="E3" s="11">
        <v>9.8000000000000007</v>
      </c>
      <c r="F3" s="11">
        <v>5</v>
      </c>
    </row>
    <row r="4" spans="1:13">
      <c r="A4" s="11" t="s">
        <v>1746</v>
      </c>
      <c r="B4" s="11">
        <v>15</v>
      </c>
      <c r="C4" s="11" t="s">
        <v>28</v>
      </c>
      <c r="D4" s="11">
        <v>1.3</v>
      </c>
      <c r="E4" s="11">
        <v>8.3000000000000007</v>
      </c>
      <c r="F4" s="11">
        <v>5</v>
      </c>
      <c r="H4" s="53"/>
      <c r="I4" s="53" t="s">
        <v>641</v>
      </c>
      <c r="J4" s="53" t="s">
        <v>3</v>
      </c>
      <c r="K4" s="53" t="s">
        <v>4</v>
      </c>
      <c r="L4" s="53" t="s">
        <v>5</v>
      </c>
      <c r="M4" s="53" t="s">
        <v>640</v>
      </c>
    </row>
    <row r="5" spans="1:13">
      <c r="A5" s="11" t="s">
        <v>1747</v>
      </c>
      <c r="B5" s="11">
        <v>17</v>
      </c>
      <c r="C5" s="11" t="s">
        <v>28</v>
      </c>
      <c r="D5" s="11">
        <v>1.6</v>
      </c>
      <c r="E5" s="11">
        <v>10.199999999999999</v>
      </c>
      <c r="F5" s="11">
        <v>5</v>
      </c>
      <c r="H5" s="53" t="s">
        <v>643</v>
      </c>
      <c r="I5" s="53">
        <v>77.8</v>
      </c>
      <c r="J5" s="53">
        <v>11.1</v>
      </c>
      <c r="K5" s="53">
        <v>91.7</v>
      </c>
      <c r="L5" s="53">
        <v>61.1</v>
      </c>
      <c r="M5" s="53">
        <f>AVERAGE(F3:F22)*20</f>
        <v>100</v>
      </c>
    </row>
    <row r="6" spans="1:13">
      <c r="A6" s="11" t="s">
        <v>1748</v>
      </c>
      <c r="B6" s="11">
        <v>16</v>
      </c>
      <c r="C6" s="11" t="s">
        <v>28</v>
      </c>
      <c r="D6" s="11">
        <v>1.4</v>
      </c>
      <c r="E6" s="11">
        <v>8.4</v>
      </c>
      <c r="F6" s="11">
        <v>5</v>
      </c>
      <c r="H6" s="53" t="s">
        <v>645</v>
      </c>
      <c r="I6" s="53">
        <v>83.3</v>
      </c>
      <c r="J6" s="53">
        <v>0</v>
      </c>
      <c r="K6" s="53">
        <v>100</v>
      </c>
      <c r="L6" s="53">
        <v>100</v>
      </c>
      <c r="M6" s="53">
        <f>AVERAGE(F40:F48)*20</f>
        <v>100</v>
      </c>
    </row>
    <row r="7" spans="1:13">
      <c r="A7" s="11" t="s">
        <v>1749</v>
      </c>
      <c r="B7" s="11">
        <v>16</v>
      </c>
      <c r="C7" s="11" t="s">
        <v>28</v>
      </c>
      <c r="D7" s="11">
        <v>2.4</v>
      </c>
      <c r="E7" s="11">
        <v>9.6999999999999993</v>
      </c>
      <c r="F7" s="11">
        <v>5</v>
      </c>
      <c r="H7" s="53" t="s">
        <v>647</v>
      </c>
      <c r="I7" s="53">
        <v>100</v>
      </c>
      <c r="J7" s="53">
        <v>0</v>
      </c>
      <c r="K7" s="53">
        <v>100</v>
      </c>
      <c r="L7" s="53">
        <v>100</v>
      </c>
      <c r="M7" s="53">
        <f>AVERAGE(F53:F54)*20</f>
        <v>100</v>
      </c>
    </row>
    <row r="8" spans="1:13">
      <c r="A8" s="11" t="s">
        <v>1750</v>
      </c>
      <c r="B8" s="11">
        <v>16</v>
      </c>
      <c r="C8" s="11" t="s">
        <v>28</v>
      </c>
      <c r="D8" s="11">
        <v>1.9</v>
      </c>
      <c r="E8" s="11">
        <v>9</v>
      </c>
      <c r="F8" s="11">
        <v>5</v>
      </c>
      <c r="H8" s="53" t="s">
        <v>649</v>
      </c>
      <c r="I8" s="53">
        <v>80</v>
      </c>
      <c r="J8" s="53">
        <v>100</v>
      </c>
      <c r="K8" s="53">
        <v>20</v>
      </c>
      <c r="L8" s="53">
        <v>20</v>
      </c>
      <c r="M8" s="53">
        <f>AVERAGE(F57:F60)*20</f>
        <v>100</v>
      </c>
    </row>
    <row r="9" spans="1:13">
      <c r="A9" s="11" t="s">
        <v>1751</v>
      </c>
      <c r="B9" s="11">
        <v>16</v>
      </c>
      <c r="C9" s="11" t="s">
        <v>28</v>
      </c>
      <c r="D9" s="11">
        <v>1.4</v>
      </c>
      <c r="E9" s="11">
        <v>10</v>
      </c>
      <c r="F9" s="11">
        <v>5</v>
      </c>
      <c r="H9" s="53" t="s">
        <v>651</v>
      </c>
      <c r="I9" s="53">
        <v>100</v>
      </c>
      <c r="J9" s="53">
        <v>0</v>
      </c>
      <c r="K9" s="53">
        <v>60</v>
      </c>
      <c r="L9" s="53">
        <v>100</v>
      </c>
      <c r="M9" s="57">
        <f>AVERAGE(F62:F73)*20</f>
        <v>98.333333333333343</v>
      </c>
    </row>
    <row r="10" spans="1:13">
      <c r="A10" s="11" t="s">
        <v>1752</v>
      </c>
      <c r="B10" s="11">
        <v>16</v>
      </c>
      <c r="C10" s="11" t="s">
        <v>28</v>
      </c>
      <c r="D10" s="11">
        <v>1.8</v>
      </c>
      <c r="E10" s="11">
        <v>8.1999999999999993</v>
      </c>
      <c r="F10" s="11">
        <v>5</v>
      </c>
      <c r="H10" s="53" t="s">
        <v>653</v>
      </c>
      <c r="I10" s="53">
        <v>41.7</v>
      </c>
      <c r="J10" s="53">
        <v>0</v>
      </c>
      <c r="K10" s="53">
        <v>100</v>
      </c>
      <c r="L10" s="53">
        <v>100</v>
      </c>
      <c r="M10" s="53">
        <f>AVERAGE(F78:F88)*20</f>
        <v>100</v>
      </c>
    </row>
    <row r="11" spans="1:13">
      <c r="A11" s="11" t="s">
        <v>1753</v>
      </c>
      <c r="B11" s="11">
        <v>17</v>
      </c>
      <c r="C11" s="11" t="s">
        <v>28</v>
      </c>
      <c r="D11" s="11">
        <v>1.6</v>
      </c>
      <c r="E11" s="11">
        <v>8.9</v>
      </c>
      <c r="F11" s="11">
        <v>5</v>
      </c>
    </row>
    <row r="12" spans="1:13">
      <c r="A12" s="11" t="s">
        <v>1754</v>
      </c>
      <c r="B12" s="11">
        <v>16</v>
      </c>
      <c r="C12" s="11" t="s">
        <v>28</v>
      </c>
      <c r="D12" s="11">
        <v>1.8</v>
      </c>
      <c r="E12" s="11">
        <v>9.1999999999999993</v>
      </c>
      <c r="F12" s="11">
        <v>5</v>
      </c>
      <c r="I12" t="s">
        <v>656</v>
      </c>
      <c r="J12" t="s">
        <v>657</v>
      </c>
      <c r="K12" t="s">
        <v>658</v>
      </c>
      <c r="L12" t="s">
        <v>659</v>
      </c>
      <c r="M12">
        <v>0.05</v>
      </c>
    </row>
    <row r="13" spans="1:13">
      <c r="A13" s="11" t="s">
        <v>1755</v>
      </c>
      <c r="B13" s="11">
        <v>18</v>
      </c>
      <c r="C13" s="11" t="s">
        <v>28</v>
      </c>
      <c r="D13" s="11">
        <v>1.3</v>
      </c>
      <c r="E13" s="11">
        <v>9.6999999999999993</v>
      </c>
      <c r="F13" s="11">
        <v>5</v>
      </c>
    </row>
    <row r="14" spans="1:13">
      <c r="A14" s="11" t="s">
        <v>1756</v>
      </c>
      <c r="B14" s="11">
        <v>17</v>
      </c>
      <c r="C14" s="11" t="s">
        <v>28</v>
      </c>
      <c r="D14" s="11">
        <v>2.2000000000000002</v>
      </c>
      <c r="E14" s="11">
        <v>9.8000000000000007</v>
      </c>
      <c r="F14" s="11">
        <v>5</v>
      </c>
    </row>
    <row r="15" spans="1:13">
      <c r="A15" s="11" t="s">
        <v>1757</v>
      </c>
      <c r="B15" s="11">
        <v>17</v>
      </c>
      <c r="C15" s="11" t="s">
        <v>28</v>
      </c>
      <c r="D15" s="11">
        <v>1.6</v>
      </c>
      <c r="E15" s="11">
        <v>9.1999999999999993</v>
      </c>
      <c r="F15" s="11">
        <v>5</v>
      </c>
    </row>
    <row r="16" spans="1:13">
      <c r="A16" s="11" t="s">
        <v>1758</v>
      </c>
      <c r="B16" s="11">
        <v>17</v>
      </c>
      <c r="C16" s="11" t="s">
        <v>28</v>
      </c>
      <c r="D16" s="11">
        <v>1.2</v>
      </c>
      <c r="E16" s="11">
        <v>9.1</v>
      </c>
      <c r="F16" s="11">
        <v>5</v>
      </c>
      <c r="H16" s="53" t="s">
        <v>1306</v>
      </c>
      <c r="I16" s="53"/>
      <c r="J16" s="53">
        <v>6</v>
      </c>
    </row>
    <row r="17" spans="1:10">
      <c r="A17" s="11" t="s">
        <v>1759</v>
      </c>
      <c r="B17" s="11">
        <v>15</v>
      </c>
      <c r="C17" s="11" t="s">
        <v>28</v>
      </c>
      <c r="D17" s="11">
        <v>1.2</v>
      </c>
      <c r="E17" s="11">
        <v>7.8</v>
      </c>
      <c r="F17" s="11">
        <v>5</v>
      </c>
      <c r="H17" s="53" t="s">
        <v>1308</v>
      </c>
      <c r="I17" s="53"/>
      <c r="J17" s="53">
        <v>0.6</v>
      </c>
    </row>
    <row r="18" spans="1:10">
      <c r="A18" s="11" t="s">
        <v>1760</v>
      </c>
      <c r="B18" s="11">
        <v>16</v>
      </c>
      <c r="C18" s="11" t="s">
        <v>28</v>
      </c>
      <c r="D18" s="11">
        <v>1.5</v>
      </c>
      <c r="E18" s="11">
        <v>8.3000000000000007</v>
      </c>
      <c r="F18" s="11">
        <v>5</v>
      </c>
      <c r="H18" s="53" t="s">
        <v>1310</v>
      </c>
      <c r="I18" s="53"/>
      <c r="J18" s="53">
        <v>5.9</v>
      </c>
    </row>
    <row r="19" spans="1:10">
      <c r="A19" s="11" t="s">
        <v>1761</v>
      </c>
      <c r="B19" s="11">
        <v>16</v>
      </c>
      <c r="C19" s="11" t="s">
        <v>7</v>
      </c>
      <c r="D19" s="11">
        <v>2</v>
      </c>
      <c r="E19" s="11">
        <v>9.9</v>
      </c>
      <c r="F19" s="11">
        <v>5</v>
      </c>
    </row>
    <row r="20" spans="1:10">
      <c r="A20" s="11" t="s">
        <v>1762</v>
      </c>
      <c r="B20" s="11">
        <v>16</v>
      </c>
      <c r="C20" s="11" t="s">
        <v>7</v>
      </c>
      <c r="D20" s="11">
        <v>1.5</v>
      </c>
      <c r="E20" s="11">
        <v>8.3000000000000007</v>
      </c>
      <c r="F20" s="11">
        <v>5</v>
      </c>
    </row>
    <row r="21" spans="1:10">
      <c r="A21" s="11" t="s">
        <v>1763</v>
      </c>
      <c r="B21" s="11">
        <v>16</v>
      </c>
      <c r="C21" s="11" t="s">
        <v>7</v>
      </c>
      <c r="D21" s="11">
        <v>1.8</v>
      </c>
      <c r="E21" s="11">
        <v>10</v>
      </c>
      <c r="F21" s="11">
        <v>5</v>
      </c>
    </row>
    <row r="22" spans="1:10">
      <c r="A22" s="11" t="s">
        <v>1764</v>
      </c>
      <c r="B22" s="11">
        <v>16</v>
      </c>
      <c r="C22" s="11" t="s">
        <v>7</v>
      </c>
      <c r="D22" s="11">
        <v>1.7</v>
      </c>
      <c r="E22" s="11">
        <v>8.4</v>
      </c>
      <c r="F22" s="11">
        <v>5</v>
      </c>
    </row>
    <row r="23" spans="1:10">
      <c r="A23" s="11" t="s">
        <v>1765</v>
      </c>
      <c r="B23" s="11">
        <v>15</v>
      </c>
      <c r="C23" s="11" t="s">
        <v>28</v>
      </c>
      <c r="D23" s="11">
        <v>1.4</v>
      </c>
      <c r="E23" s="11">
        <v>6.2</v>
      </c>
      <c r="F23" s="11">
        <v>5</v>
      </c>
    </row>
    <row r="24" spans="1:10">
      <c r="A24" s="11" t="s">
        <v>1766</v>
      </c>
      <c r="B24" s="11">
        <v>16</v>
      </c>
      <c r="C24" s="11" t="s">
        <v>28</v>
      </c>
      <c r="D24" s="11">
        <v>1.2</v>
      </c>
      <c r="E24" s="11">
        <v>6.2</v>
      </c>
      <c r="F24" s="11">
        <v>5</v>
      </c>
    </row>
    <row r="25" spans="1:10">
      <c r="A25" s="11" t="s">
        <v>1767</v>
      </c>
      <c r="B25" s="11">
        <v>16</v>
      </c>
      <c r="C25" s="11" t="s">
        <v>28</v>
      </c>
      <c r="D25" s="11">
        <v>1.3</v>
      </c>
      <c r="E25" s="11">
        <v>6.5</v>
      </c>
      <c r="F25" s="11">
        <v>5</v>
      </c>
    </row>
    <row r="26" spans="1:10">
      <c r="A26" s="11" t="s">
        <v>1768</v>
      </c>
      <c r="B26" s="11">
        <v>15</v>
      </c>
      <c r="C26" s="11" t="s">
        <v>28</v>
      </c>
      <c r="D26" s="11">
        <v>2</v>
      </c>
      <c r="E26" s="11">
        <v>6.5</v>
      </c>
      <c r="F26" s="11">
        <v>5</v>
      </c>
    </row>
    <row r="27" spans="1:10">
      <c r="A27" s="11" t="s">
        <v>1769</v>
      </c>
      <c r="B27" s="11">
        <v>15</v>
      </c>
      <c r="C27" s="11" t="s">
        <v>28</v>
      </c>
      <c r="D27" s="11">
        <v>2</v>
      </c>
      <c r="E27" s="11">
        <v>7.3</v>
      </c>
      <c r="F27" s="11">
        <v>5</v>
      </c>
    </row>
    <row r="28" spans="1:10">
      <c r="A28" s="11" t="s">
        <v>1770</v>
      </c>
      <c r="B28" s="11">
        <v>15</v>
      </c>
      <c r="C28" s="11" t="s">
        <v>28</v>
      </c>
      <c r="D28" s="11">
        <v>1.1000000000000001</v>
      </c>
      <c r="E28" s="11">
        <v>6.4</v>
      </c>
      <c r="F28" s="11">
        <v>5</v>
      </c>
    </row>
    <row r="29" spans="1:10">
      <c r="A29" s="11" t="s">
        <v>1771</v>
      </c>
      <c r="B29" s="11">
        <v>16</v>
      </c>
      <c r="C29" s="11" t="s">
        <v>28</v>
      </c>
      <c r="D29" s="11">
        <v>1.5</v>
      </c>
      <c r="E29" s="11">
        <v>7</v>
      </c>
      <c r="F29" s="11">
        <v>5</v>
      </c>
    </row>
    <row r="30" spans="1:10">
      <c r="A30" s="11" t="s">
        <v>1772</v>
      </c>
      <c r="B30" s="11">
        <v>16</v>
      </c>
      <c r="C30" s="11" t="s">
        <v>28</v>
      </c>
      <c r="D30" s="11">
        <v>1.2</v>
      </c>
      <c r="E30" s="11">
        <v>6.8</v>
      </c>
      <c r="F30" s="11">
        <v>5</v>
      </c>
    </row>
    <row r="31" spans="1:10">
      <c r="A31" s="11" t="s">
        <v>1773</v>
      </c>
      <c r="B31" s="11">
        <v>18</v>
      </c>
      <c r="C31" s="11" t="s">
        <v>28</v>
      </c>
      <c r="D31" s="11">
        <v>1.7</v>
      </c>
      <c r="E31" s="11">
        <v>6.6</v>
      </c>
      <c r="F31" s="11">
        <v>5</v>
      </c>
    </row>
    <row r="32" spans="1:10">
      <c r="A32" s="11" t="s">
        <v>1774</v>
      </c>
      <c r="B32" s="11">
        <v>16</v>
      </c>
      <c r="C32" s="11" t="s">
        <v>1702</v>
      </c>
      <c r="D32" s="11">
        <v>1.1000000000000001</v>
      </c>
      <c r="E32" s="11">
        <v>6.2</v>
      </c>
      <c r="F32" s="11">
        <v>5</v>
      </c>
    </row>
    <row r="33" spans="1:6">
      <c r="A33" s="11" t="s">
        <v>1775</v>
      </c>
      <c r="B33" s="11">
        <v>16</v>
      </c>
      <c r="C33" s="11" t="s">
        <v>1702</v>
      </c>
      <c r="D33" s="11">
        <v>1.5</v>
      </c>
      <c r="E33" s="11">
        <v>6.1</v>
      </c>
      <c r="F33" s="11">
        <v>5</v>
      </c>
    </row>
    <row r="34" spans="1:6">
      <c r="A34" s="11" t="s">
        <v>1776</v>
      </c>
      <c r="B34" s="11">
        <v>14</v>
      </c>
      <c r="C34" s="11" t="s">
        <v>28</v>
      </c>
      <c r="D34" s="11">
        <v>1.1000000000000001</v>
      </c>
      <c r="E34" s="11">
        <v>5.9</v>
      </c>
      <c r="F34" s="11">
        <v>4</v>
      </c>
    </row>
    <row r="35" spans="1:6">
      <c r="A35" s="11" t="s">
        <v>1777</v>
      </c>
      <c r="B35" s="11">
        <v>15</v>
      </c>
      <c r="C35" s="11" t="s">
        <v>28</v>
      </c>
      <c r="D35" s="11">
        <v>1.4</v>
      </c>
      <c r="E35" s="11">
        <v>6.6</v>
      </c>
      <c r="F35" s="11">
        <v>5</v>
      </c>
    </row>
    <row r="36" spans="1:6">
      <c r="A36" s="11" t="s">
        <v>1778</v>
      </c>
      <c r="B36" s="11">
        <v>16</v>
      </c>
      <c r="C36" s="11" t="s">
        <v>28</v>
      </c>
      <c r="D36" s="11">
        <v>1.3</v>
      </c>
      <c r="E36" s="11">
        <v>6.2</v>
      </c>
      <c r="F36" s="11">
        <v>5</v>
      </c>
    </row>
    <row r="37" spans="1:6">
      <c r="A37" s="11" t="s">
        <v>1779</v>
      </c>
      <c r="B37" s="11">
        <v>14</v>
      </c>
      <c r="C37" s="11" t="s">
        <v>1702</v>
      </c>
      <c r="D37" s="11">
        <v>1.3</v>
      </c>
      <c r="E37" s="11">
        <v>6.1</v>
      </c>
      <c r="F37" s="11">
        <v>5</v>
      </c>
    </row>
    <row r="38" spans="1:6">
      <c r="A38" s="11" t="s">
        <v>1780</v>
      </c>
      <c r="B38" s="11">
        <v>15</v>
      </c>
      <c r="C38" s="11" t="s">
        <v>28</v>
      </c>
      <c r="D38" s="11">
        <v>1.3</v>
      </c>
      <c r="E38" s="11">
        <v>5.0999999999999996</v>
      </c>
      <c r="F38" s="11">
        <v>4</v>
      </c>
    </row>
    <row r="39" spans="1:6">
      <c r="A39" s="11"/>
      <c r="B39" s="11"/>
      <c r="C39" s="11"/>
      <c r="D39" s="53"/>
      <c r="E39" s="11"/>
      <c r="F39" s="11"/>
    </row>
    <row r="40" spans="1:6">
      <c r="A40" s="11" t="s">
        <v>1781</v>
      </c>
      <c r="B40" s="11">
        <v>16</v>
      </c>
      <c r="C40" s="11" t="s">
        <v>28</v>
      </c>
      <c r="D40" s="11">
        <v>1.8</v>
      </c>
      <c r="E40" s="11">
        <v>10.199999999999999</v>
      </c>
      <c r="F40" s="11">
        <v>5</v>
      </c>
    </row>
    <row r="41" spans="1:6">
      <c r="A41" s="11" t="s">
        <v>1782</v>
      </c>
      <c r="B41" s="11">
        <v>16</v>
      </c>
      <c r="C41" s="11" t="s">
        <v>28</v>
      </c>
      <c r="D41" s="11">
        <v>1.4</v>
      </c>
      <c r="E41" s="11">
        <v>9.3000000000000007</v>
      </c>
      <c r="F41" s="11">
        <v>5</v>
      </c>
    </row>
    <row r="42" spans="1:6">
      <c r="A42" s="11" t="s">
        <v>1783</v>
      </c>
      <c r="B42" s="11">
        <v>16</v>
      </c>
      <c r="C42" s="11" t="s">
        <v>28</v>
      </c>
      <c r="D42" s="11">
        <v>1.6</v>
      </c>
      <c r="E42" s="11">
        <v>9.1</v>
      </c>
      <c r="F42" s="11">
        <v>5</v>
      </c>
    </row>
    <row r="43" spans="1:6">
      <c r="A43" s="11" t="s">
        <v>1784</v>
      </c>
      <c r="B43" s="11">
        <v>16</v>
      </c>
      <c r="C43" s="11" t="s">
        <v>28</v>
      </c>
      <c r="D43" s="11">
        <v>2.1</v>
      </c>
      <c r="E43" s="11">
        <v>10.4</v>
      </c>
      <c r="F43" s="11">
        <v>5</v>
      </c>
    </row>
    <row r="44" spans="1:6">
      <c r="A44" s="11" t="s">
        <v>1785</v>
      </c>
      <c r="B44" s="11">
        <v>14</v>
      </c>
      <c r="C44" s="11" t="s">
        <v>28</v>
      </c>
      <c r="D44" s="11">
        <v>1.9</v>
      </c>
      <c r="E44" s="11">
        <v>10.5</v>
      </c>
      <c r="F44" s="11">
        <v>5</v>
      </c>
    </row>
    <row r="45" spans="1:6">
      <c r="A45" s="11" t="s">
        <v>1786</v>
      </c>
      <c r="B45" s="11">
        <v>15</v>
      </c>
      <c r="C45" s="11" t="s">
        <v>28</v>
      </c>
      <c r="D45" s="11">
        <v>1.4</v>
      </c>
      <c r="E45" s="11">
        <v>8.5</v>
      </c>
      <c r="F45" s="11">
        <v>5</v>
      </c>
    </row>
    <row r="46" spans="1:6">
      <c r="A46" s="11" t="s">
        <v>1787</v>
      </c>
      <c r="B46" s="11">
        <v>16</v>
      </c>
      <c r="C46" s="11" t="s">
        <v>28</v>
      </c>
      <c r="D46" s="11">
        <v>1.5</v>
      </c>
      <c r="E46" s="11">
        <v>7.8</v>
      </c>
      <c r="F46" s="11">
        <v>5</v>
      </c>
    </row>
    <row r="47" spans="1:6">
      <c r="A47" s="11" t="s">
        <v>1788</v>
      </c>
      <c r="B47" s="11">
        <v>16</v>
      </c>
      <c r="C47" s="11" t="s">
        <v>1702</v>
      </c>
      <c r="D47" s="11">
        <v>1.4</v>
      </c>
      <c r="E47" s="11">
        <v>8.9</v>
      </c>
      <c r="F47" s="11">
        <v>5</v>
      </c>
    </row>
    <row r="48" spans="1:6">
      <c r="A48" s="11" t="s">
        <v>1789</v>
      </c>
      <c r="B48" s="11">
        <v>16</v>
      </c>
      <c r="C48" s="11" t="s">
        <v>28</v>
      </c>
      <c r="D48" s="11">
        <v>2</v>
      </c>
      <c r="E48" s="11">
        <v>8.4</v>
      </c>
      <c r="F48" s="11">
        <v>5</v>
      </c>
    </row>
    <row r="49" spans="1:6">
      <c r="A49" s="11" t="s">
        <v>1790</v>
      </c>
      <c r="B49" s="11">
        <v>15</v>
      </c>
      <c r="C49" s="11" t="s">
        <v>28</v>
      </c>
      <c r="D49" s="11">
        <v>1.7</v>
      </c>
      <c r="E49" s="11">
        <v>9.6999999999999993</v>
      </c>
      <c r="F49" s="11">
        <v>5</v>
      </c>
    </row>
    <row r="50" spans="1:6">
      <c r="A50" s="11" t="s">
        <v>1791</v>
      </c>
      <c r="B50" s="11">
        <v>16</v>
      </c>
      <c r="C50" s="11" t="s">
        <v>28</v>
      </c>
      <c r="D50" s="11">
        <v>1.6</v>
      </c>
      <c r="E50" s="11">
        <v>9.1</v>
      </c>
      <c r="F50" s="11">
        <v>5</v>
      </c>
    </row>
    <row r="51" spans="1:6">
      <c r="A51" s="11" t="s">
        <v>1792</v>
      </c>
      <c r="B51" s="11">
        <v>16</v>
      </c>
      <c r="C51" s="11" t="s">
        <v>28</v>
      </c>
      <c r="D51" s="11">
        <v>2</v>
      </c>
      <c r="E51" s="11">
        <v>9.3000000000000007</v>
      </c>
      <c r="F51" s="11">
        <v>5</v>
      </c>
    </row>
    <row r="52" spans="1:6">
      <c r="A52" s="11"/>
      <c r="B52" s="11"/>
      <c r="C52" s="11"/>
      <c r="D52" s="11"/>
      <c r="E52" s="11"/>
      <c r="F52" s="11"/>
    </row>
    <row r="53" spans="1:6">
      <c r="A53" s="11" t="s">
        <v>1793</v>
      </c>
      <c r="B53" s="11">
        <v>16</v>
      </c>
      <c r="C53" s="11" t="s">
        <v>28</v>
      </c>
      <c r="D53" s="11">
        <v>2</v>
      </c>
      <c r="E53" s="11">
        <v>7.5</v>
      </c>
      <c r="F53" s="11">
        <v>5</v>
      </c>
    </row>
    <row r="54" spans="1:6">
      <c r="A54" s="11" t="s">
        <v>1794</v>
      </c>
      <c r="B54" s="11">
        <v>16</v>
      </c>
      <c r="C54" s="11" t="s">
        <v>28</v>
      </c>
      <c r="D54" s="11">
        <v>1.2</v>
      </c>
      <c r="E54" s="11">
        <v>7.3</v>
      </c>
      <c r="F54" s="11">
        <v>5</v>
      </c>
    </row>
    <row r="55" spans="1:6">
      <c r="A55" s="11" t="s">
        <v>1795</v>
      </c>
      <c r="B55" s="11">
        <v>16</v>
      </c>
      <c r="C55" s="11" t="s">
        <v>28</v>
      </c>
      <c r="D55" s="11">
        <v>1.2</v>
      </c>
      <c r="E55" s="11">
        <v>7.4</v>
      </c>
      <c r="F55" s="11">
        <v>5</v>
      </c>
    </row>
    <row r="56" spans="1:6">
      <c r="A56" s="11"/>
      <c r="B56" s="11"/>
      <c r="C56" s="11"/>
      <c r="D56" s="11"/>
      <c r="E56" s="11"/>
      <c r="F56" s="11"/>
    </row>
    <row r="57" spans="1:6">
      <c r="A57" s="11" t="s">
        <v>1796</v>
      </c>
      <c r="B57" s="11">
        <v>16</v>
      </c>
      <c r="C57" s="11" t="s">
        <v>7</v>
      </c>
      <c r="D57" s="11">
        <v>1.1000000000000001</v>
      </c>
      <c r="E57" s="11">
        <v>6.3</v>
      </c>
      <c r="F57" s="11">
        <v>5</v>
      </c>
    </row>
    <row r="58" spans="1:6">
      <c r="A58" s="11" t="s">
        <v>1797</v>
      </c>
      <c r="B58" s="11">
        <v>15</v>
      </c>
      <c r="C58" s="11" t="s">
        <v>7</v>
      </c>
      <c r="D58" s="11">
        <v>1.2</v>
      </c>
      <c r="E58" s="11">
        <v>7.2</v>
      </c>
      <c r="F58" s="11">
        <v>5</v>
      </c>
    </row>
    <row r="59" spans="1:6">
      <c r="A59" s="11" t="s">
        <v>1798</v>
      </c>
      <c r="B59" s="11">
        <v>16</v>
      </c>
      <c r="C59" s="11" t="s">
        <v>7</v>
      </c>
      <c r="D59" s="11">
        <v>1</v>
      </c>
      <c r="E59" s="11">
        <v>6.5</v>
      </c>
      <c r="F59" s="11">
        <v>5</v>
      </c>
    </row>
    <row r="60" spans="1:6">
      <c r="A60" s="11" t="s">
        <v>1799</v>
      </c>
      <c r="B60" s="11">
        <v>16</v>
      </c>
      <c r="C60" s="11" t="s">
        <v>7</v>
      </c>
      <c r="D60" s="11">
        <v>1</v>
      </c>
      <c r="E60" s="11">
        <v>6.3</v>
      </c>
      <c r="F60" s="11">
        <v>5</v>
      </c>
    </row>
    <row r="61" spans="1:6">
      <c r="A61" s="11"/>
      <c r="B61" s="11"/>
      <c r="C61" s="11"/>
      <c r="D61" s="11"/>
      <c r="E61" s="11"/>
      <c r="F61" s="11"/>
    </row>
    <row r="62" spans="1:6">
      <c r="A62" s="11" t="s">
        <v>1800</v>
      </c>
      <c r="B62" s="11">
        <v>16</v>
      </c>
      <c r="C62" s="11" t="s">
        <v>28</v>
      </c>
      <c r="D62" s="11">
        <v>1.9</v>
      </c>
      <c r="E62" s="11">
        <v>7.8</v>
      </c>
      <c r="F62" s="11">
        <v>5</v>
      </c>
    </row>
    <row r="63" spans="1:6">
      <c r="A63" s="11" t="s">
        <v>1801</v>
      </c>
      <c r="B63" s="11">
        <v>16</v>
      </c>
      <c r="C63" s="11" t="s">
        <v>28</v>
      </c>
      <c r="D63" s="11">
        <v>2</v>
      </c>
      <c r="E63" s="11">
        <v>8</v>
      </c>
      <c r="F63" s="11">
        <v>5</v>
      </c>
    </row>
    <row r="64" spans="1:6">
      <c r="A64" s="11" t="s">
        <v>1802</v>
      </c>
      <c r="B64" s="11">
        <v>16</v>
      </c>
      <c r="C64" s="11" t="s">
        <v>28</v>
      </c>
      <c r="D64" s="11">
        <v>1</v>
      </c>
      <c r="E64" s="11">
        <v>9</v>
      </c>
      <c r="F64" s="11">
        <v>4</v>
      </c>
    </row>
    <row r="65" spans="1:6">
      <c r="A65" s="11" t="s">
        <v>1803</v>
      </c>
      <c r="B65" s="11">
        <v>16</v>
      </c>
      <c r="C65" s="11" t="s">
        <v>28</v>
      </c>
      <c r="D65" s="11">
        <v>1.7</v>
      </c>
      <c r="E65" s="11">
        <v>7.9</v>
      </c>
      <c r="F65" s="11">
        <v>5</v>
      </c>
    </row>
    <row r="66" spans="1:6">
      <c r="A66" s="11" t="s">
        <v>1804</v>
      </c>
      <c r="B66" s="11">
        <v>17</v>
      </c>
      <c r="C66" s="11" t="s">
        <v>28</v>
      </c>
      <c r="D66" s="11">
        <v>2</v>
      </c>
      <c r="E66" s="11">
        <v>10.7</v>
      </c>
      <c r="F66" s="11">
        <v>5</v>
      </c>
    </row>
    <row r="67" spans="1:6">
      <c r="A67" s="11" t="s">
        <v>1805</v>
      </c>
      <c r="B67" s="11">
        <v>16</v>
      </c>
      <c r="C67" s="11" t="s">
        <v>28</v>
      </c>
      <c r="D67" s="11">
        <v>1.8</v>
      </c>
      <c r="E67" s="11">
        <v>7.6</v>
      </c>
      <c r="F67" s="11">
        <v>5</v>
      </c>
    </row>
    <row r="68" spans="1:6">
      <c r="A68" s="11" t="s">
        <v>1806</v>
      </c>
      <c r="B68" s="11">
        <v>16</v>
      </c>
      <c r="C68" s="11" t="s">
        <v>28</v>
      </c>
      <c r="D68" s="11">
        <v>1.9</v>
      </c>
      <c r="E68" s="11">
        <v>11.3</v>
      </c>
      <c r="F68" s="11">
        <v>5</v>
      </c>
    </row>
    <row r="69" spans="1:6">
      <c r="A69" s="11" t="s">
        <v>1807</v>
      </c>
      <c r="B69" s="11">
        <v>18</v>
      </c>
      <c r="C69" s="11" t="s">
        <v>28</v>
      </c>
      <c r="D69" s="11">
        <v>1.8</v>
      </c>
      <c r="E69" s="11">
        <v>8.6</v>
      </c>
      <c r="F69" s="11">
        <v>5</v>
      </c>
    </row>
    <row r="70" spans="1:6">
      <c r="A70" s="11" t="s">
        <v>1808</v>
      </c>
      <c r="B70" s="11">
        <v>16</v>
      </c>
      <c r="C70" s="11" t="s">
        <v>28</v>
      </c>
      <c r="D70" s="11">
        <v>2.1</v>
      </c>
      <c r="E70" s="11">
        <v>8.3000000000000007</v>
      </c>
      <c r="F70" s="11">
        <v>5</v>
      </c>
    </row>
    <row r="71" spans="1:6">
      <c r="A71" s="11" t="s">
        <v>1809</v>
      </c>
      <c r="B71" s="11">
        <v>18</v>
      </c>
      <c r="C71" s="11" t="s">
        <v>28</v>
      </c>
      <c r="D71" s="11">
        <v>2</v>
      </c>
      <c r="E71" s="11">
        <v>7.7</v>
      </c>
      <c r="F71" s="11">
        <v>5</v>
      </c>
    </row>
    <row r="72" spans="1:6">
      <c r="A72" s="11" t="s">
        <v>1810</v>
      </c>
      <c r="B72" s="11">
        <v>16</v>
      </c>
      <c r="C72" s="11" t="s">
        <v>28</v>
      </c>
      <c r="D72" s="11">
        <v>1.9</v>
      </c>
      <c r="E72" s="11">
        <v>10</v>
      </c>
      <c r="F72" s="11">
        <v>5</v>
      </c>
    </row>
    <row r="73" spans="1:6">
      <c r="A73" s="11" t="s">
        <v>1811</v>
      </c>
      <c r="B73" s="11">
        <v>16</v>
      </c>
      <c r="C73" s="11" t="s">
        <v>28</v>
      </c>
      <c r="D73" s="11">
        <v>2</v>
      </c>
      <c r="E73" s="11">
        <v>7.7</v>
      </c>
      <c r="F73" s="11">
        <v>5</v>
      </c>
    </row>
    <row r="74" spans="1:6">
      <c r="A74" s="11" t="s">
        <v>1812</v>
      </c>
      <c r="B74" s="11">
        <v>16</v>
      </c>
      <c r="C74" s="11" t="s">
        <v>28</v>
      </c>
      <c r="D74" s="11">
        <v>1.5</v>
      </c>
      <c r="E74" s="11">
        <v>8.3000000000000007</v>
      </c>
      <c r="F74" s="11">
        <v>5</v>
      </c>
    </row>
    <row r="75" spans="1:6">
      <c r="A75" s="11" t="s">
        <v>1813</v>
      </c>
      <c r="B75" s="11">
        <v>16</v>
      </c>
      <c r="C75" s="11" t="s">
        <v>28</v>
      </c>
      <c r="D75" s="11">
        <v>1.1000000000000001</v>
      </c>
      <c r="E75" s="11">
        <v>7.6</v>
      </c>
      <c r="F75" s="11">
        <v>5</v>
      </c>
    </row>
    <row r="76" spans="1:6">
      <c r="A76" s="11" t="s">
        <v>1814</v>
      </c>
      <c r="B76" s="11">
        <v>16</v>
      </c>
      <c r="C76" s="11" t="s">
        <v>28</v>
      </c>
      <c r="D76" s="11">
        <v>1.2</v>
      </c>
      <c r="E76" s="11">
        <v>8.1999999999999993</v>
      </c>
      <c r="F76" s="11">
        <v>5</v>
      </c>
    </row>
    <row r="77" spans="1:6">
      <c r="A77" s="11"/>
      <c r="B77" s="11"/>
      <c r="C77" s="11"/>
      <c r="D77" s="11"/>
      <c r="E77" s="11"/>
      <c r="F77" s="11"/>
    </row>
    <row r="78" spans="1:6">
      <c r="A78" s="11" t="s">
        <v>1815</v>
      </c>
      <c r="B78" s="11">
        <v>15</v>
      </c>
      <c r="C78" s="11" t="s">
        <v>28</v>
      </c>
      <c r="D78" s="11">
        <v>2</v>
      </c>
      <c r="E78" s="11">
        <v>7.7</v>
      </c>
      <c r="F78" s="11">
        <v>5</v>
      </c>
    </row>
    <row r="79" spans="1:6">
      <c r="A79" s="11" t="s">
        <v>1816</v>
      </c>
      <c r="B79" s="11">
        <v>16</v>
      </c>
      <c r="C79" s="11" t="s">
        <v>28</v>
      </c>
      <c r="D79" s="11">
        <v>1.3</v>
      </c>
      <c r="E79" s="11">
        <v>7.5</v>
      </c>
      <c r="F79" s="11">
        <v>5</v>
      </c>
    </row>
    <row r="80" spans="1:6">
      <c r="A80" s="11" t="s">
        <v>1817</v>
      </c>
      <c r="B80" s="11">
        <v>15</v>
      </c>
      <c r="C80" s="11" t="s">
        <v>28</v>
      </c>
      <c r="D80" s="11">
        <v>1.4</v>
      </c>
      <c r="E80" s="11">
        <v>8.3000000000000007</v>
      </c>
      <c r="F80" s="11">
        <v>5</v>
      </c>
    </row>
    <row r="81" spans="1:6">
      <c r="A81" s="11" t="s">
        <v>1818</v>
      </c>
      <c r="B81" s="11">
        <v>14</v>
      </c>
      <c r="C81" s="11" t="s">
        <v>28</v>
      </c>
      <c r="D81" s="11">
        <v>2</v>
      </c>
      <c r="E81" s="11">
        <v>8</v>
      </c>
      <c r="F81" s="11">
        <v>5</v>
      </c>
    </row>
    <row r="82" spans="1:6">
      <c r="A82" s="11" t="s">
        <v>1819</v>
      </c>
      <c r="B82" s="11">
        <v>16</v>
      </c>
      <c r="C82" s="11" t="s">
        <v>28</v>
      </c>
      <c r="D82" s="11">
        <v>1.2</v>
      </c>
      <c r="E82" s="11">
        <v>9.1999999999999993</v>
      </c>
      <c r="F82" s="11">
        <v>5</v>
      </c>
    </row>
    <row r="83" spans="1:6">
      <c r="A83" s="11" t="s">
        <v>1820</v>
      </c>
      <c r="B83" s="11">
        <v>15</v>
      </c>
      <c r="C83" s="11" t="s">
        <v>28</v>
      </c>
      <c r="D83" s="11">
        <v>1.8</v>
      </c>
      <c r="E83" s="11">
        <v>9.4</v>
      </c>
      <c r="F83" s="11">
        <v>5</v>
      </c>
    </row>
    <row r="84" spans="1:6">
      <c r="A84" s="11" t="s">
        <v>1821</v>
      </c>
      <c r="B84" s="11">
        <v>15</v>
      </c>
      <c r="C84" s="11" t="s">
        <v>28</v>
      </c>
      <c r="D84" s="11">
        <v>1.6</v>
      </c>
      <c r="E84" s="11">
        <v>9.5</v>
      </c>
      <c r="F84" s="11">
        <v>5</v>
      </c>
    </row>
    <row r="85" spans="1:6">
      <c r="A85" s="11" t="s">
        <v>1822</v>
      </c>
      <c r="B85" s="11">
        <v>15</v>
      </c>
      <c r="C85" s="11" t="s">
        <v>1702</v>
      </c>
      <c r="D85" s="11">
        <v>1.5</v>
      </c>
      <c r="E85" s="11">
        <v>8.6</v>
      </c>
      <c r="F85" s="11">
        <v>5</v>
      </c>
    </row>
    <row r="86" spans="1:6">
      <c r="A86" s="11" t="s">
        <v>1823</v>
      </c>
      <c r="B86" s="11">
        <v>14</v>
      </c>
      <c r="C86" s="11" t="s">
        <v>1702</v>
      </c>
      <c r="D86" s="11">
        <v>1.3</v>
      </c>
      <c r="E86" s="11">
        <v>8.4</v>
      </c>
      <c r="F86" s="11">
        <v>5</v>
      </c>
    </row>
    <row r="87" spans="1:6">
      <c r="A87" s="11" t="s">
        <v>1824</v>
      </c>
      <c r="B87" s="11">
        <v>17</v>
      </c>
      <c r="C87" s="11" t="s">
        <v>1702</v>
      </c>
      <c r="D87" s="11">
        <v>1.5</v>
      </c>
      <c r="E87" s="11">
        <v>8.6999999999999993</v>
      </c>
      <c r="F87" s="11">
        <v>5</v>
      </c>
    </row>
    <row r="88" spans="1:6">
      <c r="A88" s="11" t="s">
        <v>1825</v>
      </c>
      <c r="B88" s="11">
        <v>16</v>
      </c>
      <c r="C88" s="11" t="s">
        <v>1702</v>
      </c>
      <c r="D88" s="11">
        <v>1.3</v>
      </c>
      <c r="E88" s="11">
        <v>9.9</v>
      </c>
      <c r="F88" s="11">
        <v>5</v>
      </c>
    </row>
    <row r="89" spans="1:6">
      <c r="A89" s="11" t="s">
        <v>1826</v>
      </c>
      <c r="B89" s="11">
        <v>16</v>
      </c>
      <c r="C89" s="11" t="s">
        <v>1702</v>
      </c>
      <c r="D89" s="11">
        <v>1.4</v>
      </c>
      <c r="E89" s="11">
        <v>8.4</v>
      </c>
      <c r="F89" s="11">
        <v>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F5B7-19E3-4E66-B07F-34CA96D756BE}">
  <dimension ref="A1:N87"/>
  <sheetViews>
    <sheetView workbookViewId="0">
      <pane ySplit="2" topLeftCell="A66" activePane="bottomLeft" state="frozen"/>
      <selection pane="bottomLeft" activeCell="F81" sqref="F81"/>
    </sheetView>
  </sheetViews>
  <sheetFormatPr defaultRowHeight="14.45"/>
  <cols>
    <col min="1" max="1" width="12.85546875" customWidth="1"/>
    <col min="4" max="4" width="11.28515625" customWidth="1"/>
    <col min="5" max="5" width="11.140625" customWidth="1"/>
    <col min="6" max="6" width="15.7109375" customWidth="1"/>
    <col min="8" max="9" width="13.28515625" customWidth="1"/>
    <col min="11" max="12" width="12.28515625" customWidth="1"/>
    <col min="13" max="13" width="13.28515625" customWidth="1"/>
  </cols>
  <sheetData>
    <row r="1" spans="1:14">
      <c r="F1" t="s">
        <v>639</v>
      </c>
    </row>
    <row r="2" spans="1:14">
      <c r="A2" s="53" t="s">
        <v>1</v>
      </c>
      <c r="B2" s="53" t="s">
        <v>641</v>
      </c>
      <c r="C2" s="53" t="s">
        <v>3</v>
      </c>
      <c r="D2" s="53" t="s">
        <v>4</v>
      </c>
      <c r="E2" s="53" t="s">
        <v>5</v>
      </c>
      <c r="F2" s="53" t="s">
        <v>640</v>
      </c>
    </row>
    <row r="3" spans="1:14">
      <c r="A3" s="11" t="s">
        <v>1827</v>
      </c>
      <c r="B3" s="11">
        <v>16</v>
      </c>
      <c r="C3" s="11" t="s">
        <v>28</v>
      </c>
      <c r="D3" s="11">
        <v>1.4</v>
      </c>
      <c r="E3" s="11">
        <v>7.4</v>
      </c>
      <c r="F3" s="11">
        <v>5</v>
      </c>
    </row>
    <row r="4" spans="1:14">
      <c r="A4" s="11" t="s">
        <v>1828</v>
      </c>
      <c r="B4" s="11">
        <v>14</v>
      </c>
      <c r="C4" s="11" t="s">
        <v>28</v>
      </c>
      <c r="D4" s="11">
        <v>2</v>
      </c>
      <c r="E4" s="11">
        <v>7</v>
      </c>
      <c r="F4" s="11">
        <v>5</v>
      </c>
      <c r="H4" s="53"/>
      <c r="I4" s="53" t="s">
        <v>641</v>
      </c>
      <c r="J4" s="53" t="s">
        <v>3</v>
      </c>
      <c r="K4" s="53" t="s">
        <v>4</v>
      </c>
      <c r="L4" s="53" t="s">
        <v>5</v>
      </c>
      <c r="M4" s="53" t="s">
        <v>640</v>
      </c>
      <c r="N4" s="53"/>
    </row>
    <row r="5" spans="1:14">
      <c r="A5" s="11" t="s">
        <v>1829</v>
      </c>
      <c r="B5" s="11">
        <v>17</v>
      </c>
      <c r="C5" s="11" t="s">
        <v>28</v>
      </c>
      <c r="D5" s="11">
        <v>1.3</v>
      </c>
      <c r="E5" s="11">
        <v>6.8</v>
      </c>
      <c r="F5" s="11">
        <v>5</v>
      </c>
      <c r="H5" s="53" t="s">
        <v>643</v>
      </c>
      <c r="I5" s="53">
        <v>89.3</v>
      </c>
      <c r="J5" s="53">
        <v>50</v>
      </c>
      <c r="K5" s="53">
        <v>67.900000000000006</v>
      </c>
      <c r="L5" s="53">
        <v>14.3</v>
      </c>
      <c r="M5" s="53">
        <f>AVERAGE(F3:F30)*20</f>
        <v>100</v>
      </c>
      <c r="N5" s="53"/>
    </row>
    <row r="6" spans="1:14">
      <c r="A6" s="11" t="s">
        <v>1830</v>
      </c>
      <c r="B6" s="11">
        <v>16</v>
      </c>
      <c r="C6" s="11" t="s">
        <v>28</v>
      </c>
      <c r="D6" s="11">
        <v>1</v>
      </c>
      <c r="E6" s="11">
        <v>6.8</v>
      </c>
      <c r="F6" s="11">
        <v>5</v>
      </c>
      <c r="H6" s="53" t="s">
        <v>645</v>
      </c>
      <c r="I6" s="53">
        <v>80</v>
      </c>
      <c r="J6" s="53">
        <v>13.3</v>
      </c>
      <c r="K6" s="53">
        <v>100</v>
      </c>
      <c r="L6" s="53">
        <v>100</v>
      </c>
      <c r="M6" s="53">
        <f>AVERAGE(F32:F46)*20</f>
        <v>98.666666666666671</v>
      </c>
      <c r="N6" s="53"/>
    </row>
    <row r="7" spans="1:14">
      <c r="A7" s="11" t="s">
        <v>1831</v>
      </c>
      <c r="B7" s="11">
        <v>14</v>
      </c>
      <c r="C7" s="11" t="s">
        <v>28</v>
      </c>
      <c r="D7" s="11">
        <v>1.8</v>
      </c>
      <c r="E7" s="11">
        <v>7.4</v>
      </c>
      <c r="F7" s="11">
        <v>5</v>
      </c>
      <c r="H7" s="53" t="s">
        <v>647</v>
      </c>
      <c r="I7" s="53">
        <v>100</v>
      </c>
      <c r="J7" s="53">
        <v>100</v>
      </c>
      <c r="K7" s="53">
        <v>100</v>
      </c>
      <c r="L7" s="53">
        <v>100</v>
      </c>
      <c r="M7" s="53">
        <f>AVERAGE(F48:F49)*20</f>
        <v>100</v>
      </c>
      <c r="N7" s="53"/>
    </row>
    <row r="8" spans="1:14">
      <c r="A8" s="11" t="s">
        <v>1832</v>
      </c>
      <c r="B8" s="11">
        <v>17</v>
      </c>
      <c r="C8" s="11" t="s">
        <v>28</v>
      </c>
      <c r="D8" s="11">
        <v>1.9</v>
      </c>
      <c r="E8" s="11">
        <v>6.2</v>
      </c>
      <c r="F8" s="11" t="s">
        <v>1833</v>
      </c>
      <c r="H8" s="53" t="s">
        <v>649</v>
      </c>
      <c r="I8" s="53">
        <v>87.5</v>
      </c>
      <c r="J8" s="53">
        <v>100</v>
      </c>
      <c r="K8" s="53">
        <v>87.5</v>
      </c>
      <c r="L8" s="53">
        <v>37.5</v>
      </c>
      <c r="M8" s="53">
        <f>AVERAGE(F51:F58)*20</f>
        <v>100</v>
      </c>
      <c r="N8" s="53"/>
    </row>
    <row r="9" spans="1:14">
      <c r="A9" s="11" t="s">
        <v>1834</v>
      </c>
      <c r="B9" s="11">
        <v>17</v>
      </c>
      <c r="C9" s="11" t="s">
        <v>28</v>
      </c>
      <c r="D9" s="11">
        <v>1.4</v>
      </c>
      <c r="E9" s="11">
        <v>6.9</v>
      </c>
      <c r="F9" s="11">
        <v>5</v>
      </c>
      <c r="H9" s="53" t="s">
        <v>651</v>
      </c>
      <c r="I9" s="53">
        <v>100</v>
      </c>
      <c r="J9" s="53">
        <v>30.8</v>
      </c>
      <c r="K9" s="53">
        <v>100</v>
      </c>
      <c r="L9" s="53">
        <v>100</v>
      </c>
      <c r="M9" s="53">
        <f>AVERAGE(F60:F72)*20</f>
        <v>100</v>
      </c>
      <c r="N9" s="53"/>
    </row>
    <row r="10" spans="1:14">
      <c r="A10" s="11" t="s">
        <v>1835</v>
      </c>
      <c r="B10" s="11">
        <v>17</v>
      </c>
      <c r="C10" s="11" t="s">
        <v>28</v>
      </c>
      <c r="D10" s="11">
        <v>1.1000000000000001</v>
      </c>
      <c r="E10" s="11">
        <v>6.2</v>
      </c>
      <c r="F10" s="11" t="s">
        <v>1833</v>
      </c>
      <c r="H10" s="53" t="s">
        <v>653</v>
      </c>
      <c r="I10" s="53">
        <v>78.599999999999994</v>
      </c>
      <c r="J10" s="53">
        <v>28.6</v>
      </c>
      <c r="K10" s="53">
        <v>87.5</v>
      </c>
      <c r="L10" s="53">
        <v>100</v>
      </c>
      <c r="M10" s="53">
        <f>AVERAGE(F74:F87)*20</f>
        <v>100</v>
      </c>
      <c r="N10" s="53"/>
    </row>
    <row r="11" spans="1:14">
      <c r="A11" s="11" t="s">
        <v>1836</v>
      </c>
      <c r="B11" s="11">
        <v>16</v>
      </c>
      <c r="C11" s="11" t="s">
        <v>28</v>
      </c>
      <c r="D11" s="11">
        <v>1.7</v>
      </c>
      <c r="E11" s="11">
        <v>6.3</v>
      </c>
      <c r="F11" s="11">
        <v>5</v>
      </c>
    </row>
    <row r="12" spans="1:14">
      <c r="A12" s="11" t="s">
        <v>1837</v>
      </c>
      <c r="B12" s="11">
        <v>17</v>
      </c>
      <c r="C12" s="11" t="s">
        <v>7</v>
      </c>
      <c r="D12" s="11">
        <v>1.4</v>
      </c>
      <c r="E12" s="11">
        <v>6.2</v>
      </c>
      <c r="F12" s="11">
        <v>5</v>
      </c>
      <c r="I12" t="s">
        <v>656</v>
      </c>
      <c r="J12" t="s">
        <v>657</v>
      </c>
      <c r="K12" t="s">
        <v>658</v>
      </c>
      <c r="L12" t="s">
        <v>659</v>
      </c>
      <c r="M12">
        <v>0.05</v>
      </c>
    </row>
    <row r="13" spans="1:14">
      <c r="A13" s="11" t="s">
        <v>1838</v>
      </c>
      <c r="B13" s="11">
        <v>17</v>
      </c>
      <c r="C13" s="11" t="s">
        <v>7</v>
      </c>
      <c r="D13" s="11">
        <v>1.7</v>
      </c>
      <c r="E13" s="11">
        <v>6.2</v>
      </c>
      <c r="F13" s="11">
        <v>5</v>
      </c>
    </row>
    <row r="14" spans="1:14">
      <c r="A14" s="11" t="s">
        <v>1839</v>
      </c>
      <c r="B14" s="11">
        <v>16</v>
      </c>
      <c r="C14" s="11" t="s">
        <v>7</v>
      </c>
      <c r="D14" s="11">
        <v>1.4</v>
      </c>
      <c r="E14" s="11">
        <v>6.7</v>
      </c>
      <c r="F14" s="11">
        <v>5</v>
      </c>
    </row>
    <row r="15" spans="1:14">
      <c r="A15" s="11" t="s">
        <v>1840</v>
      </c>
      <c r="B15" s="11">
        <v>18</v>
      </c>
      <c r="C15" s="11" t="s">
        <v>7</v>
      </c>
      <c r="D15" s="11">
        <v>2</v>
      </c>
      <c r="E15" s="11">
        <v>6.7</v>
      </c>
      <c r="F15" s="11">
        <v>5</v>
      </c>
    </row>
    <row r="16" spans="1:14">
      <c r="A16" s="11" t="s">
        <v>1841</v>
      </c>
      <c r="B16" s="11">
        <v>16</v>
      </c>
      <c r="C16" s="11" t="s">
        <v>7</v>
      </c>
      <c r="D16" s="11">
        <v>1.7</v>
      </c>
      <c r="E16" s="11">
        <v>6</v>
      </c>
      <c r="F16" s="11">
        <v>5</v>
      </c>
      <c r="H16" s="53" t="s">
        <v>1306</v>
      </c>
      <c r="I16" s="53"/>
      <c r="J16" s="53">
        <v>5.8</v>
      </c>
    </row>
    <row r="17" spans="1:10">
      <c r="A17" s="11" t="s">
        <v>1842</v>
      </c>
      <c r="B17" s="11">
        <v>14</v>
      </c>
      <c r="C17" s="11" t="s">
        <v>7</v>
      </c>
      <c r="D17" s="11">
        <v>1</v>
      </c>
      <c r="E17" s="11">
        <v>6.2</v>
      </c>
      <c r="F17" s="11">
        <v>5</v>
      </c>
      <c r="H17" s="53" t="s">
        <v>1308</v>
      </c>
      <c r="I17" s="53"/>
      <c r="J17" s="53">
        <v>3.1</v>
      </c>
    </row>
    <row r="18" spans="1:10">
      <c r="A18" s="11" t="s">
        <v>1843</v>
      </c>
      <c r="B18" s="11">
        <v>17</v>
      </c>
      <c r="C18" s="11" t="s">
        <v>1702</v>
      </c>
      <c r="D18" s="11">
        <v>1.4</v>
      </c>
      <c r="E18" s="11">
        <v>6.5</v>
      </c>
      <c r="F18" s="11">
        <v>5</v>
      </c>
      <c r="H18" s="53" t="s">
        <v>1310</v>
      </c>
      <c r="I18" s="53"/>
      <c r="J18" s="53">
        <v>5.0999999999999996</v>
      </c>
    </row>
    <row r="19" spans="1:10">
      <c r="A19" s="11" t="s">
        <v>1844</v>
      </c>
      <c r="B19" s="11">
        <v>17</v>
      </c>
      <c r="C19" s="11" t="s">
        <v>1702</v>
      </c>
      <c r="D19" s="11">
        <v>1.4</v>
      </c>
      <c r="E19" s="11">
        <v>6.7</v>
      </c>
      <c r="F19" s="11">
        <v>5</v>
      </c>
    </row>
    <row r="20" spans="1:10">
      <c r="A20" s="11" t="s">
        <v>1845</v>
      </c>
      <c r="B20" s="11">
        <v>15</v>
      </c>
      <c r="C20" s="11" t="s">
        <v>1702</v>
      </c>
      <c r="D20" s="11">
        <v>1.4</v>
      </c>
      <c r="E20" s="11">
        <v>8.3000000000000007</v>
      </c>
      <c r="F20" s="11">
        <v>5</v>
      </c>
    </row>
    <row r="21" spans="1:10">
      <c r="A21" s="11" t="s">
        <v>1846</v>
      </c>
      <c r="B21" s="11">
        <v>16</v>
      </c>
      <c r="C21" s="11" t="s">
        <v>1702</v>
      </c>
      <c r="D21" s="11">
        <v>1</v>
      </c>
      <c r="E21" s="11">
        <v>6.2</v>
      </c>
      <c r="F21" s="11">
        <v>5</v>
      </c>
    </row>
    <row r="22" spans="1:10">
      <c r="A22" s="11" t="s">
        <v>1847</v>
      </c>
      <c r="B22" s="11">
        <v>16</v>
      </c>
      <c r="C22" s="11" t="s">
        <v>1702</v>
      </c>
      <c r="D22" s="11">
        <v>1.4</v>
      </c>
      <c r="E22" s="11">
        <v>6.8</v>
      </c>
      <c r="F22" s="11">
        <v>5</v>
      </c>
    </row>
    <row r="23" spans="1:10">
      <c r="A23" s="11" t="s">
        <v>1848</v>
      </c>
      <c r="B23" s="11">
        <v>18</v>
      </c>
      <c r="C23" s="11" t="s">
        <v>7</v>
      </c>
      <c r="D23" s="11">
        <v>1.3</v>
      </c>
      <c r="E23" s="11">
        <v>6.5</v>
      </c>
      <c r="F23" s="11">
        <v>5</v>
      </c>
    </row>
    <row r="24" spans="1:10">
      <c r="A24" s="11" t="s">
        <v>1849</v>
      </c>
      <c r="B24" s="11">
        <v>16</v>
      </c>
      <c r="C24" s="11" t="s">
        <v>7</v>
      </c>
      <c r="D24" s="11">
        <v>0.7</v>
      </c>
      <c r="E24" s="11">
        <v>5.0999999999999996</v>
      </c>
      <c r="F24" s="11">
        <v>5</v>
      </c>
    </row>
    <row r="25" spans="1:10">
      <c r="A25" s="11" t="s">
        <v>1850</v>
      </c>
      <c r="B25" s="11">
        <v>16</v>
      </c>
      <c r="C25" s="11" t="s">
        <v>7</v>
      </c>
      <c r="D25" s="11" t="s">
        <v>1851</v>
      </c>
      <c r="E25" s="11">
        <v>5.6</v>
      </c>
      <c r="F25" s="11">
        <v>5</v>
      </c>
    </row>
    <row r="26" spans="1:10">
      <c r="A26" s="11" t="s">
        <v>1852</v>
      </c>
      <c r="B26" s="11">
        <v>16</v>
      </c>
      <c r="C26" s="11" t="s">
        <v>7</v>
      </c>
      <c r="D26" s="11">
        <v>0.9</v>
      </c>
      <c r="E26" s="11">
        <v>5.7</v>
      </c>
      <c r="F26" s="11">
        <v>5</v>
      </c>
    </row>
    <row r="27" spans="1:10">
      <c r="A27" s="11" t="s">
        <v>1853</v>
      </c>
      <c r="B27" s="11">
        <v>16</v>
      </c>
      <c r="C27" s="11" t="s">
        <v>7</v>
      </c>
      <c r="D27" s="11">
        <v>1.5</v>
      </c>
      <c r="E27" s="11">
        <v>5.9</v>
      </c>
      <c r="F27" s="11">
        <v>5</v>
      </c>
    </row>
    <row r="28" spans="1:10">
      <c r="A28" s="11" t="s">
        <v>1854</v>
      </c>
      <c r="B28" s="11">
        <v>16</v>
      </c>
      <c r="C28" s="11" t="s">
        <v>7</v>
      </c>
      <c r="D28" s="11">
        <v>0.7</v>
      </c>
      <c r="E28" s="11">
        <v>5.6</v>
      </c>
      <c r="F28" s="11">
        <v>5</v>
      </c>
    </row>
    <row r="29" spans="1:10">
      <c r="A29" s="11" t="s">
        <v>1855</v>
      </c>
      <c r="B29" s="11">
        <v>16</v>
      </c>
      <c r="C29" s="11" t="s">
        <v>7</v>
      </c>
      <c r="D29" s="11">
        <v>2</v>
      </c>
      <c r="E29" s="11">
        <v>5.6</v>
      </c>
      <c r="F29" s="11">
        <v>5</v>
      </c>
    </row>
    <row r="30" spans="1:10">
      <c r="A30" s="11" t="s">
        <v>1856</v>
      </c>
      <c r="B30" s="11">
        <v>16</v>
      </c>
      <c r="C30" s="11" t="s">
        <v>7</v>
      </c>
      <c r="D30" s="11">
        <v>1.2</v>
      </c>
      <c r="E30" s="11">
        <v>8.6999999999999993</v>
      </c>
      <c r="F30" s="11">
        <v>5</v>
      </c>
    </row>
    <row r="31" spans="1:10">
      <c r="A31" s="11"/>
      <c r="B31" s="53"/>
      <c r="C31" s="53"/>
      <c r="D31" s="53"/>
      <c r="E31" s="53"/>
      <c r="F31" s="53"/>
    </row>
    <row r="32" spans="1:10">
      <c r="A32" s="11" t="s">
        <v>1857</v>
      </c>
      <c r="B32" s="11">
        <v>16</v>
      </c>
      <c r="C32" s="11" t="s">
        <v>7</v>
      </c>
      <c r="D32" s="11">
        <v>1.4</v>
      </c>
      <c r="E32" s="11">
        <v>9.3000000000000007</v>
      </c>
      <c r="F32" s="11">
        <v>5</v>
      </c>
    </row>
    <row r="33" spans="1:6">
      <c r="A33" s="11" t="s">
        <v>1858</v>
      </c>
      <c r="B33" s="11">
        <v>16</v>
      </c>
      <c r="C33" s="11" t="s">
        <v>7</v>
      </c>
      <c r="D33" s="11">
        <v>1.5</v>
      </c>
      <c r="E33" s="11">
        <v>9.6999999999999993</v>
      </c>
      <c r="F33" s="11">
        <v>5</v>
      </c>
    </row>
    <row r="34" spans="1:6">
      <c r="A34" s="11" t="s">
        <v>1859</v>
      </c>
      <c r="B34" s="11">
        <v>14</v>
      </c>
      <c r="C34" s="11" t="s">
        <v>1702</v>
      </c>
      <c r="D34" s="11">
        <v>1.6</v>
      </c>
      <c r="E34" s="11">
        <v>10.6</v>
      </c>
      <c r="F34" s="11">
        <v>5</v>
      </c>
    </row>
    <row r="35" spans="1:6">
      <c r="A35" s="11" t="s">
        <v>1860</v>
      </c>
      <c r="B35" s="11">
        <v>16</v>
      </c>
      <c r="C35" s="11" t="s">
        <v>1702</v>
      </c>
      <c r="D35" s="11">
        <v>1.8</v>
      </c>
      <c r="E35" s="11">
        <v>9.9</v>
      </c>
      <c r="F35" s="11">
        <v>5</v>
      </c>
    </row>
    <row r="36" spans="1:6">
      <c r="A36" s="11" t="s">
        <v>1861</v>
      </c>
      <c r="B36" s="11">
        <v>16</v>
      </c>
      <c r="C36" s="11" t="s">
        <v>1702</v>
      </c>
      <c r="D36" s="11">
        <v>1.7</v>
      </c>
      <c r="E36" s="11">
        <v>10.6</v>
      </c>
      <c r="F36" s="11">
        <v>5</v>
      </c>
    </row>
    <row r="37" spans="1:6">
      <c r="A37" s="11" t="s">
        <v>1862</v>
      </c>
      <c r="B37" s="11">
        <v>15</v>
      </c>
      <c r="C37" s="11" t="s">
        <v>1702</v>
      </c>
      <c r="D37" s="11">
        <v>1.4</v>
      </c>
      <c r="E37" s="11">
        <v>9.8000000000000007</v>
      </c>
      <c r="F37" s="11">
        <v>5</v>
      </c>
    </row>
    <row r="38" spans="1:6">
      <c r="A38" s="11" t="s">
        <v>1863</v>
      </c>
      <c r="B38" s="11">
        <v>16</v>
      </c>
      <c r="C38" s="11" t="s">
        <v>28</v>
      </c>
      <c r="D38" s="11">
        <v>2</v>
      </c>
      <c r="E38" s="11">
        <v>8.1999999999999993</v>
      </c>
      <c r="F38" s="11">
        <v>5</v>
      </c>
    </row>
    <row r="39" spans="1:6">
      <c r="A39" s="11" t="s">
        <v>1864</v>
      </c>
      <c r="B39" s="11">
        <v>16</v>
      </c>
      <c r="C39" s="11" t="s">
        <v>28</v>
      </c>
      <c r="D39" s="11">
        <v>1.9</v>
      </c>
      <c r="E39" s="11">
        <v>9.3000000000000007</v>
      </c>
      <c r="F39" s="11">
        <v>4</v>
      </c>
    </row>
    <row r="40" spans="1:6">
      <c r="A40" s="11" t="s">
        <v>1865</v>
      </c>
      <c r="B40" s="11">
        <v>17</v>
      </c>
      <c r="C40" s="11" t="s">
        <v>28</v>
      </c>
      <c r="D40" s="11">
        <v>2</v>
      </c>
      <c r="E40" s="11">
        <v>8</v>
      </c>
      <c r="F40" s="11">
        <v>5</v>
      </c>
    </row>
    <row r="41" spans="1:6">
      <c r="A41" s="11" t="s">
        <v>1866</v>
      </c>
      <c r="B41" s="11">
        <v>16</v>
      </c>
      <c r="C41" s="11" t="s">
        <v>28</v>
      </c>
      <c r="D41" s="11">
        <v>1.4</v>
      </c>
      <c r="E41" s="11">
        <v>10.6</v>
      </c>
      <c r="F41" s="11">
        <v>5</v>
      </c>
    </row>
    <row r="42" spans="1:6">
      <c r="A42" s="11" t="s">
        <v>1867</v>
      </c>
      <c r="B42" s="11">
        <v>16</v>
      </c>
      <c r="C42" s="11" t="s">
        <v>28</v>
      </c>
      <c r="D42" s="11">
        <v>1.3</v>
      </c>
      <c r="E42" s="11">
        <v>8.6</v>
      </c>
      <c r="F42" s="11">
        <v>5</v>
      </c>
    </row>
    <row r="43" spans="1:6">
      <c r="A43" s="11" t="s">
        <v>1868</v>
      </c>
      <c r="B43" s="11">
        <v>17</v>
      </c>
      <c r="C43" s="11" t="s">
        <v>28</v>
      </c>
      <c r="D43" s="11">
        <v>1.3</v>
      </c>
      <c r="E43" s="11">
        <v>7.8</v>
      </c>
      <c r="F43" s="11">
        <v>5</v>
      </c>
    </row>
    <row r="44" spans="1:6">
      <c r="A44" s="11" t="s">
        <v>1869</v>
      </c>
      <c r="B44" s="11">
        <v>15</v>
      </c>
      <c r="C44" s="11" t="s">
        <v>28</v>
      </c>
      <c r="D44" s="11">
        <v>1.7</v>
      </c>
      <c r="E44" s="11">
        <v>9.8000000000000007</v>
      </c>
      <c r="F44" s="11">
        <v>5</v>
      </c>
    </row>
    <row r="45" spans="1:6">
      <c r="A45" s="11" t="s">
        <v>1870</v>
      </c>
      <c r="B45" s="11">
        <v>16</v>
      </c>
      <c r="C45" s="11" t="s">
        <v>28</v>
      </c>
      <c r="D45" s="11">
        <v>1.7</v>
      </c>
      <c r="E45" s="11">
        <v>9.4</v>
      </c>
      <c r="F45" s="11">
        <v>5</v>
      </c>
    </row>
    <row r="46" spans="1:6">
      <c r="A46" s="11" t="s">
        <v>1871</v>
      </c>
      <c r="B46" s="11">
        <v>16</v>
      </c>
      <c r="C46" s="11" t="s">
        <v>1702</v>
      </c>
      <c r="D46" s="11">
        <v>1.4</v>
      </c>
      <c r="E46" s="11">
        <v>10.4</v>
      </c>
      <c r="F46" s="11">
        <v>5</v>
      </c>
    </row>
    <row r="47" spans="1:6">
      <c r="A47" s="11"/>
      <c r="B47" s="53"/>
      <c r="C47" s="53"/>
      <c r="D47" s="53"/>
      <c r="E47" s="53"/>
      <c r="F47" s="11"/>
    </row>
    <row r="48" spans="1:6">
      <c r="A48" s="11" t="s">
        <v>1872</v>
      </c>
      <c r="B48" s="11">
        <v>16</v>
      </c>
      <c r="C48" s="11" t="s">
        <v>7</v>
      </c>
      <c r="D48" s="11">
        <v>1.8</v>
      </c>
      <c r="E48" s="11">
        <v>8.6</v>
      </c>
      <c r="F48" s="11">
        <v>5</v>
      </c>
    </row>
    <row r="49" spans="1:6">
      <c r="A49" s="11" t="s">
        <v>1873</v>
      </c>
      <c r="B49" s="11">
        <v>18</v>
      </c>
      <c r="C49" s="11" t="s">
        <v>7</v>
      </c>
      <c r="D49" s="11">
        <v>1.2</v>
      </c>
      <c r="E49" s="11">
        <v>8</v>
      </c>
      <c r="F49" s="11">
        <v>5</v>
      </c>
    </row>
    <row r="50" spans="1:6">
      <c r="A50" s="11"/>
      <c r="B50" s="53"/>
      <c r="C50" s="53"/>
      <c r="D50" s="53"/>
      <c r="E50" s="53"/>
      <c r="F50" s="11"/>
    </row>
    <row r="51" spans="1:6">
      <c r="A51" s="11" t="s">
        <v>1874</v>
      </c>
      <c r="B51" s="11">
        <v>17</v>
      </c>
      <c r="C51" s="11" t="s">
        <v>7</v>
      </c>
      <c r="D51" s="11">
        <v>1.7</v>
      </c>
      <c r="E51" s="11">
        <v>6.4</v>
      </c>
      <c r="F51" s="11">
        <v>5</v>
      </c>
    </row>
    <row r="52" spans="1:6">
      <c r="A52" s="11" t="s">
        <v>1875</v>
      </c>
      <c r="B52" s="11">
        <v>15</v>
      </c>
      <c r="C52" s="11" t="s">
        <v>7</v>
      </c>
      <c r="D52" s="11">
        <v>1.8</v>
      </c>
      <c r="E52" s="11">
        <v>6.8</v>
      </c>
      <c r="F52" s="11">
        <v>5</v>
      </c>
    </row>
    <row r="53" spans="1:6">
      <c r="A53" s="11" t="s">
        <v>1876</v>
      </c>
      <c r="B53" s="11">
        <v>16</v>
      </c>
      <c r="C53" s="11" t="s">
        <v>7</v>
      </c>
      <c r="D53" s="11">
        <v>1.5</v>
      </c>
      <c r="E53" s="11">
        <v>8</v>
      </c>
      <c r="F53" s="11">
        <v>5</v>
      </c>
    </row>
    <row r="54" spans="1:6">
      <c r="A54" s="11" t="s">
        <v>1877</v>
      </c>
      <c r="B54" s="11">
        <v>16</v>
      </c>
      <c r="C54" s="11" t="s">
        <v>7</v>
      </c>
      <c r="D54" s="11">
        <v>1.9</v>
      </c>
      <c r="E54" s="11">
        <v>6.7</v>
      </c>
      <c r="F54" s="11">
        <v>5</v>
      </c>
    </row>
    <row r="55" spans="1:6">
      <c r="A55" s="11" t="s">
        <v>1878</v>
      </c>
      <c r="B55" s="11">
        <v>16</v>
      </c>
      <c r="C55" s="11" t="s">
        <v>7</v>
      </c>
      <c r="D55" s="11">
        <v>1.3</v>
      </c>
      <c r="E55" s="11">
        <v>7.8</v>
      </c>
      <c r="F55" s="11">
        <v>5</v>
      </c>
    </row>
    <row r="56" spans="1:6">
      <c r="A56" s="11" t="s">
        <v>1879</v>
      </c>
      <c r="B56" s="11">
        <v>16</v>
      </c>
      <c r="C56" s="11" t="s">
        <v>7</v>
      </c>
      <c r="D56" s="11">
        <v>1.6</v>
      </c>
      <c r="E56" s="11">
        <v>7.8</v>
      </c>
      <c r="F56" s="11">
        <v>5</v>
      </c>
    </row>
    <row r="57" spans="1:6">
      <c r="A57" s="11" t="s">
        <v>1880</v>
      </c>
      <c r="B57" s="11">
        <v>17</v>
      </c>
      <c r="C57" s="11" t="s">
        <v>7</v>
      </c>
      <c r="D57" s="11">
        <v>1.9</v>
      </c>
      <c r="E57" s="11">
        <v>7.8</v>
      </c>
      <c r="F57" s="11">
        <v>5</v>
      </c>
    </row>
    <row r="58" spans="1:6">
      <c r="A58" s="11" t="s">
        <v>1881</v>
      </c>
      <c r="B58" s="11">
        <v>17</v>
      </c>
      <c r="C58" s="11" t="s">
        <v>7</v>
      </c>
      <c r="D58" s="11">
        <v>0.9</v>
      </c>
      <c r="E58" s="11">
        <v>6.8</v>
      </c>
      <c r="F58" s="11">
        <v>5</v>
      </c>
    </row>
    <row r="59" spans="1:6">
      <c r="A59" s="11"/>
      <c r="B59" s="53"/>
      <c r="C59" s="53"/>
      <c r="D59" s="53"/>
      <c r="E59" s="53"/>
      <c r="F59" s="11"/>
    </row>
    <row r="60" spans="1:6">
      <c r="A60" s="11" t="s">
        <v>1882</v>
      </c>
      <c r="B60" s="11">
        <v>16</v>
      </c>
      <c r="C60" s="11" t="s">
        <v>7</v>
      </c>
      <c r="D60" s="11">
        <v>1.4</v>
      </c>
      <c r="E60" s="11">
        <v>9.1999999999999993</v>
      </c>
      <c r="F60" s="11">
        <v>5</v>
      </c>
    </row>
    <row r="61" spans="1:6">
      <c r="A61" s="11" t="s">
        <v>1883</v>
      </c>
      <c r="B61" s="11">
        <v>16</v>
      </c>
      <c r="C61" s="11" t="s">
        <v>7</v>
      </c>
      <c r="D61" s="11">
        <v>1.8</v>
      </c>
      <c r="E61" s="11">
        <v>10.3</v>
      </c>
      <c r="F61" s="11">
        <v>5</v>
      </c>
    </row>
    <row r="62" spans="1:6">
      <c r="A62" s="11" t="s">
        <v>1884</v>
      </c>
      <c r="B62" s="11">
        <v>16</v>
      </c>
      <c r="C62" s="11" t="s">
        <v>7</v>
      </c>
      <c r="D62" s="11">
        <v>1.8</v>
      </c>
      <c r="E62" s="11">
        <v>8.9</v>
      </c>
      <c r="F62" s="11">
        <v>5</v>
      </c>
    </row>
    <row r="63" spans="1:6">
      <c r="A63" s="11" t="s">
        <v>1885</v>
      </c>
      <c r="B63" s="11">
        <v>17</v>
      </c>
      <c r="C63" s="11" t="s">
        <v>7</v>
      </c>
      <c r="D63" s="11">
        <v>1.7</v>
      </c>
      <c r="E63" s="11">
        <v>9.8000000000000007</v>
      </c>
      <c r="F63" s="11">
        <v>5</v>
      </c>
    </row>
    <row r="64" spans="1:6">
      <c r="A64" s="11" t="s">
        <v>1886</v>
      </c>
      <c r="B64" s="11">
        <v>16</v>
      </c>
      <c r="C64" s="11" t="s">
        <v>1702</v>
      </c>
      <c r="D64" s="11">
        <v>2</v>
      </c>
      <c r="E64" s="11">
        <v>12.2</v>
      </c>
      <c r="F64" s="11">
        <v>5</v>
      </c>
    </row>
    <row r="65" spans="1:6">
      <c r="A65" s="11" t="s">
        <v>1887</v>
      </c>
      <c r="B65" s="11">
        <v>16</v>
      </c>
      <c r="C65" s="11" t="s">
        <v>1702</v>
      </c>
      <c r="D65" s="11">
        <v>1.4</v>
      </c>
      <c r="E65" s="11">
        <v>9</v>
      </c>
      <c r="F65" s="11">
        <v>5</v>
      </c>
    </row>
    <row r="66" spans="1:6">
      <c r="A66" s="11" t="s">
        <v>1888</v>
      </c>
      <c r="B66" s="11">
        <v>16</v>
      </c>
      <c r="C66" s="11" t="s">
        <v>28</v>
      </c>
      <c r="D66" s="11">
        <v>2</v>
      </c>
      <c r="E66" s="11">
        <v>8</v>
      </c>
      <c r="F66" s="11">
        <v>5</v>
      </c>
    </row>
    <row r="67" spans="1:6">
      <c r="A67" s="11" t="s">
        <v>1889</v>
      </c>
      <c r="B67" s="11">
        <v>16</v>
      </c>
      <c r="C67" s="11" t="s">
        <v>28</v>
      </c>
      <c r="D67" s="11">
        <v>1.8</v>
      </c>
      <c r="E67" s="11">
        <v>9.5</v>
      </c>
      <c r="F67" s="11">
        <v>5</v>
      </c>
    </row>
    <row r="68" spans="1:6">
      <c r="A68" s="11" t="s">
        <v>1890</v>
      </c>
      <c r="B68" s="11">
        <v>16</v>
      </c>
      <c r="C68" s="11" t="s">
        <v>28</v>
      </c>
      <c r="D68" s="11">
        <v>1.8</v>
      </c>
      <c r="E68" s="11">
        <v>10</v>
      </c>
      <c r="F68" s="11">
        <v>5</v>
      </c>
    </row>
    <row r="69" spans="1:6">
      <c r="A69" s="11" t="s">
        <v>1891</v>
      </c>
      <c r="B69" s="11">
        <v>16</v>
      </c>
      <c r="C69" s="11" t="s">
        <v>28</v>
      </c>
      <c r="D69" s="11">
        <v>1.6</v>
      </c>
      <c r="E69" s="11">
        <v>8.8000000000000007</v>
      </c>
      <c r="F69" s="11">
        <v>5</v>
      </c>
    </row>
    <row r="70" spans="1:6">
      <c r="A70" s="11" t="s">
        <v>1892</v>
      </c>
      <c r="B70" s="11">
        <v>16</v>
      </c>
      <c r="C70" s="11" t="s">
        <v>28</v>
      </c>
      <c r="D70" s="11">
        <v>1.8</v>
      </c>
      <c r="E70" s="11">
        <v>9.6</v>
      </c>
      <c r="F70" s="11">
        <v>5</v>
      </c>
    </row>
    <row r="71" spans="1:6">
      <c r="A71" s="11" t="s">
        <v>1893</v>
      </c>
      <c r="B71" s="11">
        <v>18</v>
      </c>
      <c r="C71" s="11" t="s">
        <v>28</v>
      </c>
      <c r="D71" s="11">
        <v>1.3</v>
      </c>
      <c r="E71" s="11">
        <v>9</v>
      </c>
      <c r="F71" s="11">
        <v>5</v>
      </c>
    </row>
    <row r="72" spans="1:6">
      <c r="A72" s="11" t="s">
        <v>1894</v>
      </c>
      <c r="B72" s="11">
        <v>16</v>
      </c>
      <c r="C72" s="11" t="s">
        <v>28</v>
      </c>
      <c r="D72" s="11">
        <v>1.3</v>
      </c>
      <c r="E72" s="11">
        <v>11.5</v>
      </c>
      <c r="F72" s="11">
        <v>5</v>
      </c>
    </row>
    <row r="73" spans="1:6">
      <c r="A73" s="11"/>
      <c r="B73" s="53"/>
      <c r="C73" s="53"/>
      <c r="D73" s="53"/>
      <c r="E73" s="53"/>
      <c r="F73" s="11"/>
    </row>
    <row r="74" spans="1:6">
      <c r="A74" s="11" t="s">
        <v>1895</v>
      </c>
      <c r="B74" s="11">
        <v>16</v>
      </c>
      <c r="C74" s="11" t="s">
        <v>7</v>
      </c>
      <c r="D74" s="11">
        <v>1.4</v>
      </c>
      <c r="E74" s="11">
        <v>9.3000000000000007</v>
      </c>
      <c r="F74" s="11">
        <v>5</v>
      </c>
    </row>
    <row r="75" spans="1:6">
      <c r="A75" s="11" t="s">
        <v>1896</v>
      </c>
      <c r="B75" s="11">
        <v>16</v>
      </c>
      <c r="C75" s="11" t="s">
        <v>7</v>
      </c>
      <c r="D75" s="11">
        <v>1.4</v>
      </c>
      <c r="E75" s="11">
        <v>9.6</v>
      </c>
      <c r="F75" s="11">
        <v>5</v>
      </c>
    </row>
    <row r="76" spans="1:6">
      <c r="A76" s="11" t="s">
        <v>1897</v>
      </c>
      <c r="B76" s="11">
        <v>15</v>
      </c>
      <c r="C76" s="11" t="s">
        <v>28</v>
      </c>
      <c r="D76" s="11">
        <v>2</v>
      </c>
      <c r="E76" s="11">
        <v>8.6999999999999993</v>
      </c>
      <c r="F76" s="11">
        <v>5</v>
      </c>
    </row>
    <row r="77" spans="1:6">
      <c r="A77" s="11" t="s">
        <v>1898</v>
      </c>
      <c r="B77" s="11">
        <v>16</v>
      </c>
      <c r="C77" s="11" t="s">
        <v>28</v>
      </c>
      <c r="D77" s="11">
        <v>1.3</v>
      </c>
      <c r="E77" s="11">
        <v>8.6</v>
      </c>
      <c r="F77" s="11">
        <v>5</v>
      </c>
    </row>
    <row r="78" spans="1:6">
      <c r="A78" s="11" t="s">
        <v>1899</v>
      </c>
      <c r="B78" s="11">
        <v>16</v>
      </c>
      <c r="C78" s="11" t="s">
        <v>28</v>
      </c>
      <c r="D78" s="11">
        <v>2</v>
      </c>
      <c r="E78" s="11">
        <v>8.6</v>
      </c>
      <c r="F78" s="11">
        <v>5</v>
      </c>
    </row>
    <row r="79" spans="1:6">
      <c r="A79" s="11" t="s">
        <v>1900</v>
      </c>
      <c r="B79" s="11">
        <v>18</v>
      </c>
      <c r="C79" s="11" t="s">
        <v>28</v>
      </c>
      <c r="D79" s="11">
        <v>2</v>
      </c>
      <c r="E79" s="11">
        <v>8.6999999999999993</v>
      </c>
      <c r="F79" s="11">
        <v>5</v>
      </c>
    </row>
    <row r="80" spans="1:6">
      <c r="A80" s="11" t="s">
        <v>1901</v>
      </c>
      <c r="B80" s="11">
        <v>17</v>
      </c>
      <c r="C80" s="11" t="s">
        <v>28</v>
      </c>
      <c r="D80" s="11">
        <v>1.8</v>
      </c>
      <c r="E80" s="11">
        <v>8.6</v>
      </c>
      <c r="F80" s="11">
        <v>5</v>
      </c>
    </row>
    <row r="81" spans="1:6">
      <c r="A81" s="11" t="s">
        <v>1902</v>
      </c>
      <c r="B81" s="11">
        <v>18</v>
      </c>
      <c r="C81" s="11" t="s">
        <v>28</v>
      </c>
      <c r="D81" s="11">
        <v>1.3</v>
      </c>
      <c r="E81" s="11">
        <v>10</v>
      </c>
      <c r="F81" s="11">
        <v>5</v>
      </c>
    </row>
    <row r="82" spans="1:6">
      <c r="A82" s="11" t="s">
        <v>1903</v>
      </c>
      <c r="B82" s="11">
        <v>16</v>
      </c>
      <c r="C82" s="11" t="s">
        <v>28</v>
      </c>
      <c r="D82" s="11">
        <v>2</v>
      </c>
      <c r="E82" s="11">
        <v>8.6</v>
      </c>
      <c r="F82" s="11">
        <v>5</v>
      </c>
    </row>
    <row r="83" spans="1:6">
      <c r="A83" s="11" t="s">
        <v>1904</v>
      </c>
      <c r="B83" s="11">
        <v>16</v>
      </c>
      <c r="C83" s="11" t="s">
        <v>28</v>
      </c>
      <c r="D83" s="11">
        <v>1</v>
      </c>
      <c r="E83" s="11">
        <v>7.9</v>
      </c>
      <c r="F83" s="11">
        <v>5</v>
      </c>
    </row>
    <row r="84" spans="1:6">
      <c r="A84" s="11" t="s">
        <v>1905</v>
      </c>
      <c r="B84" s="11">
        <v>16</v>
      </c>
      <c r="C84" s="11" t="s">
        <v>1702</v>
      </c>
      <c r="D84" s="11">
        <v>1.6</v>
      </c>
      <c r="E84" s="11">
        <v>9.6</v>
      </c>
      <c r="F84" s="11">
        <v>5</v>
      </c>
    </row>
    <row r="85" spans="1:6">
      <c r="A85" s="11" t="s">
        <v>1906</v>
      </c>
      <c r="B85" s="11">
        <v>15</v>
      </c>
      <c r="C85" s="11" t="s">
        <v>1702</v>
      </c>
      <c r="D85" s="11">
        <v>1.5</v>
      </c>
      <c r="E85" s="11">
        <v>11.5</v>
      </c>
      <c r="F85" s="11">
        <v>5</v>
      </c>
    </row>
    <row r="86" spans="1:6">
      <c r="A86" s="11" t="s">
        <v>1907</v>
      </c>
      <c r="B86" s="11">
        <v>16</v>
      </c>
      <c r="C86" s="11" t="s">
        <v>7</v>
      </c>
      <c r="D86" s="11">
        <v>1</v>
      </c>
      <c r="E86" s="11">
        <v>8.6</v>
      </c>
      <c r="F86" s="11">
        <v>5</v>
      </c>
    </row>
    <row r="87" spans="1:6">
      <c r="A87" s="11" t="s">
        <v>1908</v>
      </c>
      <c r="B87" s="11">
        <v>14</v>
      </c>
      <c r="C87" s="11" t="s">
        <v>7</v>
      </c>
      <c r="D87" s="11">
        <v>1.4</v>
      </c>
      <c r="E87" s="11">
        <v>7.7</v>
      </c>
      <c r="F87" s="11">
        <v>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FB99C-2064-452F-824E-61E1B0A9DCF3}">
  <dimension ref="A1:N81"/>
  <sheetViews>
    <sheetView workbookViewId="0">
      <pane ySplit="2" topLeftCell="A54" activePane="bottomLeft" state="frozen"/>
      <selection pane="bottomLeft" activeCell="F81" sqref="F81"/>
    </sheetView>
  </sheetViews>
  <sheetFormatPr defaultRowHeight="14.45"/>
  <cols>
    <col min="4" max="4" width="11.7109375" customWidth="1"/>
    <col min="5" max="5" width="13.7109375" customWidth="1"/>
    <col min="6" max="6" width="15.28515625" customWidth="1"/>
    <col min="9" max="9" width="14.28515625" customWidth="1"/>
    <col min="13" max="13" width="12.140625" customWidth="1"/>
  </cols>
  <sheetData>
    <row r="1" spans="1:14">
      <c r="F1" t="s">
        <v>639</v>
      </c>
    </row>
    <row r="2" spans="1:14">
      <c r="A2" s="53" t="s">
        <v>1</v>
      </c>
      <c r="B2" s="53" t="s">
        <v>641</v>
      </c>
      <c r="C2" s="53" t="s">
        <v>3</v>
      </c>
      <c r="D2" s="53" t="s">
        <v>4</v>
      </c>
      <c r="E2" s="53" t="s">
        <v>5</v>
      </c>
      <c r="F2" s="53" t="s">
        <v>640</v>
      </c>
    </row>
    <row r="3" spans="1:14">
      <c r="A3" s="11" t="s">
        <v>1909</v>
      </c>
      <c r="B3" s="11">
        <v>17</v>
      </c>
      <c r="C3" s="11" t="s">
        <v>7</v>
      </c>
      <c r="D3" s="11">
        <v>1.4</v>
      </c>
      <c r="E3" s="11">
        <v>7.4</v>
      </c>
      <c r="F3" s="11">
        <v>5</v>
      </c>
    </row>
    <row r="4" spans="1:14">
      <c r="A4" s="11" t="s">
        <v>1910</v>
      </c>
      <c r="B4" s="11">
        <v>16</v>
      </c>
      <c r="C4" s="11" t="s">
        <v>7</v>
      </c>
      <c r="D4" s="11">
        <v>1</v>
      </c>
      <c r="E4" s="11">
        <v>7.8</v>
      </c>
      <c r="F4" s="11">
        <v>5</v>
      </c>
      <c r="H4" s="53"/>
      <c r="I4" s="53" t="s">
        <v>641</v>
      </c>
      <c r="J4" s="53" t="s">
        <v>3</v>
      </c>
      <c r="K4" s="53" t="s">
        <v>4</v>
      </c>
      <c r="L4" s="53" t="s">
        <v>5</v>
      </c>
      <c r="M4" s="11" t="s">
        <v>640</v>
      </c>
      <c r="N4" s="53"/>
    </row>
    <row r="5" spans="1:14">
      <c r="A5" s="11" t="s">
        <v>1911</v>
      </c>
      <c r="B5" s="11">
        <v>16</v>
      </c>
      <c r="C5" s="11" t="s">
        <v>7</v>
      </c>
      <c r="D5" s="11">
        <v>1</v>
      </c>
      <c r="E5" s="11">
        <v>9.5</v>
      </c>
      <c r="F5" s="11">
        <v>5</v>
      </c>
      <c r="H5" s="53" t="s">
        <v>643</v>
      </c>
      <c r="I5" s="53">
        <v>82.6</v>
      </c>
      <c r="J5" s="53">
        <v>100</v>
      </c>
      <c r="K5" s="53">
        <v>56.5</v>
      </c>
      <c r="L5" s="53">
        <v>82.6</v>
      </c>
      <c r="M5" s="11">
        <f>AVERAGE(F3:F25)*20</f>
        <v>99.130434782608688</v>
      </c>
      <c r="N5" s="53"/>
    </row>
    <row r="6" spans="1:14">
      <c r="A6" s="11" t="s">
        <v>1912</v>
      </c>
      <c r="B6" s="11">
        <v>16</v>
      </c>
      <c r="C6" s="11" t="s">
        <v>7</v>
      </c>
      <c r="D6" s="11">
        <v>2</v>
      </c>
      <c r="E6" s="11">
        <v>8.5</v>
      </c>
      <c r="F6" s="11">
        <v>5</v>
      </c>
      <c r="H6" s="53" t="s">
        <v>645</v>
      </c>
      <c r="I6" s="53">
        <v>28.6</v>
      </c>
      <c r="J6" s="53">
        <v>42.9</v>
      </c>
      <c r="K6" s="53">
        <v>100</v>
      </c>
      <c r="L6" s="53">
        <v>85.7</v>
      </c>
      <c r="M6" s="11">
        <f>AVERAGE(F27:F40)*20</f>
        <v>100</v>
      </c>
      <c r="N6" s="53"/>
    </row>
    <row r="7" spans="1:14">
      <c r="A7" s="11" t="s">
        <v>1913</v>
      </c>
      <c r="B7" s="11">
        <v>17</v>
      </c>
      <c r="C7" s="11" t="s">
        <v>7</v>
      </c>
      <c r="D7" s="11">
        <v>1.8</v>
      </c>
      <c r="E7" s="11">
        <v>7.9</v>
      </c>
      <c r="F7" s="11">
        <v>5</v>
      </c>
      <c r="H7" s="53" t="s">
        <v>647</v>
      </c>
      <c r="I7" s="53">
        <v>50</v>
      </c>
      <c r="J7" s="53">
        <v>100</v>
      </c>
      <c r="K7" s="53">
        <v>50</v>
      </c>
      <c r="L7" s="53">
        <v>100</v>
      </c>
      <c r="M7" s="11">
        <f>AVERAGE(F42:F43)*20</f>
        <v>100</v>
      </c>
      <c r="N7" s="53"/>
    </row>
    <row r="8" spans="1:14">
      <c r="A8" s="11" t="s">
        <v>1914</v>
      </c>
      <c r="B8" s="11">
        <v>16</v>
      </c>
      <c r="C8" s="11" t="s">
        <v>7</v>
      </c>
      <c r="D8" s="11">
        <v>1.2</v>
      </c>
      <c r="E8" s="11">
        <v>7.4</v>
      </c>
      <c r="F8" s="11">
        <v>5</v>
      </c>
      <c r="H8" s="53" t="s">
        <v>649</v>
      </c>
      <c r="I8" s="53">
        <v>60</v>
      </c>
      <c r="J8" s="53">
        <v>100</v>
      </c>
      <c r="K8" s="53">
        <v>80</v>
      </c>
      <c r="L8" s="53">
        <v>60</v>
      </c>
      <c r="M8" s="11">
        <f>AVERAGE(F45:F49)*20</f>
        <v>100</v>
      </c>
      <c r="N8" s="53"/>
    </row>
    <row r="9" spans="1:14">
      <c r="A9" s="11" t="s">
        <v>1915</v>
      </c>
      <c r="B9" s="11">
        <v>16</v>
      </c>
      <c r="C9" s="11" t="s">
        <v>7</v>
      </c>
      <c r="D9" s="11">
        <v>1</v>
      </c>
      <c r="E9" s="11">
        <v>7.4</v>
      </c>
      <c r="F9" s="11">
        <v>5</v>
      </c>
      <c r="H9" s="53" t="s">
        <v>651</v>
      </c>
      <c r="I9" s="53">
        <v>100</v>
      </c>
      <c r="J9" s="53">
        <v>56.3</v>
      </c>
      <c r="K9" s="53">
        <v>93.8</v>
      </c>
      <c r="L9" s="53">
        <v>87.5</v>
      </c>
      <c r="M9" s="11">
        <f>AVERAGE(F51:F63)*20</f>
        <v>96.92307692307692</v>
      </c>
      <c r="N9" s="53"/>
    </row>
    <row r="10" spans="1:14">
      <c r="A10" s="11" t="s">
        <v>1916</v>
      </c>
      <c r="B10" s="11">
        <v>16</v>
      </c>
      <c r="C10" s="11" t="s">
        <v>7</v>
      </c>
      <c r="D10" s="11">
        <v>1</v>
      </c>
      <c r="E10" s="11">
        <v>8.5</v>
      </c>
      <c r="F10" s="11">
        <v>5</v>
      </c>
      <c r="H10" s="53" t="s">
        <v>653</v>
      </c>
      <c r="I10" s="53">
        <v>50</v>
      </c>
      <c r="J10" s="53">
        <v>42.9</v>
      </c>
      <c r="K10" s="53">
        <v>100</v>
      </c>
      <c r="L10" s="53">
        <v>100</v>
      </c>
      <c r="M10" s="11">
        <f>AVERAGE(F68:F81)*20</f>
        <v>100</v>
      </c>
      <c r="N10" s="53"/>
    </row>
    <row r="11" spans="1:14">
      <c r="A11" s="11" t="s">
        <v>1917</v>
      </c>
      <c r="B11" s="11">
        <v>16</v>
      </c>
      <c r="C11" s="11" t="s">
        <v>7</v>
      </c>
      <c r="D11" s="11">
        <v>1.4</v>
      </c>
      <c r="E11" s="11">
        <v>7.9</v>
      </c>
      <c r="F11" s="11">
        <v>5</v>
      </c>
    </row>
    <row r="12" spans="1:14">
      <c r="A12" s="11" t="s">
        <v>1918</v>
      </c>
      <c r="B12" s="11">
        <v>14</v>
      </c>
      <c r="C12" s="11" t="s">
        <v>7</v>
      </c>
      <c r="D12" s="11">
        <v>1.1000000000000001</v>
      </c>
      <c r="E12" s="11">
        <v>7.3</v>
      </c>
      <c r="F12" s="11">
        <v>5</v>
      </c>
      <c r="I12" t="s">
        <v>656</v>
      </c>
      <c r="J12" t="s">
        <v>657</v>
      </c>
      <c r="K12" t="s">
        <v>658</v>
      </c>
      <c r="L12" t="s">
        <v>659</v>
      </c>
      <c r="M12">
        <v>0.05</v>
      </c>
    </row>
    <row r="13" spans="1:14">
      <c r="A13" s="11" t="s">
        <v>1919</v>
      </c>
      <c r="B13" s="11">
        <v>16</v>
      </c>
      <c r="C13" s="11" t="s">
        <v>7</v>
      </c>
      <c r="D13" s="11">
        <v>1.7</v>
      </c>
      <c r="E13" s="11">
        <v>7.3</v>
      </c>
      <c r="F13" s="11">
        <v>5</v>
      </c>
    </row>
    <row r="14" spans="1:14">
      <c r="A14" s="11" t="s">
        <v>1920</v>
      </c>
      <c r="B14" s="11">
        <v>17</v>
      </c>
      <c r="C14" s="11" t="s">
        <v>7</v>
      </c>
      <c r="D14" s="11">
        <v>1</v>
      </c>
      <c r="E14" s="11">
        <v>7.2</v>
      </c>
      <c r="F14" s="11">
        <v>4</v>
      </c>
    </row>
    <row r="15" spans="1:14">
      <c r="A15" s="11" t="s">
        <v>1921</v>
      </c>
      <c r="B15" s="11">
        <v>16</v>
      </c>
      <c r="C15" s="11" t="s">
        <v>7</v>
      </c>
      <c r="D15" s="11">
        <v>1.1000000000000001</v>
      </c>
      <c r="E15" s="11">
        <v>7.5</v>
      </c>
      <c r="F15" s="11">
        <v>5</v>
      </c>
    </row>
    <row r="16" spans="1:14">
      <c r="A16" s="11" t="s">
        <v>1922</v>
      </c>
      <c r="B16" s="11">
        <v>16</v>
      </c>
      <c r="C16" s="11" t="s">
        <v>7</v>
      </c>
      <c r="D16" s="11">
        <v>1.9</v>
      </c>
      <c r="E16" s="11">
        <v>9</v>
      </c>
      <c r="F16" s="11">
        <v>5</v>
      </c>
      <c r="H16" s="53" t="s">
        <v>1306</v>
      </c>
      <c r="I16" s="53"/>
      <c r="J16" s="11">
        <v>5.4</v>
      </c>
    </row>
    <row r="17" spans="1:10">
      <c r="A17" s="11" t="s">
        <v>1923</v>
      </c>
      <c r="B17" s="11">
        <v>16</v>
      </c>
      <c r="C17" s="11" t="s">
        <v>7</v>
      </c>
      <c r="D17" s="11">
        <v>1</v>
      </c>
      <c r="E17" s="11">
        <v>7.2</v>
      </c>
      <c r="F17" s="11">
        <v>5</v>
      </c>
      <c r="H17" s="53" t="s">
        <v>1308</v>
      </c>
      <c r="I17" s="53"/>
      <c r="J17" s="11">
        <v>3.1</v>
      </c>
    </row>
    <row r="18" spans="1:10">
      <c r="A18" s="11" t="s">
        <v>1924</v>
      </c>
      <c r="B18" s="11">
        <v>16</v>
      </c>
      <c r="C18" s="11" t="s">
        <v>7</v>
      </c>
      <c r="D18" s="11">
        <v>1.6</v>
      </c>
      <c r="E18" s="11">
        <v>6.9</v>
      </c>
      <c r="F18" s="11">
        <v>5</v>
      </c>
      <c r="H18" s="53" t="s">
        <v>1310</v>
      </c>
      <c r="I18" s="53"/>
      <c r="J18" s="11">
        <v>4.5</v>
      </c>
    </row>
    <row r="19" spans="1:10">
      <c r="A19" s="11" t="s">
        <v>1925</v>
      </c>
      <c r="B19" s="11">
        <v>16</v>
      </c>
      <c r="C19" s="11" t="s">
        <v>7</v>
      </c>
      <c r="D19" s="11">
        <v>1.2</v>
      </c>
      <c r="E19" s="11">
        <v>6.9</v>
      </c>
      <c r="F19" s="11">
        <v>5</v>
      </c>
    </row>
    <row r="20" spans="1:10">
      <c r="A20" s="11" t="s">
        <v>1926</v>
      </c>
      <c r="B20" s="11">
        <v>14</v>
      </c>
      <c r="C20" s="11" t="s">
        <v>7</v>
      </c>
      <c r="D20" s="11">
        <v>1.2</v>
      </c>
      <c r="E20" s="11">
        <v>5.9</v>
      </c>
      <c r="F20" s="11">
        <v>5</v>
      </c>
    </row>
    <row r="21" spans="1:10">
      <c r="A21" s="11" t="s">
        <v>1927</v>
      </c>
      <c r="B21" s="11">
        <v>16</v>
      </c>
      <c r="C21" s="11" t="s">
        <v>7</v>
      </c>
      <c r="D21" s="11">
        <v>1.5</v>
      </c>
      <c r="E21" s="11">
        <v>7.3</v>
      </c>
      <c r="F21" s="11">
        <v>5</v>
      </c>
    </row>
    <row r="22" spans="1:10">
      <c r="A22" s="11" t="s">
        <v>1928</v>
      </c>
      <c r="B22" s="11">
        <v>14</v>
      </c>
      <c r="C22" s="11" t="s">
        <v>7</v>
      </c>
      <c r="D22" s="11">
        <v>0.9</v>
      </c>
      <c r="E22" s="11">
        <v>6.1</v>
      </c>
      <c r="F22" s="11">
        <v>5</v>
      </c>
    </row>
    <row r="23" spans="1:10">
      <c r="A23" s="11" t="s">
        <v>1929</v>
      </c>
      <c r="B23" s="11">
        <v>14</v>
      </c>
      <c r="C23" s="11" t="s">
        <v>7</v>
      </c>
      <c r="D23" s="11">
        <v>1.8</v>
      </c>
      <c r="E23" s="11">
        <v>7.2</v>
      </c>
      <c r="F23" s="11">
        <v>5</v>
      </c>
    </row>
    <row r="24" spans="1:10">
      <c r="A24" s="11" t="s">
        <v>1930</v>
      </c>
      <c r="B24" s="11">
        <v>16</v>
      </c>
      <c r="C24" s="11" t="s">
        <v>7</v>
      </c>
      <c r="D24" s="11">
        <v>1.1000000000000001</v>
      </c>
      <c r="E24" s="11">
        <v>7.5</v>
      </c>
      <c r="F24" s="11">
        <v>5</v>
      </c>
    </row>
    <row r="25" spans="1:10">
      <c r="A25" s="11" t="s">
        <v>1931</v>
      </c>
      <c r="B25" s="11">
        <v>18</v>
      </c>
      <c r="C25" s="11" t="s">
        <v>7</v>
      </c>
      <c r="D25" s="11">
        <v>1.3</v>
      </c>
      <c r="E25" s="11">
        <v>8</v>
      </c>
      <c r="F25" s="11">
        <v>5</v>
      </c>
    </row>
    <row r="26" spans="1:10">
      <c r="A26" s="11"/>
      <c r="B26" s="53"/>
      <c r="C26" s="53"/>
      <c r="D26" s="53"/>
      <c r="E26" s="53"/>
      <c r="F26" s="53"/>
    </row>
    <row r="27" spans="1:10">
      <c r="A27" s="11" t="s">
        <v>1932</v>
      </c>
      <c r="B27" s="11">
        <v>16</v>
      </c>
      <c r="C27" s="11" t="s">
        <v>7</v>
      </c>
      <c r="D27" s="11">
        <v>1.6</v>
      </c>
      <c r="E27" s="11">
        <v>7.4</v>
      </c>
      <c r="F27" s="11">
        <v>5</v>
      </c>
    </row>
    <row r="28" spans="1:10">
      <c r="A28" s="11" t="s">
        <v>1933</v>
      </c>
      <c r="B28" s="11">
        <v>15</v>
      </c>
      <c r="C28" s="11" t="s">
        <v>7</v>
      </c>
      <c r="D28" s="11">
        <v>1.4</v>
      </c>
      <c r="E28" s="11">
        <v>8.1</v>
      </c>
      <c r="F28" s="11">
        <v>5</v>
      </c>
    </row>
    <row r="29" spans="1:10">
      <c r="A29" s="11" t="s">
        <v>1934</v>
      </c>
      <c r="B29" s="11">
        <v>16</v>
      </c>
      <c r="C29" s="11" t="s">
        <v>7</v>
      </c>
      <c r="D29" s="11">
        <v>1.4</v>
      </c>
      <c r="E29" s="11">
        <v>6.8</v>
      </c>
      <c r="F29" s="11">
        <v>5</v>
      </c>
    </row>
    <row r="30" spans="1:10">
      <c r="A30" s="11" t="s">
        <v>1935</v>
      </c>
      <c r="B30" s="11">
        <v>14</v>
      </c>
      <c r="C30" s="11" t="s">
        <v>7</v>
      </c>
      <c r="D30" s="11">
        <v>1.4</v>
      </c>
      <c r="E30" s="11">
        <v>8.9</v>
      </c>
      <c r="F30" s="11">
        <v>5</v>
      </c>
    </row>
    <row r="31" spans="1:10">
      <c r="A31" s="11" t="s">
        <v>1936</v>
      </c>
      <c r="B31" s="11">
        <v>16</v>
      </c>
      <c r="C31" s="11" t="s">
        <v>7</v>
      </c>
      <c r="D31" s="11">
        <v>1.3</v>
      </c>
      <c r="E31" s="11">
        <v>7.9</v>
      </c>
      <c r="F31" s="11">
        <v>5</v>
      </c>
    </row>
    <row r="32" spans="1:10">
      <c r="A32" s="11" t="s">
        <v>1937</v>
      </c>
      <c r="B32" s="11">
        <v>16</v>
      </c>
      <c r="C32" s="11" t="s">
        <v>7</v>
      </c>
      <c r="D32" s="11">
        <v>1.4</v>
      </c>
      <c r="E32" s="11">
        <v>8.3000000000000007</v>
      </c>
      <c r="F32" s="11">
        <v>5</v>
      </c>
    </row>
    <row r="33" spans="1:6">
      <c r="A33" s="11" t="s">
        <v>1938</v>
      </c>
      <c r="B33" s="11">
        <v>14</v>
      </c>
      <c r="C33" s="11" t="s">
        <v>28</v>
      </c>
      <c r="D33" s="11">
        <v>1.8</v>
      </c>
      <c r="E33" s="11">
        <v>7.2</v>
      </c>
      <c r="F33" s="11">
        <v>5</v>
      </c>
    </row>
    <row r="34" spans="1:6">
      <c r="A34" s="11" t="s">
        <v>1939</v>
      </c>
      <c r="B34" s="11">
        <v>14</v>
      </c>
      <c r="C34" s="11" t="s">
        <v>28</v>
      </c>
      <c r="D34" s="11">
        <v>1.4</v>
      </c>
      <c r="E34" s="11">
        <v>6.6</v>
      </c>
      <c r="F34" s="11">
        <v>5</v>
      </c>
    </row>
    <row r="35" spans="1:6">
      <c r="A35" s="11" t="s">
        <v>1940</v>
      </c>
      <c r="B35" s="11">
        <v>14</v>
      </c>
      <c r="C35" s="11" t="s">
        <v>28</v>
      </c>
      <c r="D35" s="11">
        <v>1.6</v>
      </c>
      <c r="E35" s="11">
        <v>9.3000000000000007</v>
      </c>
      <c r="F35" s="11">
        <v>5</v>
      </c>
    </row>
    <row r="36" spans="1:6">
      <c r="A36" s="11" t="s">
        <v>1941</v>
      </c>
      <c r="B36" s="11">
        <v>15</v>
      </c>
      <c r="C36" s="11" t="s">
        <v>28</v>
      </c>
      <c r="D36" s="11">
        <v>1.2</v>
      </c>
      <c r="E36" s="11">
        <v>7.1</v>
      </c>
      <c r="F36" s="11">
        <v>5</v>
      </c>
    </row>
    <row r="37" spans="1:6">
      <c r="A37" s="11" t="s">
        <v>1942</v>
      </c>
      <c r="B37" s="11">
        <v>17</v>
      </c>
      <c r="C37" s="11" t="s">
        <v>28</v>
      </c>
      <c r="D37" s="11">
        <v>1.5</v>
      </c>
      <c r="E37" s="11">
        <v>7.1</v>
      </c>
      <c r="F37" s="11">
        <v>5</v>
      </c>
    </row>
    <row r="38" spans="1:6">
      <c r="A38" s="11" t="s">
        <v>1943</v>
      </c>
      <c r="B38" s="11">
        <v>14</v>
      </c>
      <c r="C38" s="11" t="s">
        <v>28</v>
      </c>
      <c r="D38" s="11">
        <v>1.3</v>
      </c>
      <c r="E38" s="11">
        <v>7.4</v>
      </c>
      <c r="F38" s="11">
        <v>5</v>
      </c>
    </row>
    <row r="39" spans="1:6">
      <c r="A39" s="11" t="s">
        <v>1944</v>
      </c>
      <c r="B39" s="11">
        <v>14</v>
      </c>
      <c r="C39" s="11" t="s">
        <v>28</v>
      </c>
      <c r="D39" s="11">
        <v>1.4</v>
      </c>
      <c r="E39" s="11">
        <v>8.4</v>
      </c>
      <c r="F39" s="11">
        <v>5</v>
      </c>
    </row>
    <row r="40" spans="1:6">
      <c r="A40" s="11" t="s">
        <v>1945</v>
      </c>
      <c r="B40" s="11">
        <v>14</v>
      </c>
      <c r="C40" s="11" t="s">
        <v>28</v>
      </c>
      <c r="D40" s="11">
        <v>1.3</v>
      </c>
      <c r="E40" s="11">
        <v>7.2</v>
      </c>
      <c r="F40" s="11">
        <v>5</v>
      </c>
    </row>
    <row r="41" spans="1:6">
      <c r="A41" s="11"/>
      <c r="B41" s="53"/>
      <c r="C41" s="53"/>
      <c r="D41" s="53"/>
      <c r="E41" s="53"/>
      <c r="F41" s="11"/>
    </row>
    <row r="42" spans="1:6">
      <c r="A42" s="11" t="s">
        <v>1946</v>
      </c>
      <c r="B42" s="11">
        <v>18</v>
      </c>
      <c r="C42" s="11" t="s">
        <v>7</v>
      </c>
      <c r="D42" s="11">
        <v>1.3</v>
      </c>
      <c r="E42" s="11">
        <v>8.5</v>
      </c>
      <c r="F42" s="11">
        <v>5</v>
      </c>
    </row>
    <row r="43" spans="1:6">
      <c r="A43" s="11" t="s">
        <v>1947</v>
      </c>
      <c r="B43" s="11">
        <v>15</v>
      </c>
      <c r="C43" s="11" t="s">
        <v>7</v>
      </c>
      <c r="D43" s="11">
        <v>0.8</v>
      </c>
      <c r="E43" s="11">
        <v>8.6</v>
      </c>
      <c r="F43" s="11">
        <v>5</v>
      </c>
    </row>
    <row r="44" spans="1:6">
      <c r="A44" s="11"/>
      <c r="B44" s="53"/>
      <c r="C44" s="53"/>
      <c r="D44" s="53"/>
      <c r="E44" s="53"/>
      <c r="F44" s="11"/>
    </row>
    <row r="45" spans="1:6">
      <c r="A45" s="11" t="s">
        <v>1948</v>
      </c>
      <c r="B45" s="11">
        <v>16</v>
      </c>
      <c r="C45" s="11" t="s">
        <v>7</v>
      </c>
      <c r="D45" s="11">
        <v>1.4</v>
      </c>
      <c r="E45" s="11">
        <v>6.5</v>
      </c>
      <c r="F45" s="11">
        <v>5</v>
      </c>
    </row>
    <row r="46" spans="1:6">
      <c r="A46" s="11" t="s">
        <v>1949</v>
      </c>
      <c r="B46" s="11">
        <v>16</v>
      </c>
      <c r="C46" s="11" t="s">
        <v>7</v>
      </c>
      <c r="D46" s="11">
        <v>1.2</v>
      </c>
      <c r="E46" s="11">
        <v>7</v>
      </c>
      <c r="F46" s="11">
        <v>5</v>
      </c>
    </row>
    <row r="47" spans="1:6">
      <c r="A47" s="11" t="s">
        <v>1950</v>
      </c>
      <c r="B47" s="11">
        <v>14</v>
      </c>
      <c r="C47" s="11" t="s">
        <v>7</v>
      </c>
      <c r="D47" s="11">
        <v>1.9</v>
      </c>
      <c r="E47" s="11">
        <v>7.6</v>
      </c>
      <c r="F47" s="11">
        <v>5</v>
      </c>
    </row>
    <row r="48" spans="1:6">
      <c r="A48" s="11" t="s">
        <v>1951</v>
      </c>
      <c r="B48" s="11">
        <v>16</v>
      </c>
      <c r="C48" s="11" t="s">
        <v>7</v>
      </c>
      <c r="D48" s="11">
        <v>1</v>
      </c>
      <c r="E48" s="11">
        <v>6.7</v>
      </c>
      <c r="F48" s="11">
        <v>5</v>
      </c>
    </row>
    <row r="49" spans="1:6">
      <c r="A49" s="11" t="s">
        <v>1952</v>
      </c>
      <c r="B49" s="11">
        <v>14</v>
      </c>
      <c r="C49" s="11" t="s">
        <v>7</v>
      </c>
      <c r="D49" s="11">
        <v>1.4</v>
      </c>
      <c r="E49" s="11">
        <v>7</v>
      </c>
      <c r="F49" s="11">
        <v>5</v>
      </c>
    </row>
    <row r="50" spans="1:6">
      <c r="A50" s="11"/>
      <c r="B50" s="53"/>
      <c r="C50" s="53"/>
      <c r="D50" s="53"/>
      <c r="E50" s="53"/>
      <c r="F50" s="11"/>
    </row>
    <row r="51" spans="1:6">
      <c r="A51" s="11" t="s">
        <v>1953</v>
      </c>
      <c r="B51" s="11">
        <v>16</v>
      </c>
      <c r="C51" s="11" t="s">
        <v>7</v>
      </c>
      <c r="D51" s="11">
        <v>1.5</v>
      </c>
      <c r="E51" s="11">
        <v>7.4</v>
      </c>
      <c r="F51" s="11">
        <v>5</v>
      </c>
    </row>
    <row r="52" spans="1:6">
      <c r="A52" s="11" t="s">
        <v>1954</v>
      </c>
      <c r="B52" s="11">
        <v>16</v>
      </c>
      <c r="C52" s="11" t="s">
        <v>7</v>
      </c>
      <c r="D52" s="11">
        <v>1.3</v>
      </c>
      <c r="E52" s="11">
        <v>6.9</v>
      </c>
      <c r="F52" s="11">
        <v>4</v>
      </c>
    </row>
    <row r="53" spans="1:6">
      <c r="A53" s="11" t="s">
        <v>1955</v>
      </c>
      <c r="B53" s="11">
        <v>16</v>
      </c>
      <c r="C53" s="11" t="s">
        <v>7</v>
      </c>
      <c r="D53" s="11">
        <v>1.2</v>
      </c>
      <c r="E53" s="11">
        <v>8.1999999999999993</v>
      </c>
      <c r="F53" s="11">
        <v>5</v>
      </c>
    </row>
    <row r="54" spans="1:6">
      <c r="A54" s="11" t="s">
        <v>1956</v>
      </c>
      <c r="B54" s="11">
        <v>16</v>
      </c>
      <c r="C54" s="11" t="s">
        <v>7</v>
      </c>
      <c r="D54" s="11">
        <v>1.2</v>
      </c>
      <c r="E54" s="11">
        <v>8.1999999999999993</v>
      </c>
      <c r="F54" s="11">
        <v>5</v>
      </c>
    </row>
    <row r="55" spans="1:6">
      <c r="A55" s="11" t="s">
        <v>1957</v>
      </c>
      <c r="B55" s="11">
        <v>18</v>
      </c>
      <c r="C55" s="11" t="s">
        <v>7</v>
      </c>
      <c r="D55" s="11">
        <v>1.1000000000000001</v>
      </c>
      <c r="E55" s="11">
        <v>8</v>
      </c>
      <c r="F55" s="11">
        <v>5</v>
      </c>
    </row>
    <row r="56" spans="1:6">
      <c r="A56" s="11" t="s">
        <v>1958</v>
      </c>
      <c r="B56" s="11">
        <v>16</v>
      </c>
      <c r="C56" s="11" t="s">
        <v>7</v>
      </c>
      <c r="D56" s="11">
        <v>1.2</v>
      </c>
      <c r="E56" s="11">
        <v>8.1999999999999993</v>
      </c>
      <c r="F56" s="11">
        <v>5</v>
      </c>
    </row>
    <row r="57" spans="1:6">
      <c r="A57" s="11" t="s">
        <v>1959</v>
      </c>
      <c r="B57" s="11">
        <v>16</v>
      </c>
      <c r="C57" s="11" t="s">
        <v>28</v>
      </c>
      <c r="D57" s="11">
        <v>1.3</v>
      </c>
      <c r="E57" s="11">
        <v>6.8</v>
      </c>
      <c r="F57" s="11">
        <v>4</v>
      </c>
    </row>
    <row r="58" spans="1:6">
      <c r="A58" s="11" t="s">
        <v>1960</v>
      </c>
      <c r="B58" s="11">
        <v>16</v>
      </c>
      <c r="C58" s="11" t="s">
        <v>28</v>
      </c>
      <c r="D58" s="11">
        <v>1.3</v>
      </c>
      <c r="E58" s="11">
        <v>7</v>
      </c>
      <c r="F58" s="11">
        <v>5</v>
      </c>
    </row>
    <row r="59" spans="1:6">
      <c r="A59" s="11" t="s">
        <v>1961</v>
      </c>
      <c r="B59" s="11">
        <v>16</v>
      </c>
      <c r="C59" s="11" t="s">
        <v>28</v>
      </c>
      <c r="D59" s="11">
        <v>1.5</v>
      </c>
      <c r="E59" s="11">
        <v>7.5</v>
      </c>
      <c r="F59" s="11">
        <v>5</v>
      </c>
    </row>
    <row r="60" spans="1:6">
      <c r="A60" s="11" t="s">
        <v>1962</v>
      </c>
      <c r="B60" s="11">
        <v>16</v>
      </c>
      <c r="C60" s="11" t="s">
        <v>28</v>
      </c>
      <c r="D60" s="11">
        <v>1.4</v>
      </c>
      <c r="E60" s="11">
        <v>7.3</v>
      </c>
      <c r="F60" s="11">
        <v>5</v>
      </c>
    </row>
    <row r="61" spans="1:6">
      <c r="A61" s="11" t="s">
        <v>1963</v>
      </c>
      <c r="B61" s="11">
        <v>16</v>
      </c>
      <c r="C61" s="11" t="s">
        <v>28</v>
      </c>
      <c r="D61" s="11">
        <v>1.5</v>
      </c>
      <c r="E61" s="11">
        <v>8.5</v>
      </c>
      <c r="F61" s="11">
        <v>5</v>
      </c>
    </row>
    <row r="62" spans="1:6">
      <c r="A62" s="11" t="s">
        <v>1964</v>
      </c>
      <c r="B62" s="11">
        <v>16</v>
      </c>
      <c r="C62" s="11" t="s">
        <v>28</v>
      </c>
      <c r="D62" s="11">
        <v>1.4</v>
      </c>
      <c r="E62" s="11">
        <v>8.9</v>
      </c>
      <c r="F62" s="11">
        <v>5</v>
      </c>
    </row>
    <row r="63" spans="1:6">
      <c r="A63" s="11" t="s">
        <v>1965</v>
      </c>
      <c r="B63" s="11">
        <v>19</v>
      </c>
      <c r="C63" s="11" t="s">
        <v>28</v>
      </c>
      <c r="D63" s="11">
        <v>2.1</v>
      </c>
      <c r="E63" s="11">
        <v>8.8000000000000007</v>
      </c>
      <c r="F63" s="11">
        <v>5</v>
      </c>
    </row>
    <row r="64" spans="1:6">
      <c r="A64" s="11" t="s">
        <v>1966</v>
      </c>
      <c r="B64" s="11">
        <v>18</v>
      </c>
      <c r="C64" s="11" t="s">
        <v>7</v>
      </c>
      <c r="D64" s="11">
        <v>1.4</v>
      </c>
      <c r="E64" s="11">
        <v>7.3</v>
      </c>
      <c r="F64" s="11">
        <v>5</v>
      </c>
    </row>
    <row r="65" spans="1:6">
      <c r="A65" s="11" t="s">
        <v>1967</v>
      </c>
      <c r="B65" s="11">
        <v>18</v>
      </c>
      <c r="C65" s="11" t="s">
        <v>7</v>
      </c>
      <c r="D65" s="11">
        <v>1.3</v>
      </c>
      <c r="E65" s="11">
        <v>7.2</v>
      </c>
      <c r="F65" s="11">
        <v>5</v>
      </c>
    </row>
    <row r="66" spans="1:6">
      <c r="A66" s="11" t="s">
        <v>1968</v>
      </c>
      <c r="B66" s="11">
        <v>16</v>
      </c>
      <c r="C66" s="11" t="s">
        <v>7</v>
      </c>
      <c r="D66" s="11">
        <v>1.3</v>
      </c>
      <c r="E66" s="11">
        <v>7.3</v>
      </c>
      <c r="F66" s="11">
        <v>5</v>
      </c>
    </row>
    <row r="67" spans="1:6">
      <c r="A67" s="11"/>
      <c r="B67" s="53"/>
      <c r="C67" s="53"/>
      <c r="D67" s="53"/>
      <c r="E67" s="53"/>
      <c r="F67" s="11"/>
    </row>
    <row r="68" spans="1:6">
      <c r="A68" s="11" t="s">
        <v>1969</v>
      </c>
      <c r="B68" s="11">
        <v>16</v>
      </c>
      <c r="C68" s="11" t="s">
        <v>7</v>
      </c>
      <c r="D68" s="11">
        <v>1.4</v>
      </c>
      <c r="E68" s="11">
        <v>8.6</v>
      </c>
      <c r="F68" s="11">
        <v>5</v>
      </c>
    </row>
    <row r="69" spans="1:6">
      <c r="A69" s="11" t="s">
        <v>1970</v>
      </c>
      <c r="B69" s="11">
        <v>16</v>
      </c>
      <c r="C69" s="11" t="s">
        <v>7</v>
      </c>
      <c r="D69" s="11">
        <v>1.6</v>
      </c>
      <c r="E69" s="11">
        <v>9.1999999999999993</v>
      </c>
      <c r="F69" s="11">
        <v>5</v>
      </c>
    </row>
    <row r="70" spans="1:6">
      <c r="A70" s="11" t="s">
        <v>1971</v>
      </c>
      <c r="B70" s="11">
        <v>15</v>
      </c>
      <c r="C70" s="11" t="s">
        <v>7</v>
      </c>
      <c r="D70" s="11">
        <v>1.2</v>
      </c>
      <c r="E70" s="11">
        <v>8.1999999999999993</v>
      </c>
      <c r="F70" s="11">
        <v>5</v>
      </c>
    </row>
    <row r="71" spans="1:6">
      <c r="A71" s="11" t="s">
        <v>1972</v>
      </c>
      <c r="B71" s="11">
        <v>16</v>
      </c>
      <c r="C71" s="11" t="s">
        <v>7</v>
      </c>
      <c r="D71" s="11">
        <v>1.2</v>
      </c>
      <c r="E71" s="11">
        <v>8</v>
      </c>
      <c r="F71" s="11">
        <v>5</v>
      </c>
    </row>
    <row r="72" spans="1:6">
      <c r="A72" s="11" t="s">
        <v>1973</v>
      </c>
      <c r="B72" s="11">
        <v>15</v>
      </c>
      <c r="C72" s="11" t="s">
        <v>7</v>
      </c>
      <c r="D72" s="11">
        <v>1.2</v>
      </c>
      <c r="E72" s="11">
        <v>7.8</v>
      </c>
      <c r="F72" s="11">
        <v>5</v>
      </c>
    </row>
    <row r="73" spans="1:6">
      <c r="A73" s="11" t="s">
        <v>1974</v>
      </c>
      <c r="B73" s="11">
        <v>16</v>
      </c>
      <c r="C73" s="11" t="s">
        <v>7</v>
      </c>
      <c r="D73" s="11">
        <v>1.5</v>
      </c>
      <c r="E73" s="11">
        <v>9.5</v>
      </c>
      <c r="F73" s="11">
        <v>5</v>
      </c>
    </row>
    <row r="74" spans="1:6">
      <c r="A74" s="11" t="s">
        <v>1975</v>
      </c>
      <c r="B74" s="11">
        <v>16</v>
      </c>
      <c r="C74" s="11" t="s">
        <v>28</v>
      </c>
      <c r="D74" s="11">
        <v>2</v>
      </c>
      <c r="E74" s="11">
        <v>7.9</v>
      </c>
      <c r="F74" s="11">
        <v>5</v>
      </c>
    </row>
    <row r="75" spans="1:6">
      <c r="A75" s="11" t="s">
        <v>1976</v>
      </c>
      <c r="B75" s="11">
        <v>14</v>
      </c>
      <c r="C75" s="11" t="s">
        <v>28</v>
      </c>
      <c r="D75" s="11">
        <v>1.4</v>
      </c>
      <c r="E75" s="11">
        <v>8.1999999999999993</v>
      </c>
      <c r="F75" s="11">
        <v>5</v>
      </c>
    </row>
    <row r="76" spans="1:6">
      <c r="A76" s="11" t="s">
        <v>1977</v>
      </c>
      <c r="B76" s="11">
        <v>15</v>
      </c>
      <c r="C76" s="11" t="s">
        <v>28</v>
      </c>
      <c r="D76" s="11">
        <v>1.4</v>
      </c>
      <c r="E76" s="11">
        <v>8.8000000000000007</v>
      </c>
      <c r="F76" s="11">
        <v>5</v>
      </c>
    </row>
    <row r="77" spans="1:6">
      <c r="A77" s="11" t="s">
        <v>1978</v>
      </c>
      <c r="B77" s="11">
        <v>16</v>
      </c>
      <c r="C77" s="11" t="s">
        <v>28</v>
      </c>
      <c r="D77" s="11">
        <v>1.5</v>
      </c>
      <c r="E77" s="11">
        <v>7.8</v>
      </c>
      <c r="F77" s="11">
        <v>5</v>
      </c>
    </row>
    <row r="78" spans="1:6">
      <c r="A78" s="11" t="s">
        <v>1979</v>
      </c>
      <c r="B78" s="11">
        <v>16</v>
      </c>
      <c r="C78" s="11" t="s">
        <v>28</v>
      </c>
      <c r="D78" s="11">
        <v>1.5</v>
      </c>
      <c r="E78" s="11">
        <v>8.9</v>
      </c>
      <c r="F78" s="11">
        <v>5</v>
      </c>
    </row>
    <row r="79" spans="1:6">
      <c r="A79" s="11" t="s">
        <v>1980</v>
      </c>
      <c r="B79" s="11">
        <v>14</v>
      </c>
      <c r="C79" s="11" t="s">
        <v>28</v>
      </c>
      <c r="D79" s="11">
        <v>1.4</v>
      </c>
      <c r="E79" s="11">
        <v>7.3</v>
      </c>
      <c r="F79" s="11">
        <v>5</v>
      </c>
    </row>
    <row r="80" spans="1:6">
      <c r="A80" s="11" t="s">
        <v>1981</v>
      </c>
      <c r="B80" s="11">
        <v>14</v>
      </c>
      <c r="C80" s="11" t="s">
        <v>1702</v>
      </c>
      <c r="D80" s="11">
        <v>1.4</v>
      </c>
      <c r="E80" s="11">
        <v>9.4</v>
      </c>
      <c r="F80" s="11">
        <v>5</v>
      </c>
    </row>
    <row r="81" spans="1:6">
      <c r="A81" s="11" t="s">
        <v>1982</v>
      </c>
      <c r="B81" s="11">
        <v>15</v>
      </c>
      <c r="C81" s="11" t="s">
        <v>1702</v>
      </c>
      <c r="D81" s="11">
        <v>1.4</v>
      </c>
      <c r="E81" s="11">
        <v>8.9</v>
      </c>
      <c r="F81" s="11">
        <v>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BD8A0-93BA-43A3-B100-D9EDA73FF70E}">
  <dimension ref="A1:N76"/>
  <sheetViews>
    <sheetView tabSelected="1" topLeftCell="A5" workbookViewId="0">
      <selection activeCell="K20" sqref="K20"/>
    </sheetView>
  </sheetViews>
  <sheetFormatPr defaultRowHeight="14.45"/>
  <cols>
    <col min="4" max="4" width="16" customWidth="1"/>
    <col min="5" max="5" width="13.7109375" customWidth="1"/>
    <col min="6" max="6" width="15.7109375" customWidth="1"/>
    <col min="8" max="8" width="11.85546875" customWidth="1"/>
    <col min="10" max="10" width="15.28515625" customWidth="1"/>
    <col min="11" max="11" width="12.7109375" customWidth="1"/>
    <col min="12" max="12" width="18.28515625" customWidth="1"/>
    <col min="13" max="13" width="14.85546875" customWidth="1"/>
  </cols>
  <sheetData>
    <row r="1" spans="1:14">
      <c r="B1" t="s">
        <v>1983</v>
      </c>
      <c r="F1" t="s">
        <v>639</v>
      </c>
    </row>
    <row r="2" spans="1:14">
      <c r="A2" s="53" t="s">
        <v>1</v>
      </c>
      <c r="B2" s="53" t="s">
        <v>641</v>
      </c>
      <c r="C2" s="53" t="s">
        <v>3</v>
      </c>
      <c r="D2" s="53" t="s">
        <v>4</v>
      </c>
      <c r="E2" s="53" t="s">
        <v>5</v>
      </c>
      <c r="F2" s="53" t="s">
        <v>640</v>
      </c>
    </row>
    <row r="3" spans="1:14">
      <c r="A3" s="11" t="s">
        <v>1984</v>
      </c>
      <c r="B3" s="11">
        <v>15</v>
      </c>
      <c r="C3" s="11" t="s">
        <v>7</v>
      </c>
      <c r="D3" s="11">
        <v>1.7</v>
      </c>
      <c r="E3" s="11">
        <v>10.6</v>
      </c>
      <c r="F3" s="11"/>
    </row>
    <row r="4" spans="1:14">
      <c r="A4" s="11" t="s">
        <v>1985</v>
      </c>
      <c r="B4" s="11">
        <v>16</v>
      </c>
      <c r="C4" s="11" t="s">
        <v>7</v>
      </c>
      <c r="D4" s="11">
        <v>1.7</v>
      </c>
      <c r="E4" s="11">
        <v>8.6999999999999993</v>
      </c>
      <c r="F4" s="11"/>
      <c r="H4" s="53"/>
      <c r="I4" s="53" t="s">
        <v>641</v>
      </c>
      <c r="J4" s="53" t="s">
        <v>3</v>
      </c>
      <c r="K4" s="53" t="s">
        <v>4</v>
      </c>
      <c r="L4" s="53" t="s">
        <v>5</v>
      </c>
      <c r="M4" s="11" t="s">
        <v>640</v>
      </c>
      <c r="N4" s="53"/>
    </row>
    <row r="5" spans="1:14">
      <c r="A5" s="11" t="s">
        <v>1986</v>
      </c>
      <c r="B5" s="11">
        <v>16</v>
      </c>
      <c r="C5" s="11" t="s">
        <v>7</v>
      </c>
      <c r="D5" s="11">
        <v>1.4</v>
      </c>
      <c r="E5" s="11">
        <v>8.6</v>
      </c>
      <c r="F5" s="11"/>
      <c r="H5" s="53" t="s">
        <v>643</v>
      </c>
      <c r="I5" s="53">
        <v>56.5</v>
      </c>
      <c r="J5" s="53">
        <v>91.3</v>
      </c>
      <c r="K5" s="53">
        <v>82.6</v>
      </c>
      <c r="L5" s="53">
        <v>87</v>
      </c>
      <c r="M5" s="11" t="e">
        <f>AVERAGE(F3:F25)*20</f>
        <v>#DIV/0!</v>
      </c>
      <c r="N5" s="53"/>
    </row>
    <row r="6" spans="1:14">
      <c r="A6" s="11" t="s">
        <v>1987</v>
      </c>
      <c r="B6" s="11">
        <v>15</v>
      </c>
      <c r="C6" s="11" t="s">
        <v>7</v>
      </c>
      <c r="D6" s="11">
        <v>1.6</v>
      </c>
      <c r="E6" s="11">
        <v>7.5</v>
      </c>
      <c r="F6" s="11"/>
      <c r="H6" s="53" t="s">
        <v>645</v>
      </c>
      <c r="I6" s="53">
        <v>75</v>
      </c>
      <c r="J6" s="53">
        <v>42.9</v>
      </c>
      <c r="K6" s="53">
        <v>100</v>
      </c>
      <c r="L6" s="53">
        <v>100</v>
      </c>
      <c r="M6" s="11">
        <f>AVERAGE(F27:F38)*20</f>
        <v>98.333333333333343</v>
      </c>
      <c r="N6" s="53"/>
    </row>
    <row r="7" spans="1:14">
      <c r="A7" s="11" t="s">
        <v>1988</v>
      </c>
      <c r="B7" s="11">
        <v>14</v>
      </c>
      <c r="C7" s="11" t="s">
        <v>7</v>
      </c>
      <c r="D7" s="11">
        <v>2.1</v>
      </c>
      <c r="E7" s="11">
        <v>8.4</v>
      </c>
      <c r="F7" s="11"/>
      <c r="H7" s="53" t="s">
        <v>647</v>
      </c>
      <c r="I7" s="53">
        <v>50</v>
      </c>
      <c r="J7" s="53">
        <v>100</v>
      </c>
      <c r="K7" s="53">
        <v>50</v>
      </c>
      <c r="L7" s="53">
        <v>100</v>
      </c>
      <c r="M7" s="11" t="e">
        <f>AVERAGE(F40:F41)*20</f>
        <v>#DIV/0!</v>
      </c>
      <c r="N7" s="53"/>
    </row>
    <row r="8" spans="1:14">
      <c r="A8" s="11" t="s">
        <v>1989</v>
      </c>
      <c r="B8" s="11">
        <v>16</v>
      </c>
      <c r="C8" s="11" t="s">
        <v>7</v>
      </c>
      <c r="D8" s="11">
        <v>1.1000000000000001</v>
      </c>
      <c r="E8" s="11">
        <v>8.1999999999999993</v>
      </c>
      <c r="F8" s="11"/>
      <c r="H8" s="53" t="s">
        <v>649</v>
      </c>
      <c r="I8" s="53">
        <v>40</v>
      </c>
      <c r="J8" s="53">
        <v>100</v>
      </c>
      <c r="K8" s="53">
        <v>60</v>
      </c>
      <c r="L8" s="53">
        <v>100</v>
      </c>
      <c r="M8" s="11">
        <f>AVERAGE(F43:F47)*20</f>
        <v>100</v>
      </c>
      <c r="N8" s="53"/>
    </row>
    <row r="9" spans="1:14">
      <c r="A9" s="11" t="s">
        <v>1990</v>
      </c>
      <c r="B9" s="11">
        <v>17</v>
      </c>
      <c r="C9" s="11" t="s">
        <v>7</v>
      </c>
      <c r="D9" s="11">
        <v>1.7</v>
      </c>
      <c r="E9" s="11">
        <v>8.1</v>
      </c>
      <c r="F9" s="11"/>
      <c r="H9" s="53" t="s">
        <v>651</v>
      </c>
      <c r="I9" s="53">
        <v>100</v>
      </c>
      <c r="J9" s="53">
        <v>61.5</v>
      </c>
      <c r="K9" s="53">
        <v>92.3</v>
      </c>
      <c r="L9" s="53">
        <v>96.9</v>
      </c>
      <c r="M9" s="11">
        <f>AVERAGE(F49:F61)*20</f>
        <v>95.384615384615387</v>
      </c>
      <c r="N9" s="53"/>
    </row>
    <row r="10" spans="1:14">
      <c r="A10" s="11" t="s">
        <v>1991</v>
      </c>
      <c r="B10" s="11">
        <v>16</v>
      </c>
      <c r="C10" s="11" t="s">
        <v>7</v>
      </c>
      <c r="D10" s="11">
        <v>1.5</v>
      </c>
      <c r="E10" s="11">
        <v>7.2</v>
      </c>
      <c r="F10" s="11"/>
      <c r="H10" s="53" t="s">
        <v>653</v>
      </c>
      <c r="I10" s="53">
        <v>83.3</v>
      </c>
      <c r="J10" s="53">
        <v>50</v>
      </c>
      <c r="K10" s="53">
        <v>100</v>
      </c>
      <c r="L10" s="53">
        <v>100</v>
      </c>
      <c r="M10" s="11">
        <f>AVERAGE(F63:F74)*20</f>
        <v>100</v>
      </c>
      <c r="N10" s="53"/>
    </row>
    <row r="11" spans="1:14">
      <c r="A11" s="11" t="s">
        <v>1992</v>
      </c>
      <c r="B11" s="11">
        <v>17</v>
      </c>
      <c r="C11" s="11" t="s">
        <v>7</v>
      </c>
      <c r="D11" s="11">
        <v>1.7</v>
      </c>
      <c r="E11" s="11">
        <v>8.6999999999999993</v>
      </c>
      <c r="F11" s="11"/>
    </row>
    <row r="12" spans="1:14">
      <c r="A12" s="11" t="s">
        <v>1993</v>
      </c>
      <c r="B12" s="11">
        <v>15</v>
      </c>
      <c r="C12" s="11" t="s">
        <v>7</v>
      </c>
      <c r="D12" s="11">
        <v>1.4</v>
      </c>
      <c r="E12" s="11">
        <v>8.5</v>
      </c>
      <c r="F12" s="11"/>
      <c r="I12" t="s">
        <v>656</v>
      </c>
      <c r="J12" t="s">
        <v>657</v>
      </c>
      <c r="K12" t="s">
        <v>658</v>
      </c>
      <c r="L12" t="s">
        <v>659</v>
      </c>
      <c r="M12">
        <v>0.05</v>
      </c>
    </row>
    <row r="13" spans="1:14">
      <c r="A13" s="11" t="s">
        <v>1994</v>
      </c>
      <c r="B13" s="11">
        <v>17</v>
      </c>
      <c r="C13" s="11" t="s">
        <v>7</v>
      </c>
      <c r="D13" s="11">
        <v>1.2</v>
      </c>
      <c r="E13" s="11">
        <v>6.9</v>
      </c>
      <c r="F13" s="11"/>
    </row>
    <row r="14" spans="1:14">
      <c r="A14" s="11" t="s">
        <v>1995</v>
      </c>
      <c r="B14" s="11">
        <v>15</v>
      </c>
      <c r="C14" s="11" t="s">
        <v>7</v>
      </c>
      <c r="D14" s="11">
        <v>1.4</v>
      </c>
      <c r="E14" s="11">
        <v>8.6999999999999993</v>
      </c>
      <c r="F14" s="11"/>
    </row>
    <row r="15" spans="1:14">
      <c r="A15" s="11" t="s">
        <v>1996</v>
      </c>
      <c r="B15" s="11">
        <v>16</v>
      </c>
      <c r="C15" s="11" t="s">
        <v>7</v>
      </c>
      <c r="D15" s="11">
        <v>1</v>
      </c>
      <c r="E15" s="11">
        <v>7.1</v>
      </c>
      <c r="F15" s="11"/>
    </row>
    <row r="16" spans="1:14">
      <c r="A16" s="11" t="s">
        <v>1997</v>
      </c>
      <c r="B16" s="11">
        <v>14</v>
      </c>
      <c r="C16" s="11" t="s">
        <v>7</v>
      </c>
      <c r="D16" s="11">
        <v>1</v>
      </c>
      <c r="E16" s="11">
        <v>7</v>
      </c>
      <c r="F16" s="11"/>
      <c r="H16" s="53" t="s">
        <v>1306</v>
      </c>
      <c r="I16" s="53"/>
      <c r="J16" s="11">
        <v>5.4</v>
      </c>
    </row>
    <row r="17" spans="1:11">
      <c r="A17" s="11" t="s">
        <v>1998</v>
      </c>
      <c r="B17" s="11">
        <v>17</v>
      </c>
      <c r="C17" s="11" t="s">
        <v>7</v>
      </c>
      <c r="D17" s="11">
        <v>1.2</v>
      </c>
      <c r="E17" s="11">
        <v>6.4</v>
      </c>
      <c r="F17" s="11"/>
      <c r="H17" s="53" t="s">
        <v>1308</v>
      </c>
      <c r="I17" s="53"/>
      <c r="J17" s="11">
        <v>3.1</v>
      </c>
    </row>
    <row r="18" spans="1:11">
      <c r="A18" s="11" t="s">
        <v>1999</v>
      </c>
      <c r="B18" s="11">
        <v>15</v>
      </c>
      <c r="C18" s="11" t="s">
        <v>7</v>
      </c>
      <c r="D18" s="11">
        <v>1.1000000000000001</v>
      </c>
      <c r="E18" s="11">
        <v>6.9</v>
      </c>
      <c r="F18" s="11"/>
      <c r="H18" s="53" t="s">
        <v>1310</v>
      </c>
      <c r="I18" s="53"/>
      <c r="J18" s="11">
        <v>4.5</v>
      </c>
    </row>
    <row r="19" spans="1:11">
      <c r="A19" s="11" t="s">
        <v>2000</v>
      </c>
      <c r="B19" s="11">
        <v>16</v>
      </c>
      <c r="C19" s="11" t="s">
        <v>7</v>
      </c>
      <c r="D19" s="11">
        <v>1.3</v>
      </c>
      <c r="E19" s="11">
        <v>7.5</v>
      </c>
      <c r="F19" s="11"/>
    </row>
    <row r="20" spans="1:11">
      <c r="A20" s="11" t="s">
        <v>2001</v>
      </c>
      <c r="B20" s="11">
        <v>17</v>
      </c>
      <c r="C20" s="11" t="s">
        <v>7</v>
      </c>
      <c r="D20" s="11">
        <v>1.2</v>
      </c>
      <c r="E20" s="11">
        <v>8.5</v>
      </c>
      <c r="F20" s="11"/>
    </row>
    <row r="21" spans="1:11">
      <c r="A21" s="11" t="s">
        <v>2002</v>
      </c>
      <c r="B21" s="11">
        <v>14</v>
      </c>
      <c r="C21" s="11" t="s">
        <v>7</v>
      </c>
      <c r="D21" s="11">
        <v>1.4</v>
      </c>
      <c r="E21" s="11">
        <v>6.5</v>
      </c>
      <c r="F21" s="11"/>
    </row>
    <row r="22" spans="1:11">
      <c r="A22" s="11" t="s">
        <v>2003</v>
      </c>
      <c r="B22" s="11">
        <v>18</v>
      </c>
      <c r="C22" s="11" t="s">
        <v>7</v>
      </c>
      <c r="D22" s="11">
        <v>1.2</v>
      </c>
      <c r="E22" s="11">
        <v>6.8</v>
      </c>
      <c r="F22" s="11"/>
    </row>
    <row r="23" spans="1:11">
      <c r="A23" s="11" t="s">
        <v>2004</v>
      </c>
      <c r="B23" s="11">
        <v>15</v>
      </c>
      <c r="C23" s="11" t="s">
        <v>7</v>
      </c>
      <c r="D23" s="11">
        <v>1.6</v>
      </c>
      <c r="E23" s="11">
        <v>8.6999999999999993</v>
      </c>
      <c r="F23" s="11"/>
    </row>
    <row r="24" spans="1:11">
      <c r="A24" s="11" t="s">
        <v>2005</v>
      </c>
      <c r="B24" s="11">
        <v>15</v>
      </c>
      <c r="C24" s="11" t="s">
        <v>28</v>
      </c>
      <c r="D24" s="11">
        <v>1.1000000000000001</v>
      </c>
      <c r="E24" s="11">
        <v>6.4</v>
      </c>
      <c r="F24" s="11"/>
      <c r="H24" s="5"/>
      <c r="I24" s="5"/>
      <c r="J24" s="5"/>
      <c r="K24" s="5"/>
    </row>
    <row r="25" spans="1:11">
      <c r="A25" s="11" t="s">
        <v>2006</v>
      </c>
      <c r="B25" s="11">
        <v>16</v>
      </c>
      <c r="C25" s="11" t="s">
        <v>28</v>
      </c>
      <c r="D25" s="11">
        <v>1.4</v>
      </c>
      <c r="E25" s="11">
        <v>8.4</v>
      </c>
      <c r="F25" s="11"/>
    </row>
    <row r="26" spans="1:11">
      <c r="A26" s="11"/>
      <c r="B26" s="53"/>
      <c r="C26" s="53"/>
      <c r="D26" s="53"/>
      <c r="E26" s="53"/>
      <c r="F26" s="53"/>
    </row>
    <row r="27" spans="1:11">
      <c r="A27" s="11" t="s">
        <v>2007</v>
      </c>
      <c r="B27" s="11">
        <v>16</v>
      </c>
      <c r="C27" s="11" t="s">
        <v>7</v>
      </c>
      <c r="D27" s="11">
        <v>1.9</v>
      </c>
      <c r="E27" s="11">
        <v>8.8000000000000007</v>
      </c>
      <c r="F27" s="11">
        <v>5</v>
      </c>
    </row>
    <row r="28" spans="1:11">
      <c r="A28" s="11" t="s">
        <v>2008</v>
      </c>
      <c r="B28" s="11">
        <v>16</v>
      </c>
      <c r="C28" s="11" t="s">
        <v>7</v>
      </c>
      <c r="D28" s="11">
        <v>2.5</v>
      </c>
      <c r="E28" s="11">
        <v>10.6</v>
      </c>
      <c r="F28" s="11">
        <v>4</v>
      </c>
    </row>
    <row r="29" spans="1:11">
      <c r="A29" s="11" t="s">
        <v>2009</v>
      </c>
      <c r="B29" s="11">
        <v>17</v>
      </c>
      <c r="C29" s="11" t="s">
        <v>7</v>
      </c>
      <c r="D29" s="11">
        <v>1.5</v>
      </c>
      <c r="E29" s="11">
        <v>8.8000000000000007</v>
      </c>
      <c r="F29" s="11">
        <v>5</v>
      </c>
    </row>
    <row r="30" spans="1:11">
      <c r="A30" s="11" t="s">
        <v>2010</v>
      </c>
      <c r="B30" s="11">
        <v>16</v>
      </c>
      <c r="C30" s="11" t="s">
        <v>7</v>
      </c>
      <c r="D30" s="11">
        <v>1.3</v>
      </c>
      <c r="E30" s="11">
        <v>9.5</v>
      </c>
      <c r="F30" s="11">
        <v>5</v>
      </c>
    </row>
    <row r="31" spans="1:11">
      <c r="A31" s="11" t="s">
        <v>2011</v>
      </c>
      <c r="B31" s="11">
        <v>14</v>
      </c>
      <c r="C31" s="11" t="s">
        <v>7</v>
      </c>
      <c r="D31" s="11">
        <v>1.9</v>
      </c>
      <c r="E31" s="11">
        <v>10</v>
      </c>
      <c r="F31" s="11">
        <v>5</v>
      </c>
    </row>
    <row r="32" spans="1:11">
      <c r="A32" s="11" t="s">
        <v>2012</v>
      </c>
      <c r="B32" s="11">
        <v>18</v>
      </c>
      <c r="C32" s="11" t="s">
        <v>7</v>
      </c>
      <c r="D32" s="11">
        <v>1.4</v>
      </c>
      <c r="E32" s="11">
        <v>9.5</v>
      </c>
      <c r="F32" s="11">
        <v>5</v>
      </c>
    </row>
    <row r="33" spans="1:6">
      <c r="A33" s="11" t="s">
        <v>2013</v>
      </c>
      <c r="B33" s="11">
        <v>14</v>
      </c>
      <c r="C33" s="11" t="s">
        <v>28</v>
      </c>
      <c r="D33" s="11">
        <v>1.8</v>
      </c>
      <c r="E33" s="11">
        <v>10.3</v>
      </c>
      <c r="F33" s="11">
        <v>5</v>
      </c>
    </row>
    <row r="34" spans="1:6">
      <c r="A34" s="11" t="s">
        <v>2014</v>
      </c>
      <c r="B34" s="11">
        <v>18</v>
      </c>
      <c r="C34" s="11" t="s">
        <v>28</v>
      </c>
      <c r="D34" s="11">
        <v>1.7</v>
      </c>
      <c r="E34" s="11">
        <v>9.6</v>
      </c>
      <c r="F34" s="11">
        <v>5</v>
      </c>
    </row>
    <row r="35" spans="1:6">
      <c r="A35" s="11" t="s">
        <v>2015</v>
      </c>
      <c r="B35" s="11">
        <v>16</v>
      </c>
      <c r="C35" s="11" t="s">
        <v>28</v>
      </c>
      <c r="D35" s="11">
        <v>1.9</v>
      </c>
      <c r="E35" s="11">
        <v>9.3000000000000007</v>
      </c>
      <c r="F35" s="11">
        <v>5</v>
      </c>
    </row>
    <row r="36" spans="1:6">
      <c r="A36" s="11" t="s">
        <v>2016</v>
      </c>
      <c r="B36" s="11">
        <v>16</v>
      </c>
      <c r="C36" s="11" t="s">
        <v>28</v>
      </c>
      <c r="D36" s="11">
        <v>1.5</v>
      </c>
      <c r="E36" s="11">
        <v>9.1999999999999993</v>
      </c>
      <c r="F36" s="11">
        <v>5</v>
      </c>
    </row>
    <row r="37" spans="1:6">
      <c r="A37" s="11" t="s">
        <v>2017</v>
      </c>
      <c r="B37" s="11">
        <v>15</v>
      </c>
      <c r="C37" s="11" t="s">
        <v>28</v>
      </c>
      <c r="D37" s="11">
        <v>1.6</v>
      </c>
      <c r="E37" s="11">
        <v>9.5</v>
      </c>
      <c r="F37" s="11">
        <v>5</v>
      </c>
    </row>
    <row r="38" spans="1:6">
      <c r="A38" s="11" t="s">
        <v>2018</v>
      </c>
      <c r="B38" s="11">
        <v>16</v>
      </c>
      <c r="C38" s="11" t="s">
        <v>28</v>
      </c>
      <c r="D38" s="11">
        <v>1.5</v>
      </c>
      <c r="E38" s="11">
        <v>9.6999999999999993</v>
      </c>
      <c r="F38" s="11">
        <v>5</v>
      </c>
    </row>
    <row r="39" spans="1:6">
      <c r="A39" s="11"/>
      <c r="B39" s="53"/>
      <c r="C39" s="53"/>
      <c r="D39" s="53"/>
      <c r="E39" s="53"/>
      <c r="F39" s="11"/>
    </row>
    <row r="40" spans="1:6">
      <c r="A40" s="11" t="s">
        <v>2019</v>
      </c>
      <c r="B40" s="11">
        <v>16</v>
      </c>
      <c r="C40" s="11" t="s">
        <v>7</v>
      </c>
      <c r="D40" s="11">
        <v>1.2</v>
      </c>
      <c r="E40" s="11">
        <v>7.9</v>
      </c>
      <c r="F40" s="11"/>
    </row>
    <row r="41" spans="1:6">
      <c r="A41" s="11" t="s">
        <v>2020</v>
      </c>
      <c r="B41" s="11">
        <v>14</v>
      </c>
      <c r="C41" s="11" t="s">
        <v>7</v>
      </c>
      <c r="D41" s="11">
        <v>1.1000000000000001</v>
      </c>
      <c r="E41" s="11">
        <v>8.1999999999999993</v>
      </c>
      <c r="F41" s="11"/>
    </row>
    <row r="42" spans="1:6">
      <c r="A42" s="11"/>
      <c r="B42" s="53"/>
      <c r="C42" s="53"/>
      <c r="D42" s="53"/>
      <c r="E42" s="53"/>
      <c r="F42" s="11"/>
    </row>
    <row r="43" spans="1:6">
      <c r="A43" s="11" t="s">
        <v>2021</v>
      </c>
      <c r="B43" s="11">
        <v>15</v>
      </c>
      <c r="C43" s="11" t="s">
        <v>7</v>
      </c>
      <c r="D43" s="11">
        <v>2.1</v>
      </c>
      <c r="E43" s="11">
        <v>7.7</v>
      </c>
      <c r="F43" s="11">
        <v>5</v>
      </c>
    </row>
    <row r="44" spans="1:6">
      <c r="A44" s="11" t="s">
        <v>2022</v>
      </c>
      <c r="B44" s="11">
        <v>17</v>
      </c>
      <c r="C44" s="11" t="s">
        <v>7</v>
      </c>
      <c r="D44" s="11">
        <v>1.1000000000000001</v>
      </c>
      <c r="E44" s="11">
        <v>7.3</v>
      </c>
      <c r="F44" s="11">
        <v>5</v>
      </c>
    </row>
    <row r="45" spans="1:6">
      <c r="A45" s="11" t="s">
        <v>2023</v>
      </c>
      <c r="B45" s="11">
        <v>16</v>
      </c>
      <c r="C45" s="11" t="s">
        <v>7</v>
      </c>
      <c r="D45" s="11">
        <v>0.9</v>
      </c>
      <c r="E45" s="11">
        <v>7.2</v>
      </c>
      <c r="F45" s="11">
        <v>5</v>
      </c>
    </row>
    <row r="46" spans="1:6">
      <c r="A46" s="11" t="s">
        <v>2024</v>
      </c>
      <c r="B46" s="11">
        <v>15</v>
      </c>
      <c r="C46" s="11" t="s">
        <v>7</v>
      </c>
      <c r="D46" s="11">
        <v>1.3</v>
      </c>
      <c r="E46" s="11">
        <v>7.8</v>
      </c>
      <c r="F46" s="11">
        <v>5</v>
      </c>
    </row>
    <row r="47" spans="1:6">
      <c r="A47" s="11" t="s">
        <v>2025</v>
      </c>
      <c r="B47" s="11">
        <v>15</v>
      </c>
      <c r="C47" s="11" t="s">
        <v>7</v>
      </c>
      <c r="D47" s="11">
        <v>1.8</v>
      </c>
      <c r="E47" s="11">
        <v>8</v>
      </c>
      <c r="F47" s="11">
        <v>5</v>
      </c>
    </row>
    <row r="48" spans="1:6">
      <c r="A48" s="11"/>
      <c r="B48" s="53"/>
      <c r="C48" s="53"/>
      <c r="D48" s="53"/>
      <c r="E48" s="53"/>
      <c r="F48" s="11"/>
    </row>
    <row r="49" spans="1:6">
      <c r="A49" s="11" t="s">
        <v>2026</v>
      </c>
      <c r="B49" s="11">
        <v>16</v>
      </c>
      <c r="C49" s="11" t="s">
        <v>7</v>
      </c>
      <c r="D49" s="11">
        <v>1.1000000000000001</v>
      </c>
      <c r="E49" s="11">
        <v>7.2</v>
      </c>
      <c r="F49" s="11">
        <v>5</v>
      </c>
    </row>
    <row r="50" spans="1:6">
      <c r="A50" s="11" t="s">
        <v>2027</v>
      </c>
      <c r="B50" s="11">
        <v>16</v>
      </c>
      <c r="C50" s="11" t="s">
        <v>7</v>
      </c>
      <c r="D50" s="11">
        <v>1.2</v>
      </c>
      <c r="E50" s="11">
        <v>7.6</v>
      </c>
      <c r="F50" s="11">
        <v>5</v>
      </c>
    </row>
    <row r="51" spans="1:6">
      <c r="A51" s="11" t="s">
        <v>2028</v>
      </c>
      <c r="B51" s="11">
        <v>17</v>
      </c>
      <c r="C51" s="11" t="s">
        <v>7</v>
      </c>
      <c r="D51" s="11">
        <v>1.4</v>
      </c>
      <c r="E51" s="11">
        <v>7.9</v>
      </c>
      <c r="F51" s="11">
        <v>5</v>
      </c>
    </row>
    <row r="52" spans="1:6">
      <c r="A52" s="11" t="s">
        <v>2029</v>
      </c>
      <c r="B52" s="11">
        <v>16</v>
      </c>
      <c r="C52" s="11" t="s">
        <v>7</v>
      </c>
      <c r="D52" s="11">
        <v>1.2</v>
      </c>
      <c r="E52" s="11">
        <v>7.5</v>
      </c>
      <c r="F52" s="11">
        <v>5</v>
      </c>
    </row>
    <row r="53" spans="1:6">
      <c r="A53" s="11" t="s">
        <v>2030</v>
      </c>
      <c r="B53" s="11">
        <v>19</v>
      </c>
      <c r="C53" s="11" t="s">
        <v>7</v>
      </c>
      <c r="D53" s="11">
        <v>1.3</v>
      </c>
      <c r="E53" s="11">
        <v>6.8</v>
      </c>
      <c r="F53" s="11">
        <v>4</v>
      </c>
    </row>
    <row r="54" spans="1:6">
      <c r="A54" s="11" t="s">
        <v>2031</v>
      </c>
      <c r="B54" s="11">
        <v>18</v>
      </c>
      <c r="C54" s="11" t="s">
        <v>7</v>
      </c>
      <c r="D54" s="11">
        <v>1.1000000000000001</v>
      </c>
      <c r="E54" s="11">
        <v>7.2</v>
      </c>
      <c r="F54" s="11">
        <v>5</v>
      </c>
    </row>
    <row r="55" spans="1:6">
      <c r="A55" s="11" t="s">
        <v>2032</v>
      </c>
      <c r="B55" s="11">
        <v>18</v>
      </c>
      <c r="C55" s="11" t="s">
        <v>7</v>
      </c>
      <c r="D55" s="11">
        <v>1.2</v>
      </c>
      <c r="E55" s="11">
        <v>7.7</v>
      </c>
      <c r="F55" s="11">
        <v>5</v>
      </c>
    </row>
    <row r="56" spans="1:6">
      <c r="A56" s="11" t="s">
        <v>2033</v>
      </c>
      <c r="B56" s="45">
        <v>17</v>
      </c>
      <c r="C56" s="11" t="s">
        <v>7</v>
      </c>
      <c r="D56" s="11">
        <v>1.3</v>
      </c>
      <c r="E56" s="11">
        <v>7.2</v>
      </c>
      <c r="F56" s="11">
        <v>5</v>
      </c>
    </row>
    <row r="57" spans="1:6">
      <c r="A57" s="11" t="s">
        <v>2034</v>
      </c>
      <c r="B57" s="11">
        <v>16</v>
      </c>
      <c r="C57" s="11" t="s">
        <v>28</v>
      </c>
      <c r="D57" s="11">
        <v>1.3</v>
      </c>
      <c r="E57" s="11">
        <v>7.8</v>
      </c>
      <c r="F57" s="11">
        <v>5</v>
      </c>
    </row>
    <row r="58" spans="1:6">
      <c r="A58" s="11" t="s">
        <v>2035</v>
      </c>
      <c r="B58" s="11">
        <v>17</v>
      </c>
      <c r="C58" s="11" t="s">
        <v>28</v>
      </c>
      <c r="D58" s="11">
        <v>1.6</v>
      </c>
      <c r="E58" s="11">
        <v>7</v>
      </c>
      <c r="F58" s="11">
        <v>5</v>
      </c>
    </row>
    <row r="59" spans="1:6">
      <c r="A59" s="11" t="s">
        <v>2036</v>
      </c>
      <c r="B59" s="11">
        <v>17</v>
      </c>
      <c r="C59" s="11" t="s">
        <v>28</v>
      </c>
      <c r="D59" s="11">
        <v>1.3</v>
      </c>
      <c r="E59" s="11">
        <v>6.6</v>
      </c>
      <c r="F59" s="11">
        <v>4</v>
      </c>
    </row>
    <row r="60" spans="1:6">
      <c r="A60" s="11" t="s">
        <v>2037</v>
      </c>
      <c r="B60" s="11">
        <v>17</v>
      </c>
      <c r="C60" s="11" t="s">
        <v>28</v>
      </c>
      <c r="D60" s="11">
        <v>1.3</v>
      </c>
      <c r="E60" s="11">
        <v>6.5</v>
      </c>
      <c r="F60" s="11">
        <v>4</v>
      </c>
    </row>
    <row r="61" spans="1:6">
      <c r="A61" s="11" t="s">
        <v>2038</v>
      </c>
      <c r="B61" s="11">
        <v>17</v>
      </c>
      <c r="C61" s="11" t="s">
        <v>28</v>
      </c>
      <c r="D61" s="11">
        <v>1.7</v>
      </c>
      <c r="E61" s="11">
        <v>7.5</v>
      </c>
      <c r="F61" s="11">
        <v>5</v>
      </c>
    </row>
    <row r="62" spans="1:6">
      <c r="A62" s="11"/>
      <c r="B62" s="53"/>
      <c r="C62" s="53"/>
      <c r="D62" s="53"/>
      <c r="E62" s="53"/>
      <c r="F62" s="11"/>
    </row>
    <row r="63" spans="1:6">
      <c r="A63" s="11" t="s">
        <v>2039</v>
      </c>
      <c r="B63" s="11">
        <v>16</v>
      </c>
      <c r="C63" s="11" t="s">
        <v>7</v>
      </c>
      <c r="D63" s="11">
        <v>1.5</v>
      </c>
      <c r="E63" s="11">
        <v>9.3000000000000007</v>
      </c>
      <c r="F63" s="11">
        <v>5</v>
      </c>
    </row>
    <row r="64" spans="1:6">
      <c r="A64" s="11" t="s">
        <v>2040</v>
      </c>
      <c r="B64" s="11">
        <v>17</v>
      </c>
      <c r="C64" s="11" t="s">
        <v>7</v>
      </c>
      <c r="D64" s="11">
        <v>1.7</v>
      </c>
      <c r="E64" s="11">
        <v>8.5</v>
      </c>
      <c r="F64" s="11">
        <v>5</v>
      </c>
    </row>
    <row r="65" spans="1:6">
      <c r="A65" s="11" t="s">
        <v>2041</v>
      </c>
      <c r="B65" s="11">
        <v>16</v>
      </c>
      <c r="C65" s="11" t="s">
        <v>7</v>
      </c>
      <c r="D65" s="11">
        <v>1.6</v>
      </c>
      <c r="E65" s="11">
        <v>9.3000000000000007</v>
      </c>
      <c r="F65" s="11">
        <v>5</v>
      </c>
    </row>
    <row r="66" spans="1:6">
      <c r="A66" s="11" t="s">
        <v>2042</v>
      </c>
      <c r="B66" s="11">
        <v>17</v>
      </c>
      <c r="C66" s="11" t="s">
        <v>7</v>
      </c>
      <c r="D66" s="11">
        <v>1.9</v>
      </c>
      <c r="E66" s="11">
        <v>10.8</v>
      </c>
      <c r="F66" s="11">
        <v>5</v>
      </c>
    </row>
    <row r="67" spans="1:6">
      <c r="A67" s="11" t="s">
        <v>2043</v>
      </c>
      <c r="B67" s="11">
        <v>16</v>
      </c>
      <c r="C67" s="11" t="s">
        <v>7</v>
      </c>
      <c r="D67" s="11">
        <v>1.7</v>
      </c>
      <c r="E67" s="11">
        <v>9.1999999999999993</v>
      </c>
      <c r="F67" s="11">
        <v>5</v>
      </c>
    </row>
    <row r="68" spans="1:6">
      <c r="A68" s="11" t="s">
        <v>2044</v>
      </c>
      <c r="B68" s="11">
        <v>16</v>
      </c>
      <c r="C68" s="11" t="s">
        <v>7</v>
      </c>
      <c r="D68" s="11">
        <v>1.2</v>
      </c>
      <c r="E68" s="11">
        <v>8.6</v>
      </c>
      <c r="F68" s="11">
        <v>5</v>
      </c>
    </row>
    <row r="69" spans="1:6">
      <c r="A69" s="11" t="s">
        <v>2045</v>
      </c>
      <c r="B69" s="11">
        <v>15</v>
      </c>
      <c r="C69" s="11" t="s">
        <v>28</v>
      </c>
      <c r="D69" s="11">
        <v>1.6</v>
      </c>
      <c r="E69" s="11">
        <v>11.1</v>
      </c>
      <c r="F69" s="11">
        <v>5</v>
      </c>
    </row>
    <row r="70" spans="1:6">
      <c r="A70" s="11" t="s">
        <v>2046</v>
      </c>
      <c r="B70" s="11">
        <v>16</v>
      </c>
      <c r="C70" s="11" t="s">
        <v>28</v>
      </c>
      <c r="D70" s="11">
        <v>1.8</v>
      </c>
      <c r="E70" s="11">
        <v>8.1999999999999993</v>
      </c>
      <c r="F70" s="11">
        <v>5</v>
      </c>
    </row>
    <row r="71" spans="1:6">
      <c r="A71" s="11" t="s">
        <v>2047</v>
      </c>
      <c r="B71" s="11">
        <v>16</v>
      </c>
      <c r="C71" s="11" t="s">
        <v>28</v>
      </c>
      <c r="D71" s="11">
        <v>1.5</v>
      </c>
      <c r="E71" s="11">
        <v>8.4</v>
      </c>
      <c r="F71" s="11">
        <v>5</v>
      </c>
    </row>
    <row r="72" spans="1:6">
      <c r="A72" s="11" t="s">
        <v>2048</v>
      </c>
      <c r="B72" s="11">
        <v>14</v>
      </c>
      <c r="C72" s="11" t="s">
        <v>28</v>
      </c>
      <c r="D72" s="11">
        <v>1.7</v>
      </c>
      <c r="E72" s="11">
        <v>8.9</v>
      </c>
      <c r="F72" s="11">
        <v>5</v>
      </c>
    </row>
    <row r="73" spans="1:6">
      <c r="A73" s="11" t="s">
        <v>2049</v>
      </c>
      <c r="B73" s="11">
        <v>16</v>
      </c>
      <c r="C73" s="11" t="s">
        <v>28</v>
      </c>
      <c r="D73" s="11">
        <v>1.7</v>
      </c>
      <c r="E73" s="11">
        <v>9.6</v>
      </c>
      <c r="F73" s="11">
        <v>5</v>
      </c>
    </row>
    <row r="74" spans="1:6">
      <c r="A74" s="11" t="s">
        <v>2050</v>
      </c>
      <c r="B74" s="11">
        <v>16</v>
      </c>
      <c r="C74" s="11" t="s">
        <v>28</v>
      </c>
      <c r="D74" s="11">
        <v>1.7</v>
      </c>
      <c r="E74" s="11">
        <v>8.6</v>
      </c>
      <c r="F74" s="11">
        <v>5</v>
      </c>
    </row>
    <row r="76" spans="1:6">
      <c r="E76" s="5"/>
    </row>
  </sheetData>
  <autoFilter ref="A1:F25" xr:uid="{061BD8A0-93BA-43A3-B100-D9EDA73FF70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F55AC4-CB9C-4ECD-967D-6707123F54D0}"/>
</file>

<file path=customXml/itemProps2.xml><?xml version="1.0" encoding="utf-8"?>
<ds:datastoreItem xmlns:ds="http://schemas.openxmlformats.org/officeDocument/2006/customXml" ds:itemID="{E0DBF663-ECC7-498F-A141-15C41900657B}"/>
</file>

<file path=customXml/itemProps3.xml><?xml version="1.0" encoding="utf-8"?>
<ds:datastoreItem xmlns:ds="http://schemas.openxmlformats.org/officeDocument/2006/customXml" ds:itemID="{B6F6E891-A89C-4F45-AE6E-66ED747897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Johan Odendaal</dc:creator>
  <cp:keywords/>
  <dc:description/>
  <cp:lastModifiedBy>Mukul Joshi</cp:lastModifiedBy>
  <cp:revision/>
  <dcterms:created xsi:type="dcterms:W3CDTF">2026-01-20T12:39:47Z</dcterms:created>
  <dcterms:modified xsi:type="dcterms:W3CDTF">2026-08-19T20:05:05Z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