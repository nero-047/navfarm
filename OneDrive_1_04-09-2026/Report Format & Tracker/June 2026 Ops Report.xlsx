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omments1.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omments2.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3.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4.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6.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7.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8.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9.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0.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1.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2.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3.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34.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5.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36.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37.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38.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39.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40.xml" ContentType="application/vnd.openxmlformats-officedocument.drawing+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41.xml" ContentType="application/vnd.openxmlformats-officedocument.drawing+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42.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43.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44.xml" ContentType="application/vnd.openxmlformats-officedocument.drawing+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omments3.xml" ContentType="application/vnd.openxmlformats-officedocument.spreadsheetml.comments+xml"/>
  <Override PartName="/xl/drawings/drawing45.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46.xml" ContentType="application/vnd.openxmlformats-officedocument.drawing+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47.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48.xml" ContentType="application/vnd.openxmlformats-officedocument.drawing+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49.xml" ContentType="application/vnd.openxmlformats-officedocument.drawing+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50.xml" ContentType="application/vnd.openxmlformats-officedocument.drawing+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51.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52.xml" ContentType="application/vnd.openxmlformats-officedocument.drawing+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53.xml" ContentType="application/vnd.openxmlformats-officedocument.drawing+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54.xml" ContentType="application/vnd.openxmlformats-officedocument.drawing+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55.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56.xml" ContentType="application/vnd.openxmlformats-officedocument.drawing+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57.xml" ContentType="application/vnd.openxmlformats-officedocument.drawing+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58.xml" ContentType="application/vnd.openxmlformats-officedocument.drawing+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59.xml" ContentType="application/vnd.openxmlformats-officedocument.drawing+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60.xml" ContentType="application/vnd.openxmlformats-officedocument.drawing+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61.xml" ContentType="application/vnd.openxmlformats-officedocument.drawing+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62.xml" ContentType="application/vnd.openxmlformats-officedocument.drawing+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63.xml" ContentType="application/vnd.openxmlformats-officedocument.drawing+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64.xml" ContentType="application/vnd.openxmlformats-officedocument.drawing+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65.xml" ContentType="application/vnd.openxmlformats-officedocument.drawing+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66.xml" ContentType="application/vnd.openxmlformats-officedocument.drawing+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67.xml" ContentType="application/vnd.openxmlformats-officedocument.drawing+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68.xml" ContentType="application/vnd.openxmlformats-officedocument.drawing+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69.xml" ContentType="application/vnd.openxmlformats-officedocument.drawing+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70.xml" ContentType="application/vnd.openxmlformats-officedocument.drawing+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71.xml" ContentType="application/vnd.openxmlformats-officedocument.drawing+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drawings/drawing72.xml" ContentType="application/vnd.openxmlformats-officedocument.drawing+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drawings/drawing73.xml" ContentType="application/vnd.openxmlformats-officedocument.drawing+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drawings/drawing74.xml" ContentType="application/vnd.openxmlformats-officedocument.drawing+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75.xml" ContentType="application/vnd.openxmlformats-officedocument.drawing+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76.xml" ContentType="application/vnd.openxmlformats-officedocument.drawing+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77.xml" ContentType="application/vnd.openxmlformats-officedocument.drawing+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drawings/drawing78.xml" ContentType="application/vnd.openxmlformats-officedocument.drawing+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drawings/drawing79.xml" ContentType="application/vnd.openxmlformats-officedocument.drawing+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80.xml" ContentType="application/vnd.openxmlformats-officedocument.drawing+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81.xml" ContentType="application/vnd.openxmlformats-officedocument.drawing+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82.xml" ContentType="application/vnd.openxmlformats-officedocument.drawing+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drawings/drawing83.xml" ContentType="application/vnd.openxmlformats-officedocument.drawing+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codeName="ThisWorkbook" defaultThemeVersion="166925"/>
  <mc:AlternateContent xmlns:mc="http://schemas.openxmlformats.org/markup-compatibility/2006">
    <mc:Choice Requires="x15">
      <x15ac:absPath xmlns:x15ac="http://schemas.microsoft.com/office/spreadsheetml/2010/11/ac" url="https://triplecpigs-my.sharepoint.com/personal/johan_grasmere_co_zw/Documents/Desktop/Ops reports/FY26/"/>
    </mc:Choice>
  </mc:AlternateContent>
  <xr:revisionPtr revIDLastSave="376" documentId="8_{BA67891D-AA0E-4C53-9390-A69474653378}" xr6:coauthVersionLast="47" xr6:coauthVersionMax="47" xr10:uidLastSave="{73E2E4B8-F94C-423B-A8AD-D0AB5EA1DFDF}"/>
  <bookViews>
    <workbookView xWindow="-120" yWindow="-120" windowWidth="20730" windowHeight="11040" tabRatio="925" firstSheet="3" activeTab="3" xr2:uid="{63A13C66-930D-4D3C-91DC-C0341D790408}"/>
  </bookViews>
  <sheets>
    <sheet name="Combined Avg CDM actual vs  (7)" sheetId="319" r:id="rId1"/>
    <sheet name="Combined pigs sold to colco (7)" sheetId="321" r:id="rId2"/>
    <sheet name="Combined total CDM to Colco (7)" sheetId="320" r:id="rId3"/>
    <sheet name="Combined kgs sold per sow p " sheetId="322" r:id="rId4"/>
    <sheet name="Combined farrow rate  (5)" sheetId="687" r:id="rId5"/>
    <sheet name="Combined Born alive (5)" sheetId="688" r:id="rId6"/>
    <sheet name="Combined Wean weight  (5)" sheetId="689" r:id="rId7"/>
    <sheet name="Combined Litter mass  (5)" sheetId="690" r:id="rId8"/>
    <sheet name="Combined 70 day weight  (5)" sheetId="691" r:id="rId9"/>
    <sheet name="Combined 70 day gain  (5)" sheetId="692" r:id="rId10"/>
    <sheet name="Combined WSY   (5)" sheetId="693" r:id="rId11"/>
    <sheet name="Multiplier Avg CDM vs Budget" sheetId="570" r:id="rId12"/>
    <sheet name="Multiplier total CDM to Col" sheetId="746" r:id="rId13"/>
    <sheet name="Multiplier pigs to col" sheetId="747" r:id="rId14"/>
    <sheet name="Multiplier farrow rate (2)" sheetId="694" r:id="rId15"/>
    <sheet name="Multiplier Born alive  (2)" sheetId="695" r:id="rId16"/>
    <sheet name="Multiplier Avg wean weight (2)" sheetId="696" r:id="rId17"/>
    <sheet name="Multiplier Total litter mas (2)" sheetId="697" r:id="rId18"/>
    <sheet name="Multiplier 70 day weight  (2)" sheetId="698" r:id="rId19"/>
    <sheet name="Multiplier 70 day gain  (2)" sheetId="699" r:id="rId20"/>
    <sheet name="Multiplier WSY  (2)" sheetId="700" r:id="rId21"/>
    <sheet name="Multiplier quality gilts suppli" sheetId="744" r:id="rId22"/>
    <sheet name="Multiplier Ops (other) (2)" sheetId="701" r:id="rId23"/>
    <sheet name="Porta Avg CDM vs Budget " sheetId="350" r:id="rId24"/>
    <sheet name="Porta Total CDM to Colco" sheetId="351" r:id="rId25"/>
    <sheet name="Porta Pigs to Colcom" sheetId="352" r:id="rId26"/>
    <sheet name="Porta kgs sold  sow  year" sheetId="569" r:id="rId27"/>
    <sheet name="Porta Farrow rates  (5)" sheetId="702" r:id="rId28"/>
    <sheet name="Porta BA  (5)" sheetId="703" r:id="rId29"/>
    <sheet name="Porta average wean weight (5)" sheetId="704" r:id="rId30"/>
    <sheet name="Porta total litter mass (3)" sheetId="705" r:id="rId31"/>
    <sheet name="Porta 70 day weight  (5)" sheetId="706" r:id="rId32"/>
    <sheet name="Porta 70 day gain  (5)" sheetId="707" r:id="rId33"/>
    <sheet name="Porta WSY  (5)" sheetId="708" r:id="rId34"/>
    <sheet name="Porta ops (other)  (5)" sheetId="709" r:id="rId35"/>
    <sheet name="Grasmere Avg CDM vs Budget (7)" sheetId="324" r:id="rId36"/>
    <sheet name="Grasmere Total CDM to Colco (7)" sheetId="325" r:id="rId37"/>
    <sheet name="Grasmere Pigs to Colcom (7)" sheetId="326" r:id="rId38"/>
    <sheet name="Grasmere Kgs sold per sow p (7)" sheetId="327" r:id="rId39"/>
    <sheet name="Grasmere Farrow rate (5)" sheetId="710" r:id="rId40"/>
    <sheet name="Grasmere Born Alive (5)" sheetId="711" r:id="rId41"/>
    <sheet name="Grasmere Wean weight (5)" sheetId="712" r:id="rId42"/>
    <sheet name="Grasmere total litter mass  (5)" sheetId="713" r:id="rId43"/>
    <sheet name="Grasmere 70 day weight (5)" sheetId="714" r:id="rId44"/>
    <sheet name="Grasmere 70 day gain (5)" sheetId="715" r:id="rId45"/>
    <sheet name="Grasmere WSY (5)" sheetId="716" r:id="rId46"/>
    <sheet name="Grasmere ops (other)  (5)" sheetId="717" r:id="rId47"/>
    <sheet name="Richlands Avg CDM over budg (7)" sheetId="329" r:id="rId48"/>
    <sheet name="Richlands total CDM to Colc (7)" sheetId="330" r:id="rId49"/>
    <sheet name="Richlands Pigs to Colcom (7)" sheetId="331" r:id="rId50"/>
    <sheet name="Richlands kgs sold per sow  (7)" sheetId="332" r:id="rId51"/>
    <sheet name="Richlands Farrow rate (5)" sheetId="718" r:id="rId52"/>
    <sheet name="Richlands Born Alive (5)" sheetId="719" r:id="rId53"/>
    <sheet name="Richlands Wean weight (5)" sheetId="720" r:id="rId54"/>
    <sheet name="Richlands total litter mass (5)" sheetId="721" r:id="rId55"/>
    <sheet name="Richlands 70 day weight (5)" sheetId="722" r:id="rId56"/>
    <sheet name="Richlands 70 day gain (5)" sheetId="723" r:id="rId57"/>
    <sheet name="Richlands WSY  (5)" sheetId="724" r:id="rId58"/>
    <sheet name="Richlands ops (other)  (5)" sheetId="725" r:id="rId59"/>
    <sheet name="LH ext avg Cdm against budg (7)" sheetId="333" r:id="rId60"/>
    <sheet name="LH Ext total CDM to colcom  (7)" sheetId="334" r:id="rId61"/>
    <sheet name="LH extension pigs to Colcom (7)" sheetId="335" r:id="rId62"/>
    <sheet name="LH extension ops (other)   (5)" sheetId="726" r:id="rId63"/>
    <sheet name="LH avg CDM over budget " sheetId="345" r:id="rId64"/>
    <sheet name="LH total CDM to Colcom" sheetId="346" r:id="rId65"/>
    <sheet name="LH Pigs to Colcom " sheetId="347" r:id="rId66"/>
    <sheet name="LH Kgs sold per sow per yea " sheetId="348" r:id="rId67"/>
    <sheet name="LH Farrow Rate (5)" sheetId="727" r:id="rId68"/>
    <sheet name="LH Born Alive (5)" sheetId="728" r:id="rId69"/>
    <sheet name="LH Wean Weight  (5)" sheetId="729" r:id="rId70"/>
    <sheet name="LH total litter mass  (5)" sheetId="730" r:id="rId71"/>
    <sheet name="LH 70 day weight  (5)" sheetId="731" r:id="rId72"/>
    <sheet name="LH 70 day gain  (5)" sheetId="732" r:id="rId73"/>
    <sheet name="LH WSY  (5)" sheetId="733" r:id="rId74"/>
    <sheet name="Lions Head ops (other)  (5)" sheetId="734" r:id="rId75"/>
    <sheet name="Villa Avg CDM over Budget " sheetId="337" r:id="rId76"/>
    <sheet name="Villa total CDM to Colcom a " sheetId="338" r:id="rId77"/>
    <sheet name="Villa Pigs to Colcom " sheetId="745" r:id="rId78"/>
    <sheet name="Villa Kgs sold per sow per " sheetId="340" r:id="rId79"/>
    <sheet name="Villa Farrowing rate (5)" sheetId="735" r:id="rId80"/>
    <sheet name="Villa Born Alive  (5)" sheetId="736" r:id="rId81"/>
    <sheet name="Villa Wean weight (5)" sheetId="737" r:id="rId82"/>
    <sheet name="Villa total litter mass  (5)" sheetId="738" r:id="rId83"/>
    <sheet name="Villa 70 day weight  (5)" sheetId="739" r:id="rId84"/>
    <sheet name="Villa 70 day gain  (5)" sheetId="740" r:id="rId85"/>
    <sheet name="Villa WSY  (5)" sheetId="741" r:id="rId86"/>
    <sheet name="Villa ops (other)   (5)" sheetId="742" r:id="rId87"/>
    <sheet name="Learig Avg CDM against budg (4)" sheetId="341" r:id="rId88"/>
    <sheet name="Learig total CDM to Colcom (4)" sheetId="342" r:id="rId89"/>
    <sheet name="Learig Pigs to Colcom (4)" sheetId="343" r:id="rId90"/>
    <sheet name="Learig ops (other)  (5)" sheetId="743" r:id="rId91"/>
  </sheets>
  <externalReferences>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22" i="322" l="1"/>
  <c r="AU22" i="322"/>
  <c r="AV22" i="322"/>
  <c r="AW22" i="322"/>
  <c r="AX22" i="322"/>
  <c r="N22" i="730"/>
  <c r="M19" i="691" l="1"/>
  <c r="L19" i="744"/>
  <c r="AA13" i="744"/>
  <c r="AA14" i="744"/>
  <c r="AA15" i="744"/>
  <c r="AA16" i="744"/>
  <c r="AA17" i="744"/>
  <c r="AA12" i="744"/>
  <c r="K19" i="744" l="1"/>
  <c r="Z18" i="744"/>
  <c r="AA18" i="744"/>
  <c r="Z13" i="744"/>
  <c r="Z14" i="744"/>
  <c r="Z15" i="744"/>
  <c r="Z16" i="744"/>
  <c r="Z17" i="744"/>
  <c r="Z12" i="744"/>
  <c r="AX21" i="340" l="1"/>
  <c r="AX20" i="348"/>
  <c r="N22" i="345"/>
  <c r="N20" i="333"/>
  <c r="AX22" i="332"/>
  <c r="AW21" i="327"/>
  <c r="R21" i="569"/>
  <c r="AB12" i="744"/>
  <c r="AC12" i="744" s="1"/>
  <c r="AB8" i="744"/>
  <c r="AA8" i="744"/>
  <c r="Z8" i="744"/>
  <c r="Y8" i="744"/>
  <c r="Y18" i="744" s="1"/>
  <c r="X8" i="744"/>
  <c r="X18" i="744" s="1"/>
  <c r="W8" i="744"/>
  <c r="W18" i="744" s="1"/>
  <c r="V8" i="744"/>
  <c r="V18" i="744" s="1"/>
  <c r="U8" i="744"/>
  <c r="U18" i="744" s="1"/>
  <c r="T8" i="744"/>
  <c r="T18" i="744" s="1"/>
  <c r="S8" i="744"/>
  <c r="S18" i="744" s="1"/>
  <c r="R8" i="744"/>
  <c r="R18" i="744" s="1"/>
  <c r="Q8" i="744"/>
  <c r="Q18" i="744" s="1"/>
  <c r="AO30" i="744"/>
  <c r="AO26" i="744"/>
  <c r="AO27" i="744"/>
  <c r="AO28" i="744"/>
  <c r="AO29" i="744"/>
  <c r="AO25" i="744"/>
  <c r="AF26" i="744"/>
  <c r="AF27" i="744"/>
  <c r="AF28" i="744"/>
  <c r="AF29" i="744"/>
  <c r="AF30" i="744"/>
  <c r="AF25" i="744"/>
  <c r="X26" i="744"/>
  <c r="X27" i="744"/>
  <c r="X28" i="744"/>
  <c r="X29" i="744"/>
  <c r="X30" i="744"/>
  <c r="X25" i="744"/>
  <c r="P26" i="744"/>
  <c r="AB13" i="744" s="1"/>
  <c r="AC13" i="744" s="1"/>
  <c r="P27" i="744"/>
  <c r="AB14" i="744" s="1"/>
  <c r="AC14" i="744" s="1"/>
  <c r="P28" i="744"/>
  <c r="AB15" i="744" s="1"/>
  <c r="AC15" i="744" s="1"/>
  <c r="P29" i="744"/>
  <c r="AB16" i="744" s="1"/>
  <c r="AC16" i="744" s="1"/>
  <c r="P30" i="744"/>
  <c r="AB17" i="744" s="1"/>
  <c r="AC17" i="744" s="1"/>
  <c r="P25" i="744"/>
  <c r="H26" i="744"/>
  <c r="H27" i="744"/>
  <c r="H28" i="744"/>
  <c r="H29" i="744"/>
  <c r="H30" i="744"/>
  <c r="H25" i="744"/>
  <c r="AC18" i="744" l="1"/>
  <c r="AB18" i="744"/>
  <c r="M19" i="744" s="1"/>
  <c r="M17" i="692" l="1"/>
  <c r="AX23" i="322"/>
  <c r="O23" i="730"/>
  <c r="O24" i="730"/>
  <c r="N20" i="700" l="1"/>
  <c r="N19" i="696" l="1"/>
  <c r="N19" i="695"/>
  <c r="N20" i="695"/>
  <c r="N19" i="694"/>
  <c r="N20" i="694"/>
  <c r="N21" i="716" l="1"/>
  <c r="N22" i="716"/>
  <c r="N23" i="713"/>
  <c r="N24" i="713"/>
  <c r="N20" i="711"/>
  <c r="N21" i="711"/>
  <c r="N26" i="710"/>
  <c r="N27" i="710"/>
  <c r="N20" i="708"/>
  <c r="N21" i="708"/>
  <c r="N18" i="707"/>
  <c r="N19" i="707"/>
  <c r="N18" i="706"/>
  <c r="N19" i="706"/>
  <c r="N18" i="705"/>
  <c r="N19" i="705"/>
  <c r="N18" i="704"/>
  <c r="N19" i="704"/>
  <c r="N19" i="703"/>
  <c r="N20" i="703"/>
  <c r="N20" i="702"/>
  <c r="N19" i="702"/>
  <c r="N21" i="690"/>
  <c r="N22" i="690"/>
  <c r="N21" i="689" l="1"/>
  <c r="N22" i="689"/>
  <c r="N20" i="688" l="1"/>
  <c r="N21" i="688"/>
  <c r="N20" i="687"/>
  <c r="N21" i="687"/>
  <c r="N20" i="741" l="1"/>
  <c r="N21" i="741"/>
  <c r="I19" i="741"/>
  <c r="J19" i="741"/>
  <c r="K19" i="741"/>
  <c r="L19" i="741"/>
  <c r="M19" i="741"/>
  <c r="H19" i="741"/>
  <c r="N21" i="740"/>
  <c r="N22" i="740"/>
  <c r="I20" i="740"/>
  <c r="J20" i="740"/>
  <c r="K20" i="740"/>
  <c r="L20" i="740"/>
  <c r="M20" i="740"/>
  <c r="H20" i="740"/>
  <c r="N19" i="739"/>
  <c r="N20" i="739"/>
  <c r="I18" i="739"/>
  <c r="J18" i="739"/>
  <c r="K18" i="739"/>
  <c r="L18" i="739"/>
  <c r="M18" i="739"/>
  <c r="H18" i="739"/>
  <c r="N22" i="738"/>
  <c r="N23" i="738"/>
  <c r="I21" i="738"/>
  <c r="J21" i="738"/>
  <c r="K21" i="738"/>
  <c r="L21" i="738"/>
  <c r="M21" i="738"/>
  <c r="H21" i="738"/>
  <c r="N20" i="737"/>
  <c r="N21" i="737"/>
  <c r="I19" i="737"/>
  <c r="J19" i="737"/>
  <c r="K19" i="737"/>
  <c r="L19" i="737"/>
  <c r="M19" i="737"/>
  <c r="H19" i="737"/>
  <c r="N21" i="736"/>
  <c r="N22" i="736"/>
  <c r="I20" i="736"/>
  <c r="J20" i="736"/>
  <c r="K20" i="736"/>
  <c r="L20" i="736"/>
  <c r="M20" i="736"/>
  <c r="H20" i="736"/>
  <c r="N21" i="735"/>
  <c r="N22" i="735"/>
  <c r="I20" i="735"/>
  <c r="J20" i="735"/>
  <c r="K20" i="735"/>
  <c r="L20" i="735"/>
  <c r="M20" i="735"/>
  <c r="H20" i="735"/>
  <c r="N20" i="693"/>
  <c r="N21" i="693"/>
  <c r="N20" i="733" l="1"/>
  <c r="N21" i="733"/>
  <c r="I19" i="733"/>
  <c r="J19" i="733"/>
  <c r="K19" i="733"/>
  <c r="L19" i="733"/>
  <c r="M19" i="733"/>
  <c r="H19" i="733"/>
  <c r="N22" i="732"/>
  <c r="N23" i="732"/>
  <c r="I21" i="732"/>
  <c r="J21" i="732"/>
  <c r="K21" i="732"/>
  <c r="L21" i="732"/>
  <c r="M21" i="732"/>
  <c r="H21" i="732"/>
  <c r="N22" i="731"/>
  <c r="N23" i="731"/>
  <c r="I21" i="731"/>
  <c r="J21" i="731"/>
  <c r="K21" i="731"/>
  <c r="L21" i="731"/>
  <c r="M21" i="731"/>
  <c r="H21" i="731"/>
  <c r="I22" i="730"/>
  <c r="J22" i="730"/>
  <c r="K22" i="730"/>
  <c r="L22" i="730"/>
  <c r="M22" i="730"/>
  <c r="H22" i="730"/>
  <c r="N21" i="729"/>
  <c r="N22" i="729"/>
  <c r="I20" i="729"/>
  <c r="J20" i="729"/>
  <c r="K20" i="729"/>
  <c r="L20" i="729"/>
  <c r="M20" i="729"/>
  <c r="H20" i="729"/>
  <c r="N20" i="728"/>
  <c r="N21" i="728"/>
  <c r="I19" i="728"/>
  <c r="J19" i="728"/>
  <c r="K19" i="728"/>
  <c r="L19" i="728"/>
  <c r="M19" i="728"/>
  <c r="H19" i="728"/>
  <c r="N21" i="727"/>
  <c r="N22" i="727"/>
  <c r="I20" i="727"/>
  <c r="J20" i="727"/>
  <c r="K20" i="727"/>
  <c r="L20" i="727"/>
  <c r="M20" i="727"/>
  <c r="H20" i="727"/>
  <c r="N20" i="718" l="1"/>
  <c r="N21" i="718"/>
  <c r="N20" i="719"/>
  <c r="N21" i="719"/>
  <c r="N20" i="720"/>
  <c r="N21" i="720"/>
  <c r="N23" i="721"/>
  <c r="N24" i="721"/>
  <c r="N21" i="722"/>
  <c r="N22" i="722"/>
  <c r="N22" i="723"/>
  <c r="N23" i="723"/>
  <c r="N20" i="724"/>
  <c r="N21" i="724"/>
  <c r="I19" i="724"/>
  <c r="J19" i="724"/>
  <c r="K19" i="724"/>
  <c r="L19" i="724"/>
  <c r="M19" i="724"/>
  <c r="H19" i="724"/>
  <c r="I21" i="723"/>
  <c r="J21" i="723"/>
  <c r="K21" i="723"/>
  <c r="L21" i="723"/>
  <c r="M21" i="723"/>
  <c r="H21" i="723"/>
  <c r="I20" i="722"/>
  <c r="J20" i="722"/>
  <c r="K20" i="722"/>
  <c r="L20" i="722"/>
  <c r="M20" i="722"/>
  <c r="H20" i="722"/>
  <c r="I22" i="721"/>
  <c r="J22" i="721"/>
  <c r="K22" i="721"/>
  <c r="L22" i="721"/>
  <c r="M22" i="721"/>
  <c r="H22" i="721"/>
  <c r="I19" i="720"/>
  <c r="J19" i="720"/>
  <c r="K19" i="720"/>
  <c r="L19" i="720"/>
  <c r="M19" i="720"/>
  <c r="H19" i="720"/>
  <c r="I19" i="719"/>
  <c r="J19" i="719"/>
  <c r="K19" i="719"/>
  <c r="L19" i="719"/>
  <c r="M19" i="719"/>
  <c r="H19" i="719"/>
  <c r="I19" i="718"/>
  <c r="J19" i="718"/>
  <c r="K19" i="718"/>
  <c r="L19" i="718"/>
  <c r="M19" i="718"/>
  <c r="H19" i="718"/>
  <c r="I20" i="716" l="1"/>
  <c r="J20" i="716"/>
  <c r="K20" i="716"/>
  <c r="L20" i="716"/>
  <c r="M20" i="716"/>
  <c r="H20" i="716"/>
  <c r="N21" i="715"/>
  <c r="N22" i="715"/>
  <c r="I20" i="715"/>
  <c r="J20" i="715"/>
  <c r="K20" i="715"/>
  <c r="L20" i="715"/>
  <c r="M20" i="715"/>
  <c r="H20" i="715"/>
  <c r="N21" i="714"/>
  <c r="N22" i="714"/>
  <c r="I20" i="714"/>
  <c r="J20" i="714"/>
  <c r="K20" i="714"/>
  <c r="L20" i="714"/>
  <c r="M20" i="714"/>
  <c r="H20" i="714"/>
  <c r="I19" i="711"/>
  <c r="J19" i="711"/>
  <c r="K19" i="711"/>
  <c r="L19" i="711"/>
  <c r="M19" i="711"/>
  <c r="H19" i="711"/>
  <c r="I17" i="712"/>
  <c r="J17" i="712"/>
  <c r="K17" i="712"/>
  <c r="L17" i="712"/>
  <c r="M17" i="712"/>
  <c r="H17" i="712"/>
  <c r="I22" i="713"/>
  <c r="J22" i="713"/>
  <c r="K22" i="713"/>
  <c r="L22" i="713"/>
  <c r="M22" i="713"/>
  <c r="H22" i="713"/>
  <c r="N19" i="712"/>
  <c r="N18" i="712"/>
  <c r="I25" i="710"/>
  <c r="J25" i="710"/>
  <c r="K25" i="710"/>
  <c r="L25" i="710"/>
  <c r="M25" i="710"/>
  <c r="H25" i="710"/>
  <c r="I19" i="708"/>
  <c r="J19" i="708"/>
  <c r="K19" i="708"/>
  <c r="L19" i="708"/>
  <c r="M19" i="708"/>
  <c r="H19" i="708"/>
  <c r="I17" i="707"/>
  <c r="J17" i="707"/>
  <c r="K17" i="707"/>
  <c r="L17" i="707"/>
  <c r="M17" i="707"/>
  <c r="H17" i="707"/>
  <c r="I17" i="706"/>
  <c r="J17" i="706"/>
  <c r="K17" i="706"/>
  <c r="L17" i="706"/>
  <c r="M17" i="706"/>
  <c r="H17" i="706"/>
  <c r="I17" i="705"/>
  <c r="J17" i="705"/>
  <c r="K17" i="705"/>
  <c r="L17" i="705"/>
  <c r="M17" i="705"/>
  <c r="H17" i="705"/>
  <c r="I17" i="704"/>
  <c r="J17" i="704"/>
  <c r="K17" i="704"/>
  <c r="L17" i="704"/>
  <c r="M17" i="704"/>
  <c r="H17" i="704"/>
  <c r="I18" i="703"/>
  <c r="J18" i="703"/>
  <c r="K18" i="703"/>
  <c r="L18" i="703"/>
  <c r="M18" i="703"/>
  <c r="H18" i="703"/>
  <c r="I18" i="702"/>
  <c r="J18" i="702"/>
  <c r="K18" i="702"/>
  <c r="L18" i="702"/>
  <c r="M18" i="702"/>
  <c r="H18" i="702"/>
  <c r="I17" i="699" l="1"/>
  <c r="J17" i="699"/>
  <c r="K17" i="699"/>
  <c r="L17" i="699"/>
  <c r="M17" i="699"/>
  <c r="H17" i="699"/>
  <c r="I17" i="698"/>
  <c r="J17" i="698"/>
  <c r="K17" i="698"/>
  <c r="L17" i="698"/>
  <c r="M17" i="698"/>
  <c r="H17" i="698"/>
  <c r="I17" i="697"/>
  <c r="J17" i="697"/>
  <c r="K17" i="697"/>
  <c r="L17" i="697"/>
  <c r="M17" i="697"/>
  <c r="H17" i="697"/>
  <c r="I17" i="696"/>
  <c r="J17" i="696"/>
  <c r="K17" i="696"/>
  <c r="L17" i="696"/>
  <c r="M17" i="696"/>
  <c r="H17" i="696"/>
  <c r="N17" i="696" s="1"/>
  <c r="J18" i="695"/>
  <c r="K18" i="695"/>
  <c r="L18" i="695"/>
  <c r="M18" i="695"/>
  <c r="I18" i="695"/>
  <c r="H18" i="695"/>
  <c r="N18" i="695" s="1"/>
  <c r="H18" i="694"/>
  <c r="I18" i="694"/>
  <c r="J18" i="694"/>
  <c r="K18" i="694"/>
  <c r="L18" i="694"/>
  <c r="M18" i="694"/>
  <c r="N18" i="694" l="1"/>
  <c r="AD9" i="693"/>
  <c r="AD19" i="693" s="1"/>
  <c r="M19" i="693" s="1"/>
  <c r="AE11" i="692"/>
  <c r="AE23" i="692" s="1"/>
  <c r="AG15" i="691"/>
  <c r="AE11" i="691"/>
  <c r="AE23" i="691" s="1"/>
  <c r="AB10" i="690"/>
  <c r="AB20" i="690" s="1"/>
  <c r="M20" i="690" s="1"/>
  <c r="AD9" i="689"/>
  <c r="AD19" i="689" s="1"/>
  <c r="M20" i="689" s="1"/>
  <c r="AC9" i="688"/>
  <c r="AC20" i="688" s="1"/>
  <c r="M19" i="688" s="1"/>
  <c r="AC9" i="687"/>
  <c r="AC19" i="687" s="1"/>
  <c r="M19" i="687" s="1"/>
  <c r="M65" i="320" l="1"/>
  <c r="M69" i="321"/>
  <c r="M82" i="321" l="1"/>
  <c r="M80" i="321"/>
  <c r="M77" i="321"/>
  <c r="M71" i="321"/>
  <c r="M70" i="321"/>
  <c r="M68" i="321"/>
  <c r="M67" i="321"/>
  <c r="M20" i="352" s="1"/>
  <c r="M59" i="321"/>
  <c r="M58" i="321"/>
  <c r="M57" i="321"/>
  <c r="M56" i="321"/>
  <c r="M55" i="321"/>
  <c r="M49" i="321"/>
  <c r="M48" i="321"/>
  <c r="M46" i="321"/>
  <c r="M53" i="321" s="1"/>
  <c r="M45" i="321"/>
  <c r="M40" i="321"/>
  <c r="M39" i="321"/>
  <c r="M38" i="321"/>
  <c r="M37" i="321"/>
  <c r="M40" i="319" s="1"/>
  <c r="M36" i="321"/>
  <c r="M35" i="321"/>
  <c r="M20" i="331" s="1"/>
  <c r="M32" i="321"/>
  <c r="M31" i="321"/>
  <c r="M30" i="321"/>
  <c r="M29" i="321"/>
  <c r="M28" i="321"/>
  <c r="M27" i="321"/>
  <c r="M26" i="321"/>
  <c r="M25" i="321"/>
  <c r="M18" i="326" s="1"/>
  <c r="M77" i="320"/>
  <c r="M28" i="320" s="1"/>
  <c r="M76" i="320"/>
  <c r="M73" i="320"/>
  <c r="M67" i="320"/>
  <c r="M66" i="320"/>
  <c r="M64" i="320"/>
  <c r="M63" i="320"/>
  <c r="M58" i="320"/>
  <c r="M62" i="319" s="1"/>
  <c r="M57" i="320"/>
  <c r="M61" i="319" s="1"/>
  <c r="M56" i="320"/>
  <c r="M55" i="320"/>
  <c r="M54" i="320"/>
  <c r="M48" i="320"/>
  <c r="M47" i="320"/>
  <c r="M45" i="320"/>
  <c r="M44" i="320"/>
  <c r="M38" i="320"/>
  <c r="M37" i="320"/>
  <c r="M36" i="320"/>
  <c r="M35" i="320"/>
  <c r="M34" i="320"/>
  <c r="M27" i="320"/>
  <c r="M26" i="320"/>
  <c r="M25" i="320"/>
  <c r="M24" i="320"/>
  <c r="M42" i="319"/>
  <c r="M43" i="319"/>
  <c r="M44" i="319"/>
  <c r="M45" i="319"/>
  <c r="M50" i="319"/>
  <c r="M53" i="319"/>
  <c r="M54" i="319"/>
  <c r="M55" i="319"/>
  <c r="M63" i="319"/>
  <c r="M64" i="319"/>
  <c r="M65" i="319"/>
  <c r="M69" i="319"/>
  <c r="M21" i="334" l="1"/>
  <c r="AX20" i="340"/>
  <c r="AW20" i="327"/>
  <c r="AX19" i="348"/>
  <c r="R20" i="569"/>
  <c r="AX21" i="332"/>
  <c r="M91" i="321"/>
  <c r="M18" i="320"/>
  <c r="M20" i="324"/>
  <c r="M20" i="325"/>
  <c r="M21" i="319"/>
  <c r="M17" i="746"/>
  <c r="M20" i="570"/>
  <c r="M41" i="319"/>
  <c r="M92" i="321"/>
  <c r="M21" i="335"/>
  <c r="M96" i="321"/>
  <c r="M70" i="319"/>
  <c r="M20" i="343"/>
  <c r="M21" i="347"/>
  <c r="M71" i="319"/>
  <c r="M91" i="320"/>
  <c r="M20" i="342"/>
  <c r="M20" i="341"/>
  <c r="M58" i="319"/>
  <c r="M21" i="338"/>
  <c r="M19" i="337" s="1"/>
  <c r="M77" i="319"/>
  <c r="M18" i="747"/>
  <c r="M19" i="333"/>
  <c r="M80" i="319"/>
  <c r="M18" i="329"/>
  <c r="M21" i="330"/>
  <c r="M71" i="320"/>
  <c r="M20" i="351"/>
  <c r="M20" i="350"/>
  <c r="M21" i="346"/>
  <c r="M20" i="745"/>
  <c r="M95" i="321"/>
  <c r="M75" i="321"/>
  <c r="M89" i="320"/>
  <c r="M63" i="321"/>
  <c r="M93" i="319" s="1"/>
  <c r="M52" i="320"/>
  <c r="M56" i="319" s="1"/>
  <c r="M28" i="319"/>
  <c r="M43" i="321"/>
  <c r="M52" i="319"/>
  <c r="M31" i="319"/>
  <c r="M59" i="319"/>
  <c r="M32" i="319"/>
  <c r="M67" i="319"/>
  <c r="M19" i="321"/>
  <c r="M49" i="319"/>
  <c r="M51" i="319"/>
  <c r="M33" i="321"/>
  <c r="M38" i="319"/>
  <c r="M39" i="319"/>
  <c r="M68" i="319"/>
  <c r="M30" i="319"/>
  <c r="M60" i="319"/>
  <c r="M32" i="320"/>
  <c r="M92" i="320"/>
  <c r="M42" i="320"/>
  <c r="M95" i="320"/>
  <c r="M48" i="319"/>
  <c r="M29" i="319"/>
  <c r="M21" i="745"/>
  <c r="L21" i="745"/>
  <c r="K21" i="745"/>
  <c r="J21" i="745"/>
  <c r="I21" i="745"/>
  <c r="H21" i="745"/>
  <c r="G21" i="745"/>
  <c r="F21" i="745"/>
  <c r="E21" i="745"/>
  <c r="D21" i="745"/>
  <c r="C21" i="745"/>
  <c r="C23" i="745" s="1"/>
  <c r="B21" i="745"/>
  <c r="B20" i="745"/>
  <c r="AW21" i="340"/>
  <c r="AV21" i="340"/>
  <c r="M21" i="337"/>
  <c r="L21" i="337"/>
  <c r="K21" i="337"/>
  <c r="J21" i="337"/>
  <c r="I21" i="337"/>
  <c r="H21" i="337"/>
  <c r="G21" i="337"/>
  <c r="F21" i="337"/>
  <c r="E21" i="337"/>
  <c r="D21" i="337"/>
  <c r="C21" i="337"/>
  <c r="B21" i="337"/>
  <c r="M20" i="337"/>
  <c r="L20" i="337"/>
  <c r="K20" i="337"/>
  <c r="J20" i="337"/>
  <c r="I20" i="337"/>
  <c r="H20" i="337"/>
  <c r="G20" i="337"/>
  <c r="F20" i="337"/>
  <c r="E20" i="337"/>
  <c r="D20" i="337"/>
  <c r="C20" i="337"/>
  <c r="B20" i="337"/>
  <c r="M21" i="345" l="1"/>
  <c r="N20" i="337"/>
  <c r="B23" i="745"/>
  <c r="N21" i="745"/>
  <c r="N21" i="337"/>
  <c r="M46" i="319"/>
  <c r="M36" i="319"/>
  <c r="M95" i="319"/>
  <c r="AV20" i="348" l="1"/>
  <c r="AW20" i="348"/>
  <c r="AV22" i="332"/>
  <c r="AW22" i="332"/>
  <c r="AU21" i="327"/>
  <c r="AV21" i="327"/>
  <c r="P21" i="569"/>
  <c r="Q21" i="569"/>
  <c r="N19" i="698" l="1"/>
  <c r="N19" i="697"/>
  <c r="N21" i="691" l="1"/>
  <c r="N20" i="691"/>
  <c r="AV23" i="322"/>
  <c r="AW23" i="322"/>
  <c r="BB39" i="743"/>
  <c r="BB38" i="743"/>
  <c r="BB37" i="743"/>
  <c r="BB36" i="743"/>
  <c r="BB35" i="743"/>
  <c r="BB34" i="743"/>
  <c r="BB33" i="743"/>
  <c r="AZ32" i="743"/>
  <c r="BB32" i="743" s="1"/>
  <c r="AZ31" i="743"/>
  <c r="BB31" i="743" s="1"/>
  <c r="AZ30" i="743"/>
  <c r="BB30" i="743" s="1"/>
  <c r="BB29" i="743"/>
  <c r="AZ28" i="743"/>
  <c r="BB28" i="743" s="1"/>
  <c r="AZ27" i="743"/>
  <c r="BB27" i="743" s="1"/>
  <c r="AZ26" i="743"/>
  <c r="BB26" i="743" s="1"/>
  <c r="AZ25" i="743"/>
  <c r="BB25" i="743" s="1"/>
  <c r="AZ24" i="743"/>
  <c r="BB24" i="743" s="1"/>
  <c r="BB23" i="743"/>
  <c r="BB22" i="743"/>
  <c r="BB21" i="743"/>
  <c r="G21" i="743"/>
  <c r="BB20" i="743"/>
  <c r="G20" i="743"/>
  <c r="BB19" i="743"/>
  <c r="G19" i="743"/>
  <c r="BB18" i="743"/>
  <c r="G18" i="743"/>
  <c r="BB17" i="743"/>
  <c r="G17" i="743"/>
  <c r="BB16" i="743"/>
  <c r="G8" i="743"/>
  <c r="G6" i="743"/>
  <c r="I21" i="742"/>
  <c r="G21" i="742"/>
  <c r="I20" i="742"/>
  <c r="G20" i="742"/>
  <c r="G19" i="742"/>
  <c r="I15" i="742"/>
  <c r="G15" i="742"/>
  <c r="G14" i="742"/>
  <c r="I13" i="742"/>
  <c r="G13" i="742"/>
  <c r="I12" i="742"/>
  <c r="G12" i="742"/>
  <c r="I11" i="742"/>
  <c r="G11" i="742"/>
  <c r="G19" i="741"/>
  <c r="F19" i="741"/>
  <c r="E19" i="741"/>
  <c r="D19" i="741"/>
  <c r="C19" i="741"/>
  <c r="B19" i="741"/>
  <c r="G20" i="740"/>
  <c r="F20" i="740"/>
  <c r="E20" i="740"/>
  <c r="D20" i="740"/>
  <c r="C20" i="740"/>
  <c r="B20" i="740"/>
  <c r="N20" i="740" s="1"/>
  <c r="G18" i="739"/>
  <c r="F18" i="739"/>
  <c r="E18" i="739"/>
  <c r="D18" i="739"/>
  <c r="C18" i="739"/>
  <c r="B18" i="739"/>
  <c r="G21" i="738"/>
  <c r="F21" i="738"/>
  <c r="E21" i="738"/>
  <c r="D21" i="738"/>
  <c r="C21" i="738"/>
  <c r="B21" i="738"/>
  <c r="N21" i="738" s="1"/>
  <c r="G19" i="737"/>
  <c r="F19" i="737"/>
  <c r="E19" i="737"/>
  <c r="D19" i="737"/>
  <c r="C19" i="737"/>
  <c r="B19" i="737"/>
  <c r="G20" i="736"/>
  <c r="F20" i="736"/>
  <c r="E20" i="736"/>
  <c r="D20" i="736"/>
  <c r="C20" i="736"/>
  <c r="B20" i="736"/>
  <c r="N20" i="736" s="1"/>
  <c r="G20" i="735"/>
  <c r="F20" i="735"/>
  <c r="E20" i="735"/>
  <c r="D20" i="735"/>
  <c r="C20" i="735"/>
  <c r="B20" i="735"/>
  <c r="I20" i="734"/>
  <c r="I19" i="734"/>
  <c r="I15" i="734"/>
  <c r="I14" i="734"/>
  <c r="I13" i="734"/>
  <c r="I12" i="734"/>
  <c r="I11" i="734"/>
  <c r="G19" i="733"/>
  <c r="F19" i="733"/>
  <c r="E19" i="733"/>
  <c r="D19" i="733"/>
  <c r="C19" i="733"/>
  <c r="B19" i="733"/>
  <c r="O23" i="732"/>
  <c r="G21" i="732"/>
  <c r="F21" i="732"/>
  <c r="E21" i="732"/>
  <c r="D21" i="732"/>
  <c r="C21" i="732"/>
  <c r="B21" i="732"/>
  <c r="G21" i="731"/>
  <c r="F21" i="731"/>
  <c r="E21" i="731"/>
  <c r="D21" i="731"/>
  <c r="C21" i="731"/>
  <c r="B21" i="731"/>
  <c r="G22" i="730"/>
  <c r="F22" i="730"/>
  <c r="E22" i="730"/>
  <c r="D22" i="730"/>
  <c r="C22" i="730"/>
  <c r="B22" i="730"/>
  <c r="G20" i="729"/>
  <c r="F20" i="729"/>
  <c r="E20" i="729"/>
  <c r="D20" i="729"/>
  <c r="C20" i="729"/>
  <c r="B20" i="729"/>
  <c r="G19" i="728"/>
  <c r="F19" i="728"/>
  <c r="E19" i="728"/>
  <c r="D19" i="728"/>
  <c r="C19" i="728"/>
  <c r="B19" i="728"/>
  <c r="G20" i="727"/>
  <c r="F20" i="727"/>
  <c r="E20" i="727"/>
  <c r="D20" i="727"/>
  <c r="C20" i="727"/>
  <c r="B20" i="727"/>
  <c r="I21" i="725"/>
  <c r="I20" i="725"/>
  <c r="I15" i="725"/>
  <c r="I14" i="725"/>
  <c r="I13" i="725"/>
  <c r="I12" i="725"/>
  <c r="I11" i="725"/>
  <c r="G19" i="724"/>
  <c r="F19" i="724"/>
  <c r="E19" i="724"/>
  <c r="D19" i="724"/>
  <c r="C19" i="724"/>
  <c r="B19" i="724"/>
  <c r="O23" i="723"/>
  <c r="G21" i="723"/>
  <c r="F21" i="723"/>
  <c r="E21" i="723"/>
  <c r="D21" i="723"/>
  <c r="C21" i="723"/>
  <c r="B21" i="723"/>
  <c r="N21" i="723" s="1"/>
  <c r="G20" i="722"/>
  <c r="F20" i="722"/>
  <c r="E20" i="722"/>
  <c r="D20" i="722"/>
  <c r="C20" i="722"/>
  <c r="B20" i="722"/>
  <c r="G27" i="721"/>
  <c r="G22" i="721"/>
  <c r="F22" i="721"/>
  <c r="E22" i="721"/>
  <c r="D22" i="721"/>
  <c r="C22" i="721"/>
  <c r="B22" i="721"/>
  <c r="N22" i="721" s="1"/>
  <c r="G19" i="720"/>
  <c r="F19" i="720"/>
  <c r="E19" i="720"/>
  <c r="D19" i="720"/>
  <c r="C19" i="720"/>
  <c r="B19" i="720"/>
  <c r="N19" i="720" s="1"/>
  <c r="G19" i="719"/>
  <c r="F19" i="719"/>
  <c r="E19" i="719"/>
  <c r="D19" i="719"/>
  <c r="C19" i="719"/>
  <c r="B19" i="719"/>
  <c r="G19" i="718"/>
  <c r="F19" i="718"/>
  <c r="E19" i="718"/>
  <c r="D19" i="718"/>
  <c r="C19" i="718"/>
  <c r="B19" i="718"/>
  <c r="N19" i="718" s="1"/>
  <c r="AP43" i="717"/>
  <c r="AP42" i="717"/>
  <c r="AP41" i="717"/>
  <c r="AP40" i="717"/>
  <c r="AP39" i="717"/>
  <c r="AP38" i="717"/>
  <c r="AP37" i="717"/>
  <c r="AP36" i="717"/>
  <c r="AP35" i="717"/>
  <c r="AP34" i="717"/>
  <c r="W9" i="717"/>
  <c r="W8" i="717"/>
  <c r="W7" i="717"/>
  <c r="W6" i="717"/>
  <c r="W5" i="717"/>
  <c r="F26" i="716"/>
  <c r="E26" i="716"/>
  <c r="D26" i="716"/>
  <c r="C26" i="716"/>
  <c r="B26" i="716"/>
  <c r="G20" i="716"/>
  <c r="F20" i="716"/>
  <c r="F25" i="716" s="1"/>
  <c r="F27" i="716" s="1"/>
  <c r="E20" i="716"/>
  <c r="E25" i="716" s="1"/>
  <c r="E27" i="716" s="1"/>
  <c r="D20" i="716"/>
  <c r="D25" i="716" s="1"/>
  <c r="D27" i="716" s="1"/>
  <c r="C20" i="716"/>
  <c r="C25" i="716" s="1"/>
  <c r="C27" i="716" s="1"/>
  <c r="B20" i="716"/>
  <c r="G20" i="715"/>
  <c r="F20" i="715"/>
  <c r="E20" i="715"/>
  <c r="D20" i="715"/>
  <c r="C20" i="715"/>
  <c r="B20" i="715"/>
  <c r="G20" i="714"/>
  <c r="F20" i="714"/>
  <c r="E20" i="714"/>
  <c r="D20" i="714"/>
  <c r="C20" i="714"/>
  <c r="B20" i="714"/>
  <c r="H27" i="713"/>
  <c r="G22" i="713"/>
  <c r="F22" i="713"/>
  <c r="E22" i="713"/>
  <c r="D22" i="713"/>
  <c r="C22" i="713"/>
  <c r="B22" i="713"/>
  <c r="G17" i="712"/>
  <c r="F17" i="712"/>
  <c r="E17" i="712"/>
  <c r="D17" i="712"/>
  <c r="C17" i="712"/>
  <c r="B17" i="712"/>
  <c r="G19" i="711"/>
  <c r="F19" i="711"/>
  <c r="E19" i="711"/>
  <c r="D19" i="711"/>
  <c r="C19" i="711"/>
  <c r="B19" i="711"/>
  <c r="G25" i="710"/>
  <c r="F25" i="710"/>
  <c r="E25" i="710"/>
  <c r="D25" i="710"/>
  <c r="C25" i="710"/>
  <c r="B25" i="710"/>
  <c r="G19" i="708"/>
  <c r="F19" i="708"/>
  <c r="E19" i="708"/>
  <c r="D19" i="708"/>
  <c r="C19" i="708"/>
  <c r="B19" i="708"/>
  <c r="G17" i="707"/>
  <c r="F17" i="707"/>
  <c r="E17" i="707"/>
  <c r="D17" i="707"/>
  <c r="C17" i="707"/>
  <c r="B17" i="707"/>
  <c r="G17" i="706"/>
  <c r="F17" i="706"/>
  <c r="E17" i="706"/>
  <c r="D17" i="706"/>
  <c r="C17" i="706"/>
  <c r="B17" i="706"/>
  <c r="G17" i="705"/>
  <c r="F17" i="705"/>
  <c r="E17" i="705"/>
  <c r="D17" i="705"/>
  <c r="C17" i="705"/>
  <c r="B17" i="705"/>
  <c r="G17" i="704"/>
  <c r="F17" i="704"/>
  <c r="E17" i="704"/>
  <c r="D17" i="704"/>
  <c r="C17" i="704"/>
  <c r="B17" i="704"/>
  <c r="G18" i="703"/>
  <c r="F18" i="703"/>
  <c r="E18" i="703"/>
  <c r="D18" i="703"/>
  <c r="C18" i="703"/>
  <c r="B18" i="703"/>
  <c r="G18" i="702"/>
  <c r="F18" i="702"/>
  <c r="E18" i="702"/>
  <c r="D18" i="702"/>
  <c r="C18" i="702"/>
  <c r="B18" i="702"/>
  <c r="L18" i="700"/>
  <c r="K18" i="700"/>
  <c r="J18" i="700"/>
  <c r="I18" i="700"/>
  <c r="H18" i="700"/>
  <c r="N19" i="699"/>
  <c r="G17" i="698"/>
  <c r="AE18" i="693"/>
  <c r="AE17" i="693"/>
  <c r="AE16" i="693"/>
  <c r="AE15" i="693"/>
  <c r="AE14" i="693"/>
  <c r="AE13" i="693"/>
  <c r="AC9" i="693"/>
  <c r="AB9" i="693"/>
  <c r="AB19" i="693" s="1"/>
  <c r="K19" i="693" s="1"/>
  <c r="AA9" i="693"/>
  <c r="AA19" i="693" s="1"/>
  <c r="J19" i="693" s="1"/>
  <c r="Z9" i="693"/>
  <c r="Z19" i="693" s="1"/>
  <c r="I19" i="693" s="1"/>
  <c r="Y9" i="693"/>
  <c r="Y19" i="693" s="1"/>
  <c r="H19" i="693" s="1"/>
  <c r="X9" i="693"/>
  <c r="X19" i="693" s="1"/>
  <c r="G19" i="693" s="1"/>
  <c r="W9" i="693"/>
  <c r="W19" i="693" s="1"/>
  <c r="F19" i="693" s="1"/>
  <c r="V9" i="693"/>
  <c r="V19" i="693" s="1"/>
  <c r="E19" i="693" s="1"/>
  <c r="U9" i="693"/>
  <c r="U19" i="693" s="1"/>
  <c r="D19" i="693" s="1"/>
  <c r="T9" i="693"/>
  <c r="T19" i="693" s="1"/>
  <c r="C19" i="693" s="1"/>
  <c r="S9" i="693"/>
  <c r="S19" i="693" s="1"/>
  <c r="AF22" i="692"/>
  <c r="AF21" i="692"/>
  <c r="AF20" i="692"/>
  <c r="AF19" i="692"/>
  <c r="N19" i="692"/>
  <c r="AF18" i="692"/>
  <c r="N18" i="692"/>
  <c r="AF17" i="692"/>
  <c r="AF16" i="692"/>
  <c r="AF15" i="692"/>
  <c r="AD11" i="692"/>
  <c r="AC11" i="692"/>
  <c r="AC23" i="692" s="1"/>
  <c r="K17" i="692" s="1"/>
  <c r="AB11" i="692"/>
  <c r="AB23" i="692" s="1"/>
  <c r="J17" i="692" s="1"/>
  <c r="AA11" i="692"/>
  <c r="AA23" i="692" s="1"/>
  <c r="I17" i="692" s="1"/>
  <c r="Z11" i="692"/>
  <c r="Z23" i="692" s="1"/>
  <c r="H17" i="692" s="1"/>
  <c r="Y11" i="692"/>
  <c r="Y23" i="692" s="1"/>
  <c r="G17" i="692" s="1"/>
  <c r="X11" i="692"/>
  <c r="X23" i="692" s="1"/>
  <c r="F17" i="692" s="1"/>
  <c r="W11" i="692"/>
  <c r="W23" i="692" s="1"/>
  <c r="E17" i="692" s="1"/>
  <c r="V11" i="692"/>
  <c r="V23" i="692" s="1"/>
  <c r="D17" i="692" s="1"/>
  <c r="U11" i="692"/>
  <c r="U23" i="692" s="1"/>
  <c r="C17" i="692" s="1"/>
  <c r="T11" i="692"/>
  <c r="T23" i="692" s="1"/>
  <c r="AG22" i="691"/>
  <c r="AG21" i="691"/>
  <c r="AG20" i="691"/>
  <c r="AG19" i="691"/>
  <c r="AG18" i="691"/>
  <c r="AG17" i="691"/>
  <c r="AG16" i="691"/>
  <c r="AD11" i="691"/>
  <c r="AD23" i="691" s="1"/>
  <c r="AC11" i="691"/>
  <c r="AC23" i="691" s="1"/>
  <c r="K19" i="691" s="1"/>
  <c r="AB11" i="691"/>
  <c r="AB23" i="691" s="1"/>
  <c r="J19" i="691" s="1"/>
  <c r="AA11" i="691"/>
  <c r="AA23" i="691" s="1"/>
  <c r="I19" i="691" s="1"/>
  <c r="Z11" i="691"/>
  <c r="Z23" i="691" s="1"/>
  <c r="H19" i="691" s="1"/>
  <c r="Y11" i="691"/>
  <c r="Y23" i="691" s="1"/>
  <c r="G19" i="691" s="1"/>
  <c r="X11" i="691"/>
  <c r="X23" i="691" s="1"/>
  <c r="F19" i="691" s="1"/>
  <c r="W11" i="691"/>
  <c r="W23" i="691" s="1"/>
  <c r="E19" i="691" s="1"/>
  <c r="V11" i="691"/>
  <c r="V23" i="691" s="1"/>
  <c r="D19" i="691" s="1"/>
  <c r="U11" i="691"/>
  <c r="U23" i="691" s="1"/>
  <c r="C19" i="691" s="1"/>
  <c r="T11" i="691"/>
  <c r="T23" i="691" s="1"/>
  <c r="AC19" i="690"/>
  <c r="AC18" i="690"/>
  <c r="AC17" i="690"/>
  <c r="AC16" i="690"/>
  <c r="AC15" i="690"/>
  <c r="AC14" i="690"/>
  <c r="AA10" i="690"/>
  <c r="AA20" i="690" s="1"/>
  <c r="Z10" i="690"/>
  <c r="Z20" i="690" s="1"/>
  <c r="K20" i="690" s="1"/>
  <c r="Y10" i="690"/>
  <c r="Y20" i="690" s="1"/>
  <c r="J20" i="690" s="1"/>
  <c r="X10" i="690"/>
  <c r="X20" i="690" s="1"/>
  <c r="I20" i="690" s="1"/>
  <c r="W10" i="690"/>
  <c r="W20" i="690" s="1"/>
  <c r="H20" i="690" s="1"/>
  <c r="V10" i="690"/>
  <c r="V20" i="690" s="1"/>
  <c r="G20" i="690" s="1"/>
  <c r="U10" i="690"/>
  <c r="U20" i="690" s="1"/>
  <c r="F20" i="690" s="1"/>
  <c r="T10" i="690"/>
  <c r="T20" i="690" s="1"/>
  <c r="E20" i="690" s="1"/>
  <c r="S10" i="690"/>
  <c r="S20" i="690" s="1"/>
  <c r="D20" i="690" s="1"/>
  <c r="R10" i="690"/>
  <c r="R20" i="690" s="1"/>
  <c r="C20" i="690" s="1"/>
  <c r="Q10" i="690"/>
  <c r="Q20" i="690" s="1"/>
  <c r="AE18" i="689"/>
  <c r="AE17" i="689"/>
  <c r="AE16" i="689"/>
  <c r="AE15" i="689"/>
  <c r="AE14" i="689"/>
  <c r="AE13" i="689"/>
  <c r="AC9" i="689"/>
  <c r="AB9" i="689"/>
  <c r="AB19" i="689" s="1"/>
  <c r="K20" i="689" s="1"/>
  <c r="AA9" i="689"/>
  <c r="AA19" i="689" s="1"/>
  <c r="J20" i="689" s="1"/>
  <c r="Z9" i="689"/>
  <c r="Z19" i="689" s="1"/>
  <c r="I20" i="689" s="1"/>
  <c r="Y9" i="689"/>
  <c r="Y19" i="689" s="1"/>
  <c r="H20" i="689" s="1"/>
  <c r="X9" i="689"/>
  <c r="X19" i="689" s="1"/>
  <c r="G20" i="689" s="1"/>
  <c r="W9" i="689"/>
  <c r="W19" i="689" s="1"/>
  <c r="F20" i="689" s="1"/>
  <c r="V9" i="689"/>
  <c r="V19" i="689" s="1"/>
  <c r="E20" i="689" s="1"/>
  <c r="U9" i="689"/>
  <c r="U19" i="689" s="1"/>
  <c r="D20" i="689" s="1"/>
  <c r="T9" i="689"/>
  <c r="T19" i="689" s="1"/>
  <c r="C20" i="689" s="1"/>
  <c r="S9" i="689"/>
  <c r="S19" i="689" s="1"/>
  <c r="T20" i="688"/>
  <c r="D19" i="688" s="1"/>
  <c r="S20" i="688"/>
  <c r="C19" i="688" s="1"/>
  <c r="R20" i="688"/>
  <c r="AD19" i="688"/>
  <c r="AD18" i="688"/>
  <c r="AD17" i="688"/>
  <c r="AD16" i="688"/>
  <c r="AD15" i="688"/>
  <c r="AD14" i="688"/>
  <c r="AB9" i="688"/>
  <c r="AA9" i="688"/>
  <c r="AA20" i="688" s="1"/>
  <c r="K19" i="688" s="1"/>
  <c r="Z9" i="688"/>
  <c r="Z20" i="688" s="1"/>
  <c r="J19" i="688" s="1"/>
  <c r="Y9" i="688"/>
  <c r="Y20" i="688" s="1"/>
  <c r="I19" i="688" s="1"/>
  <c r="X9" i="688"/>
  <c r="X20" i="688" s="1"/>
  <c r="H19" i="688" s="1"/>
  <c r="W9" i="688"/>
  <c r="W20" i="688" s="1"/>
  <c r="G19" i="688" s="1"/>
  <c r="V9" i="688"/>
  <c r="V20" i="688" s="1"/>
  <c r="F19" i="688" s="1"/>
  <c r="U9" i="688"/>
  <c r="U20" i="688" s="1"/>
  <c r="E19" i="688" s="1"/>
  <c r="T9" i="688"/>
  <c r="S9" i="688"/>
  <c r="R9" i="688"/>
  <c r="AD18" i="687"/>
  <c r="AD17" i="687"/>
  <c r="AD16" i="687"/>
  <c r="AD15" i="687"/>
  <c r="AD14" i="687"/>
  <c r="AD13" i="687"/>
  <c r="AB9" i="687"/>
  <c r="AA9" i="687"/>
  <c r="AA19" i="687" s="1"/>
  <c r="K19" i="687" s="1"/>
  <c r="Z9" i="687"/>
  <c r="Z19" i="687" s="1"/>
  <c r="J19" i="687" s="1"/>
  <c r="Y9" i="687"/>
  <c r="Y19" i="687" s="1"/>
  <c r="I19" i="687" s="1"/>
  <c r="X9" i="687"/>
  <c r="X19" i="687" s="1"/>
  <c r="H19" i="687" s="1"/>
  <c r="W9" i="687"/>
  <c r="W19" i="687" s="1"/>
  <c r="G19" i="687" s="1"/>
  <c r="V9" i="687"/>
  <c r="V19" i="687" s="1"/>
  <c r="F19" i="687" s="1"/>
  <c r="U9" i="687"/>
  <c r="U19" i="687" s="1"/>
  <c r="E19" i="687" s="1"/>
  <c r="T9" i="687"/>
  <c r="T19" i="687" s="1"/>
  <c r="D19" i="687" s="1"/>
  <c r="S9" i="687"/>
  <c r="S19" i="687" s="1"/>
  <c r="C19" i="687" s="1"/>
  <c r="R9" i="687"/>
  <c r="R19" i="687" s="1"/>
  <c r="B19" i="687" s="1"/>
  <c r="N17" i="705" l="1"/>
  <c r="N17" i="707"/>
  <c r="O18" i="707" s="1"/>
  <c r="N25" i="710"/>
  <c r="N17" i="712"/>
  <c r="O22" i="730"/>
  <c r="N18" i="700"/>
  <c r="O20" i="700" s="1"/>
  <c r="N20" i="714"/>
  <c r="O21" i="714" s="1"/>
  <c r="AB20" i="688"/>
  <c r="L19" i="688" s="1"/>
  <c r="AC19" i="689"/>
  <c r="AE19" i="689" s="1"/>
  <c r="L20" i="690"/>
  <c r="AB19" i="687"/>
  <c r="L19" i="687" s="1"/>
  <c r="N19" i="687" s="1"/>
  <c r="AD23" i="692"/>
  <c r="L17" i="692" s="1"/>
  <c r="N19" i="728"/>
  <c r="N21" i="732"/>
  <c r="N19" i="719"/>
  <c r="O20" i="719" s="1"/>
  <c r="N18" i="703"/>
  <c r="O20" i="703" s="1"/>
  <c r="N20" i="722"/>
  <c r="O22" i="722" s="1"/>
  <c r="N19" i="724"/>
  <c r="O20" i="724" s="1"/>
  <c r="N17" i="704"/>
  <c r="O18" i="704" s="1"/>
  <c r="N19" i="708"/>
  <c r="O20" i="708" s="1"/>
  <c r="N22" i="713"/>
  <c r="O24" i="713" s="1"/>
  <c r="N20" i="729"/>
  <c r="O22" i="729" s="1"/>
  <c r="N20" i="715"/>
  <c r="O22" i="715" s="1"/>
  <c r="N19" i="733"/>
  <c r="O20" i="733" s="1"/>
  <c r="N20" i="716"/>
  <c r="O22" i="716" s="1"/>
  <c r="N18" i="702"/>
  <c r="O20" i="702" s="1"/>
  <c r="N17" i="706"/>
  <c r="O19" i="706" s="1"/>
  <c r="N19" i="711"/>
  <c r="O21" i="711" s="1"/>
  <c r="N20" i="727"/>
  <c r="O21" i="727" s="1"/>
  <c r="N21" i="731"/>
  <c r="O23" i="731" s="1"/>
  <c r="N20" i="735"/>
  <c r="O22" i="735" s="1"/>
  <c r="N19" i="737"/>
  <c r="O21" i="737" s="1"/>
  <c r="N18" i="739"/>
  <c r="O19" i="739" s="1"/>
  <c r="N19" i="741"/>
  <c r="O21" i="741" s="1"/>
  <c r="O22" i="736"/>
  <c r="O19" i="696"/>
  <c r="O22" i="740"/>
  <c r="O18" i="712"/>
  <c r="P24" i="730"/>
  <c r="O20" i="718"/>
  <c r="O22" i="732"/>
  <c r="O18" i="705"/>
  <c r="O20" i="694"/>
  <c r="O22" i="723"/>
  <c r="O23" i="721"/>
  <c r="O26" i="710"/>
  <c r="O20" i="720"/>
  <c r="O20" i="728"/>
  <c r="B25" i="716"/>
  <c r="B27" i="716" s="1"/>
  <c r="N17" i="698"/>
  <c r="O19" i="698" s="1"/>
  <c r="N17" i="697"/>
  <c r="O19" i="697" s="1"/>
  <c r="O20" i="695"/>
  <c r="AC19" i="693"/>
  <c r="L19" i="693" s="1"/>
  <c r="L19" i="691"/>
  <c r="O21" i="724"/>
  <c r="N17" i="699"/>
  <c r="O19" i="699" s="1"/>
  <c r="H26" i="713"/>
  <c r="H28" i="713" s="1"/>
  <c r="H29" i="713" s="1"/>
  <c r="O23" i="738"/>
  <c r="P23" i="730"/>
  <c r="G26" i="721"/>
  <c r="G28" i="721" s="1"/>
  <c r="G29" i="721" s="1"/>
  <c r="B17" i="692"/>
  <c r="AF23" i="692"/>
  <c r="B19" i="693"/>
  <c r="N19" i="693" s="1"/>
  <c r="AE19" i="693"/>
  <c r="B19" i="691"/>
  <c r="N19" i="691" s="1"/>
  <c r="AG23" i="691"/>
  <c r="B20" i="690"/>
  <c r="N20" i="690" s="1"/>
  <c r="AC20" i="690"/>
  <c r="AD20" i="688"/>
  <c r="B20" i="689"/>
  <c r="B19" i="688"/>
  <c r="AD19" i="687"/>
  <c r="N17" i="692" l="1"/>
  <c r="L20" i="689"/>
  <c r="N20" i="689"/>
  <c r="O22" i="689" s="1"/>
  <c r="O20" i="711"/>
  <c r="N19" i="688"/>
  <c r="O21" i="688" s="1"/>
  <c r="O21" i="729"/>
  <c r="O21" i="735"/>
  <c r="O21" i="736"/>
  <c r="O18" i="706"/>
  <c r="O19" i="704"/>
  <c r="O19" i="707"/>
  <c r="O22" i="714"/>
  <c r="O22" i="731"/>
  <c r="O19" i="702"/>
  <c r="O21" i="719"/>
  <c r="O19" i="712"/>
  <c r="O21" i="720"/>
  <c r="O24" i="721"/>
  <c r="O22" i="727"/>
  <c r="O20" i="739"/>
  <c r="O21" i="733"/>
  <c r="O22" i="738"/>
  <c r="O27" i="710"/>
  <c r="O19" i="695"/>
  <c r="O19" i="703"/>
  <c r="O21" i="740"/>
  <c r="O23" i="713"/>
  <c r="O21" i="708"/>
  <c r="O19" i="694"/>
  <c r="O19" i="705"/>
  <c r="O21" i="722"/>
  <c r="O20" i="737"/>
  <c r="O21" i="715"/>
  <c r="O21" i="728"/>
  <c r="O21" i="718"/>
  <c r="O21" i="716"/>
  <c r="O21" i="690"/>
  <c r="O22" i="690"/>
  <c r="O21" i="691"/>
  <c r="O20" i="691"/>
  <c r="O21" i="693"/>
  <c r="O20" i="693"/>
  <c r="O21" i="687"/>
  <c r="O20" i="687"/>
  <c r="O19" i="692"/>
  <c r="O18" i="692"/>
  <c r="L64" i="320"/>
  <c r="L25" i="320"/>
  <c r="L77" i="320"/>
  <c r="L28" i="320" s="1"/>
  <c r="L76" i="320"/>
  <c r="L73" i="320"/>
  <c r="L67" i="320"/>
  <c r="L66" i="320"/>
  <c r="L63" i="320"/>
  <c r="L58" i="320"/>
  <c r="L57" i="320"/>
  <c r="L56" i="320"/>
  <c r="L55" i="320"/>
  <c r="L54" i="320"/>
  <c r="L48" i="320"/>
  <c r="L47" i="320"/>
  <c r="L45" i="320"/>
  <c r="L44" i="320"/>
  <c r="L38" i="320"/>
  <c r="L37" i="320"/>
  <c r="L36" i="320"/>
  <c r="L35" i="320"/>
  <c r="L34" i="320"/>
  <c r="L27" i="320"/>
  <c r="L26" i="320"/>
  <c r="L26" i="321"/>
  <c r="L68" i="321"/>
  <c r="O20" i="688" l="1"/>
  <c r="O21" i="689"/>
  <c r="AW20" i="340"/>
  <c r="L21" i="334"/>
  <c r="L21" i="346"/>
  <c r="AW19" i="348"/>
  <c r="AW21" i="332"/>
  <c r="Q20" i="569"/>
  <c r="L21" i="338"/>
  <c r="L20" i="351"/>
  <c r="L20" i="342"/>
  <c r="L21" i="330"/>
  <c r="L82" i="321"/>
  <c r="L80" i="321"/>
  <c r="L80" i="319" s="1"/>
  <c r="L77" i="321"/>
  <c r="L71" i="321"/>
  <c r="L70" i="321"/>
  <c r="L67" i="321"/>
  <c r="L59" i="321"/>
  <c r="L58" i="321"/>
  <c r="L57" i="321"/>
  <c r="L56" i="321"/>
  <c r="L55" i="321"/>
  <c r="L49" i="321"/>
  <c r="L48" i="321"/>
  <c r="L46" i="321"/>
  <c r="L45" i="321"/>
  <c r="L40" i="321"/>
  <c r="L39" i="321"/>
  <c r="L38" i="321"/>
  <c r="L37" i="321"/>
  <c r="L36" i="321"/>
  <c r="L35" i="321"/>
  <c r="L32" i="321"/>
  <c r="L31" i="321"/>
  <c r="L30" i="321"/>
  <c r="L29" i="321"/>
  <c r="K77" i="320"/>
  <c r="K28" i="320" s="1"/>
  <c r="K67" i="320"/>
  <c r="K58" i="320"/>
  <c r="K48" i="320"/>
  <c r="K38" i="320"/>
  <c r="K82" i="321"/>
  <c r="K31" i="321"/>
  <c r="K30" i="321"/>
  <c r="K71" i="321"/>
  <c r="K59" i="321"/>
  <c r="K49" i="321"/>
  <c r="K40" i="321"/>
  <c r="K39" i="321"/>
  <c r="K32" i="321"/>
  <c r="K29" i="321"/>
  <c r="L28" i="321"/>
  <c r="L27" i="321"/>
  <c r="K76" i="320"/>
  <c r="K73" i="320"/>
  <c r="K80" i="321"/>
  <c r="K77" i="321"/>
  <c r="K66" i="320"/>
  <c r="K63" i="320"/>
  <c r="K70" i="321"/>
  <c r="K67" i="321"/>
  <c r="K56" i="320"/>
  <c r="K57" i="321"/>
  <c r="K55" i="320"/>
  <c r="K56" i="321"/>
  <c r="K57" i="320"/>
  <c r="K54" i="320"/>
  <c r="K58" i="321"/>
  <c r="K55" i="321"/>
  <c r="K45" i="320"/>
  <c r="K46" i="321"/>
  <c r="K47" i="320"/>
  <c r="K44" i="320"/>
  <c r="K48" i="321"/>
  <c r="K45" i="321"/>
  <c r="K36" i="320"/>
  <c r="K37" i="321"/>
  <c r="K35" i="320"/>
  <c r="K36" i="321"/>
  <c r="K37" i="320"/>
  <c r="K34" i="320"/>
  <c r="K38" i="321"/>
  <c r="K35" i="321"/>
  <c r="K26" i="320"/>
  <c r="K27" i="321"/>
  <c r="K27" i="320"/>
  <c r="K24" i="320"/>
  <c r="K28" i="321"/>
  <c r="K25" i="321"/>
  <c r="L24" i="320"/>
  <c r="L25" i="321"/>
  <c r="L20" i="745" l="1"/>
  <c r="P20" i="569"/>
  <c r="K20" i="745"/>
  <c r="AV20" i="340"/>
  <c r="L20" i="570"/>
  <c r="K20" i="570"/>
  <c r="AV21" i="332"/>
  <c r="AU20" i="327"/>
  <c r="AV19" i="348"/>
  <c r="K18" i="320"/>
  <c r="L19" i="337"/>
  <c r="AV20" i="327"/>
  <c r="L21" i="319"/>
  <c r="L18" i="320"/>
  <c r="L21" i="335"/>
  <c r="L19" i="333" s="1"/>
  <c r="L21" i="347"/>
  <c r="L21" i="345" s="1"/>
  <c r="L77" i="319"/>
  <c r="L20" i="352"/>
  <c r="L20" i="341"/>
  <c r="L18" i="329"/>
  <c r="L18" i="326"/>
  <c r="L20" i="331"/>
  <c r="L20" i="324"/>
  <c r="L20" i="325"/>
  <c r="L20" i="343"/>
  <c r="L20" i="350"/>
  <c r="L19" i="321"/>
  <c r="L92" i="320"/>
  <c r="L52" i="320"/>
  <c r="L71" i="320"/>
  <c r="L43" i="321"/>
  <c r="L96" i="321"/>
  <c r="L53" i="321"/>
  <c r="L63" i="321"/>
  <c r="L75" i="321"/>
  <c r="L91" i="321"/>
  <c r="L89" i="320" l="1"/>
  <c r="L101" i="320" s="1"/>
  <c r="L42" i="320"/>
  <c r="L32" i="320"/>
  <c r="L95" i="320"/>
  <c r="L91" i="320"/>
  <c r="L33" i="321"/>
  <c r="L95" i="321"/>
  <c r="L92" i="321"/>
  <c r="L101" i="321" s="1"/>
  <c r="J77" i="320"/>
  <c r="J28" i="320" s="1"/>
  <c r="J67" i="320"/>
  <c r="J58" i="320"/>
  <c r="J48" i="320"/>
  <c r="J38" i="320"/>
  <c r="K91" i="321"/>
  <c r="K21" i="338" l="1"/>
  <c r="K19" i="337" s="1"/>
  <c r="K20" i="351"/>
  <c r="K21" i="346"/>
  <c r="K21" i="347"/>
  <c r="K21" i="334"/>
  <c r="K21" i="330"/>
  <c r="K80" i="319"/>
  <c r="K20" i="352"/>
  <c r="K20" i="342"/>
  <c r="K75" i="321"/>
  <c r="K20" i="350"/>
  <c r="K20" i="325"/>
  <c r="K77" i="319"/>
  <c r="K89" i="320"/>
  <c r="F39" i="321"/>
  <c r="G39" i="321"/>
  <c r="H39" i="321"/>
  <c r="I39" i="321"/>
  <c r="J39" i="321"/>
  <c r="K21" i="345" l="1"/>
  <c r="K21" i="335"/>
  <c r="K19" i="333" l="1"/>
  <c r="K20" i="331"/>
  <c r="K18" i="329"/>
  <c r="J82" i="321"/>
  <c r="J31" i="321"/>
  <c r="J30" i="321"/>
  <c r="J71" i="321"/>
  <c r="J59" i="321"/>
  <c r="J49" i="321"/>
  <c r="J40" i="321"/>
  <c r="J32" i="321"/>
  <c r="J29" i="321"/>
  <c r="K18" i="326" l="1"/>
  <c r="K20" i="324"/>
  <c r="K21" i="319"/>
  <c r="K20" i="343"/>
  <c r="K20" i="341"/>
  <c r="K19" i="321"/>
  <c r="AU21" i="340" l="1"/>
  <c r="AU20" i="348"/>
  <c r="AU22" i="332"/>
  <c r="AT21" i="327"/>
  <c r="O21" i="569"/>
  <c r="AT23" i="322"/>
  <c r="AU23" i="322"/>
  <c r="I22" i="570" l="1"/>
  <c r="J76" i="320"/>
  <c r="J73" i="320"/>
  <c r="J66" i="320"/>
  <c r="J63" i="320"/>
  <c r="O20" i="569" s="1"/>
  <c r="J57" i="320"/>
  <c r="J56" i="320"/>
  <c r="J55" i="320"/>
  <c r="J54" i="320"/>
  <c r="J47" i="320"/>
  <c r="J45" i="320"/>
  <c r="J44" i="320"/>
  <c r="J37" i="320"/>
  <c r="J35" i="320"/>
  <c r="J34" i="320"/>
  <c r="J27" i="320"/>
  <c r="J26" i="320"/>
  <c r="J24" i="320"/>
  <c r="K92" i="321"/>
  <c r="J80" i="321"/>
  <c r="J91" i="321" s="1"/>
  <c r="J77" i="321"/>
  <c r="J70" i="321"/>
  <c r="J67" i="321"/>
  <c r="J58" i="321"/>
  <c r="J57" i="321"/>
  <c r="J56" i="321"/>
  <c r="J55" i="321"/>
  <c r="J48" i="321"/>
  <c r="J46" i="321"/>
  <c r="J45" i="321"/>
  <c r="J38" i="321"/>
  <c r="J36" i="321"/>
  <c r="J35" i="321"/>
  <c r="J28" i="321"/>
  <c r="J27" i="321"/>
  <c r="J25" i="321"/>
  <c r="AU20" i="340" l="1"/>
  <c r="J20" i="570"/>
  <c r="N20" i="570" s="1"/>
  <c r="J20" i="745"/>
  <c r="AU21" i="332"/>
  <c r="J75" i="321"/>
  <c r="AU19" i="348"/>
  <c r="J21" i="319"/>
  <c r="J89" i="320"/>
  <c r="AT20" i="327"/>
  <c r="J80" i="319"/>
  <c r="J77" i="319"/>
  <c r="J63" i="321"/>
  <c r="J19" i="321"/>
  <c r="J92" i="321"/>
  <c r="J18" i="320"/>
  <c r="O14" i="320" s="1"/>
  <c r="J20" i="343" l="1"/>
  <c r="J20" i="342"/>
  <c r="J20" i="341"/>
  <c r="J21" i="338"/>
  <c r="J19" i="337" s="1"/>
  <c r="J21" i="347"/>
  <c r="J21" i="346"/>
  <c r="J21" i="335"/>
  <c r="J21" i="334"/>
  <c r="J20" i="331"/>
  <c r="J21" i="330"/>
  <c r="J18" i="329"/>
  <c r="J18" i="326"/>
  <c r="J20" i="324"/>
  <c r="J20" i="325"/>
  <c r="J20" i="352"/>
  <c r="J20" i="351"/>
  <c r="J20" i="350"/>
  <c r="J22" i="570"/>
  <c r="K22" i="570"/>
  <c r="L22" i="570"/>
  <c r="M22" i="570"/>
  <c r="N22" i="570" l="1"/>
  <c r="J19" i="333"/>
  <c r="J21" i="345"/>
  <c r="AT21" i="340" l="1"/>
  <c r="AT20" i="348"/>
  <c r="AT22" i="332"/>
  <c r="AS21" i="327"/>
  <c r="N21" i="569"/>
  <c r="I77" i="320" l="1"/>
  <c r="I28" i="320" s="1"/>
  <c r="I67" i="320"/>
  <c r="I58" i="320"/>
  <c r="I48" i="320"/>
  <c r="I38" i="320"/>
  <c r="I76" i="320" l="1"/>
  <c r="I73" i="320"/>
  <c r="I66" i="320"/>
  <c r="I63" i="320"/>
  <c r="I57" i="320"/>
  <c r="I56" i="320"/>
  <c r="I55" i="320"/>
  <c r="I54" i="320"/>
  <c r="I47" i="320"/>
  <c r="I45" i="320"/>
  <c r="I44" i="320"/>
  <c r="I37" i="320"/>
  <c r="I36" i="320"/>
  <c r="I35" i="320"/>
  <c r="I34" i="320"/>
  <c r="I27" i="320"/>
  <c r="I26" i="320"/>
  <c r="I24" i="320"/>
  <c r="AT21" i="332" l="1"/>
  <c r="I21" i="334"/>
  <c r="AS20" i="327"/>
  <c r="I89" i="320"/>
  <c r="I18" i="320"/>
  <c r="I21" i="338"/>
  <c r="AT20" i="340"/>
  <c r="N20" i="569"/>
  <c r="I21" i="346"/>
  <c r="AT19" i="348"/>
  <c r="I20" i="351"/>
  <c r="I21" i="330"/>
  <c r="I20" i="342"/>
  <c r="I20" i="325"/>
  <c r="I82" i="321" l="1"/>
  <c r="I80" i="321"/>
  <c r="I80" i="319" s="1"/>
  <c r="I77" i="321"/>
  <c r="I71" i="321"/>
  <c r="I70" i="321"/>
  <c r="I67" i="321"/>
  <c r="I59" i="321"/>
  <c r="I58" i="321"/>
  <c r="I57" i="321"/>
  <c r="I56" i="321"/>
  <c r="I55" i="321"/>
  <c r="I20" i="745" s="1"/>
  <c r="I19" i="337" s="1"/>
  <c r="I49" i="321"/>
  <c r="I48" i="321"/>
  <c r="I46" i="321"/>
  <c r="I45" i="321"/>
  <c r="I40" i="321"/>
  <c r="I38" i="321"/>
  <c r="I37" i="321"/>
  <c r="I36" i="321"/>
  <c r="I35" i="321"/>
  <c r="I32" i="321"/>
  <c r="I31" i="321"/>
  <c r="I30" i="321"/>
  <c r="I29" i="321"/>
  <c r="I28" i="321"/>
  <c r="I27" i="321"/>
  <c r="I25" i="321"/>
  <c r="I92" i="321" l="1"/>
  <c r="I21" i="335"/>
  <c r="I19" i="333" s="1"/>
  <c r="I95" i="321"/>
  <c r="I77" i="319"/>
  <c r="I75" i="321"/>
  <c r="I91" i="321"/>
  <c r="I21" i="347"/>
  <c r="O22" i="570"/>
  <c r="I96" i="321"/>
  <c r="I20" i="352"/>
  <c r="I20" i="350"/>
  <c r="I20" i="331"/>
  <c r="I18" i="329"/>
  <c r="I20" i="343"/>
  <c r="I20" i="341"/>
  <c r="I18" i="326"/>
  <c r="I21" i="319"/>
  <c r="I20" i="324"/>
  <c r="I19" i="321"/>
  <c r="AS21" i="340"/>
  <c r="AS20" i="348"/>
  <c r="AS22" i="332"/>
  <c r="AR21" i="327"/>
  <c r="M21" i="569"/>
  <c r="L22" i="569"/>
  <c r="C22" i="569"/>
  <c r="AO15" i="569"/>
  <c r="AS23" i="322"/>
  <c r="I21" i="345" l="1"/>
  <c r="D22" i="569"/>
  <c r="E22" i="569"/>
  <c r="G22" i="569"/>
  <c r="J22" i="569"/>
  <c r="K22" i="569"/>
  <c r="B22" i="569"/>
  <c r="F22" i="569"/>
  <c r="H22" i="569"/>
  <c r="I22" i="569"/>
  <c r="AO28" i="569" l="1"/>
  <c r="H77" i="320"/>
  <c r="H76" i="320"/>
  <c r="H73" i="320"/>
  <c r="H67" i="320"/>
  <c r="H66" i="320"/>
  <c r="H63" i="320"/>
  <c r="H58" i="320"/>
  <c r="H57" i="320"/>
  <c r="H56" i="320"/>
  <c r="H55" i="320"/>
  <c r="H54" i="320"/>
  <c r="H48" i="320"/>
  <c r="H47" i="320"/>
  <c r="H45" i="320"/>
  <c r="H44" i="320"/>
  <c r="H38" i="320"/>
  <c r="H37" i="320"/>
  <c r="H36" i="320"/>
  <c r="H35" i="320"/>
  <c r="H34" i="320"/>
  <c r="H28" i="320"/>
  <c r="H27" i="320"/>
  <c r="H26" i="320"/>
  <c r="H24" i="320"/>
  <c r="H48" i="321"/>
  <c r="H27" i="321"/>
  <c r="C91" i="321"/>
  <c r="H82" i="321"/>
  <c r="H80" i="321"/>
  <c r="H77" i="321"/>
  <c r="H71" i="321"/>
  <c r="H70" i="321"/>
  <c r="H67" i="321"/>
  <c r="H59" i="321"/>
  <c r="H58" i="321"/>
  <c r="H57" i="321"/>
  <c r="H56" i="321"/>
  <c r="H55" i="321"/>
  <c r="H49" i="321"/>
  <c r="H46" i="321"/>
  <c r="H45" i="321"/>
  <c r="H40" i="321"/>
  <c r="H38" i="321"/>
  <c r="H37" i="321"/>
  <c r="H36" i="321"/>
  <c r="H20" i="745" l="1"/>
  <c r="H20" i="352"/>
  <c r="M20" i="569"/>
  <c r="AS19" i="348"/>
  <c r="AR20" i="327"/>
  <c r="H89" i="320"/>
  <c r="H21" i="335"/>
  <c r="H20" i="343"/>
  <c r="H80" i="319"/>
  <c r="H21" i="338"/>
  <c r="H19" i="337" s="1"/>
  <c r="AS20" i="340"/>
  <c r="AS21" i="332"/>
  <c r="H91" i="321"/>
  <c r="H21" i="347"/>
  <c r="H21" i="334"/>
  <c r="H21" i="346"/>
  <c r="H20" i="325"/>
  <c r="H20" i="351"/>
  <c r="H20" i="350"/>
  <c r="H20" i="342"/>
  <c r="H20" i="341"/>
  <c r="H21" i="330"/>
  <c r="H18" i="320"/>
  <c r="AS22" i="322" s="1"/>
  <c r="H21" i="345" l="1"/>
  <c r="H19" i="333"/>
  <c r="H35" i="321"/>
  <c r="H32" i="321"/>
  <c r="H20" i="331" l="1"/>
  <c r="H18" i="329"/>
  <c r="H31" i="321"/>
  <c r="H30" i="321"/>
  <c r="H29" i="321"/>
  <c r="H28" i="321"/>
  <c r="H25" i="321"/>
  <c r="AR21" i="340"/>
  <c r="AQ21" i="340"/>
  <c r="AP21" i="340"/>
  <c r="AR20" i="348"/>
  <c r="AQ20" i="348"/>
  <c r="AP20" i="348"/>
  <c r="AR22" i="332"/>
  <c r="AQ22" i="332"/>
  <c r="AP22" i="332"/>
  <c r="AQ21" i="327"/>
  <c r="AP21" i="327"/>
  <c r="AO21" i="327"/>
  <c r="AR23" i="322"/>
  <c r="AQ23" i="322"/>
  <c r="AP23" i="322"/>
  <c r="H18" i="326" l="1"/>
  <c r="H19" i="321"/>
  <c r="H21" i="319"/>
  <c r="H20" i="324"/>
  <c r="G77" i="320" l="1"/>
  <c r="G28" i="320" s="1"/>
  <c r="G76" i="320"/>
  <c r="G67" i="320"/>
  <c r="G66" i="320"/>
  <c r="G63" i="320"/>
  <c r="G58" i="320"/>
  <c r="G57" i="320"/>
  <c r="G56" i="320"/>
  <c r="G55" i="320"/>
  <c r="G54" i="320"/>
  <c r="G48" i="320"/>
  <c r="G47" i="320"/>
  <c r="G46" i="320"/>
  <c r="G45" i="320"/>
  <c r="G44" i="320"/>
  <c r="G38" i="320"/>
  <c r="G37" i="320"/>
  <c r="G36" i="320"/>
  <c r="G35" i="320"/>
  <c r="G34" i="320"/>
  <c r="G27" i="320"/>
  <c r="G26" i="320"/>
  <c r="G25" i="320"/>
  <c r="G24" i="320"/>
  <c r="G48" i="321"/>
  <c r="G82" i="321"/>
  <c r="G80" i="321"/>
  <c r="G71" i="321"/>
  <c r="G70" i="321"/>
  <c r="G67" i="321"/>
  <c r="G59" i="321"/>
  <c r="G58" i="321"/>
  <c r="G57" i="321"/>
  <c r="G56" i="321"/>
  <c r="G55" i="321"/>
  <c r="G49" i="321"/>
  <c r="G47" i="321"/>
  <c r="G46" i="321"/>
  <c r="G45" i="321"/>
  <c r="G40" i="321"/>
  <c r="G38" i="321"/>
  <c r="G37" i="321"/>
  <c r="G36" i="321"/>
  <c r="G35" i="321"/>
  <c r="G32" i="321"/>
  <c r="G31" i="321"/>
  <c r="G30" i="321"/>
  <c r="G29" i="321"/>
  <c r="G28" i="321"/>
  <c r="G26" i="321"/>
  <c r="G27" i="321"/>
  <c r="G25" i="321"/>
  <c r="G20" i="745" l="1"/>
  <c r="G20" i="352"/>
  <c r="G89" i="320"/>
  <c r="AR19" i="348"/>
  <c r="G21" i="334"/>
  <c r="G21" i="347"/>
  <c r="G20" i="351"/>
  <c r="L20" i="569"/>
  <c r="G19" i="321"/>
  <c r="G80" i="319"/>
  <c r="G91" i="321"/>
  <c r="AR20" i="340"/>
  <c r="G21" i="335"/>
  <c r="G20" i="342"/>
  <c r="G20" i="331"/>
  <c r="G20" i="350"/>
  <c r="G18" i="326"/>
  <c r="G24" i="326" s="1"/>
  <c r="G20" i="343"/>
  <c r="G21" i="330"/>
  <c r="AR21" i="332"/>
  <c r="G21" i="338"/>
  <c r="G19" i="337" s="1"/>
  <c r="G21" i="346"/>
  <c r="G20" i="325"/>
  <c r="AQ20" i="327"/>
  <c r="G20" i="324"/>
  <c r="G20" i="341"/>
  <c r="G18" i="329"/>
  <c r="G18" i="320"/>
  <c r="AR22" i="322" s="1"/>
  <c r="G19" i="333" l="1"/>
  <c r="G21" i="345"/>
  <c r="G21" i="319"/>
  <c r="F82" i="321" l="1"/>
  <c r="F77" i="320" l="1"/>
  <c r="F28" i="320" s="1"/>
  <c r="F67" i="320"/>
  <c r="F58" i="320"/>
  <c r="F48" i="320"/>
  <c r="F38" i="320"/>
  <c r="F76" i="320" l="1"/>
  <c r="F66" i="320"/>
  <c r="F63" i="320"/>
  <c r="F57" i="320"/>
  <c r="F56" i="320"/>
  <c r="F55" i="320"/>
  <c r="F54" i="320"/>
  <c r="F47" i="320"/>
  <c r="F45" i="320"/>
  <c r="F44" i="320"/>
  <c r="F37" i="320"/>
  <c r="F36" i="320"/>
  <c r="F35" i="320"/>
  <c r="F34" i="320"/>
  <c r="F27" i="320"/>
  <c r="F26" i="320"/>
  <c r="F24" i="320"/>
  <c r="F37" i="321"/>
  <c r="F36" i="321"/>
  <c r="F80" i="321"/>
  <c r="F91" i="321" s="1"/>
  <c r="F71" i="321"/>
  <c r="F70" i="321"/>
  <c r="F67" i="321"/>
  <c r="F59" i="321"/>
  <c r="F58" i="321"/>
  <c r="F57" i="321"/>
  <c r="F56" i="321"/>
  <c r="F55" i="321"/>
  <c r="F49" i="321"/>
  <c r="F48" i="321"/>
  <c r="F46" i="321"/>
  <c r="F45" i="321"/>
  <c r="F40" i="321"/>
  <c r="F38" i="321"/>
  <c r="F35" i="321"/>
  <c r="F28" i="321"/>
  <c r="F31" i="321"/>
  <c r="F30" i="321"/>
  <c r="F29" i="321"/>
  <c r="F20" i="745" l="1"/>
  <c r="AQ19" i="348"/>
  <c r="F21" i="347"/>
  <c r="K20" i="569"/>
  <c r="F20" i="331"/>
  <c r="F89" i="320"/>
  <c r="AQ21" i="332"/>
  <c r="F80" i="319"/>
  <c r="F21" i="338"/>
  <c r="F19" i="337" s="1"/>
  <c r="AQ20" i="340"/>
  <c r="AP20" i="327"/>
  <c r="F18" i="320"/>
  <c r="AQ22" i="322" s="1"/>
  <c r="F20" i="342"/>
  <c r="F21" i="335"/>
  <c r="F21" i="334"/>
  <c r="F21" i="346"/>
  <c r="F32" i="321"/>
  <c r="F27" i="321"/>
  <c r="F20" i="343" s="1"/>
  <c r="F25" i="321"/>
  <c r="F21" i="330"/>
  <c r="F18" i="329"/>
  <c r="F20" i="325"/>
  <c r="F20" i="352"/>
  <c r="F20" i="351"/>
  <c r="F20" i="350"/>
  <c r="F21" i="345" l="1"/>
  <c r="F20" i="341"/>
  <c r="F19" i="333"/>
  <c r="F18" i="326"/>
  <c r="F24" i="326" s="1"/>
  <c r="F92" i="321"/>
  <c r="F19" i="321"/>
  <c r="F33" i="321"/>
  <c r="F20" i="324"/>
  <c r="F21" i="319"/>
  <c r="E67" i="320"/>
  <c r="E58" i="320"/>
  <c r="E48" i="320"/>
  <c r="E38" i="320"/>
  <c r="E28" i="320"/>
  <c r="E76" i="320" l="1"/>
  <c r="E66" i="320"/>
  <c r="E63" i="320"/>
  <c r="J20" i="569" s="1"/>
  <c r="E57" i="320"/>
  <c r="E56" i="320"/>
  <c r="E55" i="320"/>
  <c r="E54" i="320"/>
  <c r="E47" i="320"/>
  <c r="E45" i="320"/>
  <c r="E44" i="320"/>
  <c r="E37" i="320"/>
  <c r="E36" i="320"/>
  <c r="E35" i="320"/>
  <c r="E34" i="320"/>
  <c r="E27" i="320"/>
  <c r="E26" i="320"/>
  <c r="E24" i="320"/>
  <c r="E80" i="321"/>
  <c r="E91" i="321" s="1"/>
  <c r="E71" i="321"/>
  <c r="E70" i="321"/>
  <c r="E67" i="321"/>
  <c r="E60" i="321"/>
  <c r="E59" i="321"/>
  <c r="E58" i="321"/>
  <c r="E57" i="321"/>
  <c r="E56" i="321"/>
  <c r="E55" i="321"/>
  <c r="E49" i="321"/>
  <c r="E48" i="321"/>
  <c r="E51" i="321"/>
  <c r="E52" i="321"/>
  <c r="E46" i="321"/>
  <c r="E45" i="321"/>
  <c r="E40" i="321"/>
  <c r="E39" i="321"/>
  <c r="E38" i="321"/>
  <c r="E37" i="321"/>
  <c r="E36" i="321"/>
  <c r="E35" i="321"/>
  <c r="E32" i="321"/>
  <c r="E31" i="321"/>
  <c r="E30" i="321"/>
  <c r="E29" i="321"/>
  <c r="E28" i="321"/>
  <c r="E27" i="321"/>
  <c r="E25" i="321"/>
  <c r="E20" i="745" l="1"/>
  <c r="E89" i="320"/>
  <c r="E80" i="319"/>
  <c r="E21" i="338"/>
  <c r="AP20" i="340"/>
  <c r="AP21" i="332"/>
  <c r="E21" i="346"/>
  <c r="AP19" i="348"/>
  <c r="AO20" i="327"/>
  <c r="E20" i="342"/>
  <c r="E20" i="351"/>
  <c r="E20" i="325"/>
  <c r="E21" i="319"/>
  <c r="E20" i="331"/>
  <c r="E20" i="352"/>
  <c r="E18" i="320"/>
  <c r="AP22" i="322" s="1"/>
  <c r="E19" i="321"/>
  <c r="E21" i="335"/>
  <c r="E18" i="329"/>
  <c r="E20" i="350"/>
  <c r="E21" i="347"/>
  <c r="E21" i="334"/>
  <c r="E20" i="343"/>
  <c r="E21" i="330"/>
  <c r="E18" i="326"/>
  <c r="E24" i="326" s="1"/>
  <c r="E20" i="341"/>
  <c r="E20" i="324"/>
  <c r="AO21" i="340"/>
  <c r="AO20" i="348"/>
  <c r="AO22" i="332"/>
  <c r="AN21" i="327"/>
  <c r="AO23" i="322"/>
  <c r="E19" i="337" l="1"/>
  <c r="E21" i="345"/>
  <c r="E19" i="333"/>
  <c r="C80" i="319" l="1"/>
  <c r="C21" i="351"/>
  <c r="D21" i="351"/>
  <c r="E21" i="351"/>
  <c r="F21" i="351"/>
  <c r="G21" i="351"/>
  <c r="H21" i="351"/>
  <c r="I21" i="351"/>
  <c r="J21" i="351"/>
  <c r="K21" i="351"/>
  <c r="L21" i="351"/>
  <c r="M21" i="351"/>
  <c r="B21" i="351"/>
  <c r="N21" i="351" l="1"/>
  <c r="D76" i="320"/>
  <c r="D67" i="320"/>
  <c r="D58" i="320"/>
  <c r="D48" i="320"/>
  <c r="D38" i="320"/>
  <c r="D28" i="320"/>
  <c r="D66" i="320" l="1"/>
  <c r="D63" i="320"/>
  <c r="I20" i="569" s="1"/>
  <c r="D57" i="320"/>
  <c r="D56" i="320"/>
  <c r="D55" i="320"/>
  <c r="D54" i="320"/>
  <c r="D47" i="320"/>
  <c r="D45" i="320"/>
  <c r="D44" i="320"/>
  <c r="D37" i="320"/>
  <c r="D36" i="320"/>
  <c r="D35" i="320"/>
  <c r="D34" i="320"/>
  <c r="D27" i="320"/>
  <c r="D26" i="320"/>
  <c r="D24" i="320"/>
  <c r="D80" i="321"/>
  <c r="D71" i="321"/>
  <c r="D70" i="321"/>
  <c r="D67" i="321"/>
  <c r="D62" i="321"/>
  <c r="D61" i="321"/>
  <c r="D60" i="321"/>
  <c r="D59" i="321"/>
  <c r="D58" i="321"/>
  <c r="D57" i="321"/>
  <c r="D56" i="321"/>
  <c r="D55" i="321"/>
  <c r="D20" i="745" s="1"/>
  <c r="D49" i="321"/>
  <c r="D51" i="321"/>
  <c r="D52" i="321"/>
  <c r="D48" i="321"/>
  <c r="D46" i="321"/>
  <c r="D45" i="321"/>
  <c r="D40" i="321"/>
  <c r="D39" i="321"/>
  <c r="D38" i="321"/>
  <c r="D37" i="321"/>
  <c r="D36" i="321"/>
  <c r="D35" i="321"/>
  <c r="D32" i="321"/>
  <c r="D31" i="321"/>
  <c r="D30" i="321"/>
  <c r="D29" i="321"/>
  <c r="D28" i="321"/>
  <c r="D27" i="321"/>
  <c r="D25" i="321"/>
  <c r="AN21" i="340"/>
  <c r="AN20" i="348"/>
  <c r="AN22" i="332"/>
  <c r="AM21" i="327"/>
  <c r="AN23" i="322"/>
  <c r="C21" i="331"/>
  <c r="C23" i="331" s="1"/>
  <c r="B21" i="331"/>
  <c r="D89" i="320" l="1"/>
  <c r="D80" i="319"/>
  <c r="D91" i="321"/>
  <c r="AN20" i="327"/>
  <c r="AO21" i="332"/>
  <c r="D71" i="320"/>
  <c r="D21" i="335"/>
  <c r="D20" i="331"/>
  <c r="D18" i="326"/>
  <c r="D24" i="326" s="1"/>
  <c r="D20" i="352"/>
  <c r="D21" i="347"/>
  <c r="D21" i="338"/>
  <c r="D19" i="337" s="1"/>
  <c r="AO20" i="340"/>
  <c r="D21" i="346"/>
  <c r="AO19" i="348"/>
  <c r="D92" i="321"/>
  <c r="D20" i="342"/>
  <c r="D20" i="341"/>
  <c r="D21" i="334"/>
  <c r="B23" i="331"/>
  <c r="D19" i="321"/>
  <c r="D21" i="319"/>
  <c r="D20" i="325"/>
  <c r="D20" i="324"/>
  <c r="D20" i="343"/>
  <c r="D20" i="351"/>
  <c r="D20" i="350"/>
  <c r="D21" i="330"/>
  <c r="D18" i="329"/>
  <c r="D18" i="320"/>
  <c r="AO22" i="322" s="1"/>
  <c r="D22" i="334"/>
  <c r="E22" i="334"/>
  <c r="F22" i="334"/>
  <c r="G22" i="334"/>
  <c r="H22" i="334"/>
  <c r="I22" i="334"/>
  <c r="J22" i="334"/>
  <c r="K22" i="334"/>
  <c r="L22" i="334"/>
  <c r="M22" i="334"/>
  <c r="D22" i="335"/>
  <c r="E22" i="335"/>
  <c r="F22" i="335"/>
  <c r="G22" i="335"/>
  <c r="H22" i="335"/>
  <c r="I22" i="335"/>
  <c r="J22" i="335"/>
  <c r="K22" i="335"/>
  <c r="L22" i="335"/>
  <c r="M22" i="335"/>
  <c r="D22" i="346"/>
  <c r="E22" i="346"/>
  <c r="F22" i="346"/>
  <c r="G22" i="346"/>
  <c r="H22" i="346"/>
  <c r="I22" i="346"/>
  <c r="J22" i="346"/>
  <c r="K22" i="346"/>
  <c r="L22" i="346"/>
  <c r="M22" i="346"/>
  <c r="D22" i="347"/>
  <c r="E22" i="347"/>
  <c r="F22" i="347"/>
  <c r="G22" i="347"/>
  <c r="H22" i="347"/>
  <c r="I22" i="347"/>
  <c r="J22" i="347"/>
  <c r="K22" i="347"/>
  <c r="L22" i="347"/>
  <c r="M22" i="347"/>
  <c r="D22" i="338"/>
  <c r="E22" i="338"/>
  <c r="F22" i="338"/>
  <c r="G22" i="338"/>
  <c r="H22" i="338"/>
  <c r="I22" i="338"/>
  <c r="J22" i="338"/>
  <c r="K22" i="338"/>
  <c r="L22" i="338"/>
  <c r="M22" i="338"/>
  <c r="D23" i="345"/>
  <c r="E23" i="345"/>
  <c r="F23" i="345"/>
  <c r="G23" i="345"/>
  <c r="H23" i="345"/>
  <c r="I23" i="345"/>
  <c r="J23" i="345"/>
  <c r="K23" i="345"/>
  <c r="L23" i="345"/>
  <c r="M23" i="345"/>
  <c r="D21" i="333"/>
  <c r="E21" i="333"/>
  <c r="F21" i="333"/>
  <c r="G21" i="333"/>
  <c r="H21" i="333"/>
  <c r="I21" i="333"/>
  <c r="J21" i="333"/>
  <c r="K21" i="333"/>
  <c r="L21" i="333"/>
  <c r="M21" i="333"/>
  <c r="D21" i="345" l="1"/>
  <c r="E23" i="346"/>
  <c r="D19" i="333"/>
  <c r="D23" i="346"/>
  <c r="C67" i="320"/>
  <c r="C58" i="320"/>
  <c r="C48" i="320"/>
  <c r="C38" i="320"/>
  <c r="C28" i="320"/>
  <c r="C66" i="320" l="1"/>
  <c r="C63" i="320"/>
  <c r="H20" i="569" s="1"/>
  <c r="R22" i="569" s="1"/>
  <c r="R24" i="569" s="1"/>
  <c r="C57" i="320"/>
  <c r="C56" i="320"/>
  <c r="C55" i="320"/>
  <c r="C54" i="320"/>
  <c r="C47" i="320"/>
  <c r="C46" i="320"/>
  <c r="C45" i="320"/>
  <c r="C44" i="320"/>
  <c r="C37" i="320"/>
  <c r="C36" i="320"/>
  <c r="C35" i="320"/>
  <c r="C34" i="320"/>
  <c r="C26" i="320"/>
  <c r="C25" i="320"/>
  <c r="C24" i="320"/>
  <c r="C71" i="321"/>
  <c r="C70" i="321"/>
  <c r="C67" i="321"/>
  <c r="C62" i="321"/>
  <c r="C61" i="321"/>
  <c r="C60" i="321"/>
  <c r="C59" i="321"/>
  <c r="C58" i="321"/>
  <c r="C57" i="321"/>
  <c r="C56" i="321"/>
  <c r="C55" i="321"/>
  <c r="C20" i="745" s="1"/>
  <c r="C49" i="321"/>
  <c r="C51" i="321"/>
  <c r="C52" i="321"/>
  <c r="C48" i="321"/>
  <c r="C47" i="321"/>
  <c r="C46" i="321"/>
  <c r="C45" i="321"/>
  <c r="C40" i="321"/>
  <c r="C39" i="321"/>
  <c r="C42" i="321"/>
  <c r="C38" i="321"/>
  <c r="C37" i="321"/>
  <c r="C36" i="321"/>
  <c r="C35" i="321"/>
  <c r="C32" i="321"/>
  <c r="C31" i="321"/>
  <c r="C30" i="321"/>
  <c r="C29" i="321"/>
  <c r="C27" i="321"/>
  <c r="C26" i="321"/>
  <c r="C25" i="321"/>
  <c r="N20" i="745" l="1"/>
  <c r="O21" i="745" s="1"/>
  <c r="O22" i="569"/>
  <c r="O24" i="569" s="1"/>
  <c r="P22" i="569"/>
  <c r="P24" i="569" s="1"/>
  <c r="Q22" i="569"/>
  <c r="Q24" i="569" s="1"/>
  <c r="C89" i="320"/>
  <c r="M22" i="569"/>
  <c r="M24" i="569" s="1"/>
  <c r="N22" i="569"/>
  <c r="N24" i="569" s="1"/>
  <c r="AM20" i="327"/>
  <c r="C18" i="326"/>
  <c r="C24" i="326" s="1"/>
  <c r="C92" i="321"/>
  <c r="AN21" i="332"/>
  <c r="C21" i="338"/>
  <c r="AN20" i="340"/>
  <c r="C21" i="334"/>
  <c r="C20" i="343"/>
  <c r="C21" i="347"/>
  <c r="AN19" i="348"/>
  <c r="C20" i="341"/>
  <c r="C20" i="342"/>
  <c r="C20" i="352"/>
  <c r="C19" i="321"/>
  <c r="C18" i="329"/>
  <c r="C21" i="330"/>
  <c r="C20" i="331"/>
  <c r="C21" i="346"/>
  <c r="C20" i="350"/>
  <c r="C20" i="351"/>
  <c r="C21" i="335"/>
  <c r="C18" i="320"/>
  <c r="AN22" i="322" s="1"/>
  <c r="C20" i="325"/>
  <c r="C20" i="324"/>
  <c r="C21" i="319"/>
  <c r="C19" i="337" l="1"/>
  <c r="C21" i="345"/>
  <c r="C19" i="333"/>
  <c r="AG26" i="340" l="1"/>
  <c r="AE26" i="340"/>
  <c r="AD26" i="340"/>
  <c r="AC26" i="340"/>
  <c r="AB26" i="340" s="1"/>
  <c r="AM21" i="340"/>
  <c r="AL21" i="340"/>
  <c r="AK21" i="340"/>
  <c r="AJ21" i="340"/>
  <c r="AI21" i="340"/>
  <c r="AH21" i="340"/>
  <c r="AG21" i="340"/>
  <c r="AF21" i="340"/>
  <c r="AE21" i="340"/>
  <c r="AD21" i="340"/>
  <c r="AC21" i="340"/>
  <c r="AB21" i="340"/>
  <c r="AA21" i="340"/>
  <c r="AA24" i="340" s="1"/>
  <c r="Z21" i="340"/>
  <c r="Z24" i="340" s="1"/>
  <c r="Y21" i="340"/>
  <c r="Y24" i="340" s="1"/>
  <c r="X21" i="340"/>
  <c r="X24" i="340" s="1"/>
  <c r="W21" i="340"/>
  <c r="W24" i="340" s="1"/>
  <c r="V21" i="340"/>
  <c r="V24" i="340" s="1"/>
  <c r="U21" i="340"/>
  <c r="U24" i="340" s="1"/>
  <c r="T21" i="340"/>
  <c r="T24" i="340" s="1"/>
  <c r="S21" i="340"/>
  <c r="S24" i="340" s="1"/>
  <c r="R21" i="340"/>
  <c r="R24" i="340" s="1"/>
  <c r="Q21" i="340"/>
  <c r="Q24" i="340" s="1"/>
  <c r="P21" i="340"/>
  <c r="P24" i="340" s="1"/>
  <c r="O21" i="340"/>
  <c r="O24" i="340" s="1"/>
  <c r="AM20" i="340"/>
  <c r="AX22" i="340" s="1"/>
  <c r="AX24" i="340" s="1"/>
  <c r="AL20" i="340"/>
  <c r="AK20" i="340"/>
  <c r="AJ20" i="340"/>
  <c r="AI20" i="340"/>
  <c r="AH20" i="340"/>
  <c r="AG20" i="340"/>
  <c r="AF20" i="340"/>
  <c r="AE20" i="340"/>
  <c r="AD20" i="340"/>
  <c r="AC20" i="340"/>
  <c r="AB20" i="340"/>
  <c r="AA20" i="340"/>
  <c r="O20" i="340"/>
  <c r="C22" i="338"/>
  <c r="B22" i="338"/>
  <c r="N22" i="338" s="1"/>
  <c r="B21" i="338"/>
  <c r="N21" i="338" s="1"/>
  <c r="AM20" i="348"/>
  <c r="AL20" i="348"/>
  <c r="AK20" i="348"/>
  <c r="AJ20" i="348"/>
  <c r="AI20" i="348"/>
  <c r="AH20" i="348"/>
  <c r="AG20" i="348"/>
  <c r="AF20" i="348"/>
  <c r="AE20" i="348"/>
  <c r="AD20" i="348"/>
  <c r="AC20" i="348"/>
  <c r="AB20" i="348"/>
  <c r="AA20" i="348"/>
  <c r="Z20" i="348"/>
  <c r="Y20" i="348"/>
  <c r="X20" i="348"/>
  <c r="W20" i="348"/>
  <c r="V20" i="348"/>
  <c r="U20" i="348"/>
  <c r="T20" i="348"/>
  <c r="S20" i="348"/>
  <c r="R20" i="348"/>
  <c r="Q20" i="348"/>
  <c r="P20" i="348"/>
  <c r="O20" i="348"/>
  <c r="AL19" i="348"/>
  <c r="AK19" i="348"/>
  <c r="AJ19" i="348"/>
  <c r="AI19" i="348"/>
  <c r="AH19" i="348"/>
  <c r="AG19" i="348"/>
  <c r="AF19" i="348"/>
  <c r="AE19" i="348"/>
  <c r="AD19" i="348"/>
  <c r="AC19" i="348"/>
  <c r="AB19" i="348"/>
  <c r="AA19" i="348"/>
  <c r="O19" i="348"/>
  <c r="P21" i="348" s="1"/>
  <c r="C22" i="347"/>
  <c r="C24" i="347" s="1"/>
  <c r="B22" i="347"/>
  <c r="B21" i="347"/>
  <c r="N21" i="347" s="1"/>
  <c r="C22" i="346"/>
  <c r="B22" i="346"/>
  <c r="B21" i="346"/>
  <c r="N21" i="346" s="1"/>
  <c r="C23" i="345"/>
  <c r="B23" i="345"/>
  <c r="N23" i="345" s="1"/>
  <c r="C22" i="335"/>
  <c r="C24" i="335" s="1"/>
  <c r="B22" i="335"/>
  <c r="N22" i="335" s="1"/>
  <c r="B21" i="335"/>
  <c r="N21" i="335" s="1"/>
  <c r="C22" i="334"/>
  <c r="B22" i="334"/>
  <c r="N22" i="334" s="1"/>
  <c r="B21" i="334"/>
  <c r="N21" i="334" s="1"/>
  <c r="C21" i="333"/>
  <c r="B21" i="333"/>
  <c r="N21" i="333" s="1"/>
  <c r="B19" i="333"/>
  <c r="N19" i="333" s="1"/>
  <c r="AU22" i="340" l="1"/>
  <c r="AU24" i="340" s="1"/>
  <c r="AW22" i="340"/>
  <c r="AW24" i="340" s="1"/>
  <c r="N22" i="346"/>
  <c r="N22" i="347"/>
  <c r="O22" i="347" s="1"/>
  <c r="O22" i="346"/>
  <c r="O23" i="346" s="1"/>
  <c r="O24" i="346" s="1"/>
  <c r="AV22" i="340"/>
  <c r="AV24" i="340" s="1"/>
  <c r="B19" i="337"/>
  <c r="N19" i="337" s="1"/>
  <c r="O22" i="338"/>
  <c r="AT22" i="340"/>
  <c r="AT24" i="340" s="1"/>
  <c r="AS22" i="340"/>
  <c r="AS24" i="340" s="1"/>
  <c r="O22" i="334"/>
  <c r="O22" i="335"/>
  <c r="AP22" i="340"/>
  <c r="AP24" i="340" s="1"/>
  <c r="AR22" i="340"/>
  <c r="AR24" i="340" s="1"/>
  <c r="AQ22" i="340"/>
  <c r="AQ24" i="340" s="1"/>
  <c r="P23" i="348"/>
  <c r="AO22" i="340"/>
  <c r="AO24" i="340" s="1"/>
  <c r="B23" i="346"/>
  <c r="AB21" i="348"/>
  <c r="AB23" i="348" s="1"/>
  <c r="O20" i="333"/>
  <c r="O21" i="333"/>
  <c r="C23" i="346"/>
  <c r="AN22" i="340"/>
  <c r="AN24" i="340" s="1"/>
  <c r="AF26" i="340" s="1"/>
  <c r="B24" i="335"/>
  <c r="B24" i="347"/>
  <c r="W21" i="348"/>
  <c r="W23" i="348" s="1"/>
  <c r="B21" i="345"/>
  <c r="N21" i="345" s="1"/>
  <c r="R21" i="348"/>
  <c r="R23" i="348" s="1"/>
  <c r="AH22" i="340"/>
  <c r="AH24" i="340" s="1"/>
  <c r="S21" i="348"/>
  <c r="S23" i="348" s="1"/>
  <c r="T21" i="348"/>
  <c r="T23" i="348" s="1"/>
  <c r="U21" i="348"/>
  <c r="U23" i="348" s="1"/>
  <c r="V21" i="348"/>
  <c r="V23" i="348" s="1"/>
  <c r="AJ21" i="348"/>
  <c r="AJ23" i="348" s="1"/>
  <c r="AC21" i="348"/>
  <c r="AC23" i="348" s="1"/>
  <c r="AD21" i="348"/>
  <c r="AD23" i="348" s="1"/>
  <c r="AM22" i="340"/>
  <c r="AM24" i="340" s="1"/>
  <c r="AI22" i="340"/>
  <c r="AI24" i="340" s="1"/>
  <c r="Q21" i="348"/>
  <c r="Q23" i="348" s="1"/>
  <c r="AJ22" i="340"/>
  <c r="AJ24" i="340" s="1"/>
  <c r="AK22" i="340"/>
  <c r="AK24" i="340" s="1"/>
  <c r="AL22" i="340"/>
  <c r="AL24" i="340" s="1"/>
  <c r="AC22" i="340"/>
  <c r="AC24" i="340" s="1"/>
  <c r="AE22" i="340"/>
  <c r="AE24" i="340" s="1"/>
  <c r="AG22" i="340"/>
  <c r="AG24" i="340" s="1"/>
  <c r="AB22" i="340"/>
  <c r="AB24" i="340" s="1"/>
  <c r="AD22" i="340"/>
  <c r="AD24" i="340" s="1"/>
  <c r="AF22" i="340"/>
  <c r="AF24" i="340" s="1"/>
  <c r="AE21" i="348"/>
  <c r="AE23" i="348" s="1"/>
  <c r="AF21" i="348"/>
  <c r="AF23" i="348" s="1"/>
  <c r="AG21" i="348"/>
  <c r="AG23" i="348" s="1"/>
  <c r="AH21" i="348"/>
  <c r="AH23" i="348" s="1"/>
  <c r="AI21" i="348"/>
  <c r="AI23" i="348" s="1"/>
  <c r="X21" i="348"/>
  <c r="X23" i="348" s="1"/>
  <c r="Y21" i="348"/>
  <c r="Y23" i="348" s="1"/>
  <c r="AK21" i="348"/>
  <c r="AK23" i="348" s="1"/>
  <c r="Z21" i="348"/>
  <c r="Z23" i="348" s="1"/>
  <c r="AL21" i="348"/>
  <c r="AL23" i="348" s="1"/>
  <c r="O21" i="348"/>
  <c r="O23" i="348" s="1"/>
  <c r="AA21" i="348"/>
  <c r="AA23" i="348" s="1"/>
  <c r="AM22" i="332"/>
  <c r="AL22" i="332"/>
  <c r="AK22" i="332"/>
  <c r="AJ22" i="332"/>
  <c r="AI22" i="332"/>
  <c r="AH22" i="332"/>
  <c r="AG22" i="332"/>
  <c r="AF22" i="332"/>
  <c r="AE22" i="332"/>
  <c r="AD22" i="332"/>
  <c r="AC22" i="332"/>
  <c r="AB22" i="332"/>
  <c r="AA22" i="332"/>
  <c r="Z22" i="332"/>
  <c r="Y22" i="332"/>
  <c r="X22" i="332"/>
  <c r="W22" i="332"/>
  <c r="V22" i="332"/>
  <c r="U22" i="332"/>
  <c r="T22" i="332"/>
  <c r="S22" i="332"/>
  <c r="R22" i="332"/>
  <c r="Q22" i="332"/>
  <c r="P22" i="332"/>
  <c r="O22" i="332"/>
  <c r="AL21" i="332"/>
  <c r="AK21" i="332"/>
  <c r="AJ21" i="332"/>
  <c r="AI21" i="332"/>
  <c r="AH21" i="332"/>
  <c r="AG21" i="332"/>
  <c r="AF21" i="332"/>
  <c r="AE21" i="332"/>
  <c r="AD21" i="332"/>
  <c r="AC21" i="332"/>
  <c r="AB21" i="332"/>
  <c r="AA21" i="332"/>
  <c r="AF27" i="332" s="1"/>
  <c r="O21" i="332"/>
  <c r="O23" i="332" s="1"/>
  <c r="AD27" i="332"/>
  <c r="AC27" i="332"/>
  <c r="AB27" i="332" s="1"/>
  <c r="AL21" i="327"/>
  <c r="P27" i="327"/>
  <c r="P28" i="327" s="1"/>
  <c r="AK21" i="327"/>
  <c r="AJ21" i="327"/>
  <c r="AI21" i="327"/>
  <c r="AH21" i="327"/>
  <c r="AG21" i="327"/>
  <c r="AF21" i="327"/>
  <c r="AE21" i="327"/>
  <c r="AD21" i="327"/>
  <c r="AC21" i="327"/>
  <c r="AB21" i="327"/>
  <c r="AA21" i="327"/>
  <c r="Z21" i="327"/>
  <c r="Y21" i="327"/>
  <c r="X21" i="327"/>
  <c r="W21" i="327"/>
  <c r="V21" i="327"/>
  <c r="U21" i="327"/>
  <c r="T21" i="327"/>
  <c r="S21" i="327"/>
  <c r="R21" i="327"/>
  <c r="Q21" i="327"/>
  <c r="P21" i="327"/>
  <c r="O21" i="327"/>
  <c r="N21" i="327"/>
  <c r="AK20" i="327"/>
  <c r="AJ20" i="327"/>
  <c r="AI20" i="327"/>
  <c r="AH20" i="327"/>
  <c r="AG20" i="327"/>
  <c r="AF20" i="327"/>
  <c r="AE20" i="327"/>
  <c r="AD20" i="327"/>
  <c r="AC20" i="327"/>
  <c r="AB20" i="327"/>
  <c r="AA20" i="327"/>
  <c r="Z20" i="327"/>
  <c r="N20" i="327"/>
  <c r="S22" i="327" s="1"/>
  <c r="O20" i="337" l="1"/>
  <c r="O21" i="337"/>
  <c r="S24" i="327"/>
  <c r="O25" i="332"/>
  <c r="AG27" i="332"/>
  <c r="O22" i="345"/>
  <c r="O23" i="345"/>
  <c r="T23" i="332"/>
  <c r="T25" i="332" s="1"/>
  <c r="U23" i="332"/>
  <c r="U25" i="332" s="1"/>
  <c r="V23" i="332"/>
  <c r="V25" i="332" s="1"/>
  <c r="W23" i="332"/>
  <c r="W25" i="332" s="1"/>
  <c r="X23" i="332"/>
  <c r="X25" i="332" s="1"/>
  <c r="S23" i="332"/>
  <c r="S25" i="332" s="1"/>
  <c r="AB23" i="332"/>
  <c r="AB25" i="332" s="1"/>
  <c r="AF22" i="327"/>
  <c r="AF24" i="327" s="1"/>
  <c r="T22" i="327"/>
  <c r="T24" i="327" s="1"/>
  <c r="Q23" i="332"/>
  <c r="Q25" i="332" s="1"/>
  <c r="AJ22" i="327"/>
  <c r="AJ24" i="327" s="1"/>
  <c r="AE22" i="327"/>
  <c r="AE24" i="327" s="1"/>
  <c r="U22" i="327"/>
  <c r="U24" i="327" s="1"/>
  <c r="P23" i="332"/>
  <c r="P25" i="332" s="1"/>
  <c r="V22" i="327"/>
  <c r="V24" i="327" s="1"/>
  <c r="W22" i="327"/>
  <c r="W24" i="327" s="1"/>
  <c r="R23" i="332"/>
  <c r="R25" i="332" s="1"/>
  <c r="AC23" i="332"/>
  <c r="AC25" i="332" s="1"/>
  <c r="AD23" i="332"/>
  <c r="AD25" i="332" s="1"/>
  <c r="AE23" i="332"/>
  <c r="AE25" i="332" s="1"/>
  <c r="AF23" i="332"/>
  <c r="AF25" i="332" s="1"/>
  <c r="AE27" i="332"/>
  <c r="AG23" i="332"/>
  <c r="AG25" i="332" s="1"/>
  <c r="AH23" i="332"/>
  <c r="AH25" i="332" s="1"/>
  <c r="AI23" i="332"/>
  <c r="AI25" i="332" s="1"/>
  <c r="AJ23" i="332"/>
  <c r="AJ25" i="332" s="1"/>
  <c r="Y23" i="332"/>
  <c r="Y25" i="332" s="1"/>
  <c r="AK23" i="332"/>
  <c r="AK25" i="332" s="1"/>
  <c r="Z23" i="332"/>
  <c r="Z25" i="332" s="1"/>
  <c r="AL23" i="332"/>
  <c r="AL25" i="332" s="1"/>
  <c r="AA23" i="332"/>
  <c r="AA25" i="332" s="1"/>
  <c r="AA26" i="327"/>
  <c r="AB26" i="327"/>
  <c r="AI22" i="327"/>
  <c r="AI24" i="327" s="1"/>
  <c r="AC26" i="327"/>
  <c r="Z22" i="327"/>
  <c r="Z24" i="327" s="1"/>
  <c r="O22" i="327"/>
  <c r="O24" i="327" s="1"/>
  <c r="P22" i="327"/>
  <c r="P24" i="327" s="1"/>
  <c r="AB22" i="327"/>
  <c r="AB24" i="327" s="1"/>
  <c r="Q22" i="327"/>
  <c r="Q24" i="327" s="1"/>
  <c r="AC22" i="327"/>
  <c r="AC24" i="327" s="1"/>
  <c r="AG22" i="327"/>
  <c r="AG24" i="327" s="1"/>
  <c r="AH22" i="327"/>
  <c r="AH24" i="327" s="1"/>
  <c r="X22" i="327"/>
  <c r="X24" i="327" s="1"/>
  <c r="Y22" i="327"/>
  <c r="Y24" i="327" s="1"/>
  <c r="AK22" i="327"/>
  <c r="AK24" i="327" s="1"/>
  <c r="N22" i="327"/>
  <c r="N24" i="327" s="1"/>
  <c r="AA22" i="327"/>
  <c r="AA24" i="327" s="1"/>
  <c r="R22" i="327"/>
  <c r="R24" i="327" s="1"/>
  <c r="AD22" i="327"/>
  <c r="AD24" i="327" s="1"/>
  <c r="AD26" i="327" l="1"/>
  <c r="AO15" i="327"/>
  <c r="AF26" i="327"/>
  <c r="AE26" i="327"/>
  <c r="D21" i="343" l="1"/>
  <c r="E21" i="343"/>
  <c r="F21" i="343"/>
  <c r="G21" i="343"/>
  <c r="H21" i="343"/>
  <c r="I21" i="343"/>
  <c r="J21" i="343"/>
  <c r="K21" i="343"/>
  <c r="L21" i="343"/>
  <c r="M21" i="343"/>
  <c r="D21" i="342"/>
  <c r="E21" i="342"/>
  <c r="F21" i="342"/>
  <c r="G21" i="342"/>
  <c r="H21" i="342"/>
  <c r="I21" i="342"/>
  <c r="J21" i="342"/>
  <c r="K21" i="342"/>
  <c r="L21" i="342"/>
  <c r="M21" i="342"/>
  <c r="D21" i="341"/>
  <c r="E21" i="341"/>
  <c r="F21" i="341"/>
  <c r="G21" i="341"/>
  <c r="H21" i="341"/>
  <c r="I21" i="341"/>
  <c r="J21" i="341"/>
  <c r="K21" i="341"/>
  <c r="L21" i="341"/>
  <c r="M21" i="341"/>
  <c r="D21" i="331"/>
  <c r="E21" i="331"/>
  <c r="F21" i="331"/>
  <c r="G21" i="331"/>
  <c r="H21" i="331"/>
  <c r="I21" i="331"/>
  <c r="J21" i="331"/>
  <c r="K21" i="331"/>
  <c r="L21" i="331"/>
  <c r="M21" i="331"/>
  <c r="D22" i="330"/>
  <c r="E22" i="330"/>
  <c r="F22" i="330"/>
  <c r="G22" i="330"/>
  <c r="H22" i="330"/>
  <c r="I22" i="330"/>
  <c r="J22" i="330"/>
  <c r="K22" i="330"/>
  <c r="L22" i="330"/>
  <c r="M22" i="330"/>
  <c r="D23" i="330"/>
  <c r="E23" i="330"/>
  <c r="F23" i="330"/>
  <c r="G23" i="330"/>
  <c r="H23" i="330"/>
  <c r="I23" i="330"/>
  <c r="J23" i="330"/>
  <c r="K23" i="330"/>
  <c r="L23" i="330"/>
  <c r="M23" i="330"/>
  <c r="D19" i="329"/>
  <c r="E19" i="329"/>
  <c r="F19" i="329"/>
  <c r="G19" i="329"/>
  <c r="H19" i="329"/>
  <c r="I19" i="329"/>
  <c r="J19" i="329"/>
  <c r="K19" i="329"/>
  <c r="L19" i="329"/>
  <c r="M19" i="329"/>
  <c r="D20" i="329"/>
  <c r="E20" i="329"/>
  <c r="F20" i="329"/>
  <c r="G20" i="329"/>
  <c r="H20" i="329"/>
  <c r="I20" i="329"/>
  <c r="J20" i="329"/>
  <c r="K20" i="329"/>
  <c r="L20" i="329"/>
  <c r="M20" i="329"/>
  <c r="D19" i="326"/>
  <c r="E19" i="326"/>
  <c r="F19" i="326"/>
  <c r="G19" i="326"/>
  <c r="H19" i="326"/>
  <c r="I19" i="326"/>
  <c r="J19" i="326"/>
  <c r="K19" i="326"/>
  <c r="L19" i="326"/>
  <c r="M19" i="326"/>
  <c r="D20" i="326"/>
  <c r="E20" i="326"/>
  <c r="F20" i="326"/>
  <c r="G20" i="326"/>
  <c r="H20" i="326"/>
  <c r="I20" i="326"/>
  <c r="J20" i="326"/>
  <c r="K20" i="326"/>
  <c r="L20" i="326"/>
  <c r="M20" i="326"/>
  <c r="D21" i="325"/>
  <c r="E21" i="325"/>
  <c r="F21" i="325"/>
  <c r="G21" i="325"/>
  <c r="H21" i="325"/>
  <c r="I21" i="325"/>
  <c r="J21" i="325"/>
  <c r="K21" i="325"/>
  <c r="L21" i="325"/>
  <c r="M21" i="325"/>
  <c r="D22" i="325"/>
  <c r="E22" i="325"/>
  <c r="F22" i="325"/>
  <c r="G22" i="325"/>
  <c r="H22" i="325"/>
  <c r="I22" i="325"/>
  <c r="J22" i="325"/>
  <c r="K22" i="325"/>
  <c r="L22" i="325"/>
  <c r="M22" i="325"/>
  <c r="D21" i="324"/>
  <c r="E21" i="324"/>
  <c r="F21" i="324"/>
  <c r="G21" i="324"/>
  <c r="H21" i="324"/>
  <c r="I21" i="324"/>
  <c r="J21" i="324"/>
  <c r="K21" i="324"/>
  <c r="L21" i="324"/>
  <c r="M21" i="324"/>
  <c r="D22" i="324"/>
  <c r="E22" i="324"/>
  <c r="F22" i="324"/>
  <c r="G22" i="324"/>
  <c r="H22" i="324"/>
  <c r="I22" i="324"/>
  <c r="J22" i="324"/>
  <c r="K22" i="324"/>
  <c r="L22" i="324"/>
  <c r="M22" i="324"/>
  <c r="C21" i="352"/>
  <c r="D21" i="352"/>
  <c r="E21" i="352"/>
  <c r="F21" i="352"/>
  <c r="G21" i="352"/>
  <c r="H21" i="352"/>
  <c r="I21" i="352"/>
  <c r="I22" i="351" s="1"/>
  <c r="J21" i="352"/>
  <c r="J22" i="351" s="1"/>
  <c r="K21" i="352"/>
  <c r="L21" i="352"/>
  <c r="M21" i="352"/>
  <c r="D19" i="320"/>
  <c r="E19" i="320"/>
  <c r="F19" i="320"/>
  <c r="G19" i="320"/>
  <c r="H19" i="320"/>
  <c r="I19" i="320"/>
  <c r="J19" i="320"/>
  <c r="K19" i="320"/>
  <c r="L19" i="320"/>
  <c r="M19" i="320"/>
  <c r="D20" i="320"/>
  <c r="E20" i="320"/>
  <c r="F20" i="320"/>
  <c r="G20" i="320"/>
  <c r="H20" i="320"/>
  <c r="I20" i="320"/>
  <c r="J20" i="320"/>
  <c r="K20" i="320"/>
  <c r="L20" i="320"/>
  <c r="M20" i="320"/>
  <c r="D20" i="321"/>
  <c r="E20" i="321"/>
  <c r="F20" i="321"/>
  <c r="G20" i="321"/>
  <c r="H20" i="321"/>
  <c r="I20" i="321"/>
  <c r="J20" i="321"/>
  <c r="K20" i="321"/>
  <c r="L20" i="321"/>
  <c r="M20" i="321"/>
  <c r="D21" i="321"/>
  <c r="E21" i="321"/>
  <c r="F21" i="321"/>
  <c r="G21" i="321"/>
  <c r="H21" i="321"/>
  <c r="I21" i="321"/>
  <c r="J21" i="321"/>
  <c r="K21" i="321"/>
  <c r="L21" i="321"/>
  <c r="M21" i="321"/>
  <c r="N21" i="331" l="1"/>
  <c r="D22" i="351"/>
  <c r="G23" i="351"/>
  <c r="H23" i="351"/>
  <c r="H22" i="351"/>
  <c r="G22" i="351"/>
  <c r="F23" i="351"/>
  <c r="F22" i="351"/>
  <c r="E23" i="351"/>
  <c r="E22" i="351"/>
  <c r="D23" i="351"/>
  <c r="C23" i="352"/>
  <c r="C22" i="351"/>
  <c r="D22" i="319"/>
  <c r="E22" i="319"/>
  <c r="F22" i="319"/>
  <c r="G22" i="319"/>
  <c r="H22" i="319"/>
  <c r="I22" i="319"/>
  <c r="J22" i="319"/>
  <c r="K22" i="319"/>
  <c r="L22" i="319"/>
  <c r="M22" i="319"/>
  <c r="D23" i="319"/>
  <c r="E23" i="319"/>
  <c r="F23" i="319"/>
  <c r="G23" i="319"/>
  <c r="H23" i="319"/>
  <c r="I23" i="319"/>
  <c r="J23" i="319"/>
  <c r="K23" i="319"/>
  <c r="L23" i="319"/>
  <c r="M23" i="319"/>
  <c r="B20" i="320" l="1"/>
  <c r="B20" i="321"/>
  <c r="C24" i="319"/>
  <c r="D24" i="319"/>
  <c r="E24" i="319"/>
  <c r="F24" i="319"/>
  <c r="G24" i="319"/>
  <c r="H24" i="319"/>
  <c r="I24" i="319"/>
  <c r="J24" i="319"/>
  <c r="K24" i="319"/>
  <c r="L24" i="319"/>
  <c r="M24" i="319"/>
  <c r="B24" i="319"/>
  <c r="B23" i="319"/>
  <c r="AM23" i="322" l="1"/>
  <c r="M27" i="322"/>
  <c r="L27" i="322"/>
  <c r="K27" i="322"/>
  <c r="J27" i="322"/>
  <c r="I27" i="322"/>
  <c r="H27" i="322"/>
  <c r="G27" i="322"/>
  <c r="F27" i="322"/>
  <c r="E27" i="322"/>
  <c r="D27" i="322"/>
  <c r="C27" i="322"/>
  <c r="B27" i="322"/>
  <c r="W23" i="322"/>
  <c r="V23" i="322"/>
  <c r="U23" i="322"/>
  <c r="T23" i="322"/>
  <c r="S23" i="322"/>
  <c r="R23" i="322"/>
  <c r="Q23" i="322"/>
  <c r="P23" i="322"/>
  <c r="O23" i="322"/>
  <c r="AK22" i="322"/>
  <c r="AJ22" i="322"/>
  <c r="AI22" i="322"/>
  <c r="AH22" i="322"/>
  <c r="AG22" i="322"/>
  <c r="AF22" i="322"/>
  <c r="AE22" i="322"/>
  <c r="AD22" i="322"/>
  <c r="AC22" i="322"/>
  <c r="AB22" i="322"/>
  <c r="AA22" i="322"/>
  <c r="Z22" i="322"/>
  <c r="Y22" i="322"/>
  <c r="X22" i="322"/>
  <c r="W22" i="322"/>
  <c r="V22" i="322"/>
  <c r="U22" i="322"/>
  <c r="T22" i="322"/>
  <c r="S22" i="322"/>
  <c r="R22" i="322"/>
  <c r="Q22" i="322"/>
  <c r="P22" i="322"/>
  <c r="O22" i="322"/>
  <c r="Z21" i="322"/>
  <c r="AK23" i="322" s="1"/>
  <c r="Y21" i="322"/>
  <c r="X21" i="322"/>
  <c r="Z23" i="322" l="1"/>
  <c r="AJ23" i="322"/>
  <c r="AF23" i="322"/>
  <c r="AG23" i="322"/>
  <c r="AE23" i="322"/>
  <c r="Z24" i="322"/>
  <c r="AA23" i="322"/>
  <c r="AA24" i="322"/>
  <c r="AB23" i="322"/>
  <c r="AC23" i="322"/>
  <c r="AK24" i="322"/>
  <c r="AK27" i="322" s="1"/>
  <c r="AD23" i="322"/>
  <c r="O24" i="322"/>
  <c r="AB24" i="322"/>
  <c r="AC24" i="322"/>
  <c r="AD24" i="322"/>
  <c r="AE24" i="322"/>
  <c r="AF24" i="322"/>
  <c r="AG24" i="322"/>
  <c r="V24" i="322"/>
  <c r="AJ24" i="322"/>
  <c r="Q24" i="322"/>
  <c r="S24" i="322"/>
  <c r="U24" i="322"/>
  <c r="AH23" i="322"/>
  <c r="AH24" i="322"/>
  <c r="W24" i="322"/>
  <c r="Y23" i="322"/>
  <c r="Y24" i="322"/>
  <c r="P24" i="322"/>
  <c r="R24" i="322"/>
  <c r="T24" i="322"/>
  <c r="AI23" i="322"/>
  <c r="AI24" i="322"/>
  <c r="X23" i="322"/>
  <c r="X24" i="322"/>
  <c r="C21" i="343"/>
  <c r="C23" i="343" s="1"/>
  <c r="B21" i="343"/>
  <c r="N21" i="343" s="1"/>
  <c r="C21" i="342"/>
  <c r="B21" i="342"/>
  <c r="C21" i="341"/>
  <c r="B21" i="341"/>
  <c r="N21" i="341" s="1"/>
  <c r="C20" i="326"/>
  <c r="B20" i="326"/>
  <c r="N20" i="326" s="1"/>
  <c r="C23" i="330"/>
  <c r="B23" i="330"/>
  <c r="N23" i="330" s="1"/>
  <c r="C22" i="330"/>
  <c r="B22" i="330"/>
  <c r="N22" i="330" s="1"/>
  <c r="C19" i="329"/>
  <c r="C20" i="329"/>
  <c r="B20" i="329"/>
  <c r="N20" i="329" s="1"/>
  <c r="B19" i="329"/>
  <c r="N19" i="329" s="1"/>
  <c r="C19" i="326"/>
  <c r="C22" i="326" s="1"/>
  <c r="B19" i="326"/>
  <c r="N19" i="326" s="1"/>
  <c r="C21" i="325"/>
  <c r="C22" i="325"/>
  <c r="B22" i="325"/>
  <c r="B21" i="325"/>
  <c r="C22" i="324"/>
  <c r="B22" i="324"/>
  <c r="N22" i="324" s="1"/>
  <c r="C21" i="324"/>
  <c r="B21" i="324"/>
  <c r="B21" i="352"/>
  <c r="N21" i="352" s="1"/>
  <c r="C22" i="350"/>
  <c r="B22" i="350"/>
  <c r="N21" i="324" l="1"/>
  <c r="N21" i="325"/>
  <c r="N22" i="325"/>
  <c r="N22" i="350"/>
  <c r="N21" i="342"/>
  <c r="C23" i="351"/>
  <c r="AJ27" i="322"/>
  <c r="B23" i="352"/>
  <c r="B23" i="343"/>
  <c r="B22" i="351"/>
  <c r="B23" i="325"/>
  <c r="B22" i="326"/>
  <c r="B24" i="330"/>
  <c r="AG27" i="322"/>
  <c r="AE27" i="322"/>
  <c r="AD27" i="322"/>
  <c r="AC27" i="322"/>
  <c r="AB27" i="322"/>
  <c r="AI27" i="322"/>
  <c r="AH27" i="322"/>
  <c r="AF27" i="322"/>
  <c r="B76" i="320" l="1"/>
  <c r="B77" i="319"/>
  <c r="B78" i="319"/>
  <c r="B79" i="319"/>
  <c r="B81" i="319"/>
  <c r="C67" i="319"/>
  <c r="D67" i="319"/>
  <c r="E67" i="319"/>
  <c r="F67" i="319"/>
  <c r="G67" i="319"/>
  <c r="H67" i="319"/>
  <c r="I67" i="319"/>
  <c r="J67" i="319"/>
  <c r="K67" i="319"/>
  <c r="L67" i="319"/>
  <c r="C68" i="319"/>
  <c r="D68" i="319"/>
  <c r="E68" i="319"/>
  <c r="F68" i="319"/>
  <c r="G68" i="319"/>
  <c r="H68" i="319"/>
  <c r="I68" i="319"/>
  <c r="J68" i="319"/>
  <c r="K68" i="319"/>
  <c r="L68" i="319"/>
  <c r="C69" i="319"/>
  <c r="D69" i="319"/>
  <c r="E69" i="319"/>
  <c r="F69" i="319"/>
  <c r="G69" i="319"/>
  <c r="H69" i="319"/>
  <c r="I69" i="319"/>
  <c r="J69" i="319"/>
  <c r="K69" i="319"/>
  <c r="L69" i="319"/>
  <c r="C70" i="319"/>
  <c r="D70" i="319"/>
  <c r="E70" i="319"/>
  <c r="F70" i="319"/>
  <c r="G70" i="319"/>
  <c r="H70" i="319"/>
  <c r="C71" i="319"/>
  <c r="D71" i="319"/>
  <c r="E71" i="319"/>
  <c r="F71" i="319"/>
  <c r="G71" i="319"/>
  <c r="H71" i="319"/>
  <c r="I71" i="319"/>
  <c r="J71" i="319"/>
  <c r="K71" i="319"/>
  <c r="L71" i="319"/>
  <c r="C58" i="319"/>
  <c r="D58" i="319"/>
  <c r="E58" i="319"/>
  <c r="F58" i="319"/>
  <c r="G58" i="319"/>
  <c r="H58" i="319"/>
  <c r="I58" i="319"/>
  <c r="J58" i="319"/>
  <c r="K58" i="319"/>
  <c r="L58" i="319"/>
  <c r="C59" i="319"/>
  <c r="D59" i="319"/>
  <c r="E59" i="319"/>
  <c r="F59" i="319"/>
  <c r="G59" i="319"/>
  <c r="H59" i="319"/>
  <c r="I59" i="319"/>
  <c r="J59" i="319"/>
  <c r="K59" i="319"/>
  <c r="L59" i="319"/>
  <c r="C60" i="319"/>
  <c r="D60" i="319"/>
  <c r="E60" i="319"/>
  <c r="F60" i="319"/>
  <c r="G60" i="319"/>
  <c r="H60" i="319"/>
  <c r="I60" i="319"/>
  <c r="J60" i="319"/>
  <c r="K60" i="319"/>
  <c r="L60" i="319"/>
  <c r="C61" i="319"/>
  <c r="D61" i="319"/>
  <c r="E61" i="319"/>
  <c r="F61" i="319"/>
  <c r="G61" i="319"/>
  <c r="H61" i="319"/>
  <c r="I61" i="319"/>
  <c r="J61" i="319"/>
  <c r="K61" i="319"/>
  <c r="L61" i="319"/>
  <c r="C62" i="319"/>
  <c r="D62" i="319"/>
  <c r="E62" i="319"/>
  <c r="F62" i="319"/>
  <c r="G62" i="319"/>
  <c r="H62" i="319"/>
  <c r="I62" i="319"/>
  <c r="J62" i="319"/>
  <c r="K62" i="319"/>
  <c r="L62" i="319"/>
  <c r="C48" i="319"/>
  <c r="D48" i="319"/>
  <c r="E48" i="319"/>
  <c r="F48" i="319"/>
  <c r="G48" i="319"/>
  <c r="H48" i="319"/>
  <c r="I48" i="319"/>
  <c r="J48" i="319"/>
  <c r="K48" i="319"/>
  <c r="L48" i="319"/>
  <c r="C49" i="319"/>
  <c r="D49" i="319"/>
  <c r="E49" i="319"/>
  <c r="F49" i="319"/>
  <c r="G49" i="319"/>
  <c r="H49" i="319"/>
  <c r="I49" i="319"/>
  <c r="J49" i="319"/>
  <c r="K49" i="319"/>
  <c r="L49" i="319"/>
  <c r="C50" i="319"/>
  <c r="D50" i="319"/>
  <c r="E50" i="319"/>
  <c r="F50" i="319"/>
  <c r="G50" i="319"/>
  <c r="H50" i="319"/>
  <c r="I50" i="319"/>
  <c r="J50" i="319"/>
  <c r="K50" i="319"/>
  <c r="L50" i="319"/>
  <c r="C51" i="319"/>
  <c r="D51" i="319"/>
  <c r="E51" i="319"/>
  <c r="F51" i="319"/>
  <c r="G51" i="319"/>
  <c r="H51" i="319"/>
  <c r="I51" i="319"/>
  <c r="J51" i="319"/>
  <c r="K51" i="319"/>
  <c r="L51" i="319"/>
  <c r="C52" i="319"/>
  <c r="D52" i="319"/>
  <c r="E52" i="319"/>
  <c r="F52" i="319"/>
  <c r="G52" i="319"/>
  <c r="H52" i="319"/>
  <c r="I52" i="319"/>
  <c r="J52" i="319"/>
  <c r="K52" i="319"/>
  <c r="L52" i="319"/>
  <c r="C38" i="319"/>
  <c r="D38" i="319"/>
  <c r="E38" i="319"/>
  <c r="F38" i="319"/>
  <c r="G38" i="319"/>
  <c r="H38" i="319"/>
  <c r="I38" i="319"/>
  <c r="J38" i="319"/>
  <c r="K38" i="319"/>
  <c r="L38" i="319"/>
  <c r="C39" i="319"/>
  <c r="D39" i="319"/>
  <c r="E39" i="319"/>
  <c r="F39" i="319"/>
  <c r="G39" i="319"/>
  <c r="H39" i="319"/>
  <c r="I39" i="319"/>
  <c r="J39" i="319"/>
  <c r="K39" i="319"/>
  <c r="L39" i="319"/>
  <c r="C40" i="319"/>
  <c r="D40" i="319"/>
  <c r="E40" i="319"/>
  <c r="F40" i="319"/>
  <c r="G40" i="319"/>
  <c r="H40" i="319"/>
  <c r="I40" i="319"/>
  <c r="J40" i="319"/>
  <c r="K40" i="319"/>
  <c r="L40" i="319"/>
  <c r="C41" i="319"/>
  <c r="D41" i="319"/>
  <c r="E41" i="319"/>
  <c r="F41" i="319"/>
  <c r="G41" i="319"/>
  <c r="H41" i="319"/>
  <c r="I41" i="319"/>
  <c r="J41" i="319"/>
  <c r="K41" i="319"/>
  <c r="L41" i="319"/>
  <c r="C42" i="319"/>
  <c r="D42" i="319"/>
  <c r="E42" i="319"/>
  <c r="F42" i="319"/>
  <c r="G42" i="319"/>
  <c r="H42" i="319"/>
  <c r="I42" i="319"/>
  <c r="J42" i="319"/>
  <c r="K42" i="319"/>
  <c r="L42" i="319"/>
  <c r="C28" i="319"/>
  <c r="D28" i="319"/>
  <c r="E28" i="319"/>
  <c r="F28" i="319"/>
  <c r="G28" i="319"/>
  <c r="H28" i="319"/>
  <c r="I28" i="319"/>
  <c r="J28" i="319"/>
  <c r="K28" i="319"/>
  <c r="L28" i="319"/>
  <c r="C29" i="319"/>
  <c r="D29" i="319"/>
  <c r="E29" i="319"/>
  <c r="F29" i="319"/>
  <c r="G29" i="319"/>
  <c r="H29" i="319"/>
  <c r="I29" i="319"/>
  <c r="J29" i="319"/>
  <c r="K29" i="319"/>
  <c r="L29" i="319"/>
  <c r="C30" i="319"/>
  <c r="D30" i="319"/>
  <c r="E30" i="319"/>
  <c r="F30" i="319"/>
  <c r="G30" i="319"/>
  <c r="H30" i="319"/>
  <c r="I30" i="319"/>
  <c r="J30" i="319"/>
  <c r="K30" i="319"/>
  <c r="L30" i="319"/>
  <c r="C31" i="319"/>
  <c r="D31" i="319"/>
  <c r="E31" i="319"/>
  <c r="F31" i="319"/>
  <c r="G31" i="319"/>
  <c r="H31" i="319"/>
  <c r="I31" i="319"/>
  <c r="J31" i="319"/>
  <c r="K31" i="319"/>
  <c r="L31" i="319"/>
  <c r="C32" i="319"/>
  <c r="D32" i="319"/>
  <c r="E32" i="319"/>
  <c r="F32" i="319"/>
  <c r="G32" i="319"/>
  <c r="H32" i="319"/>
  <c r="I32" i="319"/>
  <c r="J32" i="319"/>
  <c r="K32" i="319"/>
  <c r="L32" i="319"/>
  <c r="B68" i="319"/>
  <c r="B69" i="319"/>
  <c r="B67" i="320"/>
  <c r="B66" i="320"/>
  <c r="B63" i="320"/>
  <c r="B58" i="320"/>
  <c r="B57" i="320"/>
  <c r="B56" i="320"/>
  <c r="B55" i="320"/>
  <c r="B54" i="320"/>
  <c r="B48" i="320"/>
  <c r="B47" i="320"/>
  <c r="B46" i="320"/>
  <c r="B45" i="320"/>
  <c r="B44" i="320"/>
  <c r="B38" i="320"/>
  <c r="B37" i="320"/>
  <c r="B36" i="320"/>
  <c r="B35" i="320"/>
  <c r="B34" i="320"/>
  <c r="B28" i="320"/>
  <c r="AM21" i="332" l="1"/>
  <c r="AX23" i="332" s="1"/>
  <c r="AX25" i="332" s="1"/>
  <c r="AM19" i="348"/>
  <c r="AX21" i="348" s="1"/>
  <c r="AX23" i="348" s="1"/>
  <c r="B71" i="320"/>
  <c r="B20" i="351"/>
  <c r="N20" i="351" s="1"/>
  <c r="B27" i="320"/>
  <c r="B26" i="320"/>
  <c r="B25" i="320"/>
  <c r="B24" i="320"/>
  <c r="B80" i="321"/>
  <c r="B91" i="321" s="1"/>
  <c r="B70" i="321"/>
  <c r="B70" i="319" s="1"/>
  <c r="B67" i="321"/>
  <c r="B58" i="321"/>
  <c r="B61" i="319" s="1"/>
  <c r="B57" i="321"/>
  <c r="B60" i="319" s="1"/>
  <c r="B56" i="321"/>
  <c r="B59" i="319" s="1"/>
  <c r="B55" i="321"/>
  <c r="B48" i="321"/>
  <c r="B51" i="319" s="1"/>
  <c r="B47" i="321"/>
  <c r="B50" i="319" s="1"/>
  <c r="B46" i="321"/>
  <c r="B49" i="319" s="1"/>
  <c r="B45" i="321"/>
  <c r="B48" i="319" s="1"/>
  <c r="B38" i="321"/>
  <c r="B41" i="319" s="1"/>
  <c r="B37" i="321"/>
  <c r="B40" i="319" s="1"/>
  <c r="B36" i="321"/>
  <c r="B39" i="319" s="1"/>
  <c r="B35" i="321"/>
  <c r="B38" i="319" s="1"/>
  <c r="B28" i="321"/>
  <c r="B27" i="321"/>
  <c r="B26" i="321"/>
  <c r="B25" i="321"/>
  <c r="B71" i="321"/>
  <c r="AU21" i="348" l="1"/>
  <c r="AU23" i="348" s="1"/>
  <c r="AW21" i="348"/>
  <c r="AW23" i="348" s="1"/>
  <c r="AV21" i="348"/>
  <c r="AV23" i="348" s="1"/>
  <c r="AV23" i="332"/>
  <c r="AV25" i="332" s="1"/>
  <c r="AW23" i="332"/>
  <c r="AW25" i="332" s="1"/>
  <c r="AT23" i="332"/>
  <c r="AT25" i="332" s="1"/>
  <c r="AR23" i="332"/>
  <c r="AR25" i="332" s="1"/>
  <c r="AU23" i="332"/>
  <c r="AU25" i="332" s="1"/>
  <c r="B89" i="320"/>
  <c r="B20" i="350"/>
  <c r="N20" i="350" s="1"/>
  <c r="AS21" i="348"/>
  <c r="AS23" i="348" s="1"/>
  <c r="AT21" i="348"/>
  <c r="AT23" i="348" s="1"/>
  <c r="AS23" i="332"/>
  <c r="AS25" i="332" s="1"/>
  <c r="AQ23" i="332"/>
  <c r="AQ25" i="332" s="1"/>
  <c r="AP23" i="332"/>
  <c r="AP25" i="332" s="1"/>
  <c r="AM23" i="332"/>
  <c r="AM25" i="332" s="1"/>
  <c r="AN23" i="332"/>
  <c r="AN25" i="332" s="1"/>
  <c r="AO23" i="332"/>
  <c r="AO25" i="332" s="1"/>
  <c r="AO21" i="348"/>
  <c r="AO23" i="348" s="1"/>
  <c r="AR21" i="348"/>
  <c r="AR23" i="348" s="1"/>
  <c r="AQ21" i="348"/>
  <c r="AQ23" i="348" s="1"/>
  <c r="AP21" i="348"/>
  <c r="AP23" i="348" s="1"/>
  <c r="O21" i="351"/>
  <c r="AL20" i="327"/>
  <c r="AW22" i="327" s="1"/>
  <c r="AW24" i="327" s="1"/>
  <c r="B92" i="321"/>
  <c r="AM21" i="348"/>
  <c r="AM23" i="348" s="1"/>
  <c r="AN21" i="348"/>
  <c r="AN23" i="348" s="1"/>
  <c r="B20" i="352"/>
  <c r="N20" i="352" s="1"/>
  <c r="B80" i="319"/>
  <c r="B19" i="321"/>
  <c r="N19" i="321" s="1"/>
  <c r="B20" i="343"/>
  <c r="N20" i="343" s="1"/>
  <c r="B67" i="319"/>
  <c r="B18" i="329"/>
  <c r="N18" i="329" s="1"/>
  <c r="B31" i="319"/>
  <c r="B58" i="319"/>
  <c r="B21" i="319"/>
  <c r="N21" i="319" s="1"/>
  <c r="B20" i="324"/>
  <c r="N20" i="324" s="1"/>
  <c r="B28" i="319"/>
  <c r="B18" i="320"/>
  <c r="N18" i="320" s="1"/>
  <c r="B29" i="319"/>
  <c r="B20" i="341"/>
  <c r="N20" i="341" s="1"/>
  <c r="B30" i="319"/>
  <c r="B75" i="321"/>
  <c r="B71" i="319"/>
  <c r="B30" i="321"/>
  <c r="B59" i="321"/>
  <c r="B62" i="319" s="1"/>
  <c r="B49" i="321"/>
  <c r="B52" i="319" s="1"/>
  <c r="B40" i="321"/>
  <c r="B39" i="321"/>
  <c r="B42" i="319" s="1"/>
  <c r="B32" i="321"/>
  <c r="B31" i="321"/>
  <c r="B29" i="321"/>
  <c r="B32" i="319" s="1"/>
  <c r="AT22" i="327" l="1"/>
  <c r="AT24" i="327" s="1"/>
  <c r="AU22" i="327"/>
  <c r="AU24" i="327" s="1"/>
  <c r="AV22" i="327"/>
  <c r="AV24" i="327" s="1"/>
  <c r="AL22" i="327"/>
  <c r="AL24" i="327" s="1"/>
  <c r="O22" i="350"/>
  <c r="AR22" i="327"/>
  <c r="AR24" i="327" s="1"/>
  <c r="AS22" i="327"/>
  <c r="AS24" i="327" s="1"/>
  <c r="AN22" i="327"/>
  <c r="AN24" i="327" s="1"/>
  <c r="AO22" i="327"/>
  <c r="AO24" i="327" s="1"/>
  <c r="AP22" i="327"/>
  <c r="AP24" i="327" s="1"/>
  <c r="AQ22" i="327"/>
  <c r="AQ24" i="327" s="1"/>
  <c r="AM22" i="327"/>
  <c r="AO28" i="327" s="1"/>
  <c r="O21" i="341"/>
  <c r="O21" i="343"/>
  <c r="O21" i="352"/>
  <c r="AM22" i="322"/>
  <c r="AX24" i="322" s="1"/>
  <c r="AX27" i="322" s="1"/>
  <c r="B23" i="351"/>
  <c r="O19" i="329"/>
  <c r="O20" i="329"/>
  <c r="O22" i="324"/>
  <c r="O21" i="324"/>
  <c r="C19" i="320"/>
  <c r="B19" i="320"/>
  <c r="C21" i="321"/>
  <c r="B21" i="321"/>
  <c r="C22" i="319"/>
  <c r="B22" i="319"/>
  <c r="N22" i="319" s="1"/>
  <c r="N19" i="320" l="1"/>
  <c r="O19" i="320" s="1"/>
  <c r="N21" i="321"/>
  <c r="O21" i="321" s="1"/>
  <c r="P21" i="321" s="1"/>
  <c r="AW24" i="322"/>
  <c r="AW27" i="322" s="1"/>
  <c r="AV24" i="322"/>
  <c r="AV27" i="322" s="1"/>
  <c r="AS24" i="322"/>
  <c r="AS27" i="322" s="1"/>
  <c r="AU24" i="322"/>
  <c r="AU27" i="322" s="1"/>
  <c r="AT24" i="322"/>
  <c r="AT27" i="322" s="1"/>
  <c r="O22" i="319"/>
  <c r="AM24" i="327"/>
  <c r="AO24" i="322"/>
  <c r="AO27" i="322" s="1"/>
  <c r="AP24" i="322"/>
  <c r="AP27" i="322" s="1"/>
  <c r="AQ24" i="322"/>
  <c r="AQ27" i="322" s="1"/>
  <c r="AR24" i="322"/>
  <c r="AR27" i="322" s="1"/>
  <c r="AM24" i="322"/>
  <c r="AM27" i="322" s="1"/>
  <c r="AN24" i="322"/>
  <c r="AN27" i="322" s="1"/>
  <c r="B18" i="326" l="1"/>
  <c r="N18" i="326" s="1"/>
  <c r="Q26" i="321"/>
  <c r="B35" i="319"/>
  <c r="C35" i="319"/>
  <c r="D35" i="319"/>
  <c r="E35" i="319"/>
  <c r="P35" i="321"/>
  <c r="Q35" i="321" s="1"/>
  <c r="B42" i="321"/>
  <c r="B51" i="321"/>
  <c r="B52" i="321"/>
  <c r="M98" i="319"/>
  <c r="B60" i="321"/>
  <c r="B61" i="321"/>
  <c r="B62" i="321"/>
  <c r="C75" i="321"/>
  <c r="D75" i="321"/>
  <c r="E75" i="321"/>
  <c r="F75" i="321"/>
  <c r="G75" i="321"/>
  <c r="H75" i="321"/>
  <c r="B96" i="321"/>
  <c r="B39" i="320"/>
  <c r="B40" i="320"/>
  <c r="B41" i="320"/>
  <c r="B49" i="320"/>
  <c r="B50" i="320"/>
  <c r="B51" i="320"/>
  <c r="C71" i="320"/>
  <c r="E71" i="320"/>
  <c r="F71" i="320"/>
  <c r="G71" i="320"/>
  <c r="H71" i="320"/>
  <c r="N29" i="319"/>
  <c r="L43" i="319"/>
  <c r="L44" i="319"/>
  <c r="L45" i="319"/>
  <c r="N50" i="319"/>
  <c r="L53" i="319"/>
  <c r="L54" i="319"/>
  <c r="L55" i="319"/>
  <c r="L63" i="319"/>
  <c r="L64" i="319"/>
  <c r="L65" i="319"/>
  <c r="M99" i="319"/>
  <c r="B24" i="326" l="1"/>
  <c r="O19" i="326"/>
  <c r="I70" i="319"/>
  <c r="B52" i="320"/>
  <c r="L70" i="319"/>
  <c r="K70" i="319"/>
  <c r="J70" i="319"/>
  <c r="B20" i="325"/>
  <c r="N20" i="325" s="1"/>
  <c r="B32" i="320"/>
  <c r="K96" i="321"/>
  <c r="N45" i="319"/>
  <c r="D98" i="319"/>
  <c r="K63" i="321"/>
  <c r="C63" i="321"/>
  <c r="C93" i="319" s="1"/>
  <c r="B20" i="331"/>
  <c r="N20" i="331" s="1"/>
  <c r="H63" i="321"/>
  <c r="H93" i="319" s="1"/>
  <c r="B95" i="321"/>
  <c r="B98" i="319"/>
  <c r="G32" i="320"/>
  <c r="B99" i="319"/>
  <c r="B21" i="330"/>
  <c r="N21" i="330" s="1"/>
  <c r="N65" i="319"/>
  <c r="B20" i="342"/>
  <c r="N20" i="342" s="1"/>
  <c r="I52" i="320"/>
  <c r="F63" i="321"/>
  <c r="F93" i="319" s="1"/>
  <c r="B63" i="321"/>
  <c r="K52" i="320"/>
  <c r="C98" i="319"/>
  <c r="J52" i="320"/>
  <c r="D42" i="320"/>
  <c r="D53" i="321"/>
  <c r="K95" i="321"/>
  <c r="C92" i="320"/>
  <c r="B43" i="321"/>
  <c r="E96" i="321"/>
  <c r="J53" i="321"/>
  <c r="E43" i="321"/>
  <c r="B33" i="321"/>
  <c r="J98" i="319"/>
  <c r="N35" i="319"/>
  <c r="E63" i="321"/>
  <c r="E93" i="319" s="1"/>
  <c r="D63" i="321"/>
  <c r="F95" i="320"/>
  <c r="J42" i="320"/>
  <c r="G42" i="320"/>
  <c r="D99" i="319"/>
  <c r="H53" i="321"/>
  <c r="C53" i="321"/>
  <c r="C95" i="321"/>
  <c r="C42" i="320"/>
  <c r="I63" i="321"/>
  <c r="C99" i="319"/>
  <c r="G53" i="321"/>
  <c r="D96" i="321"/>
  <c r="E33" i="321"/>
  <c r="F92" i="320"/>
  <c r="D92" i="320"/>
  <c r="J93" i="319"/>
  <c r="E91" i="320"/>
  <c r="H42" i="320"/>
  <c r="F95" i="321"/>
  <c r="G95" i="320"/>
  <c r="F53" i="321"/>
  <c r="K99" i="319"/>
  <c r="I42" i="320"/>
  <c r="C43" i="321"/>
  <c r="H92" i="320"/>
  <c r="H99" i="319"/>
  <c r="G52" i="320"/>
  <c r="G98" i="319"/>
  <c r="G91" i="320"/>
  <c r="I95" i="320"/>
  <c r="E53" i="321"/>
  <c r="D33" i="321"/>
  <c r="I98" i="319"/>
  <c r="E52" i="320"/>
  <c r="D52" i="320"/>
  <c r="D95" i="320"/>
  <c r="C33" i="321"/>
  <c r="H95" i="321"/>
  <c r="K71" i="320"/>
  <c r="G63" i="321"/>
  <c r="J71" i="320"/>
  <c r="B92" i="320"/>
  <c r="I71" i="320"/>
  <c r="J91" i="320"/>
  <c r="H52" i="320"/>
  <c r="F96" i="321"/>
  <c r="F52" i="320"/>
  <c r="K32" i="320"/>
  <c r="H91" i="320"/>
  <c r="H98" i="319"/>
  <c r="J32" i="320"/>
  <c r="J95" i="320"/>
  <c r="G92" i="320"/>
  <c r="G99" i="319"/>
  <c r="F98" i="319"/>
  <c r="F91" i="320"/>
  <c r="H32" i="320"/>
  <c r="H95" i="320"/>
  <c r="J95" i="321"/>
  <c r="K92" i="320"/>
  <c r="C52" i="320"/>
  <c r="B53" i="321"/>
  <c r="G95" i="321"/>
  <c r="K33" i="321"/>
  <c r="J99" i="319"/>
  <c r="L98" i="319"/>
  <c r="I32" i="320"/>
  <c r="C96" i="321"/>
  <c r="F42" i="320"/>
  <c r="I43" i="321"/>
  <c r="H43" i="321"/>
  <c r="B91" i="320"/>
  <c r="D32" i="320"/>
  <c r="F43" i="321"/>
  <c r="F99" i="319"/>
  <c r="C95" i="320"/>
  <c r="C91" i="320"/>
  <c r="G33" i="321"/>
  <c r="D91" i="320"/>
  <c r="F32" i="320"/>
  <c r="J33" i="321"/>
  <c r="E95" i="320"/>
  <c r="G43" i="321"/>
  <c r="B95" i="320"/>
  <c r="B42" i="320"/>
  <c r="K42" i="320"/>
  <c r="G96" i="321"/>
  <c r="D43" i="321"/>
  <c r="L56" i="319"/>
  <c r="K53" i="321"/>
  <c r="E42" i="320"/>
  <c r="K43" i="321"/>
  <c r="J96" i="321"/>
  <c r="J43" i="321"/>
  <c r="H96" i="321"/>
  <c r="H92" i="321"/>
  <c r="E99" i="319"/>
  <c r="G92" i="321"/>
  <c r="I92" i="320"/>
  <c r="E32" i="320"/>
  <c r="L99" i="319"/>
  <c r="K98" i="319"/>
  <c r="K91" i="320"/>
  <c r="C32" i="320"/>
  <c r="I99" i="319"/>
  <c r="E92" i="320"/>
  <c r="J92" i="320"/>
  <c r="I91" i="320"/>
  <c r="K95" i="320"/>
  <c r="I53" i="321"/>
  <c r="E92" i="321"/>
  <c r="E95" i="321"/>
  <c r="I33" i="321"/>
  <c r="N55" i="319"/>
  <c r="E98" i="319"/>
  <c r="D95" i="321"/>
  <c r="H33" i="321"/>
  <c r="O20" i="326" l="1"/>
  <c r="O21" i="331"/>
  <c r="O21" i="342"/>
  <c r="O21" i="325"/>
  <c r="O22" i="325"/>
  <c r="F56" i="319"/>
  <c r="O23" i="330"/>
  <c r="O22" i="330"/>
  <c r="E46" i="319"/>
  <c r="L46" i="319"/>
  <c r="F36" i="319"/>
  <c r="E36" i="319"/>
  <c r="D36" i="319"/>
  <c r="H56" i="319"/>
  <c r="G56" i="319"/>
  <c r="C56" i="319"/>
  <c r="C36" i="319"/>
  <c r="H36" i="319"/>
  <c r="K56" i="319"/>
  <c r="J36" i="319"/>
  <c r="D56" i="319"/>
  <c r="B46" i="319"/>
  <c r="L36" i="319"/>
  <c r="I56" i="319"/>
  <c r="F46" i="319"/>
  <c r="B56" i="319"/>
  <c r="H46" i="319"/>
  <c r="D46" i="319"/>
  <c r="E56" i="319"/>
  <c r="I46" i="319"/>
  <c r="C46" i="319"/>
  <c r="J46" i="319"/>
  <c r="K46" i="319"/>
  <c r="I36" i="319"/>
  <c r="K36" i="319"/>
  <c r="J56" i="319"/>
  <c r="G36" i="319"/>
  <c r="G46" i="319"/>
  <c r="B36" i="319"/>
  <c r="B93" i="319"/>
  <c r="K93" i="319"/>
  <c r="D93" i="319"/>
  <c r="N61" i="319"/>
  <c r="N32" i="319"/>
  <c r="N31" i="319"/>
  <c r="N52" i="319"/>
  <c r="N62" i="319"/>
  <c r="I93" i="319"/>
  <c r="N59" i="319"/>
  <c r="N60" i="319"/>
  <c r="N41" i="319"/>
  <c r="N42" i="319"/>
  <c r="N40" i="319"/>
  <c r="N49" i="319"/>
  <c r="N39" i="319"/>
  <c r="N51" i="319"/>
  <c r="N58" i="319"/>
  <c r="N38" i="319"/>
  <c r="G93" i="319"/>
  <c r="N30" i="319"/>
  <c r="L93" i="319"/>
  <c r="N48" i="319"/>
  <c r="N28" i="319"/>
  <c r="H95" i="319" l="1"/>
  <c r="E95" i="319"/>
  <c r="J95" i="319"/>
  <c r="K95" i="319"/>
  <c r="N93" i="319"/>
  <c r="L95" i="319"/>
  <c r="G95" i="319"/>
  <c r="I95" i="319"/>
  <c r="F95" i="319"/>
  <c r="N56" i="319"/>
  <c r="N46" i="319"/>
  <c r="B95" i="319"/>
  <c r="D95" i="319"/>
  <c r="N36" i="319"/>
  <c r="C95" i="319"/>
  <c r="N95" i="319" l="1"/>
  <c r="N96" i="319" s="1"/>
  <c r="C20" i="321" l="1"/>
  <c r="N20" i="321" s="1"/>
  <c r="C23" i="319"/>
  <c r="C20" i="320"/>
  <c r="N20" i="320" s="1"/>
  <c r="O20" i="320" l="1"/>
  <c r="O20" i="321"/>
  <c r="P20" i="321" s="1"/>
  <c r="O20" i="7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Archibald Gwebere</author>
  </authors>
  <commentList>
    <comment ref="AC20" authorId="0" shapeId="0" xr:uid="{6116BA2A-0460-4361-973B-B3AAB69103B0}">
      <text>
        <r>
          <rPr>
            <b/>
            <sz val="9"/>
            <color indexed="81"/>
            <rFont val="Tahoma"/>
            <family val="2"/>
          </rPr>
          <t>Archibald Gwebere:</t>
        </r>
        <r>
          <rPr>
            <sz val="9"/>
            <color indexed="81"/>
            <rFont val="Tahoma"/>
            <family val="2"/>
          </rPr>
          <t xml:space="preserve">
NO SCALE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Archibald Gwebere</author>
  </authors>
  <commentList>
    <comment ref="AC20" authorId="0" shapeId="0" xr:uid="{1CD07714-ED43-4BC3-AFBE-DD22508618D1}">
      <text>
        <r>
          <rPr>
            <b/>
            <sz val="9"/>
            <color indexed="81"/>
            <rFont val="Tahoma"/>
            <family val="2"/>
          </rPr>
          <t>Archibald Gwebere:</t>
        </r>
        <r>
          <rPr>
            <sz val="9"/>
            <color indexed="81"/>
            <rFont val="Tahoma"/>
            <family val="2"/>
          </rPr>
          <t xml:space="preserve">
NO SCALE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Tendai Chirongoma</author>
  </authors>
  <commentList>
    <comment ref="D19" authorId="0" shapeId="0" xr:uid="{681C9019-1974-4C7A-80F1-09E5A6D9AF9F}">
      <text>
        <r>
          <rPr>
            <b/>
            <sz val="9"/>
            <color indexed="81"/>
            <rFont val="Tahoma"/>
            <family val="2"/>
          </rPr>
          <t>Tendai Chirongoma:</t>
        </r>
        <r>
          <rPr>
            <sz val="9"/>
            <color indexed="81"/>
            <rFont val="Tahoma"/>
            <family val="2"/>
          </rPr>
          <t xml:space="preserve">
11 sows in 5 weeks as per farm</t>
        </r>
      </text>
    </comment>
    <comment ref="D20" authorId="0" shapeId="0" xr:uid="{C65EFE20-CE96-4D9E-813C-A6D193556C13}">
      <text>
        <r>
          <rPr>
            <b/>
            <sz val="9"/>
            <color indexed="81"/>
            <rFont val="Tahoma"/>
            <family val="2"/>
          </rPr>
          <t>Tendai Chirongoma:</t>
        </r>
        <r>
          <rPr>
            <sz val="9"/>
            <color indexed="81"/>
            <rFont val="Tahoma"/>
            <family val="2"/>
          </rPr>
          <t xml:space="preserve">
4gilst in 5 weeks as per farm</t>
        </r>
      </text>
    </comment>
  </commentList>
</comments>
</file>

<file path=xl/sharedStrings.xml><?xml version="1.0" encoding="utf-8"?>
<sst xmlns="http://schemas.openxmlformats.org/spreadsheetml/2006/main" count="1074" uniqueCount="236">
  <si>
    <t>NB only pigs sent to Colcom</t>
  </si>
  <si>
    <t>sows and growers</t>
  </si>
  <si>
    <t>FY26 - Avg CDM to Colcom</t>
  </si>
  <si>
    <t>Budgeted to colcom</t>
  </si>
  <si>
    <t>ahead of budget</t>
  </si>
  <si>
    <t>Fy 25</t>
  </si>
  <si>
    <t>Fy24</t>
  </si>
  <si>
    <t>FY23</t>
  </si>
  <si>
    <t>Total</t>
  </si>
  <si>
    <t>Grasmere grower</t>
  </si>
  <si>
    <t>Grasmere LH ext</t>
  </si>
  <si>
    <t>Grasmere Learig</t>
  </si>
  <si>
    <t>Grasmere sow</t>
  </si>
  <si>
    <t>Grasmere ration &amp; donations</t>
  </si>
  <si>
    <t>Grasmere internal gilts &amp; out growers</t>
  </si>
  <si>
    <t>Grasmere external farm sales</t>
  </si>
  <si>
    <t>Pet Food</t>
  </si>
  <si>
    <t>Richlands grower</t>
  </si>
  <si>
    <t>Richlands LH ext</t>
  </si>
  <si>
    <t>Richlands Learig</t>
  </si>
  <si>
    <t>Richlands sow</t>
  </si>
  <si>
    <t>Richlands ration &amp; donations</t>
  </si>
  <si>
    <t>Richlands internal gilts &amp; out growers</t>
  </si>
  <si>
    <t>Richlands external farm sales</t>
  </si>
  <si>
    <t>Lions Head grower</t>
  </si>
  <si>
    <t>Lions Head LH ext</t>
  </si>
  <si>
    <t>Lions Head Learig</t>
  </si>
  <si>
    <t>Lions Head sow</t>
  </si>
  <si>
    <t>Lions Head ration &amp; donations</t>
  </si>
  <si>
    <t>Lionshead internal gilts &amp; out growers</t>
  </si>
  <si>
    <t>Lionshead external farm sales</t>
  </si>
  <si>
    <t>Villa  grower</t>
  </si>
  <si>
    <t>Villa LH ext</t>
  </si>
  <si>
    <t>Villa Learig</t>
  </si>
  <si>
    <t>Villa sow</t>
  </si>
  <si>
    <t>Villa ration &amp; donations</t>
  </si>
  <si>
    <t>Villa internal gilts selection &amp; out growers</t>
  </si>
  <si>
    <t>Villa external farm sales</t>
  </si>
  <si>
    <t>Porta  grower</t>
  </si>
  <si>
    <t>Porta LH ext</t>
  </si>
  <si>
    <t>Porta Learig</t>
  </si>
  <si>
    <t>Porta sow</t>
  </si>
  <si>
    <t>Porta ration &amp; donations</t>
  </si>
  <si>
    <t>Porta internal gilts selection &amp; out growers</t>
  </si>
  <si>
    <t>Porta external farm sales</t>
  </si>
  <si>
    <t>Multiplier  grower</t>
  </si>
  <si>
    <t>Multiplier LH ext</t>
  </si>
  <si>
    <t>Multiplier Learig</t>
  </si>
  <si>
    <t>Multiplier sow</t>
  </si>
  <si>
    <t>Multiplier ration &amp; donations</t>
  </si>
  <si>
    <t>Multiplier internal gilts selection &amp; out growers</t>
  </si>
  <si>
    <t>Multiplier external farm sales</t>
  </si>
  <si>
    <t>Grand Total</t>
  </si>
  <si>
    <t>Learig</t>
  </si>
  <si>
    <t>extension</t>
  </si>
  <si>
    <t>excludes gilts, pet food, ration etc etc</t>
  </si>
  <si>
    <t>Combined number of pigs to colcom only. Sows and growers. Exclude everything else</t>
  </si>
  <si>
    <t>includes sows and growers to colcom only</t>
  </si>
  <si>
    <t>excludes gilt sales to other farms</t>
  </si>
  <si>
    <t>FY26</t>
  </si>
  <si>
    <t>prior year</t>
  </si>
  <si>
    <t>Budgeted # of pigs</t>
  </si>
  <si>
    <t>Grasmere</t>
  </si>
  <si>
    <t>richlands</t>
  </si>
  <si>
    <t>pigs short weaned as per budget (therefore weaning 1 less sow as per budget per week)</t>
  </si>
  <si>
    <t>pigs short to colcom therefore should relate to mortality losses.</t>
  </si>
  <si>
    <t>gras</t>
  </si>
  <si>
    <t>rich</t>
  </si>
  <si>
    <t>LH</t>
  </si>
  <si>
    <t>villa</t>
  </si>
  <si>
    <t>Therefore mortality is 2.7% higher than expected</t>
  </si>
  <si>
    <t>Budgeted 3% mortality</t>
  </si>
  <si>
    <t>total excl rations, gilts, ext farm salesand pet food</t>
  </si>
  <si>
    <t>Extension</t>
  </si>
  <si>
    <t>COMBINED total CDM to Colcom - excludes farm sales, rations etc. Includes sows</t>
  </si>
  <si>
    <t>includes sows to colcom only</t>
  </si>
  <si>
    <t>Budgeted (to colcom only)</t>
  </si>
  <si>
    <t>ahead prior</t>
  </si>
  <si>
    <t>CDM exc ration, gilts, pet and farm sales</t>
  </si>
  <si>
    <t>budget - sows and growers</t>
  </si>
  <si>
    <t>Excludes sow and gilt sales</t>
  </si>
  <si>
    <t>excludes farm ration</t>
  </si>
  <si>
    <t>Only growers sent to Colcom</t>
  </si>
  <si>
    <t># of sows</t>
  </si>
  <si>
    <t xml:space="preserve">Total CDM </t>
  </si>
  <si>
    <t>12 month avg # of sows</t>
  </si>
  <si>
    <t>12 month total CDM</t>
  </si>
  <si>
    <t>kgs sold/sow/year</t>
  </si>
  <si>
    <t>TARGET</t>
  </si>
  <si>
    <t>SOW NUMBERS</t>
  </si>
  <si>
    <t>COMBINED</t>
  </si>
  <si>
    <t>Richlands</t>
  </si>
  <si>
    <t>Lions Head</t>
  </si>
  <si>
    <t>Villa</t>
  </si>
  <si>
    <t>porta</t>
  </si>
  <si>
    <t>multiplier</t>
  </si>
  <si>
    <t>AVERAGE YTD</t>
  </si>
  <si>
    <t>Porta</t>
  </si>
  <si>
    <t>AVERAGE</t>
  </si>
  <si>
    <t>Ahead of prior year</t>
  </si>
  <si>
    <t>Target</t>
  </si>
  <si>
    <t>Ahead of target</t>
  </si>
  <si>
    <t>Avg YTD</t>
  </si>
  <si>
    <t>prior</t>
  </si>
  <si>
    <t xml:space="preserve"> AVERAGE</t>
  </si>
  <si>
    <t>AVG YTD</t>
  </si>
  <si>
    <t>Prior year</t>
  </si>
  <si>
    <t xml:space="preserve">Ahead of prior year </t>
  </si>
  <si>
    <t>LH extension</t>
  </si>
  <si>
    <t>PRIOR YEAR</t>
  </si>
  <si>
    <t>behind prior</t>
  </si>
  <si>
    <t>Multiplier</t>
  </si>
  <si>
    <t>behind prior year</t>
  </si>
  <si>
    <t xml:space="preserve">Ahead of target </t>
  </si>
  <si>
    <t xml:space="preserve"> </t>
  </si>
  <si>
    <t>NB Only pigs sent to Colcom</t>
  </si>
  <si>
    <t>Sows and growers</t>
  </si>
  <si>
    <t>PRIOR</t>
  </si>
  <si>
    <t>Budget</t>
  </si>
  <si>
    <t>Budgeted</t>
  </si>
  <si>
    <t>budget</t>
  </si>
  <si>
    <t>ZLINE</t>
  </si>
  <si>
    <t>Pedigree</t>
  </si>
  <si>
    <t>Behind Target</t>
  </si>
  <si>
    <t>behind Target</t>
  </si>
  <si>
    <t>Behind target</t>
  </si>
  <si>
    <t>Teats</t>
  </si>
  <si>
    <t>colour tag</t>
  </si>
  <si>
    <t xml:space="preserve">Birth weight </t>
  </si>
  <si>
    <t xml:space="preserve">wean weight </t>
  </si>
  <si>
    <t>Conformation</t>
  </si>
  <si>
    <t>June</t>
  </si>
  <si>
    <t>May</t>
  </si>
  <si>
    <t>score</t>
  </si>
  <si>
    <t>April</t>
  </si>
  <si>
    <t>% ABOVE 16+</t>
  </si>
  <si>
    <t>% GREEN</t>
  </si>
  <si>
    <t>%1.2 PLUS</t>
  </si>
  <si>
    <t>% 7 PLUS</t>
  </si>
  <si>
    <t>MULTIPLIER OPERATIONAL REPORT JUNE 2026</t>
  </si>
  <si>
    <t>Statistic</t>
  </si>
  <si>
    <t>z line</t>
  </si>
  <si>
    <t>tn70</t>
  </si>
  <si>
    <t>Empty Days</t>
  </si>
  <si>
    <t>Total Born</t>
  </si>
  <si>
    <t>Born Alive</t>
  </si>
  <si>
    <t>Avg BD per sow</t>
  </si>
  <si>
    <t>Weaned/Sow</t>
  </si>
  <si>
    <t>Pre wean mort</t>
  </si>
  <si>
    <t>A.D.G. Weaner</t>
  </si>
  <si>
    <t>F.C.E. Weaner</t>
  </si>
  <si>
    <t>Weight Gained</t>
  </si>
  <si>
    <t>A.D.G. Grower</t>
  </si>
  <si>
    <t>F.C.E. Grower</t>
  </si>
  <si>
    <t xml:space="preserve">MORTALITIES SUMMARY </t>
  </si>
  <si>
    <t xml:space="preserve">SOW MORTALITY </t>
  </si>
  <si>
    <t>GILT MORTALITY</t>
  </si>
  <si>
    <t xml:space="preserve">WEANER MORTALITY </t>
  </si>
  <si>
    <t xml:space="preserve">GROWER MORTALITY </t>
  </si>
  <si>
    <t>PORTA OPS REPORT</t>
  </si>
  <si>
    <t>includes growers and sows to colcom</t>
  </si>
  <si>
    <t>excludes farm sales, ration etc</t>
  </si>
  <si>
    <t>excludes gilts to to other farms</t>
  </si>
  <si>
    <t>more than budgeted</t>
  </si>
  <si>
    <t>Growers only - not including any sows, rations</t>
  </si>
  <si>
    <t>Not including gilt dales or farm sales</t>
  </si>
  <si>
    <t># of sows prior</t>
  </si>
  <si>
    <t xml:space="preserve">current kgs sold / sow </t>
  </si>
  <si>
    <t>ahead of prior</t>
  </si>
  <si>
    <t>ahead or prior</t>
  </si>
  <si>
    <t>target</t>
  </si>
  <si>
    <t>ahead of target</t>
  </si>
  <si>
    <t>PORTA OPERATIONAL REPORT JUNE 2026</t>
  </si>
  <si>
    <t>TN-70</t>
  </si>
  <si>
    <t>less than prior</t>
  </si>
  <si>
    <t>GRASMERE OPS REPORT</t>
  </si>
  <si>
    <t xml:space="preserve">growers and sows to colcom only </t>
  </si>
  <si>
    <t>Excludes Ext and Learig</t>
  </si>
  <si>
    <t>excludes farm sales and rations</t>
  </si>
  <si>
    <t>Prior</t>
  </si>
  <si>
    <t>TN70</t>
  </si>
  <si>
    <t>Behind prior</t>
  </si>
  <si>
    <t>behind target</t>
  </si>
  <si>
    <t xml:space="preserve">Behind target </t>
  </si>
  <si>
    <t>GRASMERE  OPERATIONAL JUNE 2026</t>
  </si>
  <si>
    <t xml:space="preserve">        GRASMERE OPERATIONAL REPORT NOVEMBER 2025</t>
  </si>
  <si>
    <t>STATISTICS</t>
  </si>
  <si>
    <t>TN-60</t>
  </si>
  <si>
    <t>70 day</t>
  </si>
  <si>
    <t>gain</t>
  </si>
  <si>
    <t>adg</t>
  </si>
  <si>
    <t>fce</t>
  </si>
  <si>
    <t>bm</t>
  </si>
  <si>
    <t xml:space="preserve">70 DAY </t>
  </si>
  <si>
    <t>GAIN</t>
  </si>
  <si>
    <t>ADG</t>
  </si>
  <si>
    <t>FCE</t>
  </si>
  <si>
    <t>MORT</t>
  </si>
  <si>
    <t>Total CDM for 3 months</t>
  </si>
  <si>
    <t>total cdm / week</t>
  </si>
  <si>
    <t>total CDM per year</t>
  </si>
  <si>
    <t>Total CDM for 4 months</t>
  </si>
  <si>
    <t>Total CDM</t>
  </si>
  <si>
    <t>Behind prior year</t>
  </si>
  <si>
    <t xml:space="preserve">behind target </t>
  </si>
  <si>
    <t>behind of prior year</t>
  </si>
  <si>
    <t xml:space="preserve">                                                    RICHLANDS OPERATION REPORT JUNE 2026</t>
  </si>
  <si>
    <t>behind budget</t>
  </si>
  <si>
    <t xml:space="preserve">                                                        LH EXTENSION OPERATIONAL REPORT JUNE 2026</t>
  </si>
  <si>
    <t>70 day weight</t>
  </si>
  <si>
    <t>.</t>
  </si>
  <si>
    <t>NOP</t>
  </si>
  <si>
    <t>CDM</t>
  </si>
  <si>
    <t>ahead of prior year</t>
  </si>
  <si>
    <t>Fy26</t>
  </si>
  <si>
    <t>Behind Prior</t>
  </si>
  <si>
    <t>Ahead of prior</t>
  </si>
  <si>
    <t>Ahead of budget</t>
  </si>
  <si>
    <t xml:space="preserve">                                      LIONSHEAD OPERATIONS JUNE 2026</t>
  </si>
  <si>
    <t xml:space="preserve">ahead of prior year </t>
  </si>
  <si>
    <t xml:space="preserve">Ahead or prior year </t>
  </si>
  <si>
    <t xml:space="preserve">                                                                VILLA FRANCA OPERATIONAL REPORT JUNE 2026</t>
  </si>
  <si>
    <t>pre wean%</t>
  </si>
  <si>
    <t>weaner mort%</t>
  </si>
  <si>
    <t>wean weight</t>
  </si>
  <si>
    <t>farrow rate</t>
  </si>
  <si>
    <t xml:space="preserve">                                            LEARIG OPERATIONAL REPORT JUNE 2026</t>
  </si>
  <si>
    <t>NO SCALE</t>
  </si>
  <si>
    <t>70 DAY</t>
  </si>
  <si>
    <t>BM</t>
  </si>
  <si>
    <t>ADGW</t>
  </si>
  <si>
    <t>FCEW</t>
  </si>
  <si>
    <t>ADGG</t>
  </si>
  <si>
    <t>FCEG</t>
  </si>
  <si>
    <t>WM</t>
  </si>
  <si>
    <t>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</si>
</sst>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0.000"/>
    <numFmt numFmtId="166" formatCode="0.0"/>
    <numFmt numFmtId="167" formatCode="_-* #,##0_-;\-* #,##0_-;_-* &quot;-&quot;??_-;_-@_-"/>
    <numFmt numFmtId="168" formatCode="_-* #,##0.0_-;\-* #,##0.0_-;_-* &quot;-&quot;??_-;_-@_-"/>
    <numFmt numFmtId="169" formatCode="_(* #,##0_);_(* \(#,##0\);_(* &quot;-&quot;??_);_(@_)"/>
    <numFmt numFmtId="170" formatCode="_(* #,##0.0_);_(* \(#,##0.0\);_(* &quot;-&quot;??_);_(@_)"/>
    <numFmt numFmtId="171" formatCode="0.0%"/>
  </numFmts>
  <fonts count="66">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sz val="9"/>
      <color rgb="FFFF0000"/>
      <name val="Calibri"/>
      <family val="2"/>
      <scheme val="minor"/>
    </font>
    <font>
      <b/>
      <sz val="9"/>
      <color rgb="FFFF0000"/>
      <name val="Calibri"/>
      <family val="2"/>
      <scheme val="minor"/>
    </font>
    <font>
      <b/>
      <sz val="14"/>
      <color theme="1"/>
      <name val="Calibri"/>
      <family val="2"/>
      <scheme val="minor"/>
    </font>
    <font>
      <b/>
      <sz val="9"/>
      <color rgb="FF000000"/>
      <name val="Calibri"/>
      <family val="2"/>
    </font>
    <font>
      <sz val="9"/>
      <color rgb="FF000000"/>
      <name val="Calibri"/>
      <family val="2"/>
    </font>
    <font>
      <sz val="14"/>
      <color theme="1"/>
      <name val="Calibri"/>
      <family val="2"/>
      <scheme val="minor"/>
    </font>
    <font>
      <sz val="16"/>
      <color rgb="FFFF0000"/>
      <name val="Calibri"/>
      <family val="2"/>
      <scheme val="minor"/>
    </font>
    <font>
      <sz val="16"/>
      <name val="Calibri"/>
      <family val="2"/>
      <scheme val="minor"/>
    </font>
    <font>
      <sz val="16"/>
      <color rgb="FF000000"/>
      <name val="Calibri"/>
      <family val="2"/>
      <scheme val="minor"/>
    </font>
    <font>
      <sz val="16"/>
      <color theme="1"/>
      <name val="Calibri"/>
      <family val="2"/>
      <scheme val="minor"/>
    </font>
    <font>
      <sz val="12"/>
      <color theme="1"/>
      <name val="Calibri"/>
      <family val="2"/>
      <scheme val="minor"/>
    </font>
    <font>
      <sz val="12"/>
      <color rgb="FF000000"/>
      <name val="Calibri"/>
      <family val="2"/>
    </font>
    <font>
      <sz val="10"/>
      <color theme="1"/>
      <name val="Calibri"/>
      <family val="2"/>
      <scheme val="minor"/>
    </font>
    <font>
      <sz val="10"/>
      <color rgb="FF000000"/>
      <name val="Calibri"/>
      <family val="2"/>
    </font>
    <font>
      <sz val="12"/>
      <color rgb="FFFF0000"/>
      <name val="Calibri"/>
      <family val="2"/>
      <scheme val="minor"/>
    </font>
    <font>
      <sz val="12"/>
      <name val="Calibri"/>
      <family val="2"/>
      <scheme val="minor"/>
    </font>
    <font>
      <b/>
      <sz val="12"/>
      <color rgb="FF000000"/>
      <name val="Andalus"/>
      <charset val="134"/>
    </font>
    <font>
      <b/>
      <sz val="12"/>
      <name val="Andalus"/>
      <charset val="134"/>
    </font>
    <font>
      <b/>
      <sz val="12"/>
      <color rgb="FF000000"/>
      <name val="Calibri"/>
      <family val="2"/>
      <scheme val="minor"/>
    </font>
    <font>
      <b/>
      <sz val="12"/>
      <name val="Calibri"/>
      <family val="2"/>
      <scheme val="minor"/>
    </font>
    <font>
      <b/>
      <u/>
      <sz val="12"/>
      <color rgb="FF000000"/>
      <name val="Calibri"/>
      <family val="2"/>
      <scheme val="minor"/>
    </font>
    <font>
      <sz val="10"/>
      <color rgb="FFFF0000"/>
      <name val="Calibri"/>
      <family val="2"/>
      <scheme val="minor"/>
    </font>
    <font>
      <sz val="10"/>
      <name val="Calibri"/>
      <family val="2"/>
      <scheme val="minor"/>
    </font>
    <font>
      <b/>
      <sz val="10"/>
      <color rgb="FF000000"/>
      <name val="Andalus"/>
      <charset val="134"/>
    </font>
    <font>
      <b/>
      <sz val="10"/>
      <color rgb="FF000000"/>
      <name val="Calibri"/>
      <family val="2"/>
      <scheme val="minor"/>
    </font>
    <font>
      <b/>
      <sz val="10"/>
      <name val="Calibri"/>
      <family val="2"/>
      <scheme val="minor"/>
    </font>
    <font>
      <b/>
      <sz val="10"/>
      <color rgb="FFFF0000"/>
      <name val="Calibri"/>
      <family val="2"/>
      <scheme val="minor"/>
    </font>
    <font>
      <b/>
      <u/>
      <sz val="10"/>
      <color rgb="FF000000"/>
      <name val="Calibri"/>
      <family val="2"/>
      <scheme val="minor"/>
    </font>
    <font>
      <b/>
      <sz val="10"/>
      <name val="Andalus"/>
    </font>
    <font>
      <sz val="14"/>
      <color rgb="FFFF0000"/>
      <name val="Calibri"/>
      <family val="2"/>
      <scheme val="minor"/>
    </font>
    <font>
      <sz val="14"/>
      <name val="Calibri"/>
      <family val="2"/>
      <scheme val="minor"/>
    </font>
    <font>
      <b/>
      <sz val="14"/>
      <name val="Andalus"/>
      <charset val="134"/>
    </font>
    <font>
      <b/>
      <sz val="14"/>
      <color rgb="FF000000"/>
      <name val="Calibri"/>
      <family val="2"/>
      <scheme val="minor"/>
    </font>
    <font>
      <b/>
      <sz val="14"/>
      <name val="Calibri"/>
      <family val="2"/>
      <scheme val="minor"/>
    </font>
    <font>
      <b/>
      <u/>
      <sz val="14"/>
      <color rgb="FF000000"/>
      <name val="Calibri"/>
      <family val="2"/>
      <scheme val="minor"/>
    </font>
    <font>
      <b/>
      <sz val="14"/>
      <color rgb="FFFF0000"/>
      <name val="Andalus"/>
      <charset val="134"/>
    </font>
    <font>
      <b/>
      <sz val="14"/>
      <color rgb="FFFF0000"/>
      <name val="Calibri"/>
      <family val="2"/>
      <scheme val="minor"/>
    </font>
    <font>
      <b/>
      <sz val="16"/>
      <name val="Calibri"/>
      <family val="2"/>
      <scheme val="minor"/>
    </font>
    <font>
      <b/>
      <sz val="12"/>
      <color rgb="FFFF0000"/>
      <name val="Andalus"/>
      <charset val="134"/>
    </font>
    <font>
      <b/>
      <sz val="12"/>
      <color rgb="FFFF0000"/>
      <name val="Calibri"/>
      <family val="2"/>
      <scheme val="minor"/>
    </font>
    <font>
      <b/>
      <sz val="10"/>
      <color rgb="FFFF0000"/>
      <name val="Andalus"/>
    </font>
    <font>
      <sz val="11"/>
      <color rgb="FFFF0000"/>
      <name val="Calibri"/>
      <family val="2"/>
      <scheme val="minor"/>
    </font>
    <font>
      <sz val="11"/>
      <name val="Calibri"/>
      <family val="2"/>
      <scheme val="minor"/>
    </font>
    <font>
      <b/>
      <sz val="11"/>
      <color rgb="FFFF0000"/>
      <name val="Calibri"/>
      <family val="2"/>
      <scheme val="minor"/>
    </font>
    <font>
      <b/>
      <sz val="14"/>
      <color rgb="FF000000"/>
      <name val="Andalus"/>
    </font>
    <font>
      <b/>
      <sz val="11"/>
      <name val="Calibri"/>
      <family val="2"/>
      <scheme val="minor"/>
    </font>
    <font>
      <sz val="11"/>
      <color theme="4"/>
      <name val="Calibri"/>
      <family val="2"/>
      <scheme val="minor"/>
    </font>
    <font>
      <sz val="9"/>
      <color theme="4"/>
      <name val="Calibri"/>
      <family val="2"/>
      <scheme val="minor"/>
    </font>
    <font>
      <b/>
      <u/>
      <sz val="10"/>
      <color rgb="FFFF0000"/>
      <name val="Calibri"/>
      <family val="2"/>
      <scheme val="minor"/>
    </font>
    <font>
      <b/>
      <sz val="11"/>
      <color rgb="FF000000"/>
      <name val="Calibri"/>
      <family val="2"/>
    </font>
    <font>
      <sz val="11"/>
      <color rgb="FF000000"/>
      <name val="Calibri"/>
      <family val="2"/>
    </font>
    <font>
      <b/>
      <sz val="9"/>
      <color indexed="81"/>
      <name val="Tahoma"/>
      <family val="2"/>
    </font>
    <font>
      <sz val="9"/>
      <color indexed="81"/>
      <name val="Tahoma"/>
      <family val="2"/>
    </font>
    <font>
      <b/>
      <u/>
      <sz val="14"/>
      <color rgb="FFFF0000"/>
      <name val="Calibri"/>
      <family val="2"/>
      <scheme val="minor"/>
    </font>
    <font>
      <b/>
      <sz val="14"/>
      <color rgb="FF000000"/>
      <name val="Andalus"/>
      <charset val="134"/>
    </font>
    <font>
      <b/>
      <sz val="14"/>
      <name val="Andalus"/>
    </font>
    <font>
      <b/>
      <sz val="14"/>
      <color rgb="FFFF0000"/>
      <name val="Andalus"/>
    </font>
    <font>
      <b/>
      <u/>
      <sz val="12"/>
      <color rgb="FFFF0000"/>
      <name val="Calibri"/>
      <family val="2"/>
      <scheme val="minor"/>
    </font>
    <font>
      <b/>
      <sz val="10"/>
      <color theme="1"/>
      <name val="Calibri"/>
      <family val="2"/>
      <scheme val="minor"/>
    </font>
    <font>
      <b/>
      <sz val="12"/>
      <color theme="1"/>
      <name val="Calibri"/>
      <family val="2"/>
      <scheme val="minor"/>
    </font>
    <font>
      <b/>
      <sz val="14"/>
      <color rgb="FF000000"/>
      <name val="Calibri"/>
      <family val="2"/>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0000"/>
        <bgColor indexed="64"/>
      </patternFill>
    </fill>
    <fill>
      <patternFill patternType="solid">
        <fgColor theme="4" tint="0.79998168889431442"/>
        <bgColor indexed="64"/>
      </patternFill>
    </fill>
  </fills>
  <borders count="78">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thin">
        <color indexed="64"/>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rgb="FF000000"/>
      </left>
      <right style="thin">
        <color rgb="FF000000"/>
      </right>
      <top/>
      <bottom style="thin">
        <color rgb="FF000000"/>
      </bottom>
      <diagonal/>
    </border>
    <border>
      <left style="thin">
        <color auto="1"/>
      </left>
      <right style="thin">
        <color auto="1"/>
      </right>
      <top/>
      <bottom/>
      <diagonal/>
    </border>
    <border>
      <left style="medium">
        <color auto="1"/>
      </left>
      <right style="medium">
        <color auto="1"/>
      </right>
      <top style="medium">
        <color auto="1"/>
      </top>
      <bottom/>
      <diagonal/>
    </border>
    <border>
      <left style="thin">
        <color rgb="FF000000"/>
      </left>
      <right/>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auto="1"/>
      </left>
      <right/>
      <top/>
      <bottom/>
      <diagonal/>
    </border>
    <border>
      <left style="medium">
        <color indexed="64"/>
      </left>
      <right/>
      <top style="medium">
        <color indexed="64"/>
      </top>
      <bottom style="thin">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bottom style="medium">
        <color indexed="64"/>
      </bottom>
      <diagonal/>
    </border>
    <border>
      <left style="medium">
        <color auto="1"/>
      </left>
      <right/>
      <top/>
      <bottom style="medium">
        <color auto="1"/>
      </bottom>
      <diagonal/>
    </border>
    <border>
      <left/>
      <right/>
      <top style="thin">
        <color auto="1"/>
      </top>
      <bottom style="thin">
        <color auto="1"/>
      </bottom>
      <diagonal/>
    </border>
    <border>
      <left/>
      <right/>
      <top style="medium">
        <color indexed="64"/>
      </top>
      <bottom/>
      <diagonal/>
    </border>
    <border>
      <left/>
      <right style="thin">
        <color auto="1"/>
      </right>
      <top style="medium">
        <color indexed="64"/>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thin">
        <color auto="1"/>
      </bottom>
      <diagonal/>
    </border>
    <border>
      <left/>
      <right/>
      <top/>
      <bottom style="thin">
        <color indexed="64"/>
      </bottom>
      <diagonal/>
    </border>
    <border>
      <left/>
      <right style="thin">
        <color auto="1"/>
      </right>
      <top/>
      <bottom style="thin">
        <color auto="1"/>
      </bottom>
      <diagonal/>
    </border>
    <border>
      <left/>
      <right style="medium">
        <color indexed="64"/>
      </right>
      <top/>
      <bottom/>
      <diagonal/>
    </border>
    <border>
      <left style="medium">
        <color indexed="64"/>
      </left>
      <right style="medium">
        <color indexed="64"/>
      </right>
      <top style="medium">
        <color indexed="64"/>
      </top>
      <bottom style="thin">
        <color auto="1"/>
      </bottom>
      <diagonal/>
    </border>
    <border>
      <left/>
      <right style="medium">
        <color indexed="64"/>
      </right>
      <top/>
      <bottom style="thin">
        <color auto="1"/>
      </bottom>
      <diagonal/>
    </border>
    <border>
      <left style="medium">
        <color indexed="64"/>
      </left>
      <right/>
      <top/>
      <bottom/>
      <diagonal/>
    </border>
    <border>
      <left style="medium">
        <color indexed="64"/>
      </left>
      <right style="medium">
        <color indexed="64"/>
      </right>
      <top/>
      <bottom style="medium">
        <color indexed="64"/>
      </bottom>
      <diagonal/>
    </border>
    <border>
      <left style="thin">
        <color auto="1"/>
      </left>
      <right/>
      <top style="medium">
        <color auto="1"/>
      </top>
      <bottom/>
      <diagonal/>
    </border>
    <border>
      <left style="medium">
        <color indexed="64"/>
      </left>
      <right style="thin">
        <color rgb="FF000000"/>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style="thin">
        <color rgb="FF000000"/>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right style="medium">
        <color indexed="64"/>
      </right>
      <top/>
      <bottom style="medium">
        <color indexed="64"/>
      </bottom>
      <diagonal/>
    </border>
    <border>
      <left style="thin">
        <color auto="1"/>
      </left>
      <right/>
      <top style="thin">
        <color auto="1"/>
      </top>
      <bottom style="medium">
        <color indexed="64"/>
      </bottom>
      <diagonal/>
    </border>
    <border>
      <left/>
      <right style="medium">
        <color indexed="64"/>
      </right>
      <top style="medium">
        <color indexed="64"/>
      </top>
      <bottom style="thin">
        <color auto="1"/>
      </bottom>
      <diagonal/>
    </border>
    <border>
      <left/>
      <right/>
      <top style="thin">
        <color auto="1"/>
      </top>
      <bottom style="medium">
        <color indexed="64"/>
      </bottom>
      <diagonal/>
    </border>
    <border>
      <left style="thin">
        <color auto="1"/>
      </left>
      <right style="thin">
        <color indexed="64"/>
      </right>
      <top/>
      <bottom style="medium">
        <color indexed="64"/>
      </bottom>
      <diagonal/>
    </border>
    <border>
      <left/>
      <right style="thin">
        <color indexed="64"/>
      </right>
      <top style="thin">
        <color auto="1"/>
      </top>
      <bottom style="medium">
        <color indexed="64"/>
      </bottom>
      <diagonal/>
    </border>
    <border>
      <left style="thin">
        <color auto="1"/>
      </left>
      <right/>
      <top/>
      <bottom style="thin">
        <color auto="1"/>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right style="thin">
        <color indexed="64"/>
      </right>
      <top/>
      <bottom style="medium">
        <color indexed="64"/>
      </bottom>
      <diagonal/>
    </border>
    <border>
      <left/>
      <right style="thin">
        <color auto="1"/>
      </right>
      <top style="medium">
        <color indexed="64"/>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thin">
        <color rgb="FF000000"/>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auto="1"/>
      </top>
      <bottom style="thin">
        <color auto="1"/>
      </bottom>
      <diagonal/>
    </border>
    <border>
      <left/>
      <right style="thin">
        <color indexed="64"/>
      </right>
      <top/>
      <bottom/>
      <diagonal/>
    </border>
    <border>
      <left style="medium">
        <color indexed="64"/>
      </left>
      <right style="medium">
        <color indexed="64"/>
      </right>
      <top style="thin">
        <color auto="1"/>
      </top>
      <bottom style="thin">
        <color indexed="64"/>
      </bottom>
      <diagonal/>
    </border>
    <border>
      <left style="thin">
        <color auto="1"/>
      </left>
      <right style="thin">
        <color auto="1"/>
      </right>
      <top style="medium">
        <color indexed="64"/>
      </top>
      <bottom/>
      <diagonal/>
    </border>
    <border>
      <left style="medium">
        <color auto="1"/>
      </left>
      <right style="medium">
        <color auto="1"/>
      </right>
      <top/>
      <bottom/>
      <diagonal/>
    </border>
    <border>
      <left/>
      <right style="thin">
        <color auto="1"/>
      </right>
      <top style="thin">
        <color auto="1"/>
      </top>
      <bottom/>
      <diagonal/>
    </border>
  </borders>
  <cellStyleXfs count="18">
    <xf numFmtId="0" fontId="0"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cellStyleXfs>
  <cellXfs count="741">
    <xf numFmtId="0" fontId="0" fillId="0" borderId="0" xfId="0"/>
    <xf numFmtId="17" fontId="2" fillId="2" borderId="1" xfId="3" applyNumberFormat="1" applyFont="1" applyFill="1" applyBorder="1" applyAlignment="1">
      <alignment horizontal="center"/>
    </xf>
    <xf numFmtId="0" fontId="1" fillId="2" borderId="0" xfId="3" applyFill="1"/>
    <xf numFmtId="0" fontId="1" fillId="0" borderId="0" xfId="3"/>
    <xf numFmtId="0" fontId="1" fillId="2" borderId="0" xfId="3" applyFill="1" applyAlignment="1">
      <alignment horizontal="center"/>
    </xf>
    <xf numFmtId="166" fontId="1" fillId="0" borderId="0" xfId="3" applyNumberFormat="1"/>
    <xf numFmtId="0" fontId="3" fillId="2" borderId="0" xfId="3" applyFont="1" applyFill="1"/>
    <xf numFmtId="17" fontId="4" fillId="2" borderId="0" xfId="3" applyNumberFormat="1" applyFont="1" applyFill="1"/>
    <xf numFmtId="167" fontId="3" fillId="2" borderId="0" xfId="5" applyNumberFormat="1" applyFont="1" applyFill="1"/>
    <xf numFmtId="167" fontId="5" fillId="2" borderId="0" xfId="5" applyNumberFormat="1" applyFont="1" applyFill="1"/>
    <xf numFmtId="0" fontId="4" fillId="2" borderId="0" xfId="3" applyFont="1" applyFill="1"/>
    <xf numFmtId="167" fontId="6" fillId="2" borderId="0" xfId="5" applyNumberFormat="1" applyFont="1" applyFill="1"/>
    <xf numFmtId="167" fontId="4" fillId="2" borderId="0" xfId="5" applyNumberFormat="1" applyFont="1" applyFill="1"/>
    <xf numFmtId="164" fontId="3" fillId="2" borderId="0" xfId="6" applyFont="1" applyFill="1"/>
    <xf numFmtId="0" fontId="2" fillId="2" borderId="0" xfId="3" applyFont="1" applyFill="1"/>
    <xf numFmtId="164" fontId="0" fillId="2" borderId="0" xfId="6" applyFont="1" applyFill="1"/>
    <xf numFmtId="167" fontId="0" fillId="2" borderId="0" xfId="5" applyNumberFormat="1" applyFont="1" applyFill="1"/>
    <xf numFmtId="0" fontId="6" fillId="2" borderId="0" xfId="3" applyFont="1" applyFill="1"/>
    <xf numFmtId="0" fontId="7" fillId="0" borderId="0" xfId="7" applyFont="1"/>
    <xf numFmtId="0" fontId="1" fillId="0" borderId="0" xfId="7"/>
    <xf numFmtId="17" fontId="2" fillId="0" borderId="0" xfId="7" applyNumberFormat="1" applyFont="1" applyAlignment="1">
      <alignment horizontal="left"/>
    </xf>
    <xf numFmtId="164" fontId="2" fillId="0" borderId="0" xfId="8" applyFont="1"/>
    <xf numFmtId="17" fontId="2" fillId="0" borderId="1" xfId="7" applyNumberFormat="1" applyFont="1" applyBorder="1" applyAlignment="1">
      <alignment horizontal="center"/>
    </xf>
    <xf numFmtId="17" fontId="2" fillId="0" borderId="0" xfId="7" applyNumberFormat="1" applyFont="1" applyAlignment="1">
      <alignment horizontal="center"/>
    </xf>
    <xf numFmtId="164" fontId="0" fillId="0" borderId="0" xfId="8" applyFont="1"/>
    <xf numFmtId="0" fontId="8" fillId="0" borderId="1" xfId="7" applyFont="1" applyBorder="1" applyAlignment="1">
      <alignment horizontal="center" vertical="center"/>
    </xf>
    <xf numFmtId="167" fontId="9" fillId="0" borderId="0" xfId="8" applyNumberFormat="1" applyFont="1" applyBorder="1" applyAlignment="1">
      <alignment horizontal="center" vertical="center"/>
    </xf>
    <xf numFmtId="167" fontId="0" fillId="0" borderId="0" xfId="8" applyNumberFormat="1" applyFont="1"/>
    <xf numFmtId="0" fontId="3" fillId="0" borderId="0" xfId="7" applyFont="1"/>
    <xf numFmtId="164" fontId="1" fillId="0" borderId="0" xfId="7" applyNumberFormat="1"/>
    <xf numFmtId="167" fontId="1" fillId="0" borderId="0" xfId="7" applyNumberFormat="1"/>
    <xf numFmtId="0" fontId="3" fillId="2" borderId="0" xfId="7" applyFont="1" applyFill="1"/>
    <xf numFmtId="0" fontId="4" fillId="2" borderId="0" xfId="7" applyFont="1" applyFill="1"/>
    <xf numFmtId="164" fontId="3" fillId="2" borderId="0" xfId="8" applyFont="1" applyFill="1"/>
    <xf numFmtId="0" fontId="1" fillId="2" borderId="0" xfId="7" applyFill="1"/>
    <xf numFmtId="0" fontId="2" fillId="2" borderId="0" xfId="7" applyFont="1" applyFill="1"/>
    <xf numFmtId="164" fontId="0" fillId="2" borderId="0" xfId="8" applyFont="1" applyFill="1"/>
    <xf numFmtId="0" fontId="2" fillId="0" borderId="0" xfId="7" applyFont="1"/>
    <xf numFmtId="167" fontId="3" fillId="2" borderId="0" xfId="8" applyNumberFormat="1" applyFont="1" applyFill="1" applyAlignment="1">
      <alignment horizontal="center"/>
    </xf>
    <xf numFmtId="167" fontId="9" fillId="2" borderId="0" xfId="8" applyNumberFormat="1" applyFont="1" applyFill="1" applyBorder="1" applyAlignment="1">
      <alignment horizontal="center" vertical="center"/>
    </xf>
    <xf numFmtId="167" fontId="9" fillId="0" borderId="0" xfId="8" applyNumberFormat="1" applyFont="1" applyFill="1" applyBorder="1" applyAlignment="1">
      <alignment horizontal="center" vertical="center"/>
    </xf>
    <xf numFmtId="164" fontId="2" fillId="0" borderId="0" xfId="7" applyNumberFormat="1" applyFont="1"/>
    <xf numFmtId="17" fontId="4" fillId="2" borderId="5" xfId="7" applyNumberFormat="1" applyFont="1" applyFill="1" applyBorder="1" applyAlignment="1">
      <alignment horizontal="center"/>
    </xf>
    <xf numFmtId="167" fontId="8" fillId="2" borderId="4" xfId="8" applyNumberFormat="1" applyFont="1" applyFill="1" applyBorder="1" applyAlignment="1">
      <alignment horizontal="center" vertical="center"/>
    </xf>
    <xf numFmtId="0" fontId="10" fillId="2" borderId="0" xfId="7" applyFont="1" applyFill="1"/>
    <xf numFmtId="0" fontId="8" fillId="4" borderId="12" xfId="9" applyFont="1" applyFill="1" applyBorder="1" applyAlignment="1">
      <alignment horizontal="center" vertical="center"/>
    </xf>
    <xf numFmtId="0" fontId="8" fillId="4" borderId="12" xfId="10" applyFont="1" applyFill="1" applyBorder="1" applyAlignment="1">
      <alignment horizontal="center" vertical="center"/>
    </xf>
    <xf numFmtId="0" fontId="2" fillId="0" borderId="0" xfId="0" applyFont="1"/>
    <xf numFmtId="0" fontId="1" fillId="0" borderId="1" xfId="9" applyBorder="1"/>
    <xf numFmtId="0" fontId="1" fillId="0" borderId="1" xfId="10" applyBorder="1"/>
    <xf numFmtId="0" fontId="0" fillId="0" borderId="1" xfId="0" applyBorder="1"/>
    <xf numFmtId="1" fontId="1" fillId="0" borderId="1" xfId="9" applyNumberFormat="1" applyBorder="1"/>
    <xf numFmtId="1" fontId="1" fillId="0" borderId="1" xfId="10" applyNumberFormat="1" applyBorder="1"/>
    <xf numFmtId="0" fontId="2" fillId="0" borderId="4" xfId="0" applyFont="1" applyBorder="1"/>
    <xf numFmtId="17" fontId="2" fillId="0" borderId="5" xfId="9" applyNumberFormat="1" applyFont="1" applyBorder="1" applyAlignment="1">
      <alignment horizontal="center"/>
    </xf>
    <xf numFmtId="17" fontId="2" fillId="0" borderId="5" xfId="10" applyNumberFormat="1" applyFont="1" applyBorder="1" applyAlignment="1">
      <alignment horizontal="center"/>
    </xf>
    <xf numFmtId="0" fontId="1" fillId="0" borderId="7" xfId="10" applyBorder="1"/>
    <xf numFmtId="0" fontId="1" fillId="0" borderId="7" xfId="9" applyBorder="1"/>
    <xf numFmtId="0" fontId="0" fillId="0" borderId="7" xfId="0" applyBorder="1"/>
    <xf numFmtId="0" fontId="0" fillId="0" borderId="8" xfId="0" applyBorder="1"/>
    <xf numFmtId="0" fontId="8" fillId="4" borderId="11" xfId="9" applyFont="1" applyFill="1" applyBorder="1" applyAlignment="1">
      <alignment horizontal="center" vertical="center"/>
    </xf>
    <xf numFmtId="0" fontId="1" fillId="0" borderId="5" xfId="10" applyBorder="1"/>
    <xf numFmtId="0" fontId="1" fillId="0" borderId="5" xfId="9" applyBorder="1"/>
    <xf numFmtId="0" fontId="0" fillId="0" borderId="5" xfId="0" applyBorder="1"/>
    <xf numFmtId="166" fontId="1" fillId="0" borderId="14" xfId="9" applyNumberFormat="1" applyBorder="1"/>
    <xf numFmtId="166" fontId="1" fillId="0" borderId="15" xfId="10" applyNumberFormat="1" applyBorder="1"/>
    <xf numFmtId="0" fontId="1" fillId="0" borderId="15" xfId="9" applyBorder="1"/>
    <xf numFmtId="0" fontId="0" fillId="0" borderId="15" xfId="0" applyBorder="1"/>
    <xf numFmtId="0" fontId="0" fillId="0" borderId="16" xfId="0" applyBorder="1"/>
    <xf numFmtId="17" fontId="2" fillId="0" borderId="17" xfId="9" applyNumberFormat="1" applyFont="1" applyBorder="1" applyAlignment="1">
      <alignment horizontal="center"/>
    </xf>
    <xf numFmtId="17" fontId="2" fillId="0" borderId="18" xfId="10" applyNumberFormat="1" applyFont="1" applyBorder="1" applyAlignment="1">
      <alignment horizontal="center"/>
    </xf>
    <xf numFmtId="17" fontId="2" fillId="0" borderId="18" xfId="9" applyNumberFormat="1" applyFont="1" applyBorder="1" applyAlignment="1">
      <alignment horizontal="center"/>
    </xf>
    <xf numFmtId="0" fontId="7" fillId="0" borderId="0" xfId="0" applyFont="1"/>
    <xf numFmtId="2" fontId="4" fillId="0" borderId="0" xfId="7" applyNumberFormat="1" applyFont="1"/>
    <xf numFmtId="2" fontId="2" fillId="0" borderId="0" xfId="0" applyNumberFormat="1" applyFont="1"/>
    <xf numFmtId="17" fontId="2" fillId="0" borderId="5" xfId="0" applyNumberFormat="1" applyFont="1" applyBorder="1" applyAlignment="1">
      <alignment horizontal="center"/>
    </xf>
    <xf numFmtId="0" fontId="0" fillId="0" borderId="6" xfId="0" applyBorder="1"/>
    <xf numFmtId="166" fontId="0" fillId="0" borderId="0" xfId="0" applyNumberFormat="1"/>
    <xf numFmtId="0" fontId="1" fillId="0" borderId="0" xfId="0" applyFont="1"/>
    <xf numFmtId="2" fontId="0" fillId="0" borderId="0" xfId="0" applyNumberFormat="1"/>
    <xf numFmtId="0" fontId="11" fillId="0" borderId="0" xfId="0" applyFont="1" applyAlignment="1">
      <alignment horizontal="center"/>
    </xf>
    <xf numFmtId="0" fontId="12" fillId="0" borderId="0" xfId="0" applyFont="1" applyAlignment="1">
      <alignment horizontal="center"/>
    </xf>
    <xf numFmtId="0" fontId="13" fillId="0" borderId="0" xfId="0" applyFont="1" applyAlignment="1">
      <alignment horizontal="center"/>
    </xf>
    <xf numFmtId="0" fontId="14" fillId="0" borderId="0" xfId="0" applyFont="1" applyAlignment="1">
      <alignment horizontal="center"/>
    </xf>
    <xf numFmtId="0" fontId="14" fillId="0" borderId="1" xfId="0" applyFont="1" applyBorder="1" applyAlignment="1">
      <alignment horizontal="center"/>
    </xf>
    <xf numFmtId="166" fontId="11" fillId="0" borderId="0" xfId="0" applyNumberFormat="1" applyFont="1" applyAlignment="1">
      <alignment horizontal="center"/>
    </xf>
    <xf numFmtId="2" fontId="11" fillId="0" borderId="0" xfId="0" applyNumberFormat="1" applyFont="1" applyAlignment="1">
      <alignment horizontal="center"/>
    </xf>
    <xf numFmtId="166" fontId="3" fillId="0" borderId="0" xfId="7" applyNumberFormat="1" applyFont="1"/>
    <xf numFmtId="0" fontId="3" fillId="2" borderId="1" xfId="7" applyFont="1" applyFill="1" applyBorder="1"/>
    <xf numFmtId="0" fontId="4" fillId="2" borderId="4" xfId="7" applyFont="1" applyFill="1" applyBorder="1"/>
    <xf numFmtId="0" fontId="8" fillId="2" borderId="1" xfId="7" applyFont="1" applyFill="1" applyBorder="1" applyAlignment="1">
      <alignment horizontal="center" vertical="center"/>
    </xf>
    <xf numFmtId="0" fontId="8" fillId="2" borderId="0" xfId="7" applyFont="1" applyFill="1" applyAlignment="1">
      <alignment horizontal="center" vertical="center"/>
    </xf>
    <xf numFmtId="0" fontId="8" fillId="0" borderId="0" xfId="7" applyFont="1" applyAlignment="1">
      <alignment horizontal="center" vertical="center"/>
    </xf>
    <xf numFmtId="4" fontId="1" fillId="0" borderId="0" xfId="7" applyNumberFormat="1"/>
    <xf numFmtId="0" fontId="1" fillId="0" borderId="0" xfId="12"/>
    <xf numFmtId="0" fontId="3" fillId="2" borderId="0" xfId="13" applyFont="1" applyFill="1"/>
    <xf numFmtId="17" fontId="4" fillId="2" borderId="6" xfId="13" applyNumberFormat="1" applyFont="1" applyFill="1" applyBorder="1" applyAlignment="1">
      <alignment horizontal="center"/>
    </xf>
    <xf numFmtId="0" fontId="4" fillId="2" borderId="1" xfId="13" applyFont="1" applyFill="1" applyBorder="1"/>
    <xf numFmtId="167" fontId="1" fillId="0" borderId="0" xfId="8" applyNumberFormat="1" applyFont="1"/>
    <xf numFmtId="1" fontId="1" fillId="0" borderId="0" xfId="12" applyNumberFormat="1"/>
    <xf numFmtId="2" fontId="4" fillId="2" borderId="1" xfId="13" applyNumberFormat="1" applyFont="1" applyFill="1" applyBorder="1"/>
    <xf numFmtId="0" fontId="11" fillId="2" borderId="0" xfId="0" applyFont="1" applyFill="1" applyAlignment="1">
      <alignment horizontal="center"/>
    </xf>
    <xf numFmtId="0" fontId="14" fillId="2" borderId="0" xfId="0" applyFont="1" applyFill="1" applyAlignment="1">
      <alignment horizontal="center"/>
    </xf>
    <xf numFmtId="0" fontId="0" fillId="0" borderId="4" xfId="0" applyBorder="1"/>
    <xf numFmtId="0" fontId="0" fillId="0" borderId="12" xfId="0" applyBorder="1"/>
    <xf numFmtId="0" fontId="0" fillId="0" borderId="13" xfId="0" applyBorder="1"/>
    <xf numFmtId="1" fontId="1" fillId="2" borderId="0" xfId="3" applyNumberFormat="1" applyFill="1"/>
    <xf numFmtId="166" fontId="0" fillId="0" borderId="7" xfId="0" applyNumberFormat="1" applyBorder="1"/>
    <xf numFmtId="17" fontId="0" fillId="0" borderId="5" xfId="0" applyNumberFormat="1" applyBorder="1"/>
    <xf numFmtId="0" fontId="0" fillId="0" borderId="9" xfId="0" applyBorder="1"/>
    <xf numFmtId="0" fontId="0" fillId="0" borderId="11" xfId="0" applyBorder="1"/>
    <xf numFmtId="17" fontId="0" fillId="0" borderId="6" xfId="0" applyNumberFormat="1" applyBorder="1"/>
    <xf numFmtId="17" fontId="0" fillId="0" borderId="7" xfId="0" applyNumberFormat="1" applyBorder="1"/>
    <xf numFmtId="17" fontId="0" fillId="0" borderId="8" xfId="0" applyNumberFormat="1" applyBorder="1"/>
    <xf numFmtId="0" fontId="8" fillId="4" borderId="13" xfId="9" applyFont="1" applyFill="1" applyBorder="1" applyAlignment="1">
      <alignment horizontal="center" vertical="center"/>
    </xf>
    <xf numFmtId="0" fontId="0" fillId="0" borderId="1" xfId="0" applyBorder="1" applyAlignment="1">
      <alignment horizontal="center"/>
    </xf>
    <xf numFmtId="166" fontId="0" fillId="0" borderId="1" xfId="0" applyNumberFormat="1" applyBorder="1"/>
    <xf numFmtId="0" fontId="8" fillId="4" borderId="1" xfId="15" applyFont="1" applyFill="1" applyBorder="1" applyAlignment="1">
      <alignment horizontal="center" vertical="center"/>
    </xf>
    <xf numFmtId="0" fontId="8" fillId="4" borderId="4" xfId="15" applyFont="1" applyFill="1" applyBorder="1" applyAlignment="1">
      <alignment horizontal="center" vertical="center"/>
    </xf>
    <xf numFmtId="17" fontId="0" fillId="0" borderId="20" xfId="0" applyNumberFormat="1" applyBorder="1"/>
    <xf numFmtId="17" fontId="0" fillId="0" borderId="5" xfId="0" applyNumberFormat="1" applyBorder="1" applyAlignment="1">
      <alignment horizontal="center"/>
    </xf>
    <xf numFmtId="0" fontId="0" fillId="0" borderId="4" xfId="0" applyBorder="1" applyAlignment="1">
      <alignment horizontal="center"/>
    </xf>
    <xf numFmtId="0" fontId="0" fillId="0" borderId="0" xfId="0" applyAlignment="1">
      <alignment horizontal="right"/>
    </xf>
    <xf numFmtId="167" fontId="0" fillId="0" borderId="6" xfId="1" applyNumberFormat="1" applyFont="1" applyBorder="1" applyAlignment="1">
      <alignment horizontal="center"/>
    </xf>
    <xf numFmtId="43" fontId="1" fillId="0" borderId="0" xfId="7" applyNumberFormat="1"/>
    <xf numFmtId="43" fontId="0" fillId="0" borderId="0" xfId="0" applyNumberFormat="1"/>
    <xf numFmtId="1" fontId="0" fillId="0" borderId="0" xfId="0" applyNumberFormat="1"/>
    <xf numFmtId="169" fontId="0" fillId="0" borderId="0" xfId="0" applyNumberFormat="1"/>
    <xf numFmtId="169" fontId="1" fillId="0" borderId="0" xfId="7" applyNumberFormat="1"/>
    <xf numFmtId="167" fontId="0" fillId="0" borderId="0" xfId="0" applyNumberFormat="1"/>
    <xf numFmtId="0" fontId="0" fillId="0" borderId="0" xfId="7" applyFont="1"/>
    <xf numFmtId="167" fontId="15" fillId="0" borderId="1" xfId="1" applyNumberFormat="1" applyFont="1" applyBorder="1" applyAlignment="1"/>
    <xf numFmtId="167" fontId="16" fillId="2" borderId="1" xfId="1" applyNumberFormat="1" applyFont="1" applyFill="1" applyBorder="1" applyAlignment="1">
      <alignment horizontal="center" vertical="center"/>
    </xf>
    <xf numFmtId="164" fontId="0" fillId="0" borderId="6" xfId="1" applyFont="1" applyBorder="1"/>
    <xf numFmtId="164" fontId="0" fillId="0" borderId="9" xfId="1" applyFont="1" applyBorder="1"/>
    <xf numFmtId="167" fontId="15" fillId="3" borderId="11" xfId="1" applyNumberFormat="1" applyFont="1" applyFill="1" applyBorder="1" applyAlignment="1">
      <alignment horizontal="center"/>
    </xf>
    <xf numFmtId="167" fontId="15" fillId="0" borderId="6" xfId="1" applyNumberFormat="1" applyFont="1" applyBorder="1" applyAlignment="1">
      <alignment horizontal="center"/>
    </xf>
    <xf numFmtId="167" fontId="15" fillId="0" borderId="6" xfId="1" applyNumberFormat="1" applyFont="1" applyBorder="1"/>
    <xf numFmtId="167" fontId="15" fillId="0" borderId="7" xfId="1" applyNumberFormat="1" applyFont="1" applyBorder="1"/>
    <xf numFmtId="167" fontId="15" fillId="3" borderId="11" xfId="1" applyNumberFormat="1" applyFont="1" applyFill="1" applyBorder="1"/>
    <xf numFmtId="167" fontId="0" fillId="0" borderId="0" xfId="7" applyNumberFormat="1" applyFont="1"/>
    <xf numFmtId="164" fontId="0" fillId="0" borderId="0" xfId="0" applyNumberFormat="1"/>
    <xf numFmtId="168" fontId="0" fillId="0" borderId="0" xfId="0" applyNumberFormat="1"/>
    <xf numFmtId="166" fontId="0" fillId="0" borderId="0" xfId="0" applyNumberFormat="1" applyAlignment="1">
      <alignment horizontal="right"/>
    </xf>
    <xf numFmtId="0" fontId="1" fillId="0" borderId="2" xfId="7" applyBorder="1"/>
    <xf numFmtId="164" fontId="0" fillId="0" borderId="0" xfId="7" applyNumberFormat="1" applyFont="1"/>
    <xf numFmtId="170" fontId="0" fillId="0" borderId="0" xfId="0" applyNumberFormat="1"/>
    <xf numFmtId="167" fontId="1" fillId="2" borderId="0" xfId="1" applyNumberFormat="1" applyFont="1" applyFill="1"/>
    <xf numFmtId="43" fontId="0" fillId="0" borderId="0" xfId="7" applyNumberFormat="1" applyFont="1"/>
    <xf numFmtId="0" fontId="0" fillId="2" borderId="6" xfId="0" applyFill="1" applyBorder="1"/>
    <xf numFmtId="164" fontId="0" fillId="3" borderId="11" xfId="1" applyFont="1" applyFill="1" applyBorder="1"/>
    <xf numFmtId="167" fontId="0" fillId="3" borderId="11" xfId="1" applyNumberFormat="1" applyFont="1" applyFill="1" applyBorder="1" applyAlignment="1">
      <alignment horizontal="center"/>
    </xf>
    <xf numFmtId="0" fontId="0" fillId="0" borderId="2" xfId="0" applyBorder="1"/>
    <xf numFmtId="164" fontId="15" fillId="0" borderId="6" xfId="1" applyFont="1" applyBorder="1" applyAlignment="1">
      <alignment horizontal="center"/>
    </xf>
    <xf numFmtId="164" fontId="15" fillId="0" borderId="9" xfId="1" applyFont="1" applyBorder="1" applyAlignment="1">
      <alignment horizontal="center"/>
    </xf>
    <xf numFmtId="164" fontId="15" fillId="3" borderId="11" xfId="1" applyFont="1" applyFill="1" applyBorder="1" applyAlignment="1">
      <alignment horizontal="center"/>
    </xf>
    <xf numFmtId="0" fontId="1" fillId="2" borderId="3" xfId="7" applyFill="1" applyBorder="1"/>
    <xf numFmtId="4" fontId="1" fillId="2" borderId="3" xfId="7" applyNumberFormat="1" applyFill="1" applyBorder="1"/>
    <xf numFmtId="164" fontId="0" fillId="2" borderId="0" xfId="8" applyFont="1" applyFill="1" applyBorder="1"/>
    <xf numFmtId="4" fontId="1" fillId="2" borderId="0" xfId="7" applyNumberFormat="1" applyFill="1"/>
    <xf numFmtId="1" fontId="0" fillId="0" borderId="1" xfId="0" applyNumberFormat="1" applyBorder="1"/>
    <xf numFmtId="167" fontId="9" fillId="2" borderId="11" xfId="1" applyNumberFormat="1" applyFont="1" applyFill="1" applyBorder="1" applyAlignment="1">
      <alignment horizontal="center" vertical="center"/>
    </xf>
    <xf numFmtId="167" fontId="1" fillId="2" borderId="0" xfId="1" applyNumberFormat="1" applyFill="1"/>
    <xf numFmtId="167" fontId="3" fillId="0" borderId="0" xfId="1" applyNumberFormat="1" applyFont="1"/>
    <xf numFmtId="167" fontId="4" fillId="2" borderId="0" xfId="1" applyNumberFormat="1" applyFont="1" applyFill="1"/>
    <xf numFmtId="167" fontId="9" fillId="3" borderId="0" xfId="1" applyNumberFormat="1" applyFont="1" applyFill="1" applyBorder="1" applyAlignment="1">
      <alignment horizontal="center" vertical="center"/>
    </xf>
    <xf numFmtId="167" fontId="3" fillId="2" borderId="0" xfId="1" applyNumberFormat="1" applyFont="1" applyFill="1"/>
    <xf numFmtId="167" fontId="3" fillId="0" borderId="0" xfId="1" applyNumberFormat="1" applyFont="1" applyFill="1"/>
    <xf numFmtId="167" fontId="3" fillId="3" borderId="0" xfId="1" applyNumberFormat="1" applyFont="1" applyFill="1"/>
    <xf numFmtId="167" fontId="1" fillId="0" borderId="0" xfId="1" applyNumberFormat="1" applyFont="1" applyFill="1"/>
    <xf numFmtId="167" fontId="0" fillId="2" borderId="0" xfId="1" applyNumberFormat="1" applyFont="1" applyFill="1"/>
    <xf numFmtId="167" fontId="1" fillId="0" borderId="0" xfId="1" applyNumberFormat="1"/>
    <xf numFmtId="167" fontId="9" fillId="2" borderId="9" xfId="1" applyNumberFormat="1" applyFont="1" applyFill="1" applyBorder="1" applyAlignment="1">
      <alignment horizontal="center" vertical="center"/>
    </xf>
    <xf numFmtId="164" fontId="1" fillId="0" borderId="6" xfId="1" applyBorder="1"/>
    <xf numFmtId="164" fontId="3" fillId="2" borderId="9" xfId="1" applyFont="1" applyFill="1" applyBorder="1" applyAlignment="1">
      <alignment horizontal="center"/>
    </xf>
    <xf numFmtId="164" fontId="3" fillId="2" borderId="11" xfId="1" applyFont="1" applyFill="1" applyBorder="1" applyAlignment="1">
      <alignment horizontal="center"/>
    </xf>
    <xf numFmtId="0" fontId="19" fillId="0" borderId="0" xfId="0" applyFont="1" applyAlignment="1">
      <alignment horizontal="center"/>
    </xf>
    <xf numFmtId="0" fontId="20" fillId="0" borderId="0" xfId="0" applyFont="1" applyAlignment="1">
      <alignment horizontal="center"/>
    </xf>
    <xf numFmtId="0" fontId="24" fillId="4" borderId="19" xfId="0" applyFont="1" applyFill="1" applyBorder="1" applyAlignment="1">
      <alignment horizontal="center"/>
    </xf>
    <xf numFmtId="2" fontId="24" fillId="4" borderId="19" xfId="0" applyNumberFormat="1" applyFont="1" applyFill="1" applyBorder="1" applyAlignment="1">
      <alignment horizontal="center"/>
    </xf>
    <xf numFmtId="0" fontId="15" fillId="0" borderId="0" xfId="0" applyFont="1" applyAlignment="1">
      <alignment horizontal="center"/>
    </xf>
    <xf numFmtId="0" fontId="24" fillId="4" borderId="1" xfId="0" applyFont="1" applyFill="1" applyBorder="1" applyAlignment="1">
      <alignment horizontal="center"/>
    </xf>
    <xf numFmtId="0" fontId="24" fillId="0" borderId="1" xfId="0" applyFont="1" applyBorder="1" applyAlignment="1">
      <alignment horizontal="center"/>
    </xf>
    <xf numFmtId="0" fontId="26" fillId="0" borderId="0" xfId="0" applyFont="1" applyAlignment="1">
      <alignment horizontal="center"/>
    </xf>
    <xf numFmtId="0" fontId="27" fillId="0" borderId="0" xfId="0" applyFont="1" applyAlignment="1">
      <alignment horizontal="center"/>
    </xf>
    <xf numFmtId="2" fontId="30" fillId="4" borderId="19" xfId="0" applyNumberFormat="1" applyFont="1" applyFill="1" applyBorder="1" applyAlignment="1">
      <alignment horizontal="center"/>
    </xf>
    <xf numFmtId="0" fontId="30" fillId="4" borderId="19" xfId="0" applyFont="1" applyFill="1" applyBorder="1" applyAlignment="1">
      <alignment horizontal="center"/>
    </xf>
    <xf numFmtId="0" fontId="17" fillId="0" borderId="0" xfId="0" applyFont="1" applyAlignment="1">
      <alignment horizontal="center"/>
    </xf>
    <xf numFmtId="0" fontId="30" fillId="4" borderId="1" xfId="0" applyFont="1" applyFill="1" applyBorder="1" applyAlignment="1">
      <alignment horizontal="center"/>
    </xf>
    <xf numFmtId="2" fontId="30" fillId="4" borderId="1" xfId="0" applyNumberFormat="1" applyFont="1" applyFill="1" applyBorder="1" applyAlignment="1">
      <alignment horizontal="center"/>
    </xf>
    <xf numFmtId="0" fontId="34" fillId="0" borderId="0" xfId="0" applyFont="1" applyAlignment="1">
      <alignment horizontal="center"/>
    </xf>
    <xf numFmtId="0" fontId="35" fillId="0" borderId="0" xfId="0" applyFont="1" applyAlignment="1">
      <alignment horizontal="center"/>
    </xf>
    <xf numFmtId="2" fontId="38" fillId="4" borderId="19" xfId="0" applyNumberFormat="1" applyFont="1" applyFill="1" applyBorder="1" applyAlignment="1">
      <alignment horizontal="center"/>
    </xf>
    <xf numFmtId="0" fontId="38" fillId="4" borderId="19" xfId="0" applyFont="1" applyFill="1" applyBorder="1" applyAlignment="1">
      <alignment horizontal="center"/>
    </xf>
    <xf numFmtId="0" fontId="10" fillId="0" borderId="0" xfId="0" applyFont="1" applyAlignment="1">
      <alignment horizontal="center"/>
    </xf>
    <xf numFmtId="0" fontId="0" fillId="0" borderId="0" xfId="0" applyAlignment="1">
      <alignment vertical="center"/>
    </xf>
    <xf numFmtId="0" fontId="4" fillId="3" borderId="4" xfId="7" applyFont="1" applyFill="1" applyBorder="1"/>
    <xf numFmtId="167" fontId="18" fillId="2" borderId="1" xfId="1" applyNumberFormat="1" applyFont="1" applyFill="1" applyBorder="1" applyAlignment="1">
      <alignment horizontal="center" vertical="center"/>
    </xf>
    <xf numFmtId="167" fontId="17" fillId="2" borderId="1" xfId="1" applyNumberFormat="1" applyFont="1" applyFill="1" applyBorder="1" applyAlignment="1">
      <alignment horizontal="center"/>
    </xf>
    <xf numFmtId="167" fontId="0" fillId="0" borderId="0" xfId="1" applyNumberFormat="1" applyFont="1"/>
    <xf numFmtId="164" fontId="0" fillId="0" borderId="0" xfId="1" applyFont="1"/>
    <xf numFmtId="164" fontId="15" fillId="0" borderId="11" xfId="1" applyFont="1" applyBorder="1" applyAlignment="1">
      <alignment horizontal="center"/>
    </xf>
    <xf numFmtId="0" fontId="12" fillId="2" borderId="0" xfId="0" applyFont="1" applyFill="1" applyAlignment="1">
      <alignment horizontal="center"/>
    </xf>
    <xf numFmtId="167" fontId="1" fillId="0" borderId="0" xfId="12" applyNumberFormat="1"/>
    <xf numFmtId="0" fontId="38" fillId="0" borderId="0" xfId="0" applyFont="1" applyAlignment="1">
      <alignment horizontal="center"/>
    </xf>
    <xf numFmtId="0" fontId="42" fillId="0" borderId="0" xfId="0" applyFont="1" applyAlignment="1">
      <alignment horizontal="center"/>
    </xf>
    <xf numFmtId="4" fontId="0" fillId="2" borderId="3" xfId="7" applyNumberFormat="1" applyFont="1" applyFill="1" applyBorder="1"/>
    <xf numFmtId="0" fontId="0" fillId="0" borderId="0" xfId="3" applyFont="1"/>
    <xf numFmtId="167" fontId="1" fillId="0" borderId="0" xfId="8" applyNumberFormat="1" applyFont="1" applyBorder="1"/>
    <xf numFmtId="43" fontId="0" fillId="0" borderId="0" xfId="12" applyNumberFormat="1" applyFont="1"/>
    <xf numFmtId="0" fontId="0" fillId="0" borderId="0" xfId="12" applyFont="1"/>
    <xf numFmtId="166" fontId="2" fillId="0" borderId="0" xfId="3" applyNumberFormat="1" applyFont="1"/>
    <xf numFmtId="166" fontId="4" fillId="0" borderId="0" xfId="7" applyNumberFormat="1" applyFont="1"/>
    <xf numFmtId="0" fontId="2" fillId="0" borderId="25" xfId="0" applyFont="1" applyBorder="1"/>
    <xf numFmtId="0" fontId="0" fillId="0" borderId="25" xfId="0" applyBorder="1"/>
    <xf numFmtId="16" fontId="0" fillId="0" borderId="0" xfId="0" applyNumberFormat="1"/>
    <xf numFmtId="164" fontId="3" fillId="2" borderId="1" xfId="1" applyFont="1" applyFill="1" applyBorder="1" applyAlignment="1">
      <alignment horizontal="center"/>
    </xf>
    <xf numFmtId="0" fontId="46" fillId="0" borderId="0" xfId="0" applyFont="1"/>
    <xf numFmtId="17" fontId="47" fillId="0" borderId="0" xfId="0" applyNumberFormat="1" applyFont="1"/>
    <xf numFmtId="0" fontId="47" fillId="0" borderId="0" xfId="0" applyFont="1"/>
    <xf numFmtId="17" fontId="46" fillId="0" borderId="0" xfId="0" applyNumberFormat="1" applyFont="1"/>
    <xf numFmtId="0" fontId="0" fillId="2" borderId="2" xfId="0" applyFill="1" applyBorder="1"/>
    <xf numFmtId="17" fontId="47" fillId="0" borderId="2" xfId="0" applyNumberFormat="1" applyFont="1" applyBorder="1"/>
    <xf numFmtId="0" fontId="0" fillId="2" borderId="27" xfId="0" applyFill="1" applyBorder="1"/>
    <xf numFmtId="164" fontId="15" fillId="3" borderId="11" xfId="1" applyFont="1" applyFill="1" applyBorder="1"/>
    <xf numFmtId="164" fontId="15" fillId="0" borderId="9" xfId="1" applyFont="1" applyBorder="1"/>
    <xf numFmtId="164" fontId="15" fillId="0" borderId="6" xfId="1" applyFont="1" applyBorder="1"/>
    <xf numFmtId="167" fontId="0" fillId="3" borderId="11" xfId="1" applyNumberFormat="1" applyFont="1" applyFill="1" applyBorder="1"/>
    <xf numFmtId="167" fontId="0" fillId="0" borderId="6" xfId="1" applyNumberFormat="1" applyFont="1" applyBorder="1"/>
    <xf numFmtId="17" fontId="2" fillId="0" borderId="0" xfId="0" applyNumberFormat="1" applyFont="1" applyAlignment="1">
      <alignment horizontal="center"/>
    </xf>
    <xf numFmtId="2" fontId="0" fillId="0" borderId="2" xfId="0" applyNumberFormat="1" applyBorder="1"/>
    <xf numFmtId="166" fontId="0" fillId="0" borderId="2" xfId="0" applyNumberFormat="1" applyBorder="1"/>
    <xf numFmtId="17" fontId="48" fillId="0" borderId="2" xfId="0" applyNumberFormat="1" applyFont="1" applyBorder="1"/>
    <xf numFmtId="0" fontId="46" fillId="0" borderId="2" xfId="0" applyFont="1" applyBorder="1"/>
    <xf numFmtId="166" fontId="1" fillId="0" borderId="0" xfId="3" applyNumberFormat="1" applyAlignment="1">
      <alignment horizontal="center"/>
    </xf>
    <xf numFmtId="166" fontId="0" fillId="0" borderId="15" xfId="0" applyNumberFormat="1" applyBorder="1"/>
    <xf numFmtId="166" fontId="0" fillId="0" borderId="5" xfId="0" applyNumberFormat="1" applyBorder="1"/>
    <xf numFmtId="0" fontId="47" fillId="0" borderId="2" xfId="0" applyFont="1" applyBorder="1"/>
    <xf numFmtId="0" fontId="2" fillId="0" borderId="2" xfId="0" applyFont="1" applyBorder="1"/>
    <xf numFmtId="17" fontId="46" fillId="0" borderId="2" xfId="0" applyNumberFormat="1" applyFont="1" applyBorder="1"/>
    <xf numFmtId="166" fontId="46" fillId="0" borderId="2" xfId="0" applyNumberFormat="1" applyFont="1" applyBorder="1"/>
    <xf numFmtId="0" fontId="47" fillId="0" borderId="29" xfId="0" applyFont="1" applyBorder="1"/>
    <xf numFmtId="2" fontId="47" fillId="0" borderId="2" xfId="0" applyNumberFormat="1" applyFont="1" applyBorder="1"/>
    <xf numFmtId="0" fontId="47" fillId="2" borderId="6" xfId="0" applyFont="1" applyFill="1" applyBorder="1"/>
    <xf numFmtId="0" fontId="47" fillId="2" borderId="23" xfId="0" applyFont="1" applyFill="1" applyBorder="1"/>
    <xf numFmtId="0" fontId="47" fillId="2" borderId="27" xfId="0" applyFont="1" applyFill="1" applyBorder="1"/>
    <xf numFmtId="0" fontId="47" fillId="2" borderId="2" xfId="0" applyFont="1" applyFill="1" applyBorder="1"/>
    <xf numFmtId="166" fontId="47" fillId="0" borderId="2" xfId="0" applyNumberFormat="1" applyFont="1" applyBorder="1"/>
    <xf numFmtId="0" fontId="38" fillId="4" borderId="22" xfId="0" applyFont="1" applyFill="1" applyBorder="1" applyAlignment="1">
      <alignment horizontal="center"/>
    </xf>
    <xf numFmtId="2" fontId="38" fillId="4" borderId="22" xfId="0" applyNumberFormat="1" applyFont="1" applyFill="1" applyBorder="1" applyAlignment="1">
      <alignment horizontal="center"/>
    </xf>
    <xf numFmtId="0" fontId="24" fillId="4" borderId="22" xfId="0" applyFont="1" applyFill="1" applyBorder="1" applyAlignment="1">
      <alignment horizontal="center"/>
    </xf>
    <xf numFmtId="2" fontId="24" fillId="4" borderId="22" xfId="0" applyNumberFormat="1" applyFont="1" applyFill="1" applyBorder="1" applyAlignment="1">
      <alignment horizontal="center"/>
    </xf>
    <xf numFmtId="0" fontId="20" fillId="0" borderId="0" xfId="0" applyFont="1"/>
    <xf numFmtId="0" fontId="19" fillId="0" borderId="0" xfId="0" applyFont="1"/>
    <xf numFmtId="2" fontId="30" fillId="4" borderId="4" xfId="0" applyNumberFormat="1" applyFont="1" applyFill="1" applyBorder="1" applyAlignment="1">
      <alignment horizontal="center"/>
    </xf>
    <xf numFmtId="2" fontId="30" fillId="4" borderId="22" xfId="0" applyNumberFormat="1" applyFont="1" applyFill="1" applyBorder="1" applyAlignment="1">
      <alignment horizontal="center"/>
    </xf>
    <xf numFmtId="0" fontId="30" fillId="4" borderId="22" xfId="0" applyFont="1" applyFill="1" applyBorder="1" applyAlignment="1">
      <alignment horizontal="center"/>
    </xf>
    <xf numFmtId="166" fontId="0" fillId="0" borderId="0" xfId="0" applyNumberFormat="1" applyAlignment="1">
      <alignment horizontal="center"/>
    </xf>
    <xf numFmtId="0" fontId="24" fillId="2" borderId="19" xfId="0" applyFont="1" applyFill="1" applyBorder="1" applyAlignment="1">
      <alignment horizontal="center"/>
    </xf>
    <xf numFmtId="167" fontId="0" fillId="3" borderId="0" xfId="1" applyNumberFormat="1" applyFont="1" applyFill="1"/>
    <xf numFmtId="166" fontId="0" fillId="2" borderId="2" xfId="0" applyNumberFormat="1" applyFill="1" applyBorder="1"/>
    <xf numFmtId="0" fontId="0" fillId="0" borderId="27" xfId="0" applyBorder="1"/>
    <xf numFmtId="166" fontId="17" fillId="0" borderId="0" xfId="0" applyNumberFormat="1" applyFont="1" applyAlignment="1">
      <alignment horizontal="center"/>
    </xf>
    <xf numFmtId="164" fontId="3" fillId="3" borderId="11" xfId="1" applyFont="1" applyFill="1" applyBorder="1" applyAlignment="1">
      <alignment horizontal="center"/>
    </xf>
    <xf numFmtId="164" fontId="3" fillId="2" borderId="10" xfId="1" applyFont="1" applyFill="1" applyBorder="1" applyAlignment="1">
      <alignment horizontal="center"/>
    </xf>
    <xf numFmtId="164" fontId="3" fillId="3" borderId="12" xfId="1" applyFont="1" applyFill="1" applyBorder="1" applyAlignment="1">
      <alignment horizontal="center"/>
    </xf>
    <xf numFmtId="164" fontId="3" fillId="3" borderId="13" xfId="1" applyFont="1" applyFill="1" applyBorder="1" applyAlignment="1">
      <alignment horizontal="center"/>
    </xf>
    <xf numFmtId="167" fontId="15" fillId="2" borderId="11" xfId="1" applyNumberFormat="1" applyFont="1" applyFill="1" applyBorder="1" applyAlignment="1">
      <alignment horizontal="center"/>
    </xf>
    <xf numFmtId="0" fontId="0" fillId="2" borderId="4" xfId="0" applyFill="1" applyBorder="1"/>
    <xf numFmtId="167" fontId="15" fillId="2" borderId="6" xfId="1" applyNumberFormat="1" applyFont="1" applyFill="1" applyBorder="1"/>
    <xf numFmtId="167" fontId="15" fillId="2" borderId="11" xfId="1" applyNumberFormat="1" applyFont="1" applyFill="1" applyBorder="1"/>
    <xf numFmtId="164" fontId="0" fillId="0" borderId="1" xfId="1" applyFont="1" applyBorder="1"/>
    <xf numFmtId="164" fontId="0" fillId="0" borderId="10" xfId="1" applyFont="1" applyBorder="1"/>
    <xf numFmtId="164" fontId="0" fillId="3" borderId="12" xfId="1" applyFont="1" applyFill="1" applyBorder="1"/>
    <xf numFmtId="17" fontId="0" fillId="0" borderId="35" xfId="0" applyNumberFormat="1" applyBorder="1"/>
    <xf numFmtId="0" fontId="0" fillId="0" borderId="39" xfId="0" applyBorder="1"/>
    <xf numFmtId="0" fontId="44" fillId="0" borderId="0" xfId="0" applyFont="1" applyAlignment="1">
      <alignment horizontal="left"/>
    </xf>
    <xf numFmtId="17" fontId="50" fillId="0" borderId="2" xfId="0" applyNumberFormat="1" applyFont="1" applyBorder="1"/>
    <xf numFmtId="0" fontId="47" fillId="2" borderId="33" xfId="0" applyFont="1" applyFill="1" applyBorder="1"/>
    <xf numFmtId="0" fontId="47" fillId="2" borderId="32" xfId="0" applyFont="1" applyFill="1" applyBorder="1"/>
    <xf numFmtId="166" fontId="0" fillId="2" borderId="27" xfId="0" applyNumberFormat="1" applyFill="1" applyBorder="1"/>
    <xf numFmtId="0" fontId="0" fillId="2" borderId="40" xfId="0" applyFill="1" applyBorder="1"/>
    <xf numFmtId="0" fontId="0" fillId="2" borderId="21" xfId="0" applyFill="1" applyBorder="1"/>
    <xf numFmtId="0" fontId="0" fillId="0" borderId="41" xfId="0" applyBorder="1"/>
    <xf numFmtId="0" fontId="46" fillId="0" borderId="29" xfId="0" applyFont="1" applyBorder="1"/>
    <xf numFmtId="17" fontId="50" fillId="0" borderId="2" xfId="0" applyNumberFormat="1" applyFont="1" applyBorder="1" applyAlignment="1">
      <alignment horizontal="center"/>
    </xf>
    <xf numFmtId="17" fontId="48" fillId="0" borderId="2" xfId="0" applyNumberFormat="1" applyFont="1" applyBorder="1" applyAlignment="1">
      <alignment horizontal="center"/>
    </xf>
    <xf numFmtId="166" fontId="47" fillId="2" borderId="2" xfId="0" applyNumberFormat="1" applyFont="1" applyFill="1" applyBorder="1"/>
    <xf numFmtId="2" fontId="24" fillId="4" borderId="1" xfId="0" applyNumberFormat="1" applyFont="1" applyFill="1" applyBorder="1" applyAlignment="1">
      <alignment horizontal="center"/>
    </xf>
    <xf numFmtId="0" fontId="38" fillId="4" borderId="1" xfId="0" applyFont="1" applyFill="1" applyBorder="1" applyAlignment="1">
      <alignment horizontal="center"/>
    </xf>
    <xf numFmtId="2" fontId="38" fillId="4" borderId="1" xfId="0" applyNumberFormat="1" applyFont="1" applyFill="1" applyBorder="1" applyAlignment="1">
      <alignment horizontal="center"/>
    </xf>
    <xf numFmtId="0" fontId="51" fillId="0" borderId="0" xfId="0" applyFont="1"/>
    <xf numFmtId="2" fontId="51" fillId="0" borderId="0" xfId="0" applyNumberFormat="1" applyFont="1"/>
    <xf numFmtId="166" fontId="51" fillId="0" borderId="0" xfId="0" applyNumberFormat="1" applyFont="1"/>
    <xf numFmtId="2" fontId="46" fillId="0" borderId="2" xfId="0" applyNumberFormat="1" applyFont="1" applyBorder="1"/>
    <xf numFmtId="17" fontId="0" fillId="0" borderId="42" xfId="0" applyNumberFormat="1" applyBorder="1"/>
    <xf numFmtId="2" fontId="52" fillId="0" borderId="0" xfId="7" applyNumberFormat="1" applyFont="1"/>
    <xf numFmtId="0" fontId="53" fillId="0" borderId="0" xfId="0" applyFont="1" applyAlignment="1">
      <alignment horizontal="center"/>
    </xf>
    <xf numFmtId="2" fontId="30" fillId="4" borderId="15" xfId="0" applyNumberFormat="1" applyFont="1" applyFill="1" applyBorder="1" applyAlignment="1">
      <alignment horizontal="center"/>
    </xf>
    <xf numFmtId="0" fontId="30" fillId="4" borderId="15" xfId="0" applyFont="1" applyFill="1" applyBorder="1" applyAlignment="1">
      <alignment horizontal="center"/>
    </xf>
    <xf numFmtId="0" fontId="2" fillId="0" borderId="43" xfId="0" applyFont="1" applyBorder="1"/>
    <xf numFmtId="0" fontId="0" fillId="0" borderId="43" xfId="0" applyBorder="1"/>
    <xf numFmtId="17" fontId="2" fillId="0" borderId="2" xfId="0" applyNumberFormat="1" applyFont="1" applyBorder="1" applyAlignment="1">
      <alignment horizontal="center"/>
    </xf>
    <xf numFmtId="0" fontId="8" fillId="4" borderId="2" xfId="0" applyFont="1" applyFill="1" applyBorder="1" applyAlignment="1">
      <alignment horizontal="left" vertical="center"/>
    </xf>
    <xf numFmtId="166" fontId="9" fillId="2" borderId="2" xfId="0" applyNumberFormat="1" applyFont="1" applyFill="1" applyBorder="1" applyAlignment="1">
      <alignment horizontal="center" vertical="center"/>
    </xf>
    <xf numFmtId="166" fontId="9" fillId="4" borderId="2" xfId="0" applyNumberFormat="1" applyFont="1" applyFill="1" applyBorder="1" applyAlignment="1">
      <alignment horizontal="center" vertical="center"/>
    </xf>
    <xf numFmtId="0" fontId="9" fillId="4" borderId="2" xfId="0" applyFont="1" applyFill="1" applyBorder="1" applyAlignment="1">
      <alignment horizontal="center" vertical="center"/>
    </xf>
    <xf numFmtId="0" fontId="8" fillId="4" borderId="2" xfId="0" applyFont="1" applyFill="1" applyBorder="1" applyAlignment="1">
      <alignment horizontal="center" vertical="center"/>
    </xf>
    <xf numFmtId="166" fontId="0" fillId="2" borderId="2" xfId="0" applyNumberFormat="1" applyFill="1" applyBorder="1" applyAlignment="1">
      <alignment horizontal="center"/>
    </xf>
    <xf numFmtId="166" fontId="0" fillId="0" borderId="2" xfId="0" applyNumberFormat="1" applyBorder="1" applyAlignment="1">
      <alignment horizontal="center"/>
    </xf>
    <xf numFmtId="0" fontId="2" fillId="0" borderId="2" xfId="0" applyFont="1" applyBorder="1" applyAlignment="1">
      <alignment horizontal="center"/>
    </xf>
    <xf numFmtId="168" fontId="8" fillId="4" borderId="2" xfId="1" applyNumberFormat="1" applyFont="1" applyFill="1" applyBorder="1" applyAlignment="1">
      <alignment horizontal="center" vertical="center"/>
    </xf>
    <xf numFmtId="166" fontId="9" fillId="0" borderId="2" xfId="0" applyNumberFormat="1" applyFont="1" applyBorder="1" applyAlignment="1">
      <alignment horizontal="center" vertical="center"/>
    </xf>
    <xf numFmtId="0" fontId="0" fillId="0" borderId="2" xfId="0" applyBorder="1" applyAlignment="1">
      <alignment horizontal="center"/>
    </xf>
    <xf numFmtId="166" fontId="8" fillId="4" borderId="2" xfId="0" applyNumberFormat="1" applyFont="1" applyFill="1" applyBorder="1" applyAlignment="1">
      <alignment horizontal="center" vertical="center"/>
    </xf>
    <xf numFmtId="166" fontId="17" fillId="0" borderId="2" xfId="0" applyNumberFormat="1" applyFont="1" applyBorder="1" applyAlignment="1">
      <alignment horizontal="center"/>
    </xf>
    <xf numFmtId="17" fontId="0" fillId="0" borderId="2" xfId="0" applyNumberFormat="1" applyBorder="1"/>
    <xf numFmtId="17" fontId="0" fillId="0" borderId="2" xfId="0" applyNumberFormat="1" applyBorder="1" applyAlignment="1">
      <alignment horizontal="center"/>
    </xf>
    <xf numFmtId="1" fontId="0" fillId="0" borderId="2" xfId="0" applyNumberFormat="1" applyBorder="1"/>
    <xf numFmtId="0" fontId="0" fillId="0" borderId="44" xfId="0" applyBorder="1"/>
    <xf numFmtId="0" fontId="0" fillId="0" borderId="32" xfId="0" applyBorder="1"/>
    <xf numFmtId="1" fontId="0" fillId="0" borderId="2" xfId="0" applyNumberFormat="1" applyBorder="1" applyAlignment="1">
      <alignment horizontal="center"/>
    </xf>
    <xf numFmtId="0" fontId="38" fillId="7" borderId="2" xfId="0" applyFont="1" applyFill="1" applyBorder="1" applyAlignment="1">
      <alignment horizontal="center"/>
    </xf>
    <xf numFmtId="0" fontId="38" fillId="0" borderId="2" xfId="0" applyFont="1" applyBorder="1" applyAlignment="1">
      <alignment horizontal="center"/>
    </xf>
    <xf numFmtId="0" fontId="9" fillId="4" borderId="2" xfId="0" applyFont="1" applyFill="1" applyBorder="1" applyAlignment="1">
      <alignment horizontal="right" vertical="center"/>
    </xf>
    <xf numFmtId="166" fontId="18" fillId="4" borderId="2" xfId="0" applyNumberFormat="1" applyFont="1" applyFill="1" applyBorder="1" applyAlignment="1">
      <alignment horizontal="center" vertical="center"/>
    </xf>
    <xf numFmtId="0" fontId="8" fillId="0" borderId="2" xfId="0" applyFont="1" applyBorder="1" applyAlignment="1">
      <alignment horizontal="center" vertical="center"/>
    </xf>
    <xf numFmtId="2" fontId="8" fillId="0" borderId="2" xfId="0" applyNumberFormat="1" applyFont="1" applyBorder="1" applyAlignment="1">
      <alignment horizontal="center" vertical="center"/>
    </xf>
    <xf numFmtId="0" fontId="29" fillId="6" borderId="47" xfId="0" applyFont="1" applyFill="1" applyBorder="1" applyAlignment="1">
      <alignment horizontal="center"/>
    </xf>
    <xf numFmtId="0" fontId="30" fillId="4" borderId="12" xfId="0" applyFont="1" applyFill="1" applyBorder="1" applyAlignment="1">
      <alignment horizontal="center"/>
    </xf>
    <xf numFmtId="2" fontId="30" fillId="4" borderId="12" xfId="0" applyNumberFormat="1" applyFont="1" applyFill="1" applyBorder="1" applyAlignment="1">
      <alignment horizontal="center"/>
    </xf>
    <xf numFmtId="0" fontId="29" fillId="6" borderId="9" xfId="0" applyFont="1" applyFill="1" applyBorder="1" applyAlignment="1">
      <alignment horizontal="center"/>
    </xf>
    <xf numFmtId="0" fontId="29" fillId="6" borderId="48" xfId="0" applyFont="1" applyFill="1" applyBorder="1" applyAlignment="1">
      <alignment horizontal="center"/>
    </xf>
    <xf numFmtId="0" fontId="29" fillId="6" borderId="49" xfId="0" applyFont="1" applyFill="1" applyBorder="1" applyAlignment="1">
      <alignment horizontal="center"/>
    </xf>
    <xf numFmtId="2" fontId="30" fillId="4" borderId="50" xfId="0" applyNumberFormat="1" applyFont="1" applyFill="1" applyBorder="1" applyAlignment="1">
      <alignment horizontal="center"/>
    </xf>
    <xf numFmtId="2" fontId="30" fillId="4" borderId="51" xfId="0" applyNumberFormat="1" applyFont="1" applyFill="1" applyBorder="1" applyAlignment="1">
      <alignment horizontal="center"/>
    </xf>
    <xf numFmtId="0" fontId="0" fillId="0" borderId="52" xfId="0" applyBorder="1"/>
    <xf numFmtId="0" fontId="8" fillId="4" borderId="43" xfId="0" applyFont="1" applyFill="1" applyBorder="1" applyAlignment="1">
      <alignment horizontal="center" vertical="center"/>
    </xf>
    <xf numFmtId="0" fontId="9" fillId="4" borderId="43" xfId="0" applyFont="1" applyFill="1" applyBorder="1" applyAlignment="1">
      <alignment horizontal="left" vertical="center"/>
    </xf>
    <xf numFmtId="0" fontId="2" fillId="0" borderId="43" xfId="0" applyFont="1" applyBorder="1" applyAlignment="1">
      <alignment horizontal="center"/>
    </xf>
    <xf numFmtId="0" fontId="0" fillId="0" borderId="43" xfId="0" applyBorder="1" applyAlignment="1">
      <alignment horizontal="center"/>
    </xf>
    <xf numFmtId="0" fontId="21" fillId="5" borderId="6" xfId="0" applyFont="1" applyFill="1" applyBorder="1" applyAlignment="1">
      <alignment horizontal="center"/>
    </xf>
    <xf numFmtId="17" fontId="22" fillId="5" borderId="7" xfId="0" applyNumberFormat="1" applyFont="1" applyFill="1" applyBorder="1" applyAlignment="1">
      <alignment horizontal="center"/>
    </xf>
    <xf numFmtId="17" fontId="22" fillId="5" borderId="36" xfId="0" applyNumberFormat="1" applyFont="1" applyFill="1" applyBorder="1" applyAlignment="1">
      <alignment horizontal="center"/>
    </xf>
    <xf numFmtId="0" fontId="23" fillId="6" borderId="48" xfId="0" applyFont="1" applyFill="1" applyBorder="1" applyAlignment="1">
      <alignment horizontal="center"/>
    </xf>
    <xf numFmtId="0" fontId="23" fillId="6" borderId="49" xfId="0" applyFont="1" applyFill="1" applyBorder="1" applyAlignment="1">
      <alignment horizontal="center"/>
    </xf>
    <xf numFmtId="2" fontId="24" fillId="4" borderId="50" xfId="0" applyNumberFormat="1" applyFont="1" applyFill="1" applyBorder="1" applyAlignment="1">
      <alignment horizontal="center"/>
    </xf>
    <xf numFmtId="2" fontId="24" fillId="4" borderId="51" xfId="0" applyNumberFormat="1" applyFont="1" applyFill="1" applyBorder="1" applyAlignment="1">
      <alignment horizontal="center"/>
    </xf>
    <xf numFmtId="2" fontId="24" fillId="4" borderId="12" xfId="0" applyNumberFormat="1" applyFont="1" applyFill="1" applyBorder="1" applyAlignment="1">
      <alignment horizontal="center"/>
    </xf>
    <xf numFmtId="0" fontId="23" fillId="6" borderId="46" xfId="0" applyFont="1" applyFill="1" applyBorder="1" applyAlignment="1">
      <alignment horizontal="center"/>
    </xf>
    <xf numFmtId="0" fontId="23" fillId="6" borderId="47" xfId="0" applyFont="1" applyFill="1" applyBorder="1" applyAlignment="1">
      <alignment horizontal="center"/>
    </xf>
    <xf numFmtId="0" fontId="37" fillId="6" borderId="46" xfId="0" applyFont="1" applyFill="1" applyBorder="1" applyAlignment="1">
      <alignment horizontal="center"/>
    </xf>
    <xf numFmtId="0" fontId="37" fillId="6" borderId="47" xfId="0" applyFont="1" applyFill="1" applyBorder="1" applyAlignment="1">
      <alignment horizontal="center"/>
    </xf>
    <xf numFmtId="2" fontId="38" fillId="4" borderId="50" xfId="0" applyNumberFormat="1" applyFont="1" applyFill="1" applyBorder="1" applyAlignment="1">
      <alignment horizontal="center"/>
    </xf>
    <xf numFmtId="2" fontId="38" fillId="4" borderId="51" xfId="0" applyNumberFormat="1" applyFont="1" applyFill="1" applyBorder="1" applyAlignment="1">
      <alignment horizontal="center"/>
    </xf>
    <xf numFmtId="2" fontId="38" fillId="4" borderId="12" xfId="0" applyNumberFormat="1" applyFont="1" applyFill="1" applyBorder="1" applyAlignment="1">
      <alignment horizontal="center"/>
    </xf>
    <xf numFmtId="0" fontId="49" fillId="5" borderId="6" xfId="0" applyFont="1" applyFill="1" applyBorder="1" applyAlignment="1">
      <alignment horizontal="center"/>
    </xf>
    <xf numFmtId="17" fontId="36" fillId="5" borderId="7" xfId="0" applyNumberFormat="1" applyFont="1" applyFill="1" applyBorder="1" applyAlignment="1">
      <alignment horizontal="center"/>
    </xf>
    <xf numFmtId="17" fontId="36" fillId="5" borderId="36" xfId="0" applyNumberFormat="1" applyFont="1" applyFill="1" applyBorder="1" applyAlignment="1">
      <alignment horizontal="center"/>
    </xf>
    <xf numFmtId="0" fontId="37" fillId="6" borderId="48" xfId="0" applyFont="1" applyFill="1" applyBorder="1" applyAlignment="1">
      <alignment horizontal="center"/>
    </xf>
    <xf numFmtId="0" fontId="37" fillId="6" borderId="49" xfId="0" applyFont="1" applyFill="1" applyBorder="1" applyAlignment="1">
      <alignment horizontal="center"/>
    </xf>
    <xf numFmtId="0" fontId="38" fillId="4" borderId="50" xfId="0" applyFont="1" applyFill="1" applyBorder="1" applyAlignment="1">
      <alignment horizontal="center"/>
    </xf>
    <xf numFmtId="0" fontId="38" fillId="4" borderId="51" xfId="0" applyFont="1" applyFill="1" applyBorder="1" applyAlignment="1">
      <alignment horizontal="center"/>
    </xf>
    <xf numFmtId="0" fontId="38" fillId="4" borderId="12" xfId="0" applyFont="1" applyFill="1" applyBorder="1" applyAlignment="1">
      <alignment horizontal="center"/>
    </xf>
    <xf numFmtId="0" fontId="24" fillId="4" borderId="50" xfId="0" applyFont="1" applyFill="1" applyBorder="1" applyAlignment="1">
      <alignment horizontal="center"/>
    </xf>
    <xf numFmtId="0" fontId="24" fillId="4" borderId="12" xfId="0" applyFont="1" applyFill="1" applyBorder="1" applyAlignment="1">
      <alignment horizontal="center"/>
    </xf>
    <xf numFmtId="0" fontId="24" fillId="0" borderId="12" xfId="0" applyFont="1" applyBorder="1" applyAlignment="1">
      <alignment horizontal="center"/>
    </xf>
    <xf numFmtId="0" fontId="0" fillId="0" borderId="42" xfId="0" applyBorder="1"/>
    <xf numFmtId="0" fontId="30" fillId="0" borderId="12" xfId="0" applyFont="1" applyBorder="1" applyAlignment="1">
      <alignment horizontal="center"/>
    </xf>
    <xf numFmtId="164" fontId="30" fillId="0" borderId="12" xfId="1" applyFont="1" applyBorder="1" applyAlignment="1">
      <alignment horizontal="center"/>
    </xf>
    <xf numFmtId="2" fontId="24" fillId="0" borderId="4" xfId="0" applyNumberFormat="1" applyFont="1" applyBorder="1" applyAlignment="1">
      <alignment horizontal="center"/>
    </xf>
    <xf numFmtId="2" fontId="24" fillId="0" borderId="1" xfId="0" applyNumberFormat="1" applyFont="1" applyBorder="1" applyAlignment="1">
      <alignment horizontal="center"/>
    </xf>
    <xf numFmtId="2" fontId="24" fillId="0" borderId="53" xfId="0" applyNumberFormat="1" applyFont="1" applyBorder="1" applyAlignment="1">
      <alignment horizontal="center"/>
    </xf>
    <xf numFmtId="2" fontId="24" fillId="0" borderId="12" xfId="0" applyNumberFormat="1" applyFont="1" applyBorder="1" applyAlignment="1">
      <alignment horizontal="center"/>
    </xf>
    <xf numFmtId="43" fontId="2" fillId="0" borderId="27" xfId="8" applyNumberFormat="1" applyFont="1" applyBorder="1"/>
    <xf numFmtId="0" fontId="1" fillId="0" borderId="0" xfId="7" applyAlignment="1">
      <alignment horizontal="center"/>
    </xf>
    <xf numFmtId="17" fontId="2" fillId="2" borderId="5" xfId="7" applyNumberFormat="1" applyFont="1" applyFill="1" applyBorder="1" applyAlignment="1">
      <alignment horizontal="center"/>
    </xf>
    <xf numFmtId="0" fontId="54" fillId="0" borderId="6" xfId="7" applyFont="1" applyBorder="1" applyAlignment="1">
      <alignment horizontal="center" vertical="center"/>
    </xf>
    <xf numFmtId="167" fontId="55" fillId="2" borderId="7" xfId="1" applyNumberFormat="1" applyFont="1" applyFill="1" applyBorder="1" applyAlignment="1">
      <alignment horizontal="center" vertical="center"/>
    </xf>
    <xf numFmtId="0" fontId="54" fillId="2" borderId="9" xfId="7" applyFont="1" applyFill="1" applyBorder="1" applyAlignment="1">
      <alignment horizontal="center" vertical="center"/>
    </xf>
    <xf numFmtId="167" fontId="55" fillId="2" borderId="1" xfId="1" applyNumberFormat="1" applyFont="1" applyFill="1" applyBorder="1" applyAlignment="1">
      <alignment horizontal="center" vertical="center"/>
    </xf>
    <xf numFmtId="167" fontId="55" fillId="2" borderId="10" xfId="1" applyNumberFormat="1" applyFont="1" applyFill="1" applyBorder="1" applyAlignment="1">
      <alignment horizontal="center" vertical="center"/>
    </xf>
    <xf numFmtId="0" fontId="1" fillId="2" borderId="11" xfId="7" applyFill="1" applyBorder="1"/>
    <xf numFmtId="167" fontId="1" fillId="2" borderId="12" xfId="1" applyNumberFormat="1" applyFont="1" applyFill="1" applyBorder="1"/>
    <xf numFmtId="167" fontId="1" fillId="2" borderId="13" xfId="1" applyNumberFormat="1" applyFont="1" applyFill="1" applyBorder="1"/>
    <xf numFmtId="43" fontId="2" fillId="0" borderId="0" xfId="7" applyNumberFormat="1" applyFont="1"/>
    <xf numFmtId="43" fontId="2" fillId="2" borderId="3" xfId="7" applyNumberFormat="1" applyFont="1" applyFill="1" applyBorder="1"/>
    <xf numFmtId="43" fontId="9" fillId="2" borderId="0" xfId="8" applyNumberFormat="1" applyFont="1" applyFill="1" applyBorder="1" applyAlignment="1">
      <alignment horizontal="center" vertical="center"/>
    </xf>
    <xf numFmtId="43" fontId="0" fillId="0" borderId="0" xfId="1" applyNumberFormat="1" applyFont="1"/>
    <xf numFmtId="2" fontId="9" fillId="4" borderId="0" xfId="0" applyNumberFormat="1" applyFont="1" applyFill="1" applyAlignment="1">
      <alignment horizontal="center" vertical="center"/>
    </xf>
    <xf numFmtId="17" fontId="0" fillId="0" borderId="0" xfId="0" applyNumberFormat="1"/>
    <xf numFmtId="17" fontId="22" fillId="5" borderId="54" xfId="0" applyNumberFormat="1" applyFont="1" applyFill="1" applyBorder="1" applyAlignment="1">
      <alignment horizontal="center"/>
    </xf>
    <xf numFmtId="0" fontId="24" fillId="4" borderId="34" xfId="0" applyFont="1" applyFill="1" applyBorder="1" applyAlignment="1">
      <alignment horizontal="center"/>
    </xf>
    <xf numFmtId="2" fontId="24" fillId="4" borderId="34" xfId="0" applyNumberFormat="1" applyFont="1" applyFill="1" applyBorder="1" applyAlignment="1">
      <alignment horizontal="center"/>
    </xf>
    <xf numFmtId="2" fontId="24" fillId="0" borderId="34" xfId="0" applyNumberFormat="1" applyFont="1" applyBorder="1" applyAlignment="1">
      <alignment horizontal="center"/>
    </xf>
    <xf numFmtId="17" fontId="36" fillId="5" borderId="54" xfId="0" applyNumberFormat="1" applyFont="1" applyFill="1" applyBorder="1" applyAlignment="1">
      <alignment horizontal="center"/>
    </xf>
    <xf numFmtId="0" fontId="38" fillId="4" borderId="34" xfId="0" applyFont="1" applyFill="1" applyBorder="1" applyAlignment="1">
      <alignment horizontal="center"/>
    </xf>
    <xf numFmtId="0" fontId="41" fillId="4" borderId="1" xfId="0" applyFont="1" applyFill="1" applyBorder="1" applyAlignment="1">
      <alignment horizontal="center"/>
    </xf>
    <xf numFmtId="2" fontId="38" fillId="4" borderId="34" xfId="0" applyNumberFormat="1" applyFont="1" applyFill="1" applyBorder="1" applyAlignment="1">
      <alignment horizontal="center"/>
    </xf>
    <xf numFmtId="2" fontId="41" fillId="4" borderId="1" xfId="0" applyNumberFormat="1" applyFont="1" applyFill="1" applyBorder="1" applyAlignment="1">
      <alignment horizontal="center"/>
    </xf>
    <xf numFmtId="0" fontId="58" fillId="0" borderId="0" xfId="0" applyFont="1" applyAlignment="1">
      <alignment horizontal="center"/>
    </xf>
    <xf numFmtId="10" fontId="38" fillId="4" borderId="1" xfId="0" applyNumberFormat="1" applyFont="1" applyFill="1" applyBorder="1" applyAlignment="1">
      <alignment horizontal="center"/>
    </xf>
    <xf numFmtId="10" fontId="41" fillId="4" borderId="1" xfId="0" applyNumberFormat="1" applyFont="1" applyFill="1" applyBorder="1" applyAlignment="1">
      <alignment horizontal="center"/>
    </xf>
    <xf numFmtId="0" fontId="38" fillId="2" borderId="1" xfId="0" applyFont="1" applyFill="1" applyBorder="1" applyAlignment="1">
      <alignment horizontal="center"/>
    </xf>
    <xf numFmtId="0" fontId="38" fillId="0" borderId="1" xfId="0" applyFont="1" applyBorder="1" applyAlignment="1">
      <alignment horizontal="center"/>
    </xf>
    <xf numFmtId="10" fontId="38" fillId="0" borderId="1" xfId="0" applyNumberFormat="1" applyFont="1" applyBorder="1" applyAlignment="1">
      <alignment horizontal="center"/>
    </xf>
    <xf numFmtId="0" fontId="38" fillId="2" borderId="12" xfId="0" applyFont="1" applyFill="1" applyBorder="1" applyAlignment="1">
      <alignment horizontal="center"/>
    </xf>
    <xf numFmtId="10" fontId="38" fillId="4" borderId="12" xfId="0" applyNumberFormat="1" applyFont="1" applyFill="1" applyBorder="1" applyAlignment="1">
      <alignment horizontal="center"/>
    </xf>
    <xf numFmtId="0" fontId="38" fillId="0" borderId="12" xfId="0" applyFont="1" applyBorder="1" applyAlignment="1">
      <alignment horizontal="center"/>
    </xf>
    <xf numFmtId="10" fontId="38" fillId="0" borderId="12" xfId="0" applyNumberFormat="1" applyFont="1" applyBorder="1" applyAlignment="1">
      <alignment horizontal="center"/>
    </xf>
    <xf numFmtId="2" fontId="30" fillId="4" borderId="38" xfId="0" applyNumberFormat="1" applyFont="1" applyFill="1" applyBorder="1" applyAlignment="1">
      <alignment horizontal="center"/>
    </xf>
    <xf numFmtId="2" fontId="30" fillId="4" borderId="37" xfId="0" applyNumberFormat="1" applyFont="1" applyFill="1" applyBorder="1" applyAlignment="1">
      <alignment horizontal="center"/>
    </xf>
    <xf numFmtId="2" fontId="30" fillId="4" borderId="34" xfId="0" applyNumberFormat="1" applyFont="1" applyFill="1" applyBorder="1" applyAlignment="1">
      <alignment horizontal="center"/>
    </xf>
    <xf numFmtId="2" fontId="31" fillId="4" borderId="1" xfId="0" applyNumberFormat="1" applyFont="1" applyFill="1" applyBorder="1" applyAlignment="1">
      <alignment horizontal="center"/>
    </xf>
    <xf numFmtId="2" fontId="30" fillId="4" borderId="31" xfId="0" applyNumberFormat="1" applyFont="1" applyFill="1" applyBorder="1" applyAlignment="1">
      <alignment horizontal="center"/>
    </xf>
    <xf numFmtId="0" fontId="35" fillId="0" borderId="1" xfId="0" applyFont="1" applyBorder="1" applyAlignment="1">
      <alignment horizontal="center"/>
    </xf>
    <xf numFmtId="2" fontId="38" fillId="0" borderId="1" xfId="0" applyNumberFormat="1" applyFont="1" applyBorder="1" applyAlignment="1">
      <alignment horizontal="center"/>
    </xf>
    <xf numFmtId="0" fontId="24" fillId="4" borderId="38" xfId="0" applyFont="1" applyFill="1" applyBorder="1" applyAlignment="1">
      <alignment horizontal="center"/>
    </xf>
    <xf numFmtId="2" fontId="30" fillId="0" borderId="12" xfId="0" applyNumberFormat="1" applyFont="1" applyBorder="1" applyAlignment="1">
      <alignment horizontal="center"/>
    </xf>
    <xf numFmtId="166" fontId="18" fillId="4" borderId="0" xfId="0" applyNumberFormat="1" applyFont="1" applyFill="1" applyAlignment="1">
      <alignment horizontal="center" vertical="center"/>
    </xf>
    <xf numFmtId="10" fontId="34" fillId="0" borderId="1" xfId="0" applyNumberFormat="1" applyFont="1" applyBorder="1" applyAlignment="1">
      <alignment horizontal="center"/>
    </xf>
    <xf numFmtId="17" fontId="0" fillId="0" borderId="0" xfId="0" applyNumberFormat="1" applyAlignment="1">
      <alignment horizontal="center"/>
    </xf>
    <xf numFmtId="10" fontId="35" fillId="0" borderId="1" xfId="0" applyNumberFormat="1" applyFont="1" applyBorder="1" applyAlignment="1">
      <alignment horizontal="center"/>
    </xf>
    <xf numFmtId="10" fontId="35" fillId="0" borderId="12" xfId="0" applyNumberFormat="1" applyFont="1" applyBorder="1" applyAlignment="1">
      <alignment horizontal="center"/>
    </xf>
    <xf numFmtId="0" fontId="24" fillId="4" borderId="15" xfId="0" applyFont="1" applyFill="1" applyBorder="1" applyAlignment="1">
      <alignment horizontal="center"/>
    </xf>
    <xf numFmtId="17" fontId="2" fillId="0" borderId="2" xfId="0" applyNumberFormat="1" applyFont="1" applyBorder="1"/>
    <xf numFmtId="0" fontId="12" fillId="0" borderId="32" xfId="0" applyFont="1" applyBorder="1" applyAlignment="1">
      <alignment horizontal="center"/>
    </xf>
    <xf numFmtId="2" fontId="24" fillId="4" borderId="15" xfId="0" applyNumberFormat="1" applyFont="1" applyFill="1" applyBorder="1" applyAlignment="1">
      <alignment horizontal="center"/>
    </xf>
    <xf numFmtId="2" fontId="24" fillId="4" borderId="56" xfId="0" applyNumberFormat="1" applyFont="1" applyFill="1" applyBorder="1" applyAlignment="1">
      <alignment horizontal="center"/>
    </xf>
    <xf numFmtId="166" fontId="24" fillId="0" borderId="1" xfId="0" applyNumberFormat="1" applyFont="1" applyBorder="1" applyAlignment="1">
      <alignment horizontal="center"/>
    </xf>
    <xf numFmtId="166" fontId="24" fillId="0" borderId="12" xfId="0" applyNumberFormat="1" applyFont="1" applyBorder="1" applyAlignment="1">
      <alignment horizontal="center"/>
    </xf>
    <xf numFmtId="0" fontId="62" fillId="0" borderId="0" xfId="0" applyFont="1" applyAlignment="1">
      <alignment horizontal="center"/>
    </xf>
    <xf numFmtId="0" fontId="17" fillId="0" borderId="0" xfId="0" applyFont="1" applyAlignment="1">
      <alignment horizontal="left"/>
    </xf>
    <xf numFmtId="2" fontId="63" fillId="4" borderId="1" xfId="0" applyNumberFormat="1" applyFont="1" applyFill="1" applyBorder="1" applyAlignment="1">
      <alignment horizontal="left"/>
    </xf>
    <xf numFmtId="0" fontId="14" fillId="0" borderId="0" xfId="0" applyFont="1" applyAlignment="1">
      <alignment horizontal="left"/>
    </xf>
    <xf numFmtId="17" fontId="43" fillId="5" borderId="54" xfId="0" applyNumberFormat="1" applyFont="1" applyFill="1" applyBorder="1" applyAlignment="1">
      <alignment horizontal="center"/>
    </xf>
    <xf numFmtId="0" fontId="25" fillId="6" borderId="2" xfId="0" applyFont="1" applyFill="1" applyBorder="1" applyAlignment="1">
      <alignment horizontal="center"/>
    </xf>
    <xf numFmtId="17" fontId="44" fillId="6" borderId="27" xfId="0" applyNumberFormat="1" applyFont="1" applyFill="1" applyBorder="1" applyAlignment="1">
      <alignment horizontal="center"/>
    </xf>
    <xf numFmtId="0" fontId="23" fillId="6" borderId="59" xfId="0" applyFont="1" applyFill="1" applyBorder="1" applyAlignment="1">
      <alignment horizontal="center"/>
    </xf>
    <xf numFmtId="0" fontId="23" fillId="6" borderId="60" xfId="0" applyFont="1" applyFill="1" applyBorder="1" applyAlignment="1">
      <alignment horizontal="center"/>
    </xf>
    <xf numFmtId="0" fontId="23" fillId="6" borderId="61" xfId="0" applyFont="1" applyFill="1" applyBorder="1" applyAlignment="1">
      <alignment horizontal="center"/>
    </xf>
    <xf numFmtId="17" fontId="24" fillId="6" borderId="63" xfId="0" applyNumberFormat="1" applyFont="1" applyFill="1" applyBorder="1" applyAlignment="1">
      <alignment horizontal="center"/>
    </xf>
    <xf numFmtId="17" fontId="24" fillId="6" borderId="18" xfId="0" applyNumberFormat="1" applyFont="1" applyFill="1" applyBorder="1" applyAlignment="1">
      <alignment horizontal="center"/>
    </xf>
    <xf numFmtId="1" fontId="24" fillId="0" borderId="38" xfId="0" applyNumberFormat="1" applyFont="1" applyBorder="1" applyAlignment="1">
      <alignment horizontal="center"/>
    </xf>
    <xf numFmtId="1" fontId="24" fillId="0" borderId="58" xfId="0" applyNumberFormat="1" applyFont="1" applyBorder="1" applyAlignment="1">
      <alignment horizontal="center"/>
    </xf>
    <xf numFmtId="1" fontId="24" fillId="0" borderId="15" xfId="0" applyNumberFormat="1" applyFont="1" applyBorder="1" applyAlignment="1">
      <alignment horizontal="center"/>
    </xf>
    <xf numFmtId="1" fontId="24" fillId="0" borderId="34" xfId="0" applyNumberFormat="1" applyFont="1" applyBorder="1" applyAlignment="1">
      <alignment horizontal="center"/>
    </xf>
    <xf numFmtId="1" fontId="24" fillId="0" borderId="4" xfId="0" applyNumberFormat="1" applyFont="1" applyBorder="1" applyAlignment="1">
      <alignment horizontal="center"/>
    </xf>
    <xf numFmtId="1" fontId="24" fillId="0" borderId="1" xfId="0" applyNumberFormat="1" applyFont="1" applyBorder="1" applyAlignment="1">
      <alignment horizontal="center"/>
    </xf>
    <xf numFmtId="0" fontId="24" fillId="0" borderId="34" xfId="0" applyFont="1" applyBorder="1" applyAlignment="1">
      <alignment horizontal="center"/>
    </xf>
    <xf numFmtId="0" fontId="24" fillId="0" borderId="57" xfId="0" applyFont="1" applyBorder="1" applyAlignment="1">
      <alignment horizontal="center"/>
    </xf>
    <xf numFmtId="0" fontId="15" fillId="0" borderId="52" xfId="0" applyFont="1" applyBorder="1"/>
    <xf numFmtId="17" fontId="15" fillId="0" borderId="2" xfId="0" applyNumberFormat="1" applyFont="1" applyBorder="1"/>
    <xf numFmtId="0" fontId="15" fillId="0" borderId="2" xfId="0" applyFont="1" applyBorder="1"/>
    <xf numFmtId="0" fontId="37" fillId="6" borderId="45" xfId="0" applyFont="1" applyFill="1" applyBorder="1" applyAlignment="1">
      <alignment horizontal="center"/>
    </xf>
    <xf numFmtId="0" fontId="38" fillId="4" borderId="64" xfId="0" applyFont="1" applyFill="1" applyBorder="1" applyAlignment="1">
      <alignment horizontal="center"/>
    </xf>
    <xf numFmtId="0" fontId="38" fillId="4" borderId="65" xfId="0" applyFont="1" applyFill="1" applyBorder="1" applyAlignment="1">
      <alignment horizontal="center"/>
    </xf>
    <xf numFmtId="0" fontId="38" fillId="4" borderId="7" xfId="0" applyFont="1" applyFill="1" applyBorder="1" applyAlignment="1">
      <alignment horizontal="center"/>
    </xf>
    <xf numFmtId="0" fontId="38" fillId="4" borderId="33" xfId="0" applyFont="1" applyFill="1" applyBorder="1" applyAlignment="1">
      <alignment horizontal="center"/>
    </xf>
    <xf numFmtId="0" fontId="39" fillId="6" borderId="66" xfId="0" applyFont="1" applyFill="1" applyBorder="1" applyAlignment="1">
      <alignment horizontal="center"/>
    </xf>
    <xf numFmtId="17" fontId="38" fillId="6" borderId="18" xfId="0" applyNumberFormat="1" applyFont="1" applyFill="1" applyBorder="1" applyAlignment="1">
      <alignment horizontal="center"/>
    </xf>
    <xf numFmtId="17" fontId="38" fillId="6" borderId="67" xfId="0" applyNumberFormat="1" applyFont="1" applyFill="1" applyBorder="1" applyAlignment="1">
      <alignment horizontal="center"/>
    </xf>
    <xf numFmtId="17" fontId="38" fillId="6" borderId="27" xfId="0" applyNumberFormat="1" applyFont="1" applyFill="1" applyBorder="1" applyAlignment="1">
      <alignment horizontal="center"/>
    </xf>
    <xf numFmtId="0" fontId="37" fillId="6" borderId="69" xfId="0" applyFont="1" applyFill="1" applyBorder="1" applyAlignment="1">
      <alignment horizontal="center"/>
    </xf>
    <xf numFmtId="1" fontId="38" fillId="4" borderId="22" xfId="0" applyNumberFormat="1" applyFont="1" applyFill="1" applyBorder="1" applyAlignment="1">
      <alignment horizontal="center"/>
    </xf>
    <xf numFmtId="1" fontId="38" fillId="4" borderId="15" xfId="0" applyNumberFormat="1" applyFont="1" applyFill="1" applyBorder="1" applyAlignment="1">
      <alignment horizontal="center"/>
    </xf>
    <xf numFmtId="1" fontId="38" fillId="4" borderId="38" xfId="0" applyNumberFormat="1" applyFont="1" applyFill="1" applyBorder="1" applyAlignment="1">
      <alignment horizontal="center"/>
    </xf>
    <xf numFmtId="1" fontId="38" fillId="4" borderId="19" xfId="0" applyNumberFormat="1" applyFont="1" applyFill="1" applyBorder="1" applyAlignment="1">
      <alignment horizontal="center"/>
    </xf>
    <xf numFmtId="1" fontId="38" fillId="4" borderId="1" xfId="0" applyNumberFormat="1" applyFont="1" applyFill="1" applyBorder="1" applyAlignment="1">
      <alignment horizontal="center"/>
    </xf>
    <xf numFmtId="1" fontId="38" fillId="4" borderId="34" xfId="0" applyNumberFormat="1" applyFont="1" applyFill="1" applyBorder="1" applyAlignment="1">
      <alignment horizontal="center"/>
    </xf>
    <xf numFmtId="0" fontId="38" fillId="7" borderId="27" xfId="0" applyFont="1" applyFill="1" applyBorder="1" applyAlignment="1">
      <alignment horizontal="center"/>
    </xf>
    <xf numFmtId="1" fontId="34" fillId="0" borderId="1" xfId="0" applyNumberFormat="1" applyFont="1" applyBorder="1" applyAlignment="1">
      <alignment horizontal="center"/>
    </xf>
    <xf numFmtId="0" fontId="11" fillId="7" borderId="28" xfId="0" applyFont="1" applyFill="1" applyBorder="1" applyAlignment="1">
      <alignment horizontal="center"/>
    </xf>
    <xf numFmtId="0" fontId="11" fillId="0" borderId="70" xfId="0" applyFont="1" applyBorder="1" applyAlignment="1">
      <alignment horizontal="center"/>
    </xf>
    <xf numFmtId="17" fontId="30" fillId="6" borderId="63" xfId="0" applyNumberFormat="1" applyFont="1" applyFill="1" applyBorder="1" applyAlignment="1">
      <alignment horizontal="center"/>
    </xf>
    <xf numFmtId="17" fontId="30" fillId="6" borderId="18" xfId="0" applyNumberFormat="1" applyFont="1" applyFill="1" applyBorder="1" applyAlignment="1">
      <alignment horizontal="center"/>
    </xf>
    <xf numFmtId="0" fontId="30" fillId="0" borderId="15" xfId="0" applyFont="1" applyBorder="1" applyAlignment="1">
      <alignment horizontal="center"/>
    </xf>
    <xf numFmtId="0" fontId="27" fillId="0" borderId="12" xfId="0" applyFont="1" applyBorder="1" applyAlignment="1">
      <alignment horizontal="center"/>
    </xf>
    <xf numFmtId="1" fontId="38" fillId="0" borderId="1" xfId="0" applyNumberFormat="1" applyFont="1" applyBorder="1" applyAlignment="1">
      <alignment horizontal="center"/>
    </xf>
    <xf numFmtId="1" fontId="35" fillId="0" borderId="1" xfId="0" applyNumberFormat="1" applyFont="1" applyBorder="1" applyAlignment="1">
      <alignment horizontal="center"/>
    </xf>
    <xf numFmtId="0" fontId="21" fillId="5" borderId="17" xfId="0" applyFont="1" applyFill="1" applyBorder="1" applyAlignment="1">
      <alignment horizontal="center"/>
    </xf>
    <xf numFmtId="17" fontId="22" fillId="5" borderId="18" xfId="0" applyNumberFormat="1" applyFont="1" applyFill="1" applyBorder="1" applyAlignment="1">
      <alignment horizontal="center"/>
    </xf>
    <xf numFmtId="17" fontId="22" fillId="5" borderId="67" xfId="0" applyNumberFormat="1" applyFont="1" applyFill="1" applyBorder="1" applyAlignment="1">
      <alignment horizontal="center"/>
    </xf>
    <xf numFmtId="0" fontId="25" fillId="6" borderId="66" xfId="0" applyFont="1" applyFill="1" applyBorder="1" applyAlignment="1">
      <alignment horizontal="center"/>
    </xf>
    <xf numFmtId="17" fontId="24" fillId="6" borderId="27" xfId="0" applyNumberFormat="1" applyFont="1" applyFill="1" applyBorder="1" applyAlignment="1">
      <alignment horizontal="center"/>
    </xf>
    <xf numFmtId="0" fontId="23" fillId="6" borderId="69" xfId="0" applyFont="1" applyFill="1" applyBorder="1" applyAlignment="1">
      <alignment horizontal="center"/>
    </xf>
    <xf numFmtId="0" fontId="24" fillId="2" borderId="15" xfId="0" applyFont="1" applyFill="1" applyBorder="1" applyAlignment="1">
      <alignment horizontal="center"/>
    </xf>
    <xf numFmtId="1" fontId="12" fillId="0" borderId="15" xfId="0" applyNumberFormat="1" applyFont="1" applyBorder="1" applyAlignment="1">
      <alignment horizontal="center"/>
    </xf>
    <xf numFmtId="1" fontId="12" fillId="0" borderId="1" xfId="0" applyNumberFormat="1" applyFont="1" applyBorder="1" applyAlignment="1">
      <alignment horizontal="center"/>
    </xf>
    <xf numFmtId="169" fontId="1" fillId="0" borderId="0" xfId="12" applyNumberFormat="1"/>
    <xf numFmtId="166" fontId="1" fillId="0" borderId="0" xfId="7" applyNumberFormat="1"/>
    <xf numFmtId="1" fontId="1" fillId="0" borderId="0" xfId="7" applyNumberFormat="1"/>
    <xf numFmtId="166" fontId="47" fillId="2" borderId="27" xfId="0" applyNumberFormat="1" applyFont="1" applyFill="1" applyBorder="1"/>
    <xf numFmtId="166" fontId="46" fillId="2" borderId="27" xfId="0" applyNumberFormat="1" applyFont="1" applyFill="1" applyBorder="1"/>
    <xf numFmtId="0" fontId="24" fillId="4" borderId="4" xfId="0" applyFont="1" applyFill="1" applyBorder="1" applyAlignment="1">
      <alignment horizontal="center"/>
    </xf>
    <xf numFmtId="0" fontId="24" fillId="4" borderId="58" xfId="0" applyFont="1" applyFill="1" applyBorder="1" applyAlignment="1">
      <alignment horizontal="center"/>
    </xf>
    <xf numFmtId="2" fontId="24" fillId="4" borderId="58" xfId="0" applyNumberFormat="1" applyFont="1" applyFill="1" applyBorder="1" applyAlignment="1">
      <alignment horizontal="center"/>
    </xf>
    <xf numFmtId="1" fontId="24" fillId="0" borderId="7" xfId="0" applyNumberFormat="1" applyFont="1" applyBorder="1" applyAlignment="1">
      <alignment horizontal="center"/>
    </xf>
    <xf numFmtId="10" fontId="24" fillId="0" borderId="1" xfId="0" applyNumberFormat="1" applyFont="1" applyBorder="1" applyAlignment="1">
      <alignment horizontal="center"/>
    </xf>
    <xf numFmtId="10" fontId="24" fillId="0" borderId="15" xfId="0" applyNumberFormat="1" applyFont="1" applyBorder="1" applyAlignment="1">
      <alignment horizontal="center"/>
    </xf>
    <xf numFmtId="10" fontId="24" fillId="0" borderId="34" xfId="0" applyNumberFormat="1" applyFont="1" applyBorder="1" applyAlignment="1">
      <alignment horizontal="center"/>
    </xf>
    <xf numFmtId="10" fontId="24" fillId="0" borderId="56" xfId="0" applyNumberFormat="1" applyFont="1" applyBorder="1" applyAlignment="1">
      <alignment horizontal="center"/>
    </xf>
    <xf numFmtId="10" fontId="24" fillId="0" borderId="62" xfId="0" applyNumberFormat="1" applyFont="1" applyBorder="1" applyAlignment="1">
      <alignment horizontal="center"/>
    </xf>
    <xf numFmtId="10" fontId="30" fillId="0" borderId="15" xfId="0" applyNumberFormat="1" applyFont="1" applyBorder="1" applyAlignment="1">
      <alignment horizontal="center"/>
    </xf>
    <xf numFmtId="10" fontId="63" fillId="0" borderId="12" xfId="0" applyNumberFormat="1" applyFont="1" applyBorder="1" applyAlignment="1">
      <alignment horizontal="left"/>
    </xf>
    <xf numFmtId="10" fontId="30" fillId="0" borderId="12" xfId="0" applyNumberFormat="1" applyFont="1" applyBorder="1" applyAlignment="1">
      <alignment horizontal="center"/>
    </xf>
    <xf numFmtId="10" fontId="31" fillId="0" borderId="12" xfId="0" applyNumberFormat="1" applyFont="1" applyBorder="1" applyAlignment="1">
      <alignment horizontal="center"/>
    </xf>
    <xf numFmtId="165" fontId="30" fillId="4" borderId="1" xfId="0" applyNumberFormat="1" applyFont="1" applyFill="1" applyBorder="1" applyAlignment="1">
      <alignment horizontal="center"/>
    </xf>
    <xf numFmtId="10" fontId="31" fillId="0" borderId="55" xfId="0" applyNumberFormat="1" applyFont="1" applyBorder="1" applyAlignment="1">
      <alignment horizontal="center"/>
    </xf>
    <xf numFmtId="0" fontId="38" fillId="8" borderId="2" xfId="0" applyFont="1" applyFill="1" applyBorder="1" applyAlignment="1">
      <alignment horizontal="center"/>
    </xf>
    <xf numFmtId="9" fontId="38" fillId="8" borderId="2" xfId="0" applyNumberFormat="1" applyFont="1" applyFill="1" applyBorder="1" applyAlignment="1">
      <alignment horizontal="center"/>
    </xf>
    <xf numFmtId="10" fontId="38" fillId="8" borderId="2" xfId="0" applyNumberFormat="1" applyFont="1" applyFill="1" applyBorder="1" applyAlignment="1">
      <alignment horizontal="center"/>
    </xf>
    <xf numFmtId="9" fontId="42" fillId="8" borderId="2" xfId="0" applyNumberFormat="1" applyFont="1" applyFill="1" applyBorder="1" applyAlignment="1">
      <alignment horizontal="center"/>
    </xf>
    <xf numFmtId="0" fontId="0" fillId="0" borderId="36" xfId="0" applyBorder="1"/>
    <xf numFmtId="0" fontId="0" fillId="0" borderId="53" xfId="0" applyBorder="1"/>
    <xf numFmtId="166" fontId="0" fillId="0" borderId="4" xfId="0" applyNumberFormat="1" applyBorder="1"/>
    <xf numFmtId="0" fontId="8" fillId="4" borderId="0" xfId="9" applyFont="1" applyFill="1" applyAlignment="1">
      <alignment horizontal="center" vertical="center"/>
    </xf>
    <xf numFmtId="9" fontId="38" fillId="0" borderId="0" xfId="0" applyNumberFormat="1" applyFont="1" applyAlignment="1">
      <alignment horizontal="center"/>
    </xf>
    <xf numFmtId="10" fontId="38" fillId="0" borderId="0" xfId="0" applyNumberFormat="1" applyFont="1" applyAlignment="1">
      <alignment horizontal="center"/>
    </xf>
    <xf numFmtId="0" fontId="11" fillId="8" borderId="14" xfId="0" applyFont="1" applyFill="1" applyBorder="1" applyAlignment="1">
      <alignment horizontal="center"/>
    </xf>
    <xf numFmtId="0" fontId="42" fillId="8" borderId="16" xfId="0" applyFont="1" applyFill="1" applyBorder="1" applyAlignment="1">
      <alignment horizontal="center"/>
    </xf>
    <xf numFmtId="0" fontId="38" fillId="8" borderId="10" xfId="0" applyFont="1" applyFill="1" applyBorder="1" applyAlignment="1">
      <alignment horizontal="center"/>
    </xf>
    <xf numFmtId="0" fontId="34" fillId="8" borderId="9" xfId="0" applyFont="1" applyFill="1" applyBorder="1" applyAlignment="1">
      <alignment horizontal="center"/>
    </xf>
    <xf numFmtId="0" fontId="34" fillId="8" borderId="11" xfId="0" applyFont="1" applyFill="1" applyBorder="1" applyAlignment="1">
      <alignment horizontal="center"/>
    </xf>
    <xf numFmtId="0" fontId="38" fillId="8" borderId="13" xfId="0" applyFont="1" applyFill="1" applyBorder="1" applyAlignment="1">
      <alignment horizontal="center"/>
    </xf>
    <xf numFmtId="9" fontId="11" fillId="8" borderId="14" xfId="0" applyNumberFormat="1" applyFont="1" applyFill="1" applyBorder="1" applyAlignment="1">
      <alignment horizontal="center"/>
    </xf>
    <xf numFmtId="10" fontId="12" fillId="8" borderId="16" xfId="0" applyNumberFormat="1" applyFont="1" applyFill="1" applyBorder="1" applyAlignment="1">
      <alignment horizontal="center"/>
    </xf>
    <xf numFmtId="10" fontId="11" fillId="8" borderId="11" xfId="0" applyNumberFormat="1" applyFont="1" applyFill="1" applyBorder="1" applyAlignment="1">
      <alignment horizontal="center"/>
    </xf>
    <xf numFmtId="9" fontId="12" fillId="8" borderId="13" xfId="0" applyNumberFormat="1" applyFont="1" applyFill="1" applyBorder="1" applyAlignment="1">
      <alignment horizontal="center"/>
    </xf>
    <xf numFmtId="171" fontId="42" fillId="8" borderId="2" xfId="0" applyNumberFormat="1" applyFont="1" applyFill="1" applyBorder="1" applyAlignment="1">
      <alignment horizontal="center"/>
    </xf>
    <xf numFmtId="0" fontId="47" fillId="2" borderId="26" xfId="0" applyFont="1" applyFill="1" applyBorder="1"/>
    <xf numFmtId="0" fontId="46" fillId="2" borderId="2" xfId="0" applyFont="1" applyFill="1" applyBorder="1"/>
    <xf numFmtId="2" fontId="24" fillId="4" borderId="57" xfId="0" applyNumberFormat="1" applyFont="1" applyFill="1" applyBorder="1" applyAlignment="1">
      <alignment horizontal="center"/>
    </xf>
    <xf numFmtId="0" fontId="38" fillId="4" borderId="54" xfId="0" applyFont="1" applyFill="1" applyBorder="1" applyAlignment="1">
      <alignment horizontal="center"/>
    </xf>
    <xf numFmtId="0" fontId="38" fillId="4" borderId="72" xfId="0" applyFont="1" applyFill="1" applyBorder="1" applyAlignment="1">
      <alignment horizontal="center"/>
    </xf>
    <xf numFmtId="17" fontId="24" fillId="6" borderId="68" xfId="0" applyNumberFormat="1" applyFont="1" applyFill="1" applyBorder="1" applyAlignment="1">
      <alignment horizontal="center"/>
    </xf>
    <xf numFmtId="10" fontId="12" fillId="0" borderId="1" xfId="0" applyNumberFormat="1" applyFont="1" applyBorder="1" applyAlignment="1">
      <alignment horizontal="center"/>
    </xf>
    <xf numFmtId="10" fontId="24" fillId="0" borderId="57" xfId="0" applyNumberFormat="1" applyFont="1" applyBorder="1" applyAlignment="1">
      <alignment horizontal="center"/>
    </xf>
    <xf numFmtId="10" fontId="24" fillId="0" borderId="12" xfId="0" applyNumberFormat="1" applyFont="1" applyBorder="1" applyAlignment="1">
      <alignment horizontal="center"/>
    </xf>
    <xf numFmtId="10" fontId="12" fillId="0" borderId="12" xfId="0" applyNumberFormat="1" applyFont="1" applyBorder="1" applyAlignment="1">
      <alignment horizontal="center"/>
    </xf>
    <xf numFmtId="2" fontId="0" fillId="0" borderId="2" xfId="0" applyNumberFormat="1" applyBorder="1" applyAlignment="1">
      <alignment horizontal="center"/>
    </xf>
    <xf numFmtId="17" fontId="50" fillId="0" borderId="0" xfId="0" applyNumberFormat="1" applyFont="1"/>
    <xf numFmtId="0" fontId="47" fillId="0" borderId="28" xfId="0" applyFont="1" applyBorder="1"/>
    <xf numFmtId="0" fontId="47" fillId="0" borderId="30" xfId="0" applyFont="1" applyBorder="1"/>
    <xf numFmtId="0" fontId="44" fillId="4" borderId="72" xfId="0" applyFont="1" applyFill="1" applyBorder="1" applyAlignment="1">
      <alignment horizontal="center"/>
    </xf>
    <xf numFmtId="2" fontId="44" fillId="4" borderId="72" xfId="0" applyNumberFormat="1" applyFont="1" applyFill="1" applyBorder="1" applyAlignment="1">
      <alignment horizontal="center"/>
    </xf>
    <xf numFmtId="2" fontId="44" fillId="4" borderId="52" xfId="0" applyNumberFormat="1" applyFont="1" applyFill="1" applyBorder="1" applyAlignment="1">
      <alignment horizontal="center"/>
    </xf>
    <xf numFmtId="0" fontId="44" fillId="4" borderId="39" xfId="0" applyFont="1" applyFill="1" applyBorder="1" applyAlignment="1">
      <alignment horizontal="center"/>
    </xf>
    <xf numFmtId="0" fontId="44" fillId="4" borderId="10" xfId="0" applyFont="1" applyFill="1" applyBorder="1" applyAlignment="1">
      <alignment horizontal="center"/>
    </xf>
    <xf numFmtId="2" fontId="44" fillId="4" borderId="10" xfId="0" applyNumberFormat="1" applyFont="1" applyFill="1" applyBorder="1" applyAlignment="1">
      <alignment horizontal="center"/>
    </xf>
    <xf numFmtId="1" fontId="44" fillId="0" borderId="39" xfId="0" applyNumberFormat="1" applyFont="1" applyBorder="1" applyAlignment="1">
      <alignment horizontal="center"/>
    </xf>
    <xf numFmtId="10" fontId="44" fillId="0" borderId="52" xfId="0" applyNumberFormat="1" applyFont="1" applyBorder="1" applyAlignment="1">
      <alignment horizontal="center"/>
    </xf>
    <xf numFmtId="17" fontId="40" fillId="5" borderId="54" xfId="0" applyNumberFormat="1" applyFont="1" applyFill="1" applyBorder="1" applyAlignment="1">
      <alignment horizontal="center"/>
    </xf>
    <xf numFmtId="0" fontId="34" fillId="0" borderId="39" xfId="0" applyFont="1" applyBorder="1" applyAlignment="1">
      <alignment horizontal="center"/>
    </xf>
    <xf numFmtId="17" fontId="41" fillId="6" borderId="27" xfId="0" applyNumberFormat="1" applyFont="1" applyFill="1" applyBorder="1" applyAlignment="1">
      <alignment horizontal="center"/>
    </xf>
    <xf numFmtId="1" fontId="41" fillId="4" borderId="39" xfId="0" applyNumberFormat="1" applyFont="1" applyFill="1" applyBorder="1" applyAlignment="1">
      <alignment horizontal="center"/>
    </xf>
    <xf numFmtId="10" fontId="41" fillId="4" borderId="52" xfId="0" applyNumberFormat="1" applyFont="1" applyFill="1" applyBorder="1" applyAlignment="1">
      <alignment horizontal="center"/>
    </xf>
    <xf numFmtId="0" fontId="38" fillId="4" borderId="39" xfId="0" applyFont="1" applyFill="1" applyBorder="1" applyAlignment="1">
      <alignment horizontal="center"/>
    </xf>
    <xf numFmtId="10" fontId="31" fillId="0" borderId="37" xfId="0" applyNumberFormat="1" applyFont="1" applyBorder="1" applyAlignment="1">
      <alignment horizontal="center"/>
    </xf>
    <xf numFmtId="17" fontId="44" fillId="6" borderId="68" xfId="0" applyNumberFormat="1" applyFont="1" applyFill="1" applyBorder="1" applyAlignment="1">
      <alignment horizontal="center"/>
    </xf>
    <xf numFmtId="1" fontId="12" fillId="0" borderId="54" xfId="0" applyNumberFormat="1" applyFont="1" applyBorder="1" applyAlignment="1">
      <alignment horizontal="center"/>
    </xf>
    <xf numFmtId="1" fontId="12" fillId="0" borderId="72" xfId="0" applyNumberFormat="1" applyFont="1" applyBorder="1" applyAlignment="1">
      <alignment horizontal="center"/>
    </xf>
    <xf numFmtId="10" fontId="12" fillId="0" borderId="72" xfId="0" applyNumberFormat="1" applyFont="1" applyBorder="1" applyAlignment="1">
      <alignment horizontal="center"/>
    </xf>
    <xf numFmtId="10" fontId="12" fillId="0" borderId="52" xfId="0" applyNumberFormat="1" applyFont="1" applyBorder="1" applyAlignment="1">
      <alignment horizontal="center"/>
    </xf>
    <xf numFmtId="0" fontId="28" fillId="5" borderId="17" xfId="0" applyFont="1" applyFill="1" applyBorder="1" applyAlignment="1">
      <alignment horizontal="center"/>
    </xf>
    <xf numFmtId="17" fontId="33" fillId="5" borderId="18" xfId="0" applyNumberFormat="1" applyFont="1" applyFill="1" applyBorder="1" applyAlignment="1">
      <alignment horizontal="center"/>
    </xf>
    <xf numFmtId="17" fontId="33" fillId="5" borderId="67" xfId="0" applyNumberFormat="1" applyFont="1" applyFill="1" applyBorder="1" applyAlignment="1">
      <alignment horizontal="center"/>
    </xf>
    <xf numFmtId="17" fontId="45" fillId="5" borderId="27" xfId="0" applyNumberFormat="1" applyFont="1" applyFill="1" applyBorder="1" applyAlignment="1">
      <alignment horizontal="center"/>
    </xf>
    <xf numFmtId="17" fontId="33" fillId="5" borderId="27" xfId="0" applyNumberFormat="1" applyFont="1" applyFill="1" applyBorder="1" applyAlignment="1">
      <alignment horizontal="center"/>
    </xf>
    <xf numFmtId="0" fontId="28" fillId="2" borderId="14" xfId="0" applyFont="1" applyFill="1" applyBorder="1" applyAlignment="1">
      <alignment horizontal="center"/>
    </xf>
    <xf numFmtId="0" fontId="30" fillId="4" borderId="31" xfId="0" applyFont="1" applyFill="1" applyBorder="1" applyAlignment="1">
      <alignment horizontal="center"/>
    </xf>
    <xf numFmtId="2" fontId="30" fillId="4" borderId="55" xfId="0" applyNumberFormat="1" applyFont="1" applyFill="1" applyBorder="1" applyAlignment="1">
      <alignment horizontal="center"/>
    </xf>
    <xf numFmtId="0" fontId="32" fillId="6" borderId="66" xfId="0" applyFont="1" applyFill="1" applyBorder="1" applyAlignment="1">
      <alignment horizontal="center"/>
    </xf>
    <xf numFmtId="0" fontId="29" fillId="6" borderId="69" xfId="0" applyFont="1" applyFill="1" applyBorder="1" applyAlignment="1">
      <alignment horizontal="center"/>
    </xf>
    <xf numFmtId="2" fontId="30" fillId="0" borderId="15" xfId="0" applyNumberFormat="1" applyFont="1" applyBorder="1" applyAlignment="1">
      <alignment horizontal="center"/>
    </xf>
    <xf numFmtId="2" fontId="30" fillId="0" borderId="38" xfId="0" applyNumberFormat="1" applyFont="1" applyBorder="1" applyAlignment="1">
      <alignment horizontal="center"/>
    </xf>
    <xf numFmtId="167" fontId="2" fillId="2" borderId="0" xfId="1" applyNumberFormat="1" applyFont="1" applyFill="1"/>
    <xf numFmtId="0" fontId="46" fillId="2" borderId="27" xfId="0" applyFont="1" applyFill="1" applyBorder="1"/>
    <xf numFmtId="17" fontId="22" fillId="5" borderId="33" xfId="0" applyNumberFormat="1" applyFont="1" applyFill="1" applyBorder="1" applyAlignment="1">
      <alignment horizontal="center"/>
    </xf>
    <xf numFmtId="2" fontId="24" fillId="4" borderId="4" xfId="0" applyNumberFormat="1" applyFont="1" applyFill="1" applyBorder="1" applyAlignment="1">
      <alignment horizontal="center"/>
    </xf>
    <xf numFmtId="10" fontId="24" fillId="0" borderId="4" xfId="0" applyNumberFormat="1" applyFont="1" applyBorder="1" applyAlignment="1">
      <alignment horizontal="center"/>
    </xf>
    <xf numFmtId="0" fontId="38" fillId="4" borderId="31" xfId="0" applyFont="1" applyFill="1" applyBorder="1" applyAlignment="1">
      <alignment horizontal="center"/>
    </xf>
    <xf numFmtId="2" fontId="38" fillId="4" borderId="31" xfId="0" applyNumberFormat="1" applyFont="1" applyFill="1" applyBorder="1" applyAlignment="1">
      <alignment horizontal="center"/>
    </xf>
    <xf numFmtId="0" fontId="38" fillId="4" borderId="71" xfId="0" applyFont="1" applyFill="1" applyBorder="1" applyAlignment="1">
      <alignment horizontal="center"/>
    </xf>
    <xf numFmtId="0" fontId="35" fillId="0" borderId="39" xfId="0" applyFont="1" applyBorder="1" applyAlignment="1">
      <alignment horizontal="center"/>
    </xf>
    <xf numFmtId="1" fontId="38" fillId="4" borderId="7" xfId="0" applyNumberFormat="1" applyFont="1" applyFill="1" applyBorder="1" applyAlignment="1">
      <alignment horizontal="center"/>
    </xf>
    <xf numFmtId="1" fontId="38" fillId="4" borderId="31" xfId="0" applyNumberFormat="1" applyFont="1" applyFill="1" applyBorder="1" applyAlignment="1">
      <alignment horizontal="center"/>
    </xf>
    <xf numFmtId="1" fontId="41" fillId="4" borderId="1" xfId="0" applyNumberFormat="1" applyFont="1" applyFill="1" applyBorder="1" applyAlignment="1">
      <alignment horizontal="center"/>
    </xf>
    <xf numFmtId="10" fontId="38" fillId="4" borderId="31" xfId="0" applyNumberFormat="1" applyFont="1" applyFill="1" applyBorder="1" applyAlignment="1">
      <alignment horizontal="center"/>
    </xf>
    <xf numFmtId="17" fontId="22" fillId="5" borderId="75" xfId="0" applyNumberFormat="1" applyFont="1" applyFill="1" applyBorder="1" applyAlignment="1">
      <alignment horizontal="center"/>
    </xf>
    <xf numFmtId="1" fontId="12" fillId="0" borderId="16" xfId="0" applyNumberFormat="1" applyFont="1" applyBorder="1" applyAlignment="1">
      <alignment horizontal="center"/>
    </xf>
    <xf numFmtId="1" fontId="12" fillId="0" borderId="10" xfId="0" applyNumberFormat="1" applyFont="1" applyBorder="1" applyAlignment="1">
      <alignment horizontal="center"/>
    </xf>
    <xf numFmtId="10" fontId="12" fillId="0" borderId="10" xfId="0" applyNumberFormat="1" applyFont="1" applyBorder="1" applyAlignment="1">
      <alignment horizontal="center"/>
    </xf>
    <xf numFmtId="10" fontId="12" fillId="0" borderId="13" xfId="0" applyNumberFormat="1" applyFont="1" applyBorder="1" applyAlignment="1">
      <alignment horizontal="center"/>
    </xf>
    <xf numFmtId="10" fontId="11" fillId="0" borderId="52" xfId="0" applyNumberFormat="1" applyFont="1" applyBorder="1" applyAlignment="1">
      <alignment horizontal="center"/>
    </xf>
    <xf numFmtId="2" fontId="30" fillId="9" borderId="15" xfId="0" applyNumberFormat="1" applyFont="1" applyFill="1" applyBorder="1" applyAlignment="1">
      <alignment horizontal="center"/>
    </xf>
    <xf numFmtId="2" fontId="30" fillId="9" borderId="1" xfId="0" applyNumberFormat="1" applyFont="1" applyFill="1" applyBorder="1" applyAlignment="1">
      <alignment horizontal="center"/>
    </xf>
    <xf numFmtId="10" fontId="30" fillId="0" borderId="37" xfId="0" applyNumberFormat="1" applyFont="1" applyBorder="1" applyAlignment="1">
      <alignment horizontal="center"/>
    </xf>
    <xf numFmtId="10" fontId="30" fillId="0" borderId="55" xfId="0" applyNumberFormat="1" applyFont="1" applyBorder="1" applyAlignment="1">
      <alignment horizontal="center"/>
    </xf>
    <xf numFmtId="0" fontId="47" fillId="9" borderId="0" xfId="0" applyFont="1" applyFill="1"/>
    <xf numFmtId="0" fontId="47" fillId="9" borderId="2" xfId="0" applyFont="1" applyFill="1" applyBorder="1"/>
    <xf numFmtId="10" fontId="44" fillId="0" borderId="72" xfId="0" applyNumberFormat="1" applyFont="1" applyBorder="1" applyAlignment="1">
      <alignment horizontal="center"/>
    </xf>
    <xf numFmtId="1" fontId="24" fillId="0" borderId="73" xfId="0" applyNumberFormat="1" applyFont="1" applyBorder="1" applyAlignment="1">
      <alignment horizontal="center"/>
    </xf>
    <xf numFmtId="0" fontId="38" fillId="4" borderId="24" xfId="0" applyFont="1" applyFill="1" applyBorder="1" applyAlignment="1">
      <alignment horizontal="center"/>
    </xf>
    <xf numFmtId="0" fontId="38" fillId="4" borderId="52" xfId="0" applyFont="1" applyFill="1" applyBorder="1" applyAlignment="1">
      <alignment horizontal="center"/>
    </xf>
    <xf numFmtId="10" fontId="38" fillId="4" borderId="57" xfId="0" applyNumberFormat="1" applyFont="1" applyFill="1" applyBorder="1" applyAlignment="1">
      <alignment horizontal="center"/>
    </xf>
    <xf numFmtId="1" fontId="12" fillId="0" borderId="40" xfId="0" applyNumberFormat="1" applyFont="1" applyBorder="1" applyAlignment="1">
      <alignment horizontal="center"/>
    </xf>
    <xf numFmtId="1" fontId="11" fillId="0" borderId="54" xfId="0" applyNumberFormat="1" applyFont="1" applyBorder="1" applyAlignment="1">
      <alignment horizontal="center"/>
    </xf>
    <xf numFmtId="1" fontId="12" fillId="0" borderId="74" xfId="0" applyNumberFormat="1" applyFont="1" applyBorder="1" applyAlignment="1">
      <alignment horizontal="center"/>
    </xf>
    <xf numFmtId="1" fontId="11" fillId="0" borderId="72" xfId="0" applyNumberFormat="1" applyFont="1" applyBorder="1" applyAlignment="1">
      <alignment horizontal="center"/>
    </xf>
    <xf numFmtId="10" fontId="12" fillId="0" borderId="74" xfId="0" applyNumberFormat="1" applyFont="1" applyBorder="1" applyAlignment="1">
      <alignment horizontal="center"/>
    </xf>
    <xf numFmtId="10" fontId="11" fillId="0" borderId="72" xfId="0" applyNumberFormat="1" applyFont="1" applyBorder="1" applyAlignment="1">
      <alignment horizontal="center"/>
    </xf>
    <xf numFmtId="0" fontId="31" fillId="4" borderId="1" xfId="0" applyFont="1" applyFill="1" applyBorder="1" applyAlignment="1">
      <alignment horizontal="center"/>
    </xf>
    <xf numFmtId="0" fontId="41" fillId="4" borderId="32" xfId="0" applyFont="1" applyFill="1" applyBorder="1" applyAlignment="1">
      <alignment horizontal="center"/>
    </xf>
    <xf numFmtId="0" fontId="41" fillId="4" borderId="4" xfId="0" applyFont="1" applyFill="1" applyBorder="1" applyAlignment="1">
      <alignment horizontal="center"/>
    </xf>
    <xf numFmtId="0" fontId="41" fillId="4" borderId="29" xfId="0" applyFont="1" applyFill="1" applyBorder="1" applyAlignment="1">
      <alignment horizontal="center"/>
    </xf>
    <xf numFmtId="0" fontId="38" fillId="7" borderId="21" xfId="0" applyFont="1" applyFill="1" applyBorder="1" applyAlignment="1">
      <alignment horizontal="center"/>
    </xf>
    <xf numFmtId="0" fontId="38" fillId="0" borderId="43" xfId="0" applyFont="1" applyBorder="1" applyAlignment="1">
      <alignment horizontal="center"/>
    </xf>
    <xf numFmtId="167" fontId="15" fillId="0" borderId="1" xfId="1" applyNumberFormat="1" applyFont="1" applyBorder="1"/>
    <xf numFmtId="167" fontId="15" fillId="0" borderId="12" xfId="1" applyNumberFormat="1" applyFont="1" applyBorder="1"/>
    <xf numFmtId="167" fontId="15" fillId="0" borderId="0" xfId="1" applyNumberFormat="1" applyFont="1" applyBorder="1"/>
    <xf numFmtId="0" fontId="14" fillId="0" borderId="37" xfId="0" applyFont="1" applyBorder="1" applyAlignment="1">
      <alignment horizontal="center"/>
    </xf>
    <xf numFmtId="0" fontId="34" fillId="0" borderId="23" xfId="0" applyFont="1" applyBorder="1" applyAlignment="1">
      <alignment horizontal="center"/>
    </xf>
    <xf numFmtId="0" fontId="41" fillId="0" borderId="32" xfId="0" applyFont="1" applyBorder="1" applyAlignment="1">
      <alignment horizontal="center"/>
    </xf>
    <xf numFmtId="0" fontId="35" fillId="0" borderId="32" xfId="0" applyFont="1" applyBorder="1" applyAlignment="1">
      <alignment horizontal="center"/>
    </xf>
    <xf numFmtId="0" fontId="34" fillId="0" borderId="32" xfId="0" applyFont="1" applyBorder="1" applyAlignment="1">
      <alignment horizontal="center"/>
    </xf>
    <xf numFmtId="0" fontId="38" fillId="0" borderId="24" xfId="0" applyFont="1" applyBorder="1" applyAlignment="1">
      <alignment horizontal="center"/>
    </xf>
    <xf numFmtId="0" fontId="42" fillId="10" borderId="10" xfId="0" applyFont="1" applyFill="1" applyBorder="1" applyAlignment="1">
      <alignment horizontal="center"/>
    </xf>
    <xf numFmtId="0" fontId="41" fillId="4" borderId="0" xfId="0" applyFont="1" applyFill="1" applyAlignment="1">
      <alignment horizontal="center"/>
    </xf>
    <xf numFmtId="0" fontId="10" fillId="0" borderId="42" xfId="0" applyFont="1" applyBorder="1" applyAlignment="1">
      <alignment horizontal="center"/>
    </xf>
    <xf numFmtId="0" fontId="14" fillId="0" borderId="73" xfId="0" applyFont="1" applyBorder="1" applyAlignment="1">
      <alignment horizontal="center"/>
    </xf>
    <xf numFmtId="0" fontId="58" fillId="0" borderId="23" xfId="0" applyFont="1" applyBorder="1" applyAlignment="1">
      <alignment horizontal="center"/>
    </xf>
    <xf numFmtId="0" fontId="35" fillId="2" borderId="32" xfId="0" applyFont="1" applyFill="1" applyBorder="1" applyAlignment="1">
      <alignment horizontal="center"/>
    </xf>
    <xf numFmtId="9" fontId="42" fillId="8" borderId="76" xfId="0" applyNumberFormat="1" applyFont="1" applyFill="1" applyBorder="1" applyAlignment="1">
      <alignment horizontal="center"/>
    </xf>
    <xf numFmtId="17" fontId="60" fillId="5" borderId="1" xfId="0" applyNumberFormat="1" applyFont="1" applyFill="1" applyBorder="1" applyAlignment="1">
      <alignment horizontal="center"/>
    </xf>
    <xf numFmtId="17" fontId="61" fillId="5" borderId="1" xfId="0" applyNumberFormat="1" applyFont="1" applyFill="1" applyBorder="1" applyAlignment="1">
      <alignment horizontal="center"/>
    </xf>
    <xf numFmtId="0" fontId="38" fillId="7" borderId="1" xfId="0" applyFont="1" applyFill="1" applyBorder="1" applyAlignment="1">
      <alignment horizontal="center"/>
    </xf>
    <xf numFmtId="0" fontId="37" fillId="6" borderId="1" xfId="0" applyFont="1" applyFill="1" applyBorder="1" applyAlignment="1">
      <alignment horizontal="center"/>
    </xf>
    <xf numFmtId="0" fontId="38" fillId="8" borderId="1" xfId="0" applyFont="1" applyFill="1" applyBorder="1" applyAlignment="1">
      <alignment horizontal="center"/>
    </xf>
    <xf numFmtId="2" fontId="38" fillId="2" borderId="1" xfId="0" applyNumberFormat="1" applyFont="1" applyFill="1" applyBorder="1" applyAlignment="1">
      <alignment horizontal="center"/>
    </xf>
    <xf numFmtId="0" fontId="10" fillId="0" borderId="1" xfId="0" applyFont="1" applyBorder="1" applyAlignment="1">
      <alignment horizontal="center"/>
    </xf>
    <xf numFmtId="0" fontId="35" fillId="2" borderId="1" xfId="0" applyFont="1" applyFill="1" applyBorder="1" applyAlignment="1">
      <alignment horizontal="center"/>
    </xf>
    <xf numFmtId="0" fontId="34" fillId="0" borderId="1" xfId="0" applyFont="1" applyBorder="1" applyAlignment="1">
      <alignment horizontal="center"/>
    </xf>
    <xf numFmtId="0" fontId="39" fillId="6" borderId="1" xfId="0" applyFont="1" applyFill="1" applyBorder="1" applyAlignment="1">
      <alignment horizontal="center"/>
    </xf>
    <xf numFmtId="17" fontId="38" fillId="6" borderId="1" xfId="0" applyNumberFormat="1" applyFont="1" applyFill="1" applyBorder="1" applyAlignment="1">
      <alignment horizontal="center"/>
    </xf>
    <xf numFmtId="17" fontId="41" fillId="6" borderId="1" xfId="0" applyNumberFormat="1" applyFont="1" applyFill="1" applyBorder="1" applyAlignment="1">
      <alignment horizontal="center"/>
    </xf>
    <xf numFmtId="10" fontId="38" fillId="8" borderId="1" xfId="0" applyNumberFormat="1" applyFont="1" applyFill="1" applyBorder="1" applyAlignment="1">
      <alignment horizontal="center"/>
    </xf>
    <xf numFmtId="0" fontId="37" fillId="5" borderId="9" xfId="0" applyFont="1" applyFill="1" applyBorder="1" applyAlignment="1">
      <alignment horizontal="center"/>
    </xf>
    <xf numFmtId="0" fontId="38" fillId="7" borderId="10" xfId="0" applyFont="1" applyFill="1" applyBorder="1" applyAlignment="1">
      <alignment horizontal="center"/>
    </xf>
    <xf numFmtId="0" fontId="37" fillId="6" borderId="9" xfId="0" applyFont="1" applyFill="1" applyBorder="1" applyAlignment="1">
      <alignment horizontal="center"/>
    </xf>
    <xf numFmtId="0" fontId="10" fillId="0" borderId="9" xfId="0" applyFont="1" applyBorder="1" applyAlignment="1">
      <alignment horizontal="center"/>
    </xf>
    <xf numFmtId="0" fontId="38" fillId="0" borderId="10" xfId="0" applyFont="1" applyBorder="1" applyAlignment="1">
      <alignment horizontal="center"/>
    </xf>
    <xf numFmtId="0" fontId="39" fillId="6" borderId="9" xfId="0" applyFont="1" applyFill="1" applyBorder="1" applyAlignment="1">
      <alignment horizontal="center"/>
    </xf>
    <xf numFmtId="2" fontId="38" fillId="8" borderId="10" xfId="0" applyNumberFormat="1" applyFont="1" applyFill="1" applyBorder="1" applyAlignment="1">
      <alignment horizontal="center"/>
    </xf>
    <xf numFmtId="10" fontId="38" fillId="8" borderId="10" xfId="0" applyNumberFormat="1" applyFont="1" applyFill="1" applyBorder="1" applyAlignment="1">
      <alignment horizontal="center"/>
    </xf>
    <xf numFmtId="0" fontId="37" fillId="6" borderId="11" xfId="0" applyFont="1" applyFill="1" applyBorder="1" applyAlignment="1">
      <alignment horizontal="center"/>
    </xf>
    <xf numFmtId="10" fontId="34" fillId="0" borderId="12" xfId="0" applyNumberFormat="1" applyFont="1" applyBorder="1" applyAlignment="1">
      <alignment horizontal="center"/>
    </xf>
    <xf numFmtId="171" fontId="42" fillId="8" borderId="13" xfId="0" applyNumberFormat="1" applyFont="1" applyFill="1" applyBorder="1" applyAlignment="1">
      <alignment horizontal="center"/>
    </xf>
    <xf numFmtId="0" fontId="59" fillId="5" borderId="1" xfId="0" applyFont="1" applyFill="1" applyBorder="1" applyAlignment="1">
      <alignment horizontal="center"/>
    </xf>
    <xf numFmtId="17" fontId="36" fillId="5" borderId="1" xfId="0" applyNumberFormat="1" applyFont="1" applyFill="1" applyBorder="1" applyAlignment="1">
      <alignment horizontal="center"/>
    </xf>
    <xf numFmtId="17" fontId="40" fillId="5" borderId="1" xfId="0" applyNumberFormat="1" applyFont="1" applyFill="1" applyBorder="1" applyAlignment="1">
      <alignment horizontal="center"/>
    </xf>
    <xf numFmtId="0" fontId="34" fillId="7" borderId="1" xfId="0" applyFont="1" applyFill="1" applyBorder="1" applyAlignment="1">
      <alignment horizontal="center"/>
    </xf>
    <xf numFmtId="0" fontId="34" fillId="8" borderId="1" xfId="0" applyFont="1" applyFill="1" applyBorder="1" applyAlignment="1">
      <alignment horizontal="center"/>
    </xf>
    <xf numFmtId="166" fontId="38" fillId="4" borderId="1" xfId="0" applyNumberFormat="1" applyFont="1" applyFill="1" applyBorder="1" applyAlignment="1">
      <alignment horizontal="center"/>
    </xf>
    <xf numFmtId="165" fontId="38" fillId="4" borderId="1" xfId="0" applyNumberFormat="1" applyFont="1" applyFill="1" applyBorder="1" applyAlignment="1">
      <alignment horizontal="center"/>
    </xf>
    <xf numFmtId="9" fontId="38" fillId="8" borderId="1" xfId="0" applyNumberFormat="1" applyFont="1" applyFill="1" applyBorder="1" applyAlignment="1">
      <alignment horizontal="center"/>
    </xf>
    <xf numFmtId="9" fontId="42" fillId="8" borderId="1" xfId="0" applyNumberFormat="1" applyFont="1" applyFill="1" applyBorder="1" applyAlignment="1">
      <alignment horizontal="center"/>
    </xf>
    <xf numFmtId="0" fontId="11" fillId="8" borderId="1" xfId="0" applyFont="1" applyFill="1" applyBorder="1" applyAlignment="1">
      <alignment horizontal="center"/>
    </xf>
    <xf numFmtId="0" fontId="63" fillId="4" borderId="1" xfId="0" applyFont="1" applyFill="1" applyBorder="1" applyAlignment="1">
      <alignment horizontal="left"/>
    </xf>
    <xf numFmtId="0" fontId="27" fillId="0" borderId="1" xfId="0" applyFont="1" applyBorder="1" applyAlignment="1">
      <alignment horizontal="center"/>
    </xf>
    <xf numFmtId="0" fontId="17" fillId="0" borderId="1" xfId="0" applyFont="1" applyBorder="1" applyAlignment="1">
      <alignment horizontal="left"/>
    </xf>
    <xf numFmtId="0" fontId="26" fillId="0" borderId="1" xfId="0" applyFont="1" applyBorder="1" applyAlignment="1">
      <alignment horizontal="center"/>
    </xf>
    <xf numFmtId="0" fontId="11" fillId="0" borderId="1" xfId="0" applyFont="1" applyBorder="1" applyAlignment="1">
      <alignment horizontal="center"/>
    </xf>
    <xf numFmtId="17" fontId="30" fillId="6" borderId="1" xfId="0" applyNumberFormat="1" applyFont="1" applyFill="1" applyBorder="1" applyAlignment="1">
      <alignment horizontal="center"/>
    </xf>
    <xf numFmtId="17" fontId="63" fillId="6" borderId="1" xfId="0" applyNumberFormat="1" applyFont="1" applyFill="1" applyBorder="1" applyAlignment="1">
      <alignment horizontal="left"/>
    </xf>
    <xf numFmtId="0" fontId="30" fillId="0" borderId="1" xfId="0" applyFont="1" applyBorder="1" applyAlignment="1">
      <alignment horizontal="center"/>
    </xf>
    <xf numFmtId="10" fontId="63" fillId="0" borderId="1" xfId="0" applyNumberFormat="1" applyFont="1" applyBorder="1" applyAlignment="1">
      <alignment horizontal="left"/>
    </xf>
    <xf numFmtId="10" fontId="30" fillId="0" borderId="1" xfId="0" applyNumberFormat="1" applyFont="1" applyBorder="1" applyAlignment="1">
      <alignment horizontal="center"/>
    </xf>
    <xf numFmtId="10" fontId="31" fillId="0" borderId="1" xfId="0" applyNumberFormat="1" applyFont="1" applyBorder="1" applyAlignment="1">
      <alignment horizontal="center"/>
    </xf>
    <xf numFmtId="9" fontId="11" fillId="8" borderId="1" xfId="0" applyNumberFormat="1" applyFont="1" applyFill="1" applyBorder="1" applyAlignment="1">
      <alignment horizontal="center"/>
    </xf>
    <xf numFmtId="0" fontId="29" fillId="5" borderId="6" xfId="0" applyFont="1" applyFill="1" applyBorder="1" applyAlignment="1">
      <alignment horizontal="center"/>
    </xf>
    <xf numFmtId="17" fontId="30" fillId="5" borderId="7" xfId="0" applyNumberFormat="1" applyFont="1" applyFill="1" applyBorder="1" applyAlignment="1">
      <alignment horizontal="center"/>
    </xf>
    <xf numFmtId="17" fontId="63" fillId="5" borderId="7" xfId="0" applyNumberFormat="1" applyFont="1" applyFill="1" applyBorder="1" applyAlignment="1">
      <alignment horizontal="left"/>
    </xf>
    <xf numFmtId="0" fontId="11" fillId="7" borderId="7" xfId="0" applyFont="1" applyFill="1" applyBorder="1" applyAlignment="1">
      <alignment horizontal="center"/>
    </xf>
    <xf numFmtId="0" fontId="38" fillId="7" borderId="8" xfId="0" applyFont="1" applyFill="1" applyBorder="1" applyAlignment="1">
      <alignment horizontal="center"/>
    </xf>
    <xf numFmtId="0" fontId="28" fillId="2" borderId="9" xfId="0" applyFont="1" applyFill="1" applyBorder="1" applyAlignment="1">
      <alignment horizontal="center"/>
    </xf>
    <xf numFmtId="0" fontId="42" fillId="8" borderId="10" xfId="0" applyFont="1" applyFill="1" applyBorder="1" applyAlignment="1">
      <alignment horizontal="center"/>
    </xf>
    <xf numFmtId="0" fontId="17" fillId="0" borderId="9" xfId="0" applyFont="1" applyBorder="1" applyAlignment="1">
      <alignment horizontal="center"/>
    </xf>
    <xf numFmtId="0" fontId="12" fillId="0" borderId="10" xfId="0" applyFont="1" applyBorder="1" applyAlignment="1">
      <alignment horizontal="center"/>
    </xf>
    <xf numFmtId="0" fontId="32" fillId="6" borderId="9" xfId="0" applyFont="1" applyFill="1" applyBorder="1" applyAlignment="1">
      <alignment horizontal="center"/>
    </xf>
    <xf numFmtId="10" fontId="12" fillId="8" borderId="10" xfId="0" applyNumberFormat="1" applyFont="1" applyFill="1" applyBorder="1" applyAlignment="1">
      <alignment horizontal="center"/>
    </xf>
    <xf numFmtId="0" fontId="29" fillId="6" borderId="11" xfId="0" applyFont="1" applyFill="1" applyBorder="1" applyAlignment="1">
      <alignment horizontal="center"/>
    </xf>
    <xf numFmtId="10" fontId="11" fillId="8" borderId="12" xfId="0" applyNumberFormat="1" applyFont="1" applyFill="1" applyBorder="1" applyAlignment="1">
      <alignment horizontal="center"/>
    </xf>
    <xf numFmtId="17" fontId="48" fillId="0" borderId="27" xfId="0" applyNumberFormat="1" applyFont="1" applyBorder="1" applyAlignment="1">
      <alignment horizontal="center"/>
    </xf>
    <xf numFmtId="0" fontId="46" fillId="2" borderId="40" xfId="0" applyFont="1" applyFill="1" applyBorder="1"/>
    <xf numFmtId="1" fontId="44" fillId="0" borderId="54" xfId="0" applyNumberFormat="1" applyFont="1" applyBorder="1" applyAlignment="1">
      <alignment horizontal="center"/>
    </xf>
    <xf numFmtId="1" fontId="44" fillId="0" borderId="72" xfId="0" applyNumberFormat="1" applyFont="1" applyBorder="1" applyAlignment="1">
      <alignment horizontal="center"/>
    </xf>
    <xf numFmtId="1" fontId="44" fillId="0" borderId="10" xfId="0" applyNumberFormat="1" applyFont="1" applyBorder="1" applyAlignment="1">
      <alignment horizontal="center"/>
    </xf>
    <xf numFmtId="10" fontId="44" fillId="0" borderId="10" xfId="0" applyNumberFormat="1" applyFont="1" applyBorder="1" applyAlignment="1">
      <alignment horizontal="center"/>
    </xf>
    <xf numFmtId="2" fontId="41" fillId="4" borderId="4" xfId="0" applyNumberFormat="1" applyFont="1" applyFill="1" applyBorder="1" applyAlignment="1">
      <alignment horizontal="center"/>
    </xf>
    <xf numFmtId="1" fontId="41" fillId="0" borderId="1" xfId="0" applyNumberFormat="1" applyFont="1" applyBorder="1" applyAlignment="1">
      <alignment horizontal="center"/>
    </xf>
    <xf numFmtId="10" fontId="41" fillId="0" borderId="1" xfId="0" applyNumberFormat="1" applyFont="1" applyBorder="1" applyAlignment="1">
      <alignment horizontal="center"/>
    </xf>
    <xf numFmtId="10" fontId="41" fillId="8" borderId="1" xfId="0" applyNumberFormat="1" applyFont="1" applyFill="1" applyBorder="1" applyAlignment="1">
      <alignment horizontal="center"/>
    </xf>
    <xf numFmtId="17" fontId="43" fillId="5" borderId="24" xfId="0" applyNumberFormat="1" applyFont="1" applyFill="1" applyBorder="1" applyAlignment="1">
      <alignment horizontal="center"/>
    </xf>
    <xf numFmtId="0" fontId="41" fillId="8" borderId="1" xfId="0" applyFont="1" applyFill="1" applyBorder="1" applyAlignment="1">
      <alignment horizontal="center"/>
    </xf>
    <xf numFmtId="2" fontId="31" fillId="4" borderId="37" xfId="0" applyNumberFormat="1" applyFont="1" applyFill="1" applyBorder="1" applyAlignment="1">
      <alignment horizontal="center"/>
    </xf>
    <xf numFmtId="2" fontId="31" fillId="4" borderId="31" xfId="0" applyNumberFormat="1" applyFont="1" applyFill="1" applyBorder="1" applyAlignment="1">
      <alignment horizontal="center"/>
    </xf>
    <xf numFmtId="0" fontId="31" fillId="4" borderId="31" xfId="0" applyFont="1" applyFill="1" applyBorder="1" applyAlignment="1">
      <alignment horizontal="center"/>
    </xf>
    <xf numFmtId="2" fontId="31" fillId="4" borderId="55" xfId="0" applyNumberFormat="1" applyFont="1" applyFill="1" applyBorder="1" applyAlignment="1">
      <alignment horizontal="center"/>
    </xf>
    <xf numFmtId="17" fontId="31" fillId="6" borderId="27" xfId="0" applyNumberFormat="1" applyFont="1" applyFill="1" applyBorder="1" applyAlignment="1">
      <alignment horizontal="center"/>
    </xf>
    <xf numFmtId="0" fontId="11" fillId="8" borderId="17" xfId="0" applyFont="1" applyFill="1" applyBorder="1" applyAlignment="1">
      <alignment horizontal="center"/>
    </xf>
    <xf numFmtId="0" fontId="12" fillId="8" borderId="68" xfId="0" applyFont="1" applyFill="1" applyBorder="1" applyAlignment="1">
      <alignment horizontal="center"/>
    </xf>
    <xf numFmtId="164" fontId="0" fillId="0" borderId="5" xfId="1" applyFont="1" applyBorder="1"/>
    <xf numFmtId="166" fontId="8" fillId="2" borderId="2" xfId="0" applyNumberFormat="1" applyFont="1" applyFill="1" applyBorder="1" applyAlignment="1">
      <alignment horizontal="center" vertical="center"/>
    </xf>
    <xf numFmtId="168" fontId="3" fillId="2" borderId="1" xfId="1" applyNumberFormat="1" applyFont="1" applyFill="1" applyBorder="1" applyAlignment="1"/>
    <xf numFmtId="168" fontId="3" fillId="2" borderId="1" xfId="3" applyNumberFormat="1" applyFont="1" applyFill="1" applyBorder="1"/>
    <xf numFmtId="0" fontId="2" fillId="2" borderId="4" xfId="3" applyFont="1" applyFill="1" applyBorder="1" applyAlignment="1">
      <alignment horizontal="center"/>
    </xf>
    <xf numFmtId="166" fontId="1" fillId="0" borderId="1" xfId="3" applyNumberFormat="1" applyBorder="1"/>
    <xf numFmtId="0" fontId="2" fillId="0" borderId="1" xfId="3" applyFont="1" applyBorder="1" applyAlignment="1">
      <alignment horizontal="center"/>
    </xf>
    <xf numFmtId="0" fontId="1" fillId="0" borderId="20" xfId="10" applyBorder="1"/>
    <xf numFmtId="0" fontId="1" fillId="0" borderId="20" xfId="9" applyBorder="1"/>
    <xf numFmtId="0" fontId="0" fillId="0" borderId="20" xfId="0" applyBorder="1"/>
    <xf numFmtId="166" fontId="0" fillId="0" borderId="20" xfId="0" applyNumberFormat="1" applyBorder="1"/>
    <xf numFmtId="164" fontId="0" fillId="0" borderId="20" xfId="1" applyFont="1" applyBorder="1"/>
    <xf numFmtId="17" fontId="2" fillId="0" borderId="77" xfId="9" applyNumberFormat="1" applyFont="1" applyBorder="1" applyAlignment="1">
      <alignment horizontal="center"/>
    </xf>
    <xf numFmtId="0" fontId="1" fillId="0" borderId="33" xfId="9" applyBorder="1"/>
    <xf numFmtId="0" fontId="1" fillId="0" borderId="34" xfId="9" applyBorder="1"/>
    <xf numFmtId="1" fontId="1" fillId="0" borderId="34" xfId="9" applyNumberFormat="1" applyBorder="1"/>
    <xf numFmtId="0" fontId="1" fillId="0" borderId="77" xfId="9" applyBorder="1"/>
    <xf numFmtId="0" fontId="1" fillId="0" borderId="73" xfId="9" applyBorder="1"/>
    <xf numFmtId="0" fontId="2" fillId="0" borderId="58" xfId="0" applyFont="1" applyBorder="1"/>
    <xf numFmtId="17" fontId="64" fillId="0" borderId="18" xfId="9" applyNumberFormat="1" applyFont="1" applyBorder="1" applyAlignment="1">
      <alignment horizontal="center"/>
    </xf>
    <xf numFmtId="166" fontId="46" fillId="2" borderId="2" xfId="0" applyNumberFormat="1" applyFont="1" applyFill="1" applyBorder="1"/>
    <xf numFmtId="0" fontId="0" fillId="0" borderId="52" xfId="0" applyBorder="1" applyAlignment="1">
      <alignment horizontal="center"/>
    </xf>
    <xf numFmtId="166" fontId="47" fillId="0" borderId="2" xfId="0" applyNumberFormat="1" applyFont="1" applyBorder="1" applyAlignment="1">
      <alignment horizontal="center"/>
    </xf>
    <xf numFmtId="166" fontId="46" fillId="0" borderId="2" xfId="0" applyNumberFormat="1" applyFont="1" applyBorder="1" applyAlignment="1">
      <alignment horizontal="center"/>
    </xf>
    <xf numFmtId="166" fontId="47" fillId="2" borderId="2" xfId="0" applyNumberFormat="1" applyFont="1" applyFill="1" applyBorder="1" applyAlignment="1">
      <alignment horizontal="center"/>
    </xf>
    <xf numFmtId="166" fontId="46" fillId="2" borderId="2" xfId="0" applyNumberFormat="1" applyFont="1" applyFill="1" applyBorder="1" applyAlignment="1">
      <alignment horizontal="center"/>
    </xf>
    <xf numFmtId="0" fontId="7" fillId="0" borderId="4" xfId="0" applyFont="1" applyBorder="1" applyAlignment="1">
      <alignment horizontal="center"/>
    </xf>
    <xf numFmtId="1" fontId="7" fillId="0" borderId="15" xfId="0" applyNumberFormat="1" applyFont="1" applyBorder="1" applyAlignment="1">
      <alignment horizontal="center"/>
    </xf>
    <xf numFmtId="0" fontId="65" fillId="4" borderId="12" xfId="9" applyFont="1" applyFill="1" applyBorder="1" applyAlignment="1">
      <alignment horizontal="center" vertical="center"/>
    </xf>
  </cellXfs>
  <cellStyles count="18">
    <cellStyle name="Comma" xfId="1" builtinId="3"/>
    <cellStyle name="Comma 10" xfId="4" xr:uid="{32AB1D91-0110-44D3-AA92-EE1B3BC48605}"/>
    <cellStyle name="Comma 5 3 3 3 2 2 3 2" xfId="8" xr:uid="{04E257E8-BC6B-4334-812C-123F0B201373}"/>
    <cellStyle name="Comma 5 3 3 3 2 2 4" xfId="6" xr:uid="{A1A1F822-BDEE-4F0E-9975-A3E9BAB60565}"/>
    <cellStyle name="Comma 5 3 3 3 3 2 3 2" xfId="17" xr:uid="{761B8B86-3AA7-4907-925A-B44CE2443ABB}"/>
    <cellStyle name="Comma 7 2 4" xfId="5" xr:uid="{268AB9AB-D906-4A7F-95E6-382F72B30E33}"/>
    <cellStyle name="Normal" xfId="0" builtinId="0"/>
    <cellStyle name="Normal 10 2 3 2" xfId="11" xr:uid="{5064D14B-C216-477F-97C3-F61363FF0678}"/>
    <cellStyle name="Normal 10 2 4" xfId="2" xr:uid="{0CF0CE59-39EA-47EC-9FAB-0B9D8AC56538}"/>
    <cellStyle name="Normal 7 2 2 2 2 2 2 3 2" xfId="15" xr:uid="{60FFD6B5-B351-4D8D-8632-9AF34B97AFA7}"/>
    <cellStyle name="Normal 7 2 2 3 2 2 3 2" xfId="14" xr:uid="{F5881BF0-1EAB-4B99-803A-1CF3406FD0A4}"/>
    <cellStyle name="Normal 7 2 3 3 2 2 3 2" xfId="13" xr:uid="{6866621E-DF69-4EAF-BBE1-2F596CABF0A3}"/>
    <cellStyle name="Normal 8 3 3 2 2 3 2" xfId="7" xr:uid="{0393903A-0216-47C2-95B6-EDAF7A3AADAC}"/>
    <cellStyle name="Normal 8 3 3 2 2 4" xfId="3" xr:uid="{49628268-1397-4E66-ADE1-FFA56BE0B4A7}"/>
    <cellStyle name="Normal 8 3 3 3 2 3 2" xfId="16" xr:uid="{2BD09E9C-F3E5-4479-8419-1900F0840806}"/>
    <cellStyle name="Normal 9 2 2 2 3 3 2" xfId="10" xr:uid="{98144FA1-97F2-4B76-8219-9EFC18613D03}"/>
    <cellStyle name="Normal 9 2 3 3 3 2" xfId="9" xr:uid="{7D854EB7-0FD1-4FA6-A02D-14EC1BA3AD95}"/>
    <cellStyle name="Normal 9 3 3 2 2 3 2" xfId="12" xr:uid="{CE1996BF-25A2-4286-8F89-90B17A76CFA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26.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externalLink" Target="externalLinks/externalLink47.xml"/><Relationship Id="rId159" Type="http://schemas.openxmlformats.org/officeDocument/2006/relationships/externalLink" Target="externalLinks/externalLink68.xml"/><Relationship Id="rId107" Type="http://schemas.openxmlformats.org/officeDocument/2006/relationships/externalLink" Target="externalLinks/externalLink16.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37.xml"/><Relationship Id="rId149" Type="http://schemas.openxmlformats.org/officeDocument/2006/relationships/externalLink" Target="externalLinks/externalLink58.xml"/><Relationship Id="rId5" Type="http://schemas.openxmlformats.org/officeDocument/2006/relationships/worksheet" Target="worksheets/sheet5.xml"/><Relationship Id="rId95" Type="http://schemas.openxmlformats.org/officeDocument/2006/relationships/externalLink" Target="externalLinks/externalLink4.xml"/><Relationship Id="rId160" Type="http://schemas.openxmlformats.org/officeDocument/2006/relationships/theme" Target="theme/theme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externalLink" Target="externalLinks/externalLink27.xml"/><Relationship Id="rId139" Type="http://schemas.openxmlformats.org/officeDocument/2006/relationships/externalLink" Target="externalLinks/externalLink48.xml"/><Relationship Id="rId85" Type="http://schemas.openxmlformats.org/officeDocument/2006/relationships/worksheet" Target="worksheets/sheet85.xml"/><Relationship Id="rId150" Type="http://schemas.openxmlformats.org/officeDocument/2006/relationships/externalLink" Target="externalLinks/externalLink5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12.xml"/><Relationship Id="rId108" Type="http://schemas.openxmlformats.org/officeDocument/2006/relationships/externalLink" Target="externalLinks/externalLink17.xml"/><Relationship Id="rId124" Type="http://schemas.openxmlformats.org/officeDocument/2006/relationships/externalLink" Target="externalLinks/externalLink33.xml"/><Relationship Id="rId129" Type="http://schemas.openxmlformats.org/officeDocument/2006/relationships/externalLink" Target="externalLinks/externalLink3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externalLink" Target="externalLinks/externalLink5.xml"/><Relationship Id="rId140" Type="http://schemas.openxmlformats.org/officeDocument/2006/relationships/externalLink" Target="externalLinks/externalLink49.xml"/><Relationship Id="rId145" Type="http://schemas.openxmlformats.org/officeDocument/2006/relationships/externalLink" Target="externalLinks/externalLink54.xml"/><Relationship Id="rId161" Type="http://schemas.openxmlformats.org/officeDocument/2006/relationships/styles" Target="styles.xml"/><Relationship Id="rId16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23.xml"/><Relationship Id="rId119" Type="http://schemas.openxmlformats.org/officeDocument/2006/relationships/externalLink" Target="externalLinks/externalLink28.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externalLink" Target="externalLinks/externalLink39.xml"/><Relationship Id="rId135" Type="http://schemas.openxmlformats.org/officeDocument/2006/relationships/externalLink" Target="externalLinks/externalLink44.xml"/><Relationship Id="rId151" Type="http://schemas.openxmlformats.org/officeDocument/2006/relationships/externalLink" Target="externalLinks/externalLink60.xml"/><Relationship Id="rId156" Type="http://schemas.openxmlformats.org/officeDocument/2006/relationships/externalLink" Target="externalLinks/externalLink6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1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6.xml"/><Relationship Id="rId104" Type="http://schemas.openxmlformats.org/officeDocument/2006/relationships/externalLink" Target="externalLinks/externalLink13.xml"/><Relationship Id="rId120" Type="http://schemas.openxmlformats.org/officeDocument/2006/relationships/externalLink" Target="externalLinks/externalLink29.xml"/><Relationship Id="rId125" Type="http://schemas.openxmlformats.org/officeDocument/2006/relationships/externalLink" Target="externalLinks/externalLink34.xml"/><Relationship Id="rId141" Type="http://schemas.openxmlformats.org/officeDocument/2006/relationships/externalLink" Target="externalLinks/externalLink50.xml"/><Relationship Id="rId146" Type="http://schemas.openxmlformats.org/officeDocument/2006/relationships/externalLink" Target="externalLinks/externalLink5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19.xml"/><Relationship Id="rId115" Type="http://schemas.openxmlformats.org/officeDocument/2006/relationships/externalLink" Target="externalLinks/externalLink24.xml"/><Relationship Id="rId131" Type="http://schemas.openxmlformats.org/officeDocument/2006/relationships/externalLink" Target="externalLinks/externalLink40.xml"/><Relationship Id="rId136" Type="http://schemas.openxmlformats.org/officeDocument/2006/relationships/externalLink" Target="externalLinks/externalLink45.xml"/><Relationship Id="rId157" Type="http://schemas.openxmlformats.org/officeDocument/2006/relationships/externalLink" Target="externalLinks/externalLink6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9.xml"/><Relationship Id="rId105" Type="http://schemas.openxmlformats.org/officeDocument/2006/relationships/externalLink" Target="externalLinks/externalLink14.xml"/><Relationship Id="rId126" Type="http://schemas.openxmlformats.org/officeDocument/2006/relationships/externalLink" Target="externalLinks/externalLink35.xml"/><Relationship Id="rId147" Type="http://schemas.openxmlformats.org/officeDocument/2006/relationships/externalLink" Target="externalLinks/externalLink5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xml"/><Relationship Id="rId98" Type="http://schemas.openxmlformats.org/officeDocument/2006/relationships/externalLink" Target="externalLinks/externalLink7.xml"/><Relationship Id="rId121" Type="http://schemas.openxmlformats.org/officeDocument/2006/relationships/externalLink" Target="externalLinks/externalLink30.xml"/><Relationship Id="rId142" Type="http://schemas.openxmlformats.org/officeDocument/2006/relationships/externalLink" Target="externalLinks/externalLink51.xml"/><Relationship Id="rId163"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25.xml"/><Relationship Id="rId137" Type="http://schemas.openxmlformats.org/officeDocument/2006/relationships/externalLink" Target="externalLinks/externalLink46.xml"/><Relationship Id="rId158" Type="http://schemas.openxmlformats.org/officeDocument/2006/relationships/externalLink" Target="externalLinks/externalLink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externalLink" Target="externalLinks/externalLink20.xml"/><Relationship Id="rId132" Type="http://schemas.openxmlformats.org/officeDocument/2006/relationships/externalLink" Target="externalLinks/externalLink41.xml"/><Relationship Id="rId153" Type="http://schemas.openxmlformats.org/officeDocument/2006/relationships/externalLink" Target="externalLinks/externalLink6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15.xml"/><Relationship Id="rId12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3.xml"/><Relationship Id="rId99" Type="http://schemas.openxmlformats.org/officeDocument/2006/relationships/externalLink" Target="externalLinks/externalLink8.xml"/><Relationship Id="rId101" Type="http://schemas.openxmlformats.org/officeDocument/2006/relationships/externalLink" Target="externalLinks/externalLink10.xml"/><Relationship Id="rId122" Type="http://schemas.openxmlformats.org/officeDocument/2006/relationships/externalLink" Target="externalLinks/externalLink31.xml"/><Relationship Id="rId143" Type="http://schemas.openxmlformats.org/officeDocument/2006/relationships/externalLink" Target="externalLinks/externalLink52.xml"/><Relationship Id="rId148" Type="http://schemas.openxmlformats.org/officeDocument/2006/relationships/externalLink" Target="externalLinks/externalLink57.xml"/><Relationship Id="rId16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externalLink" Target="externalLinks/externalLink21.xml"/><Relationship Id="rId133" Type="http://schemas.openxmlformats.org/officeDocument/2006/relationships/externalLink" Target="externalLinks/externalLink42.xml"/><Relationship Id="rId154" Type="http://schemas.openxmlformats.org/officeDocument/2006/relationships/externalLink" Target="externalLinks/externalLink6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11.xml"/><Relationship Id="rId123" Type="http://schemas.openxmlformats.org/officeDocument/2006/relationships/externalLink" Target="externalLinks/externalLink32.xml"/><Relationship Id="rId144" Type="http://schemas.openxmlformats.org/officeDocument/2006/relationships/externalLink" Target="externalLinks/externalLink53.xml"/><Relationship Id="rId90" Type="http://schemas.openxmlformats.org/officeDocument/2006/relationships/worksheet" Target="worksheets/sheet90.xml"/><Relationship Id="rId165" Type="http://schemas.openxmlformats.org/officeDocument/2006/relationships/customXml" Target="../customXml/item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externalLink" Target="externalLinks/externalLink22.xml"/><Relationship Id="rId134" Type="http://schemas.openxmlformats.org/officeDocument/2006/relationships/externalLink" Target="externalLinks/externalLink43.xml"/><Relationship Id="rId80" Type="http://schemas.openxmlformats.org/officeDocument/2006/relationships/worksheet" Target="worksheets/sheet80.xml"/><Relationship Id="rId155" Type="http://schemas.openxmlformats.org/officeDocument/2006/relationships/externalLink" Target="externalLinks/externalLink6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Combined Avg CDM - Actual vs Budgeted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'Combined Avg CDM actual vs  (7)'!$A$21</c:f>
              <c:strCache>
                <c:ptCount val="1"/>
                <c:pt idx="0">
                  <c:v>FY26 - Avg CDM to Colcom</c:v>
                </c:pt>
              </c:strCache>
            </c:strRef>
          </c:tx>
          <c:spPr>
            <a:ln w="28575" cap="rnd">
              <a:solidFill>
                <a:schemeClr val="accent1"/>
              </a:solidFill>
              <a:round/>
            </a:ln>
            <a:effectLst/>
          </c:spPr>
          <c:marker>
            <c:symbol val="none"/>
          </c:marker>
          <c:cat>
            <c:numRef>
              <c:f>'Combined Avg CDM actual vs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Avg CDM actual vs  (7)'!$B$21:$M$21</c:f>
              <c:numCache>
                <c:formatCode>_-* #,##0.0_-;\-* #,##0.0_-;_-* "-"??_-;_-@_-</c:formatCode>
                <c:ptCount val="12"/>
                <c:pt idx="0">
                  <c:v>95.685859381151104</c:v>
                </c:pt>
                <c:pt idx="1">
                  <c:v>95.072220454906955</c:v>
                </c:pt>
                <c:pt idx="2">
                  <c:v>92.526226890240153</c:v>
                </c:pt>
                <c:pt idx="3">
                  <c:v>91.462908556738896</c:v>
                </c:pt>
                <c:pt idx="4">
                  <c:v>90.962206810566514</c:v>
                </c:pt>
                <c:pt idx="5">
                  <c:v>90.748737995567609</c:v>
                </c:pt>
                <c:pt idx="6">
                  <c:v>92.946091603053432</c:v>
                </c:pt>
                <c:pt idx="7">
                  <c:v>92.253641753897952</c:v>
                </c:pt>
                <c:pt idx="8">
                  <c:v>91.085258338044099</c:v>
                </c:pt>
                <c:pt idx="9">
                  <c:v>92.810121293800535</c:v>
                </c:pt>
                <c:pt idx="10">
                  <c:v>92.961588816911032</c:v>
                </c:pt>
                <c:pt idx="11">
                  <c:v>93.757083333333355</c:v>
                </c:pt>
              </c:numCache>
            </c:numRef>
          </c:val>
          <c:smooth val="0"/>
          <c:extLst>
            <c:ext xmlns:c16="http://schemas.microsoft.com/office/drawing/2014/chart" uri="{C3380CC4-5D6E-409C-BE32-E72D297353CC}">
              <c16:uniqueId val="{00000000-9E2E-44F4-AC2B-127D30AD0E40}"/>
            </c:ext>
          </c:extLst>
        </c:ser>
        <c:ser>
          <c:idx val="1"/>
          <c:order val="1"/>
          <c:tx>
            <c:strRef>
              <c:f>'Combined Avg CDM actual vs  (7)'!$A$22</c:f>
              <c:strCache>
                <c:ptCount val="1"/>
                <c:pt idx="0">
                  <c:v>Budgeted to colcom</c:v>
                </c:pt>
              </c:strCache>
            </c:strRef>
          </c:tx>
          <c:spPr>
            <a:ln w="28575" cap="rnd">
              <a:solidFill>
                <a:schemeClr val="accent2"/>
              </a:solidFill>
              <a:round/>
            </a:ln>
            <a:effectLst/>
          </c:spPr>
          <c:marker>
            <c:symbol val="none"/>
          </c:marker>
          <c:cat>
            <c:numRef>
              <c:f>'Combined Avg CDM actual vs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Avg CDM actual vs  (7)'!$B$22:$M$22</c:f>
              <c:numCache>
                <c:formatCode>_-* #,##0.0_-;\-* #,##0.0_-;_-* "-"??_-;_-@_-</c:formatCode>
                <c:ptCount val="12"/>
                <c:pt idx="0">
                  <c:v>92.897181623604013</c:v>
                </c:pt>
                <c:pt idx="1">
                  <c:v>92.925316321950049</c:v>
                </c:pt>
                <c:pt idx="2">
                  <c:v>90.603960164036309</c:v>
                </c:pt>
                <c:pt idx="3">
                  <c:v>90.596891963561703</c:v>
                </c:pt>
                <c:pt idx="4">
                  <c:v>90.613819771250121</c:v>
                </c:pt>
                <c:pt idx="5">
                  <c:v>90.62354036964345</c:v>
                </c:pt>
                <c:pt idx="6">
                  <c:v>90.597443335374564</c:v>
                </c:pt>
                <c:pt idx="7">
                  <c:v>90.568708477912281</c:v>
                </c:pt>
                <c:pt idx="8">
                  <c:v>90.493989378209207</c:v>
                </c:pt>
                <c:pt idx="9">
                  <c:v>92.766565530291388</c:v>
                </c:pt>
                <c:pt idx="10">
                  <c:v>92.766565530291388</c:v>
                </c:pt>
                <c:pt idx="11">
                  <c:v>92.776936096261167</c:v>
                </c:pt>
              </c:numCache>
            </c:numRef>
          </c:val>
          <c:smooth val="0"/>
          <c:extLst>
            <c:ext xmlns:c16="http://schemas.microsoft.com/office/drawing/2014/chart" uri="{C3380CC4-5D6E-409C-BE32-E72D297353CC}">
              <c16:uniqueId val="{00000001-9E2E-44F4-AC2B-127D30AD0E40}"/>
            </c:ext>
          </c:extLst>
        </c:ser>
        <c:ser>
          <c:idx val="2"/>
          <c:order val="2"/>
          <c:tx>
            <c:strRef>
              <c:f>'Combined Avg CDM actual vs  (7)'!$A$23</c:f>
              <c:strCache>
                <c:ptCount val="1"/>
                <c:pt idx="0">
                  <c:v>Fy 25</c:v>
                </c:pt>
              </c:strCache>
            </c:strRef>
          </c:tx>
          <c:spPr>
            <a:ln w="28575" cap="rnd">
              <a:solidFill>
                <a:schemeClr val="accent3"/>
              </a:solidFill>
              <a:round/>
            </a:ln>
            <a:effectLst/>
          </c:spPr>
          <c:marker>
            <c:symbol val="none"/>
          </c:marker>
          <c:cat>
            <c:numRef>
              <c:f>'Combined Avg CDM actual vs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Avg CDM actual vs  (7)'!$B$23:$M$23</c:f>
              <c:numCache>
                <c:formatCode>0.0</c:formatCode>
                <c:ptCount val="12"/>
                <c:pt idx="0">
                  <c:v>91.501316831683184</c:v>
                </c:pt>
                <c:pt idx="1">
                  <c:v>95.22675829485668</c:v>
                </c:pt>
                <c:pt idx="2">
                  <c:v>95.959413626771209</c:v>
                </c:pt>
                <c:pt idx="3">
                  <c:v>96.068907467224022</c:v>
                </c:pt>
                <c:pt idx="4">
                  <c:v>94.114944042132976</c:v>
                </c:pt>
                <c:pt idx="5">
                  <c:v>92.134461839530374</c:v>
                </c:pt>
                <c:pt idx="6">
                  <c:v>94.300437187723062</c:v>
                </c:pt>
                <c:pt idx="7">
                  <c:v>93.798979118329441</c:v>
                </c:pt>
                <c:pt idx="8">
                  <c:v>91.336364289821717</c:v>
                </c:pt>
                <c:pt idx="9">
                  <c:v>89.09170510653334</c:v>
                </c:pt>
                <c:pt idx="10">
                  <c:v>90.26374762971902</c:v>
                </c:pt>
                <c:pt idx="11">
                  <c:v>94.9742667363236</c:v>
                </c:pt>
              </c:numCache>
            </c:numRef>
          </c:val>
          <c:smooth val="0"/>
          <c:extLst>
            <c:ext xmlns:c16="http://schemas.microsoft.com/office/drawing/2014/chart" uri="{C3380CC4-5D6E-409C-BE32-E72D297353CC}">
              <c16:uniqueId val="{00000000-D5B9-4738-A6B7-A612BDC7CF00}"/>
            </c:ext>
          </c:extLst>
        </c:ser>
        <c:dLbls>
          <c:showLegendKey val="0"/>
          <c:showVal val="0"/>
          <c:showCatName val="0"/>
          <c:showSerName val="0"/>
          <c:showPercent val="0"/>
          <c:showBubbleSize val="0"/>
        </c:dLbls>
        <c:smooth val="0"/>
        <c:axId val="544568864"/>
        <c:axId val="544565984"/>
      </c:lineChart>
      <c:dateAx>
        <c:axId val="5445688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565984"/>
        <c:crosses val="autoZero"/>
        <c:auto val="1"/>
        <c:lblOffset val="100"/>
        <c:baseTimeUnit val="months"/>
      </c:dateAx>
      <c:valAx>
        <c:axId val="544565984"/>
        <c:scaling>
          <c:orientation val="minMax"/>
          <c:max val="105"/>
          <c:min val="84"/>
        </c:scaling>
        <c:delete val="0"/>
        <c:axPos val="l"/>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568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Combined # of pigs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'Combined pigs sold to colco (7)'!$A$19</c:f>
              <c:strCache>
                <c:ptCount val="1"/>
                <c:pt idx="0">
                  <c:v> FY26 </c:v>
                </c:pt>
              </c:strCache>
            </c:strRef>
          </c:tx>
          <c:spPr>
            <a:ln w="28575" cap="rnd">
              <a:solidFill>
                <a:schemeClr val="accent1"/>
              </a:solidFill>
              <a:round/>
            </a:ln>
            <a:effectLst/>
          </c:spPr>
          <c:marker>
            <c:symbol val="none"/>
          </c:marker>
          <c:cat>
            <c:numRef>
              <c:f>'Combined pigs sold to colco (7)'!$B$18:$M$18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pigs sold to colco (7)'!$B$19:$M$19</c:f>
              <c:numCache>
                <c:formatCode>_-* #,##0_-;\-* #,##0_-;_-* "-"??_-;_-@_-</c:formatCode>
                <c:ptCount val="12"/>
                <c:pt idx="0">
                  <c:v>12702</c:v>
                </c:pt>
                <c:pt idx="1">
                  <c:v>12574</c:v>
                </c:pt>
                <c:pt idx="2">
                  <c:v>16281</c:v>
                </c:pt>
                <c:pt idx="3">
                  <c:v>13615</c:v>
                </c:pt>
                <c:pt idx="4">
                  <c:v>12833</c:v>
                </c:pt>
                <c:pt idx="5">
                  <c:v>16244</c:v>
                </c:pt>
                <c:pt idx="6">
                  <c:v>13100</c:v>
                </c:pt>
                <c:pt idx="7">
                  <c:v>13661</c:v>
                </c:pt>
                <c:pt idx="8">
                  <c:v>17690</c:v>
                </c:pt>
                <c:pt idx="9">
                  <c:v>14840</c:v>
                </c:pt>
                <c:pt idx="10">
                  <c:v>14725</c:v>
                </c:pt>
                <c:pt idx="11">
                  <c:v>19340</c:v>
                </c:pt>
              </c:numCache>
            </c:numRef>
          </c:val>
          <c:smooth val="0"/>
          <c:extLst>
            <c:ext xmlns:c16="http://schemas.microsoft.com/office/drawing/2014/chart" uri="{C3380CC4-5D6E-409C-BE32-E72D297353CC}">
              <c16:uniqueId val="{00000000-25F5-42CC-A394-7CD48880A5D1}"/>
            </c:ext>
          </c:extLst>
        </c:ser>
        <c:ser>
          <c:idx val="1"/>
          <c:order val="1"/>
          <c:tx>
            <c:strRef>
              <c:f>'Combined pigs sold to colco (7)'!$A$20</c:f>
              <c:strCache>
                <c:ptCount val="1"/>
                <c:pt idx="0">
                  <c:v> prior year </c:v>
                </c:pt>
              </c:strCache>
            </c:strRef>
          </c:tx>
          <c:spPr>
            <a:ln w="28575" cap="rnd">
              <a:solidFill>
                <a:schemeClr val="accent2"/>
              </a:solidFill>
              <a:round/>
            </a:ln>
            <a:effectLst/>
          </c:spPr>
          <c:marker>
            <c:symbol val="none"/>
          </c:marker>
          <c:cat>
            <c:numRef>
              <c:f>'Combined pigs sold to colco (7)'!$B$18:$M$18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pigs sold to colco (7)'!$B$20:$M$20</c:f>
              <c:numCache>
                <c:formatCode>_-* #,##0_-;\-* #,##0_-;_-* "-"??_-;_-@_-</c:formatCode>
                <c:ptCount val="12"/>
                <c:pt idx="0">
                  <c:v>10100</c:v>
                </c:pt>
                <c:pt idx="1">
                  <c:v>9313</c:v>
                </c:pt>
                <c:pt idx="2">
                  <c:v>13268</c:v>
                </c:pt>
                <c:pt idx="3">
                  <c:v>10526</c:v>
                </c:pt>
                <c:pt idx="4">
                  <c:v>10633</c:v>
                </c:pt>
                <c:pt idx="5">
                  <c:v>12264</c:v>
                </c:pt>
                <c:pt idx="6">
                  <c:v>11208</c:v>
                </c:pt>
                <c:pt idx="7">
                  <c:v>10775</c:v>
                </c:pt>
                <c:pt idx="8">
                  <c:v>13912</c:v>
                </c:pt>
                <c:pt idx="9">
                  <c:v>11022</c:v>
                </c:pt>
                <c:pt idx="10">
                  <c:v>11602</c:v>
                </c:pt>
                <c:pt idx="11">
                  <c:v>13399</c:v>
                </c:pt>
              </c:numCache>
            </c:numRef>
          </c:val>
          <c:smooth val="0"/>
          <c:extLst>
            <c:ext xmlns:c16="http://schemas.microsoft.com/office/drawing/2014/chart" uri="{C3380CC4-5D6E-409C-BE32-E72D297353CC}">
              <c16:uniqueId val="{00000001-25F5-42CC-A394-7CD48880A5D1}"/>
            </c:ext>
          </c:extLst>
        </c:ser>
        <c:ser>
          <c:idx val="2"/>
          <c:order val="2"/>
          <c:tx>
            <c:strRef>
              <c:f>'Combined pigs sold to colco (7)'!$A$21</c:f>
              <c:strCache>
                <c:ptCount val="1"/>
                <c:pt idx="0">
                  <c:v> Budgeted # of pigs </c:v>
                </c:pt>
              </c:strCache>
            </c:strRef>
          </c:tx>
          <c:spPr>
            <a:ln w="28575" cap="rnd">
              <a:solidFill>
                <a:schemeClr val="accent3"/>
              </a:solidFill>
              <a:round/>
            </a:ln>
            <a:effectLst/>
          </c:spPr>
          <c:marker>
            <c:symbol val="none"/>
          </c:marker>
          <c:cat>
            <c:numRef>
              <c:f>'Combined pigs sold to colco (7)'!$B$18:$M$18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pigs sold to colco (7)'!$B$21:$M$21</c:f>
              <c:numCache>
                <c:formatCode>_-* #,##0_-;\-* #,##0_-;_-* "-"??_-;_-@_-</c:formatCode>
                <c:ptCount val="12"/>
                <c:pt idx="0">
                  <c:v>12656.394999999999</c:v>
                </c:pt>
                <c:pt idx="1">
                  <c:v>13012.060000000001</c:v>
                </c:pt>
                <c:pt idx="2">
                  <c:v>16042.489</c:v>
                </c:pt>
                <c:pt idx="3">
                  <c:v>13241.776000000002</c:v>
                </c:pt>
                <c:pt idx="4">
                  <c:v>13202.782000000001</c:v>
                </c:pt>
                <c:pt idx="5">
                  <c:v>16360.742</c:v>
                </c:pt>
                <c:pt idx="6">
                  <c:v>13231.300000000001</c:v>
                </c:pt>
                <c:pt idx="7">
                  <c:v>13356.296</c:v>
                </c:pt>
                <c:pt idx="8">
                  <c:v>17291.66</c:v>
                </c:pt>
                <c:pt idx="9">
                  <c:v>13833.328000000003</c:v>
                </c:pt>
                <c:pt idx="10">
                  <c:v>13833.328000000003</c:v>
                </c:pt>
                <c:pt idx="11">
                  <c:v>17060.024000000001</c:v>
                </c:pt>
              </c:numCache>
            </c:numRef>
          </c:val>
          <c:smooth val="0"/>
          <c:extLst>
            <c:ext xmlns:c16="http://schemas.microsoft.com/office/drawing/2014/chart" uri="{C3380CC4-5D6E-409C-BE32-E72D297353CC}">
              <c16:uniqueId val="{00000002-25F5-42CC-A394-7CD48880A5D1}"/>
            </c:ext>
          </c:extLst>
        </c:ser>
        <c:dLbls>
          <c:showLegendKey val="0"/>
          <c:showVal val="0"/>
          <c:showCatName val="0"/>
          <c:showSerName val="0"/>
          <c:showPercent val="0"/>
          <c:showBubbleSize val="0"/>
        </c:dLbls>
        <c:smooth val="0"/>
        <c:axId val="322278960"/>
        <c:axId val="322275360"/>
      </c:lineChart>
      <c:dateAx>
        <c:axId val="3222789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75360"/>
        <c:crosses val="autoZero"/>
        <c:auto val="1"/>
        <c:lblOffset val="100"/>
        <c:baseTimeUnit val="months"/>
      </c:dateAx>
      <c:valAx>
        <c:axId val="322275360"/>
        <c:scaling>
          <c:orientation val="minMax"/>
          <c:min val="9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7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Budgeted CDM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'Combined total CDM to Colco (7)'!$A$18</c:f>
              <c:strCache>
                <c:ptCount val="1"/>
                <c:pt idx="0">
                  <c:v>FY26</c:v>
                </c:pt>
              </c:strCache>
            </c:strRef>
          </c:tx>
          <c:spPr>
            <a:ln w="28575" cap="rnd">
              <a:solidFill>
                <a:schemeClr val="accent1"/>
              </a:solidFill>
              <a:round/>
            </a:ln>
            <a:effectLst/>
          </c:spPr>
          <c:marker>
            <c:symbol val="none"/>
          </c:marker>
          <c:cat>
            <c:numRef>
              <c:f>'Combined total CDM to Colco (7)'!$B$17:$M$17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total CDM to Colco (7)'!$B$18:$M$18</c:f>
              <c:numCache>
                <c:formatCode>_-* #,##0_-;\-* #,##0_-;_-* "-"??_-;_-@_-</c:formatCode>
                <c:ptCount val="12"/>
                <c:pt idx="0">
                  <c:v>1215463.2000000002</c:v>
                </c:pt>
                <c:pt idx="1">
                  <c:v>1195438.1000000001</c:v>
                </c:pt>
                <c:pt idx="2">
                  <c:v>1506419.5</c:v>
                </c:pt>
                <c:pt idx="3">
                  <c:v>1245267.5</c:v>
                </c:pt>
                <c:pt idx="4">
                  <c:v>1167318</c:v>
                </c:pt>
                <c:pt idx="5">
                  <c:v>1474122.5000000002</c:v>
                </c:pt>
                <c:pt idx="6">
                  <c:v>1217593.8</c:v>
                </c:pt>
                <c:pt idx="7">
                  <c:v>1260277</c:v>
                </c:pt>
                <c:pt idx="8">
                  <c:v>1611298.2200000002</c:v>
                </c:pt>
                <c:pt idx="9">
                  <c:v>1377302.2</c:v>
                </c:pt>
                <c:pt idx="10">
                  <c:v>1368458.2000000002</c:v>
                </c:pt>
                <c:pt idx="11">
                  <c:v>1812956.3000000005</c:v>
                </c:pt>
              </c:numCache>
            </c:numRef>
          </c:val>
          <c:smooth val="0"/>
          <c:extLst>
            <c:ext xmlns:c16="http://schemas.microsoft.com/office/drawing/2014/chart" uri="{C3380CC4-5D6E-409C-BE32-E72D297353CC}">
              <c16:uniqueId val="{00000000-37F3-4326-9802-E8BA5BBA8B64}"/>
            </c:ext>
          </c:extLst>
        </c:ser>
        <c:ser>
          <c:idx val="1"/>
          <c:order val="1"/>
          <c:tx>
            <c:strRef>
              <c:f>'Combined total CDM to Colco (7)'!$A$19</c:f>
              <c:strCache>
                <c:ptCount val="1"/>
                <c:pt idx="0">
                  <c:v>Budgeted (to colcom only)</c:v>
                </c:pt>
              </c:strCache>
            </c:strRef>
          </c:tx>
          <c:spPr>
            <a:ln w="28575" cap="rnd">
              <a:solidFill>
                <a:schemeClr val="accent2"/>
              </a:solidFill>
              <a:round/>
            </a:ln>
            <a:effectLst/>
          </c:spPr>
          <c:marker>
            <c:symbol val="none"/>
          </c:marker>
          <c:cat>
            <c:numRef>
              <c:f>'Combined total CDM to Colco (7)'!$B$17:$M$17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total CDM to Colco (7)'!$B$19:$M$19</c:f>
              <c:numCache>
                <c:formatCode>_-* #,##0_-;\-* #,##0_-;_-* "-"??_-;_-@_-</c:formatCode>
                <c:ptCount val="12"/>
                <c:pt idx="0">
                  <c:v>1175743.4250150735</c:v>
                </c:pt>
                <c:pt idx="1">
                  <c:v>1209149.7915001935</c:v>
                </c:pt>
                <c:pt idx="2">
                  <c:v>1453513.0342879905</c:v>
                </c:pt>
                <c:pt idx="3">
                  <c:v>1199663.7496776844</c:v>
                </c:pt>
                <c:pt idx="4">
                  <c:v>1196354.5086271053</c:v>
                </c:pt>
                <c:pt idx="5">
                  <c:v>1482668.3631143211</c:v>
                </c:pt>
                <c:pt idx="6">
                  <c:v>1198721.9520033416</c:v>
                </c:pt>
                <c:pt idx="7">
                  <c:v>1209662.4787687059</c:v>
                </c:pt>
                <c:pt idx="8">
                  <c:v>1564791.296371605</c:v>
                </c:pt>
                <c:pt idx="9">
                  <c:v>1283270.328414015</c:v>
                </c:pt>
                <c:pt idx="10">
                  <c:v>1283270.328414015</c:v>
                </c:pt>
                <c:pt idx="11">
                  <c:v>1582776.7564486819</c:v>
                </c:pt>
              </c:numCache>
            </c:numRef>
          </c:val>
          <c:smooth val="0"/>
          <c:extLst>
            <c:ext xmlns:c16="http://schemas.microsoft.com/office/drawing/2014/chart" uri="{C3380CC4-5D6E-409C-BE32-E72D297353CC}">
              <c16:uniqueId val="{00000001-37F3-4326-9802-E8BA5BBA8B64}"/>
            </c:ext>
          </c:extLst>
        </c:ser>
        <c:ser>
          <c:idx val="2"/>
          <c:order val="2"/>
          <c:tx>
            <c:strRef>
              <c:f>'Combined total CDM to Colco (7)'!$A$20</c:f>
              <c:strCache>
                <c:ptCount val="1"/>
                <c:pt idx="0">
                  <c:v>prior year</c:v>
                </c:pt>
              </c:strCache>
            </c:strRef>
          </c:tx>
          <c:spPr>
            <a:ln w="28575" cap="rnd">
              <a:solidFill>
                <a:schemeClr val="accent3"/>
              </a:solidFill>
              <a:round/>
            </a:ln>
            <a:effectLst/>
          </c:spPr>
          <c:marker>
            <c:symbol val="none"/>
          </c:marker>
          <c:cat>
            <c:numRef>
              <c:f>'Combined total CDM to Colco (7)'!$B$17:$M$17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total CDM to Colco (7)'!$B$20:$M$20</c:f>
              <c:numCache>
                <c:formatCode>_-* #,##0_-;\-* #,##0_-;_-* "-"??_-;_-@_-</c:formatCode>
                <c:ptCount val="12"/>
                <c:pt idx="0">
                  <c:v>924163.30000000016</c:v>
                </c:pt>
                <c:pt idx="1">
                  <c:v>886846.80000000028</c:v>
                </c:pt>
                <c:pt idx="2">
                  <c:v>1273189.5000000005</c:v>
                </c:pt>
                <c:pt idx="3">
                  <c:v>1011221.3200000001</c:v>
                </c:pt>
                <c:pt idx="4">
                  <c:v>1000724.2</c:v>
                </c:pt>
                <c:pt idx="5">
                  <c:v>1129937.0400000005</c:v>
                </c:pt>
                <c:pt idx="6">
                  <c:v>1056919.3</c:v>
                </c:pt>
                <c:pt idx="7">
                  <c:v>1010683.9999999998</c:v>
                </c:pt>
                <c:pt idx="8">
                  <c:v>1270671.4999999998</c:v>
                </c:pt>
                <c:pt idx="9">
                  <c:v>981968.77368421049</c:v>
                </c:pt>
                <c:pt idx="10">
                  <c:v>1047240.0000000001</c:v>
                </c:pt>
                <c:pt idx="11">
                  <c:v>1272560.2</c:v>
                </c:pt>
              </c:numCache>
            </c:numRef>
          </c:val>
          <c:smooth val="0"/>
          <c:extLst>
            <c:ext xmlns:c16="http://schemas.microsoft.com/office/drawing/2014/chart" uri="{C3380CC4-5D6E-409C-BE32-E72D297353CC}">
              <c16:uniqueId val="{00000002-37F3-4326-9802-E8BA5BBA8B64}"/>
            </c:ext>
          </c:extLst>
        </c:ser>
        <c:dLbls>
          <c:showLegendKey val="0"/>
          <c:showVal val="0"/>
          <c:showCatName val="0"/>
          <c:showSerName val="0"/>
          <c:showPercent val="0"/>
          <c:showBubbleSize val="0"/>
        </c:dLbls>
        <c:smooth val="0"/>
        <c:axId val="571744511"/>
        <c:axId val="540903711"/>
      </c:lineChart>
      <c:dateAx>
        <c:axId val="57174451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03711"/>
        <c:crosses val="autoZero"/>
        <c:auto val="1"/>
        <c:lblOffset val="100"/>
        <c:baseTimeUnit val="months"/>
      </c:dateAx>
      <c:valAx>
        <c:axId val="540903711"/>
        <c:scaling>
          <c:orientation val="minMax"/>
          <c:max val="1700000.0000000002"/>
          <c:min val="8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744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Combined Kgs sold / sow /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'Combined kgs sold per sow p '!$AL$27</c:f>
              <c:strCache>
                <c:ptCount val="1"/>
                <c:pt idx="0">
                  <c:v>kgs sold/sow/year</c:v>
                </c:pt>
              </c:strCache>
            </c:strRef>
          </c:tx>
          <c:spPr>
            <a:ln w="28575" cap="rnd">
              <a:solidFill>
                <a:schemeClr val="accent1"/>
              </a:solidFill>
              <a:round/>
            </a:ln>
            <a:effectLst/>
          </c:spPr>
          <c:marker>
            <c:symbol val="none"/>
          </c:marker>
          <c:cat>
            <c:numRef>
              <c:f>'Combined kgs sold per sow p '!$AM$26:$AX$26</c:f>
              <c:numCache>
                <c:formatCode>mmm\-yy</c:formatCode>
                <c:ptCount val="12"/>
                <c:pt idx="0">
                  <c:v>45862</c:v>
                </c:pt>
                <c:pt idx="1">
                  <c:v>45893</c:v>
                </c:pt>
                <c:pt idx="2">
                  <c:v>45924</c:v>
                </c:pt>
                <c:pt idx="3">
                  <c:v>45954</c:v>
                </c:pt>
                <c:pt idx="4">
                  <c:v>45985</c:v>
                </c:pt>
                <c:pt idx="5">
                  <c:v>46015</c:v>
                </c:pt>
                <c:pt idx="6">
                  <c:v>46046</c:v>
                </c:pt>
                <c:pt idx="7">
                  <c:v>46077</c:v>
                </c:pt>
                <c:pt idx="8">
                  <c:v>46105</c:v>
                </c:pt>
                <c:pt idx="9">
                  <c:v>46136</c:v>
                </c:pt>
                <c:pt idx="10">
                  <c:v>46166</c:v>
                </c:pt>
                <c:pt idx="11">
                  <c:v>46197</c:v>
                </c:pt>
              </c:numCache>
            </c:numRef>
          </c:cat>
          <c:val>
            <c:numRef>
              <c:f>'Combined kgs sold per sow p '!$AM$27:$AX$27</c:f>
              <c:numCache>
                <c:formatCode>0</c:formatCode>
                <c:ptCount val="12"/>
                <c:pt idx="0">
                  <c:v>2757.7475301128406</c:v>
                </c:pt>
                <c:pt idx="1">
                  <c:v>2782.6576152815496</c:v>
                </c:pt>
                <c:pt idx="2">
                  <c:v>2790.3788310036734</c:v>
                </c:pt>
                <c:pt idx="3">
                  <c:v>2797.8574304901413</c:v>
                </c:pt>
                <c:pt idx="4">
                  <c:v>2792.1914730866952</c:v>
                </c:pt>
                <c:pt idx="5">
                  <c:v>2820.8001134211568</c:v>
                </c:pt>
                <c:pt idx="6">
                  <c:v>2809.9088438434601</c:v>
                </c:pt>
                <c:pt idx="7">
                  <c:v>2810.0431809652332</c:v>
                </c:pt>
                <c:pt idx="8">
                  <c:v>2807.506365573</c:v>
                </c:pt>
                <c:pt idx="9">
                  <c:v>2813.9985362955454</c:v>
                </c:pt>
                <c:pt idx="10">
                  <c:v>2810.7291403634354</c:v>
                </c:pt>
                <c:pt idx="11">
                  <c:v>2843.9781319150443</c:v>
                </c:pt>
              </c:numCache>
            </c:numRef>
          </c:val>
          <c:smooth val="0"/>
          <c:extLst>
            <c:ext xmlns:c16="http://schemas.microsoft.com/office/drawing/2014/chart" uri="{C3380CC4-5D6E-409C-BE32-E72D297353CC}">
              <c16:uniqueId val="{00000000-460F-49FB-A452-2F75D43E3E85}"/>
            </c:ext>
          </c:extLst>
        </c:ser>
        <c:ser>
          <c:idx val="1"/>
          <c:order val="1"/>
          <c:tx>
            <c:strRef>
              <c:f>'Combined kgs sold per sow p '!$AL$28</c:f>
              <c:strCache>
                <c:ptCount val="1"/>
                <c:pt idx="0">
                  <c:v>TARGET</c:v>
                </c:pt>
              </c:strCache>
            </c:strRef>
          </c:tx>
          <c:spPr>
            <a:ln w="28575" cap="rnd">
              <a:solidFill>
                <a:schemeClr val="accent2"/>
              </a:solidFill>
              <a:round/>
            </a:ln>
            <a:effectLst/>
          </c:spPr>
          <c:marker>
            <c:symbol val="none"/>
          </c:marker>
          <c:cat>
            <c:numRef>
              <c:f>'Combined kgs sold per sow p '!$AM$26:$AX$26</c:f>
              <c:numCache>
                <c:formatCode>mmm\-yy</c:formatCode>
                <c:ptCount val="12"/>
                <c:pt idx="0">
                  <c:v>45862</c:v>
                </c:pt>
                <c:pt idx="1">
                  <c:v>45893</c:v>
                </c:pt>
                <c:pt idx="2">
                  <c:v>45924</c:v>
                </c:pt>
                <c:pt idx="3">
                  <c:v>45954</c:v>
                </c:pt>
                <c:pt idx="4">
                  <c:v>45985</c:v>
                </c:pt>
                <c:pt idx="5">
                  <c:v>46015</c:v>
                </c:pt>
                <c:pt idx="6">
                  <c:v>46046</c:v>
                </c:pt>
                <c:pt idx="7">
                  <c:v>46077</c:v>
                </c:pt>
                <c:pt idx="8">
                  <c:v>46105</c:v>
                </c:pt>
                <c:pt idx="9">
                  <c:v>46136</c:v>
                </c:pt>
                <c:pt idx="10">
                  <c:v>46166</c:v>
                </c:pt>
                <c:pt idx="11">
                  <c:v>46197</c:v>
                </c:pt>
              </c:numCache>
            </c:numRef>
          </c:cat>
          <c:val>
            <c:numRef>
              <c:f>'Combined kgs sold per sow p '!$AM$28:$AX$28</c:f>
              <c:numCache>
                <c:formatCode>General</c:formatCode>
                <c:ptCount val="12"/>
                <c:pt idx="0">
                  <c:v>3000</c:v>
                </c:pt>
                <c:pt idx="1">
                  <c:v>3000</c:v>
                </c:pt>
                <c:pt idx="2">
                  <c:v>3000</c:v>
                </c:pt>
                <c:pt idx="3">
                  <c:v>3000</c:v>
                </c:pt>
                <c:pt idx="4">
                  <c:v>3000</c:v>
                </c:pt>
                <c:pt idx="5">
                  <c:v>3000</c:v>
                </c:pt>
                <c:pt idx="6">
                  <c:v>3000</c:v>
                </c:pt>
                <c:pt idx="7">
                  <c:v>3000</c:v>
                </c:pt>
                <c:pt idx="8">
                  <c:v>3000</c:v>
                </c:pt>
                <c:pt idx="9">
                  <c:v>3000</c:v>
                </c:pt>
                <c:pt idx="10">
                  <c:v>3000</c:v>
                </c:pt>
                <c:pt idx="11">
                  <c:v>3000</c:v>
                </c:pt>
              </c:numCache>
            </c:numRef>
          </c:val>
          <c:smooth val="0"/>
          <c:extLst>
            <c:ext xmlns:c16="http://schemas.microsoft.com/office/drawing/2014/chart" uri="{C3380CC4-5D6E-409C-BE32-E72D297353CC}">
              <c16:uniqueId val="{00000001-460F-49FB-A452-2F75D43E3E85}"/>
            </c:ext>
          </c:extLst>
        </c:ser>
        <c:dLbls>
          <c:showLegendKey val="0"/>
          <c:showVal val="0"/>
          <c:showCatName val="0"/>
          <c:showSerName val="0"/>
          <c:showPercent val="0"/>
          <c:showBubbleSize val="0"/>
        </c:dLbls>
        <c:smooth val="0"/>
        <c:axId val="1074316944"/>
        <c:axId val="1186308304"/>
      </c:lineChart>
      <c:dateAx>
        <c:axId val="107431694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308304"/>
        <c:crosses val="autoZero"/>
        <c:auto val="1"/>
        <c:lblOffset val="100"/>
        <c:baseTimeUnit val="months"/>
      </c:dateAx>
      <c:valAx>
        <c:axId val="1186308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1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Combined farrow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'Combined farrow rate  (5)'!$A$19</c:f>
              <c:strCache>
                <c:ptCount val="1"/>
                <c:pt idx="0">
                  <c:v>FY26</c:v>
                </c:pt>
              </c:strCache>
            </c:strRef>
          </c:tx>
          <c:spPr>
            <a:ln w="28575" cap="rnd">
              <a:solidFill>
                <a:schemeClr val="accent1"/>
              </a:solidFill>
              <a:round/>
            </a:ln>
            <a:effectLst/>
          </c:spPr>
          <c:marker>
            <c:symbol val="none"/>
          </c:marker>
          <c:cat>
            <c:numRef>
              <c:f>'Combined farrow rate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'Combined farrow rate  (5)'!$B$19:$M$19</c:f>
              <c:numCache>
                <c:formatCode>0.0</c:formatCode>
                <c:ptCount val="12"/>
                <c:pt idx="0">
                  <c:v>90.30416666666666</c:v>
                </c:pt>
                <c:pt idx="1">
                  <c:v>91.387318840579709</c:v>
                </c:pt>
                <c:pt idx="2">
                  <c:v>92.301449275362316</c:v>
                </c:pt>
                <c:pt idx="3">
                  <c:v>94.806702898550725</c:v>
                </c:pt>
                <c:pt idx="4">
                  <c:v>94.964855072463763</c:v>
                </c:pt>
                <c:pt idx="5">
                  <c:v>94.221571906354512</c:v>
                </c:pt>
                <c:pt idx="6">
                  <c:v>94.691471571906348</c:v>
                </c:pt>
                <c:pt idx="7">
                  <c:v>93.232274247491645</c:v>
                </c:pt>
                <c:pt idx="8">
                  <c:v>92.199331103678929</c:v>
                </c:pt>
                <c:pt idx="9">
                  <c:v>93.624749163879599</c:v>
                </c:pt>
                <c:pt idx="10">
                  <c:v>93.311204013377932</c:v>
                </c:pt>
                <c:pt idx="11">
                  <c:v>93.631103678929762</c:v>
                </c:pt>
              </c:numCache>
            </c:numRef>
          </c:val>
          <c:smooth val="0"/>
          <c:extLst>
            <c:ext xmlns:c16="http://schemas.microsoft.com/office/drawing/2014/chart" uri="{C3380CC4-5D6E-409C-BE32-E72D297353CC}">
              <c16:uniqueId val="{00000000-4419-48EF-A309-D00E21D997CC}"/>
            </c:ext>
          </c:extLst>
        </c:ser>
        <c:ser>
          <c:idx val="1"/>
          <c:order val="1"/>
          <c:tx>
            <c:strRef>
              <c:f>'Combined farrow rate  (5)'!$A$20</c:f>
              <c:strCache>
                <c:ptCount val="1"/>
                <c:pt idx="0">
                  <c:v>prior year</c:v>
                </c:pt>
              </c:strCache>
            </c:strRef>
          </c:tx>
          <c:spPr>
            <a:ln w="28575" cap="rnd">
              <a:solidFill>
                <a:schemeClr val="accent2"/>
              </a:solidFill>
              <a:round/>
            </a:ln>
            <a:effectLst/>
          </c:spPr>
          <c:marker>
            <c:symbol val="none"/>
          </c:marker>
          <c:cat>
            <c:numRef>
              <c:f>'Combined farrow rate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'Combined farrow rate  (5)'!$B$20:$M$20</c:f>
              <c:numCache>
                <c:formatCode>0.0</c:formatCode>
                <c:ptCount val="12"/>
                <c:pt idx="0">
                  <c:v>88.934121664887925</c:v>
                </c:pt>
                <c:pt idx="1">
                  <c:v>89.322945570971186</c:v>
                </c:pt>
                <c:pt idx="2">
                  <c:v>93.11910352187833</c:v>
                </c:pt>
                <c:pt idx="3">
                  <c:v>93.421679064824659</c:v>
                </c:pt>
                <c:pt idx="4">
                  <c:v>94.174599786552832</c:v>
                </c:pt>
                <c:pt idx="5">
                  <c:v>93.158804695837773</c:v>
                </c:pt>
                <c:pt idx="6">
                  <c:v>89.252934898612594</c:v>
                </c:pt>
                <c:pt idx="7">
                  <c:v>90.178111667594138</c:v>
                </c:pt>
                <c:pt idx="8">
                  <c:v>90.176533333333339</c:v>
                </c:pt>
                <c:pt idx="9">
                  <c:v>90.875338264477719</c:v>
                </c:pt>
                <c:pt idx="10">
                  <c:v>92.844488544109694</c:v>
                </c:pt>
                <c:pt idx="11">
                  <c:v>91.297103548153515</c:v>
                </c:pt>
              </c:numCache>
            </c:numRef>
          </c:val>
          <c:smooth val="0"/>
          <c:extLst>
            <c:ext xmlns:c16="http://schemas.microsoft.com/office/drawing/2014/chart" uri="{C3380CC4-5D6E-409C-BE32-E72D297353CC}">
              <c16:uniqueId val="{00000001-4419-48EF-A309-D00E21D997CC}"/>
            </c:ext>
          </c:extLst>
        </c:ser>
        <c:ser>
          <c:idx val="2"/>
          <c:order val="2"/>
          <c:tx>
            <c:strRef>
              <c:f>'Combined farrow rate  (5)'!$A$21</c:f>
              <c:strCache>
                <c:ptCount val="1"/>
                <c:pt idx="0">
                  <c:v>Target</c:v>
                </c:pt>
              </c:strCache>
            </c:strRef>
          </c:tx>
          <c:spPr>
            <a:ln w="28575" cap="rnd">
              <a:solidFill>
                <a:schemeClr val="accent3"/>
              </a:solidFill>
              <a:round/>
            </a:ln>
            <a:effectLst/>
          </c:spPr>
          <c:marker>
            <c:symbol val="none"/>
          </c:marker>
          <c:cat>
            <c:numRef>
              <c:f>'Combined farrow rate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'Combined farrow rate  (5)'!$B$21:$M$21</c:f>
              <c:numCache>
                <c:formatCode>0.0</c:formatCode>
                <c:ptCount val="12"/>
                <c:pt idx="0">
                  <c:v>92.4</c:v>
                </c:pt>
                <c:pt idx="1">
                  <c:v>92.4</c:v>
                </c:pt>
                <c:pt idx="2">
                  <c:v>92.4</c:v>
                </c:pt>
                <c:pt idx="3">
                  <c:v>92.4</c:v>
                </c:pt>
                <c:pt idx="4">
                  <c:v>92.4</c:v>
                </c:pt>
                <c:pt idx="5">
                  <c:v>92.4</c:v>
                </c:pt>
                <c:pt idx="6">
                  <c:v>92.4</c:v>
                </c:pt>
                <c:pt idx="7">
                  <c:v>92.4</c:v>
                </c:pt>
                <c:pt idx="8">
                  <c:v>92.4</c:v>
                </c:pt>
                <c:pt idx="9">
                  <c:v>92.4</c:v>
                </c:pt>
                <c:pt idx="10">
                  <c:v>92.4</c:v>
                </c:pt>
                <c:pt idx="11">
                  <c:v>92.4</c:v>
                </c:pt>
              </c:numCache>
            </c:numRef>
          </c:val>
          <c:smooth val="0"/>
          <c:extLst>
            <c:ext xmlns:c16="http://schemas.microsoft.com/office/drawing/2014/chart" uri="{C3380CC4-5D6E-409C-BE32-E72D297353CC}">
              <c16:uniqueId val="{00000002-4419-48EF-A309-D00E21D997CC}"/>
            </c:ext>
          </c:extLst>
        </c:ser>
        <c:dLbls>
          <c:showLegendKey val="0"/>
          <c:showVal val="0"/>
          <c:showCatName val="0"/>
          <c:showSerName val="0"/>
          <c:showPercent val="0"/>
          <c:showBubbleSize val="0"/>
        </c:dLbls>
        <c:smooth val="0"/>
        <c:axId val="544520264"/>
        <c:axId val="544523864"/>
      </c:lineChart>
      <c:dateAx>
        <c:axId val="5445202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4523864"/>
        <c:crosses val="autoZero"/>
        <c:auto val="1"/>
        <c:lblOffset val="100"/>
        <c:baseTimeUnit val="months"/>
      </c:dateAx>
      <c:valAx>
        <c:axId val="544523864"/>
        <c:scaling>
          <c:orientation val="minMax"/>
          <c:max val="100"/>
          <c:min val="8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4520264"/>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Combined Avg Born Alive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'Combined Born alive (5)'!$A$19</c:f>
              <c:strCache>
                <c:ptCount val="1"/>
                <c:pt idx="0">
                  <c:v>FY26</c:v>
                </c:pt>
              </c:strCache>
            </c:strRef>
          </c:tx>
          <c:spPr>
            <a:ln w="28575" cap="rnd">
              <a:solidFill>
                <a:schemeClr val="accent1"/>
              </a:solidFill>
              <a:round/>
            </a:ln>
            <a:effectLst/>
          </c:spPr>
          <c:marker>
            <c:symbol val="none"/>
          </c:marker>
          <c:cat>
            <c:numRef>
              <c:f>'Combined Born alive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'Combined Born alive (5)'!$B$19:$N$19</c:f>
              <c:numCache>
                <c:formatCode>0.0</c:formatCode>
                <c:ptCount val="13"/>
                <c:pt idx="0">
                  <c:v>14.688884866039102</c:v>
                </c:pt>
                <c:pt idx="1">
                  <c:v>14.872375090514121</c:v>
                </c:pt>
                <c:pt idx="2">
                  <c:v>15.122338884866039</c:v>
                </c:pt>
                <c:pt idx="3">
                  <c:v>15.182259232440261</c:v>
                </c:pt>
                <c:pt idx="4">
                  <c:v>15.016111513396092</c:v>
                </c:pt>
                <c:pt idx="5">
                  <c:v>15.394451871657752</c:v>
                </c:pt>
                <c:pt idx="6">
                  <c:v>15.443382352941176</c:v>
                </c:pt>
                <c:pt idx="7">
                  <c:v>15.562299465240645</c:v>
                </c:pt>
                <c:pt idx="8">
                  <c:v>15.57566844919786</c:v>
                </c:pt>
                <c:pt idx="9">
                  <c:v>15.267112299465243</c:v>
                </c:pt>
                <c:pt idx="10">
                  <c:v>15.463502673796793</c:v>
                </c:pt>
                <c:pt idx="11">
                  <c:v>15.629645721925131</c:v>
                </c:pt>
                <c:pt idx="12">
                  <c:v>15.268169368456684</c:v>
                </c:pt>
              </c:numCache>
            </c:numRef>
          </c:val>
          <c:smooth val="0"/>
          <c:extLst>
            <c:ext xmlns:c16="http://schemas.microsoft.com/office/drawing/2014/chart" uri="{C3380CC4-5D6E-409C-BE32-E72D297353CC}">
              <c16:uniqueId val="{00000000-6E22-453E-8248-0DD9A54DACDB}"/>
            </c:ext>
          </c:extLst>
        </c:ser>
        <c:ser>
          <c:idx val="1"/>
          <c:order val="1"/>
          <c:tx>
            <c:strRef>
              <c:f>'Combined Born alive (5)'!$A$20</c:f>
              <c:strCache>
                <c:ptCount val="1"/>
                <c:pt idx="0">
                  <c:v>prior</c:v>
                </c:pt>
              </c:strCache>
            </c:strRef>
          </c:tx>
          <c:spPr>
            <a:ln w="28575" cap="rnd">
              <a:solidFill>
                <a:schemeClr val="accent2"/>
              </a:solidFill>
              <a:round/>
            </a:ln>
            <a:effectLst/>
          </c:spPr>
          <c:marker>
            <c:symbol val="none"/>
          </c:marker>
          <c:cat>
            <c:numRef>
              <c:f>'Combined Born alive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'Combined Born alive (5)'!$B$20:$N$20</c:f>
              <c:numCache>
                <c:formatCode>0.0</c:formatCode>
                <c:ptCount val="13"/>
                <c:pt idx="0">
                  <c:v>14.558804695837781</c:v>
                </c:pt>
                <c:pt idx="1">
                  <c:v>14.400042689434365</c:v>
                </c:pt>
                <c:pt idx="2">
                  <c:v>14.627214514407685</c:v>
                </c:pt>
                <c:pt idx="3">
                  <c:v>14.859043570669501</c:v>
                </c:pt>
                <c:pt idx="4">
                  <c:v>14.748943436499465</c:v>
                </c:pt>
                <c:pt idx="5">
                  <c:v>14.833852721451443</c:v>
                </c:pt>
                <c:pt idx="6">
                  <c:v>14.848772678762007</c:v>
                </c:pt>
                <c:pt idx="7">
                  <c:v>14.509571508069005</c:v>
                </c:pt>
                <c:pt idx="8">
                  <c:v>14.246079999999999</c:v>
                </c:pt>
                <c:pt idx="9">
                  <c:v>14.598455056179775</c:v>
                </c:pt>
                <c:pt idx="10">
                  <c:v>14.905688202247191</c:v>
                </c:pt>
                <c:pt idx="11">
                  <c:v>14.498805213613323</c:v>
                </c:pt>
                <c:pt idx="12">
                  <c:v>14.636272857264293</c:v>
                </c:pt>
              </c:numCache>
            </c:numRef>
          </c:val>
          <c:smooth val="0"/>
          <c:extLst>
            <c:ext xmlns:c16="http://schemas.microsoft.com/office/drawing/2014/chart" uri="{C3380CC4-5D6E-409C-BE32-E72D297353CC}">
              <c16:uniqueId val="{00000001-6E22-453E-8248-0DD9A54DACDB}"/>
            </c:ext>
          </c:extLst>
        </c:ser>
        <c:ser>
          <c:idx val="2"/>
          <c:order val="2"/>
          <c:tx>
            <c:strRef>
              <c:f>'Combined Born alive (5)'!$A$21</c:f>
              <c:strCache>
                <c:ptCount val="1"/>
                <c:pt idx="0">
                  <c:v>TARGET</c:v>
                </c:pt>
              </c:strCache>
            </c:strRef>
          </c:tx>
          <c:spPr>
            <a:ln w="28575" cap="rnd">
              <a:solidFill>
                <a:schemeClr val="accent3"/>
              </a:solidFill>
              <a:round/>
            </a:ln>
            <a:effectLst/>
          </c:spPr>
          <c:marker>
            <c:symbol val="none"/>
          </c:marker>
          <c:cat>
            <c:numRef>
              <c:f>'Combined Born alive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'Combined Born alive (5)'!$B$21:$N$21</c:f>
              <c:numCache>
                <c:formatCode>0.0</c:formatCode>
                <c:ptCount val="13"/>
                <c:pt idx="0">
                  <c:v>14.7</c:v>
                </c:pt>
                <c:pt idx="1">
                  <c:v>14.7</c:v>
                </c:pt>
                <c:pt idx="2">
                  <c:v>14.7</c:v>
                </c:pt>
                <c:pt idx="3">
                  <c:v>14.7</c:v>
                </c:pt>
                <c:pt idx="4">
                  <c:v>14.7</c:v>
                </c:pt>
                <c:pt idx="5">
                  <c:v>14.7</c:v>
                </c:pt>
                <c:pt idx="6">
                  <c:v>14.7</c:v>
                </c:pt>
                <c:pt idx="7">
                  <c:v>14.7</c:v>
                </c:pt>
                <c:pt idx="8">
                  <c:v>14.7</c:v>
                </c:pt>
                <c:pt idx="9">
                  <c:v>14.7</c:v>
                </c:pt>
                <c:pt idx="10">
                  <c:v>14.7</c:v>
                </c:pt>
                <c:pt idx="11">
                  <c:v>14.7</c:v>
                </c:pt>
                <c:pt idx="12">
                  <c:v>14.699999999999998</c:v>
                </c:pt>
              </c:numCache>
            </c:numRef>
          </c:val>
          <c:smooth val="0"/>
          <c:extLst>
            <c:ext xmlns:c16="http://schemas.microsoft.com/office/drawing/2014/chart" uri="{C3380CC4-5D6E-409C-BE32-E72D297353CC}">
              <c16:uniqueId val="{00000002-6E22-453E-8248-0DD9A54DACDB}"/>
            </c:ext>
          </c:extLst>
        </c:ser>
        <c:dLbls>
          <c:showLegendKey val="0"/>
          <c:showVal val="0"/>
          <c:showCatName val="0"/>
          <c:showSerName val="0"/>
          <c:showPercent val="0"/>
          <c:showBubbleSize val="0"/>
        </c:dLbls>
        <c:smooth val="0"/>
        <c:axId val="322280400"/>
        <c:axId val="322294800"/>
      </c:lineChart>
      <c:dateAx>
        <c:axId val="3222804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2294800"/>
        <c:crosses val="autoZero"/>
        <c:auto val="1"/>
        <c:lblOffset val="100"/>
        <c:baseTimeUnit val="months"/>
      </c:dateAx>
      <c:valAx>
        <c:axId val="322294800"/>
        <c:scaling>
          <c:orientation val="minMax"/>
          <c:max val="17"/>
          <c:min val="1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22804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Combined wean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'Combined Wean weight  (5)'!$A$20</c:f>
              <c:strCache>
                <c:ptCount val="1"/>
                <c:pt idx="0">
                  <c:v>FY26</c:v>
                </c:pt>
              </c:strCache>
            </c:strRef>
          </c:tx>
          <c:spPr>
            <a:ln w="28575" cap="rnd">
              <a:solidFill>
                <a:schemeClr val="accent1"/>
              </a:solidFill>
              <a:round/>
            </a:ln>
            <a:effectLst/>
          </c:spPr>
          <c:marker>
            <c:symbol val="none"/>
          </c:marker>
          <c:cat>
            <c:numRef>
              <c:f>'Combined Wean weight  (5)'!$B$19:$M$19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Wean weight  (5)'!$B$20:$M$20</c:f>
              <c:numCache>
                <c:formatCode>0.0</c:formatCode>
                <c:ptCount val="12"/>
                <c:pt idx="0">
                  <c:v>7.0787762490948598</c:v>
                </c:pt>
                <c:pt idx="1">
                  <c:v>7.5879073135409119</c:v>
                </c:pt>
                <c:pt idx="2">
                  <c:v>7.4095510499637944</c:v>
                </c:pt>
                <c:pt idx="3">
                  <c:v>7.3379073135409119</c:v>
                </c:pt>
                <c:pt idx="4">
                  <c:v>7.1995908761766838</c:v>
                </c:pt>
                <c:pt idx="5">
                  <c:v>7.235441176470589</c:v>
                </c:pt>
                <c:pt idx="6">
                  <c:v>7.0402807486631014</c:v>
                </c:pt>
                <c:pt idx="7">
                  <c:v>7.0737266042780762</c:v>
                </c:pt>
                <c:pt idx="8">
                  <c:v>7.0732820855614982</c:v>
                </c:pt>
                <c:pt idx="9">
                  <c:v>7.0142647058823533</c:v>
                </c:pt>
                <c:pt idx="10">
                  <c:v>7.1230648395721934</c:v>
                </c:pt>
                <c:pt idx="11">
                  <c:v>7.3676671122994657</c:v>
                </c:pt>
              </c:numCache>
            </c:numRef>
          </c:val>
          <c:smooth val="0"/>
          <c:extLst>
            <c:ext xmlns:c16="http://schemas.microsoft.com/office/drawing/2014/chart" uri="{C3380CC4-5D6E-409C-BE32-E72D297353CC}">
              <c16:uniqueId val="{00000000-9BA1-4C41-AF4B-9AC6663AFB12}"/>
            </c:ext>
          </c:extLst>
        </c:ser>
        <c:ser>
          <c:idx val="1"/>
          <c:order val="1"/>
          <c:tx>
            <c:strRef>
              <c:f>'Combined Wean weight  (5)'!$A$21</c:f>
              <c:strCache>
                <c:ptCount val="1"/>
                <c:pt idx="0">
                  <c:v>prior</c:v>
                </c:pt>
              </c:strCache>
            </c:strRef>
          </c:tx>
          <c:spPr>
            <a:ln w="28575" cap="rnd">
              <a:solidFill>
                <a:schemeClr val="accent2"/>
              </a:solidFill>
              <a:round/>
            </a:ln>
            <a:effectLst/>
          </c:spPr>
          <c:marker>
            <c:symbol val="none"/>
          </c:marker>
          <c:cat>
            <c:numRef>
              <c:f>'Combined Wean weight  (5)'!$B$19:$M$19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Wean weight  (5)'!$B$21:$M$21</c:f>
              <c:numCache>
                <c:formatCode>_-* #,##0.0_-;\-* #,##0.0_-;_-* "-"??_-;_-@_-</c:formatCode>
                <c:ptCount val="12"/>
                <c:pt idx="0">
                  <c:v>7.4863393810032015</c:v>
                </c:pt>
                <c:pt idx="1">
                  <c:v>7.5249605122732133</c:v>
                </c:pt>
                <c:pt idx="2">
                  <c:v>7.3438164354322319</c:v>
                </c:pt>
                <c:pt idx="3">
                  <c:v>7.1910733262486719</c:v>
                </c:pt>
                <c:pt idx="4">
                  <c:v>6.8898911419423694</c:v>
                </c:pt>
                <c:pt idx="5">
                  <c:v>6.8768367129135539</c:v>
                </c:pt>
                <c:pt idx="6">
                  <c:v>6.7336627534685167</c:v>
                </c:pt>
                <c:pt idx="7">
                  <c:v>7.0451122240771653</c:v>
                </c:pt>
                <c:pt idx="8">
                  <c:v>7.1297920000000001</c:v>
                </c:pt>
                <c:pt idx="9">
                  <c:v>7.0674508426966298</c:v>
                </c:pt>
                <c:pt idx="10">
                  <c:v>7.0664852528089881</c:v>
                </c:pt>
                <c:pt idx="11">
                  <c:v>7.0774076755973931</c:v>
                </c:pt>
              </c:numCache>
            </c:numRef>
          </c:val>
          <c:smooth val="0"/>
          <c:extLst>
            <c:ext xmlns:c16="http://schemas.microsoft.com/office/drawing/2014/chart" uri="{C3380CC4-5D6E-409C-BE32-E72D297353CC}">
              <c16:uniqueId val="{00000001-9BA1-4C41-AF4B-9AC6663AFB12}"/>
            </c:ext>
          </c:extLst>
        </c:ser>
        <c:ser>
          <c:idx val="2"/>
          <c:order val="2"/>
          <c:tx>
            <c:strRef>
              <c:f>'Combined Wean weight  (5)'!$A$22</c:f>
              <c:strCache>
                <c:ptCount val="1"/>
                <c:pt idx="0">
                  <c:v>Target</c:v>
                </c:pt>
              </c:strCache>
            </c:strRef>
          </c:tx>
          <c:spPr>
            <a:ln w="28575" cap="rnd">
              <a:solidFill>
                <a:schemeClr val="accent3"/>
              </a:solidFill>
              <a:round/>
            </a:ln>
            <a:effectLst/>
          </c:spPr>
          <c:marker>
            <c:symbol val="none"/>
          </c:marker>
          <c:cat>
            <c:numRef>
              <c:f>'Combined Wean weight  (5)'!$B$19:$M$19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Wean weight  (5)'!$B$22:$M$22</c:f>
              <c:numCache>
                <c:formatCode>General</c:formatCode>
                <c:ptCount val="12"/>
                <c:pt idx="0">
                  <c:v>7.2</c:v>
                </c:pt>
                <c:pt idx="1">
                  <c:v>7.2</c:v>
                </c:pt>
                <c:pt idx="2">
                  <c:v>7.2</c:v>
                </c:pt>
                <c:pt idx="3">
                  <c:v>7.2</c:v>
                </c:pt>
                <c:pt idx="4">
                  <c:v>7.2</c:v>
                </c:pt>
                <c:pt idx="5">
                  <c:v>7.2</c:v>
                </c:pt>
                <c:pt idx="6">
                  <c:v>7.2</c:v>
                </c:pt>
                <c:pt idx="7">
                  <c:v>7.2</c:v>
                </c:pt>
                <c:pt idx="8">
                  <c:v>7.2</c:v>
                </c:pt>
                <c:pt idx="9">
                  <c:v>7.2</c:v>
                </c:pt>
                <c:pt idx="10">
                  <c:v>7.2</c:v>
                </c:pt>
                <c:pt idx="11">
                  <c:v>7.2</c:v>
                </c:pt>
              </c:numCache>
            </c:numRef>
          </c:val>
          <c:smooth val="0"/>
          <c:extLst>
            <c:ext xmlns:c16="http://schemas.microsoft.com/office/drawing/2014/chart" uri="{C3380CC4-5D6E-409C-BE32-E72D297353CC}">
              <c16:uniqueId val="{00000002-9BA1-4C41-AF4B-9AC6663AFB12}"/>
            </c:ext>
          </c:extLst>
        </c:ser>
        <c:dLbls>
          <c:showLegendKey val="0"/>
          <c:showVal val="0"/>
          <c:showCatName val="0"/>
          <c:showSerName val="0"/>
          <c:showPercent val="0"/>
          <c:showBubbleSize val="0"/>
        </c:dLbls>
        <c:smooth val="0"/>
        <c:axId val="1797469631"/>
        <c:axId val="1854789119"/>
      </c:lineChart>
      <c:dateAx>
        <c:axId val="17974696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4789119"/>
        <c:crosses val="autoZero"/>
        <c:auto val="1"/>
        <c:lblOffset val="100"/>
        <c:baseTimeUnit val="months"/>
      </c:dateAx>
      <c:valAx>
        <c:axId val="1854789119"/>
        <c:scaling>
          <c:orientation val="minMax"/>
          <c:max val="9"/>
          <c:min val="6"/>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97469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Combined Total litter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'Combined Litter mass  (5)'!$A$20</c:f>
              <c:strCache>
                <c:ptCount val="1"/>
                <c:pt idx="0">
                  <c:v>FY26</c:v>
                </c:pt>
              </c:strCache>
            </c:strRef>
          </c:tx>
          <c:spPr>
            <a:ln w="28575" cap="rnd">
              <a:solidFill>
                <a:schemeClr val="accent1"/>
              </a:solidFill>
              <a:round/>
            </a:ln>
            <a:effectLst/>
          </c:spPr>
          <c:marker>
            <c:symbol val="none"/>
          </c:marker>
          <c:cat>
            <c:numRef>
              <c:f>'Combined Litter mass  (5)'!$B$19:$M$19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Litter mass  (5)'!$B$20:$M$20</c:f>
              <c:numCache>
                <c:formatCode>0.0</c:formatCode>
                <c:ptCount val="12"/>
                <c:pt idx="0">
                  <c:v>93.811469949312098</c:v>
                </c:pt>
                <c:pt idx="1">
                  <c:v>101.86004344677769</c:v>
                </c:pt>
                <c:pt idx="2">
                  <c:v>101.26116944243302</c:v>
                </c:pt>
                <c:pt idx="3">
                  <c:v>100.99448225923244</c:v>
                </c:pt>
                <c:pt idx="4">
                  <c:v>101.23055394641564</c:v>
                </c:pt>
                <c:pt idx="5">
                  <c:v>101.02105949197862</c:v>
                </c:pt>
                <c:pt idx="6">
                  <c:v>99.84875000000001</c:v>
                </c:pt>
                <c:pt idx="7">
                  <c:v>102.15351938502674</c:v>
                </c:pt>
                <c:pt idx="8">
                  <c:v>101.30216911764705</c:v>
                </c:pt>
                <c:pt idx="9">
                  <c:v>100.22573195187164</c:v>
                </c:pt>
                <c:pt idx="10">
                  <c:v>100.11817513368985</c:v>
                </c:pt>
                <c:pt idx="11">
                  <c:v>104.34366644385027</c:v>
                </c:pt>
              </c:numCache>
            </c:numRef>
          </c:val>
          <c:smooth val="0"/>
          <c:extLst>
            <c:ext xmlns:c16="http://schemas.microsoft.com/office/drawing/2014/chart" uri="{C3380CC4-5D6E-409C-BE32-E72D297353CC}">
              <c16:uniqueId val="{00000000-8B71-4C90-9764-CC8CA3E69C0A}"/>
            </c:ext>
          </c:extLst>
        </c:ser>
        <c:ser>
          <c:idx val="1"/>
          <c:order val="1"/>
          <c:tx>
            <c:strRef>
              <c:f>'Combined Litter mass  (5)'!$A$21</c:f>
              <c:strCache>
                <c:ptCount val="1"/>
                <c:pt idx="0">
                  <c:v>Prior year</c:v>
                </c:pt>
              </c:strCache>
            </c:strRef>
          </c:tx>
          <c:spPr>
            <a:ln w="28575" cap="rnd">
              <a:solidFill>
                <a:schemeClr val="accent2"/>
              </a:solidFill>
              <a:round/>
            </a:ln>
            <a:effectLst/>
          </c:spPr>
          <c:marker>
            <c:symbol val="none"/>
          </c:marker>
          <c:cat>
            <c:numRef>
              <c:f>'Combined Litter mass  (5)'!$B$19:$M$19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Litter mass  (5)'!$B$21:$M$21</c:f>
              <c:numCache>
                <c:formatCode>0.0</c:formatCode>
                <c:ptCount val="12"/>
                <c:pt idx="0">
                  <c:v>97.03904375667021</c:v>
                </c:pt>
                <c:pt idx="1">
                  <c:v>98.045171824973337</c:v>
                </c:pt>
                <c:pt idx="2">
                  <c:v>96.635287086446112</c:v>
                </c:pt>
                <c:pt idx="3">
                  <c:v>96.643400637619564</c:v>
                </c:pt>
                <c:pt idx="4">
                  <c:v>94.092452508004257</c:v>
                </c:pt>
                <c:pt idx="5">
                  <c:v>93.303820704375667</c:v>
                </c:pt>
                <c:pt idx="6">
                  <c:v>91.294849593480308</c:v>
                </c:pt>
                <c:pt idx="7">
                  <c:v>93.84879243183083</c:v>
                </c:pt>
                <c:pt idx="8">
                  <c:v>93.930822755555553</c:v>
                </c:pt>
                <c:pt idx="9">
                  <c:v>93.208086376404495</c:v>
                </c:pt>
                <c:pt idx="10">
                  <c:v>94.89204353932584</c:v>
                </c:pt>
                <c:pt idx="11">
                  <c:v>97.093902968863134</c:v>
                </c:pt>
              </c:numCache>
            </c:numRef>
          </c:val>
          <c:smooth val="0"/>
          <c:extLst>
            <c:ext xmlns:c16="http://schemas.microsoft.com/office/drawing/2014/chart" uri="{C3380CC4-5D6E-409C-BE32-E72D297353CC}">
              <c16:uniqueId val="{00000001-8B71-4C90-9764-CC8CA3E69C0A}"/>
            </c:ext>
          </c:extLst>
        </c:ser>
        <c:ser>
          <c:idx val="2"/>
          <c:order val="2"/>
          <c:tx>
            <c:strRef>
              <c:f>'Combined Litter mass  (5)'!$A$22</c:f>
              <c:strCache>
                <c:ptCount val="1"/>
                <c:pt idx="0">
                  <c:v>Target</c:v>
                </c:pt>
              </c:strCache>
            </c:strRef>
          </c:tx>
          <c:spPr>
            <a:ln w="28575" cap="rnd">
              <a:solidFill>
                <a:schemeClr val="accent3"/>
              </a:solidFill>
              <a:round/>
            </a:ln>
            <a:effectLst/>
          </c:spPr>
          <c:marker>
            <c:symbol val="none"/>
          </c:marker>
          <c:cat>
            <c:numRef>
              <c:f>'Combined Litter mass  (5)'!$B$19:$M$19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Litter mass  (5)'!$B$22:$M$22</c:f>
              <c:numCache>
                <c:formatCode>0.0</c:formatCode>
                <c:ptCount val="12"/>
                <c:pt idx="0">
                  <c:v>97</c:v>
                </c:pt>
                <c:pt idx="1">
                  <c:v>97</c:v>
                </c:pt>
                <c:pt idx="2">
                  <c:v>97</c:v>
                </c:pt>
                <c:pt idx="3">
                  <c:v>97</c:v>
                </c:pt>
                <c:pt idx="4">
                  <c:v>97</c:v>
                </c:pt>
                <c:pt idx="5">
                  <c:v>97</c:v>
                </c:pt>
                <c:pt idx="6">
                  <c:v>97</c:v>
                </c:pt>
                <c:pt idx="7">
                  <c:v>97</c:v>
                </c:pt>
                <c:pt idx="8">
                  <c:v>97</c:v>
                </c:pt>
                <c:pt idx="9">
                  <c:v>97</c:v>
                </c:pt>
                <c:pt idx="10">
                  <c:v>97</c:v>
                </c:pt>
                <c:pt idx="11">
                  <c:v>97</c:v>
                </c:pt>
              </c:numCache>
            </c:numRef>
          </c:val>
          <c:smooth val="0"/>
          <c:extLst>
            <c:ext xmlns:c16="http://schemas.microsoft.com/office/drawing/2014/chart" uri="{C3380CC4-5D6E-409C-BE32-E72D297353CC}">
              <c16:uniqueId val="{00000002-8B71-4C90-9764-CC8CA3E69C0A}"/>
            </c:ext>
          </c:extLst>
        </c:ser>
        <c:dLbls>
          <c:showLegendKey val="0"/>
          <c:showVal val="0"/>
          <c:showCatName val="0"/>
          <c:showSerName val="0"/>
          <c:showPercent val="0"/>
          <c:showBubbleSize val="0"/>
        </c:dLbls>
        <c:smooth val="0"/>
        <c:axId val="2021697423"/>
        <c:axId val="1948665199"/>
      </c:lineChart>
      <c:dateAx>
        <c:axId val="202169742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8665199"/>
        <c:crosses val="autoZero"/>
        <c:auto val="1"/>
        <c:lblOffset val="100"/>
        <c:baseTimeUnit val="months"/>
      </c:dateAx>
      <c:valAx>
        <c:axId val="1948665199"/>
        <c:scaling>
          <c:orientation val="minMax"/>
          <c:max val="130"/>
          <c:min val="8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1697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Combined Avg 70 day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'Combined 70 day weight  (5)'!$A$19</c:f>
              <c:strCache>
                <c:ptCount val="1"/>
                <c:pt idx="0">
                  <c:v>FY26</c:v>
                </c:pt>
              </c:strCache>
            </c:strRef>
          </c:tx>
          <c:spPr>
            <a:ln w="28575" cap="rnd">
              <a:solidFill>
                <a:schemeClr val="accent1"/>
              </a:solidFill>
              <a:round/>
            </a:ln>
            <a:effectLst/>
          </c:spPr>
          <c:marker>
            <c:symbol val="none"/>
          </c:marker>
          <c:cat>
            <c:numRef>
              <c:f>'Combined 70 day weight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70 day weight  (5)'!$B$19:$M$19</c:f>
              <c:numCache>
                <c:formatCode>0.0</c:formatCode>
                <c:ptCount val="12"/>
                <c:pt idx="0">
                  <c:v>26.889905660377355</c:v>
                </c:pt>
                <c:pt idx="1">
                  <c:v>26.872767295597484</c:v>
                </c:pt>
                <c:pt idx="2">
                  <c:v>27.258194968553457</c:v>
                </c:pt>
                <c:pt idx="3">
                  <c:v>27.751006289308179</c:v>
                </c:pt>
                <c:pt idx="4">
                  <c:v>27.49094339622642</c:v>
                </c:pt>
                <c:pt idx="5">
                  <c:v>27.168113207547172</c:v>
                </c:pt>
                <c:pt idx="6">
                  <c:v>27.085462427745664</c:v>
                </c:pt>
                <c:pt idx="7">
                  <c:v>27.01725433526012</c:v>
                </c:pt>
                <c:pt idx="8">
                  <c:v>27.090260115606938</c:v>
                </c:pt>
                <c:pt idx="9">
                  <c:v>27.535732484076433</c:v>
                </c:pt>
                <c:pt idx="10">
                  <c:v>27.224306358381497</c:v>
                </c:pt>
                <c:pt idx="11">
                  <c:v>27.523728323699423</c:v>
                </c:pt>
              </c:numCache>
            </c:numRef>
          </c:val>
          <c:smooth val="0"/>
          <c:extLst>
            <c:ext xmlns:c16="http://schemas.microsoft.com/office/drawing/2014/chart" uri="{C3380CC4-5D6E-409C-BE32-E72D297353CC}">
              <c16:uniqueId val="{00000000-E70A-45C9-8A00-552314602020}"/>
            </c:ext>
          </c:extLst>
        </c:ser>
        <c:ser>
          <c:idx val="1"/>
          <c:order val="1"/>
          <c:tx>
            <c:strRef>
              <c:f>'Combined 70 day weight  (5)'!$A$20</c:f>
              <c:strCache>
                <c:ptCount val="1"/>
                <c:pt idx="0">
                  <c:v>PRIOR YEAR</c:v>
                </c:pt>
              </c:strCache>
            </c:strRef>
          </c:tx>
          <c:spPr>
            <a:ln w="28575" cap="rnd">
              <a:solidFill>
                <a:schemeClr val="accent2"/>
              </a:solidFill>
              <a:round/>
            </a:ln>
            <a:effectLst/>
          </c:spPr>
          <c:marker>
            <c:symbol val="none"/>
          </c:marker>
          <c:cat>
            <c:numRef>
              <c:f>'Combined 70 day weight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70 day weight  (5)'!$B$20:$M$20</c:f>
              <c:numCache>
                <c:formatCode>0.0</c:formatCode>
                <c:ptCount val="12"/>
                <c:pt idx="0">
                  <c:v>28.078671874999998</c:v>
                </c:pt>
                <c:pt idx="1">
                  <c:v>28.299140625</c:v>
                </c:pt>
                <c:pt idx="2">
                  <c:v>28.5746875</c:v>
                </c:pt>
                <c:pt idx="3">
                  <c:v>28.497695312500003</c:v>
                </c:pt>
                <c:pt idx="4">
                  <c:v>28.227773437500002</c:v>
                </c:pt>
                <c:pt idx="5">
                  <c:v>26.911078125</c:v>
                </c:pt>
                <c:pt idx="6">
                  <c:v>26.267734374999996</c:v>
                </c:pt>
                <c:pt idx="7">
                  <c:v>25.988164062499997</c:v>
                </c:pt>
                <c:pt idx="8">
                  <c:v>26.616789062499997</c:v>
                </c:pt>
                <c:pt idx="9">
                  <c:v>27.224402515723273</c:v>
                </c:pt>
                <c:pt idx="10">
                  <c:v>27.431540880503142</c:v>
                </c:pt>
                <c:pt idx="11">
                  <c:v>27.218522012578614</c:v>
                </c:pt>
              </c:numCache>
            </c:numRef>
          </c:val>
          <c:smooth val="0"/>
          <c:extLst>
            <c:ext xmlns:c16="http://schemas.microsoft.com/office/drawing/2014/chart" uri="{C3380CC4-5D6E-409C-BE32-E72D297353CC}">
              <c16:uniqueId val="{00000001-E70A-45C9-8A00-552314602020}"/>
            </c:ext>
          </c:extLst>
        </c:ser>
        <c:ser>
          <c:idx val="2"/>
          <c:order val="2"/>
          <c:tx>
            <c:strRef>
              <c:f>'Combined 70 day weight  (5)'!$A$21</c:f>
              <c:strCache>
                <c:ptCount val="1"/>
                <c:pt idx="0">
                  <c:v>TARGET</c:v>
                </c:pt>
              </c:strCache>
            </c:strRef>
          </c:tx>
          <c:spPr>
            <a:ln w="28575" cap="rnd">
              <a:solidFill>
                <a:schemeClr val="accent3"/>
              </a:solidFill>
              <a:round/>
            </a:ln>
            <a:effectLst/>
          </c:spPr>
          <c:marker>
            <c:symbol val="none"/>
          </c:marker>
          <c:cat>
            <c:numRef>
              <c:f>'Combined 70 day weight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70 day weight  (5)'!$B$21:$M$21</c:f>
              <c:numCache>
                <c:formatCode>0.0</c:formatCode>
                <c:ptCount val="12"/>
                <c:pt idx="0">
                  <c:v>26.2</c:v>
                </c:pt>
                <c:pt idx="1">
                  <c:v>26.2</c:v>
                </c:pt>
                <c:pt idx="2">
                  <c:v>26.2</c:v>
                </c:pt>
                <c:pt idx="3">
                  <c:v>26.2</c:v>
                </c:pt>
                <c:pt idx="4">
                  <c:v>26.2</c:v>
                </c:pt>
                <c:pt idx="5">
                  <c:v>26.2</c:v>
                </c:pt>
                <c:pt idx="6">
                  <c:v>26.4</c:v>
                </c:pt>
                <c:pt idx="7">
                  <c:v>26.4</c:v>
                </c:pt>
                <c:pt idx="8">
                  <c:v>26.4</c:v>
                </c:pt>
                <c:pt idx="9">
                  <c:v>26.4</c:v>
                </c:pt>
                <c:pt idx="10">
                  <c:v>26.4</c:v>
                </c:pt>
                <c:pt idx="11">
                  <c:v>26.4</c:v>
                </c:pt>
              </c:numCache>
            </c:numRef>
          </c:val>
          <c:smooth val="0"/>
          <c:extLst>
            <c:ext xmlns:c16="http://schemas.microsoft.com/office/drawing/2014/chart" uri="{C3380CC4-5D6E-409C-BE32-E72D297353CC}">
              <c16:uniqueId val="{00000002-E70A-45C9-8A00-552314602020}"/>
            </c:ext>
          </c:extLst>
        </c:ser>
        <c:dLbls>
          <c:showLegendKey val="0"/>
          <c:showVal val="0"/>
          <c:showCatName val="0"/>
          <c:showSerName val="0"/>
          <c:showPercent val="0"/>
          <c:showBubbleSize val="0"/>
        </c:dLbls>
        <c:smooth val="0"/>
        <c:axId val="491185160"/>
        <c:axId val="491188760"/>
      </c:lineChart>
      <c:dateAx>
        <c:axId val="4911851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1188760"/>
        <c:crosses val="autoZero"/>
        <c:auto val="1"/>
        <c:lblOffset val="100"/>
        <c:baseTimeUnit val="months"/>
      </c:dateAx>
      <c:valAx>
        <c:axId val="491188760"/>
        <c:scaling>
          <c:orientation val="minMax"/>
          <c:max val="31"/>
          <c:min val="2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1185160"/>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Combined 70 day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'Combined 70 day gain  (5)'!$A$17</c:f>
              <c:strCache>
                <c:ptCount val="1"/>
                <c:pt idx="0">
                  <c:v>FY26</c:v>
                </c:pt>
              </c:strCache>
            </c:strRef>
          </c:tx>
          <c:spPr>
            <a:ln w="28575" cap="rnd">
              <a:solidFill>
                <a:schemeClr val="accent1"/>
              </a:solidFill>
              <a:round/>
            </a:ln>
            <a:effectLst/>
          </c:spPr>
          <c:marker>
            <c:symbol val="none"/>
          </c:marker>
          <c:cat>
            <c:numRef>
              <c:f>'Combined 70 day gain  (5)'!$B$16:$M$16</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70 day gain  (5)'!$B$17:$M$17</c:f>
              <c:numCache>
                <c:formatCode>0.0</c:formatCode>
                <c:ptCount val="12"/>
                <c:pt idx="0">
                  <c:v>19.833113207547171</c:v>
                </c:pt>
                <c:pt idx="1">
                  <c:v>19.953844339622641</c:v>
                </c:pt>
                <c:pt idx="2">
                  <c:v>20.008018867924527</c:v>
                </c:pt>
                <c:pt idx="3">
                  <c:v>20.235880503144653</c:v>
                </c:pt>
                <c:pt idx="4">
                  <c:v>20.1377358490566</c:v>
                </c:pt>
                <c:pt idx="5">
                  <c:v>19.926352201257863</c:v>
                </c:pt>
                <c:pt idx="6">
                  <c:v>19.902138728323699</c:v>
                </c:pt>
                <c:pt idx="7">
                  <c:v>19.951676300578033</c:v>
                </c:pt>
                <c:pt idx="8">
                  <c:v>20.23797687861272</c:v>
                </c:pt>
                <c:pt idx="9">
                  <c:v>20.492643312101915</c:v>
                </c:pt>
                <c:pt idx="10">
                  <c:v>20.154710982658955</c:v>
                </c:pt>
                <c:pt idx="11">
                  <c:v>20.383323699421961</c:v>
                </c:pt>
              </c:numCache>
            </c:numRef>
          </c:val>
          <c:smooth val="0"/>
          <c:extLst>
            <c:ext xmlns:c16="http://schemas.microsoft.com/office/drawing/2014/chart" uri="{C3380CC4-5D6E-409C-BE32-E72D297353CC}">
              <c16:uniqueId val="{00000000-7A69-4A61-8B9B-1C9E7E48C56C}"/>
            </c:ext>
          </c:extLst>
        </c:ser>
        <c:ser>
          <c:idx val="1"/>
          <c:order val="1"/>
          <c:tx>
            <c:strRef>
              <c:f>'Combined 70 day gain  (5)'!$A$18</c:f>
              <c:strCache>
                <c:ptCount val="1"/>
                <c:pt idx="0">
                  <c:v>Prior year</c:v>
                </c:pt>
              </c:strCache>
            </c:strRef>
          </c:tx>
          <c:spPr>
            <a:ln w="28575" cap="rnd">
              <a:solidFill>
                <a:schemeClr val="accent2"/>
              </a:solidFill>
              <a:round/>
            </a:ln>
            <a:effectLst/>
          </c:spPr>
          <c:marker>
            <c:symbol val="none"/>
          </c:marker>
          <c:cat>
            <c:numRef>
              <c:f>'Combined 70 day gain  (5)'!$B$16:$M$16</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70 day gain  (5)'!$B$18:$M$18</c:f>
              <c:numCache>
                <c:formatCode>0.0</c:formatCode>
                <c:ptCount val="12"/>
                <c:pt idx="0">
                  <c:v>20.923476562500003</c:v>
                </c:pt>
                <c:pt idx="1">
                  <c:v>20.653554687499998</c:v>
                </c:pt>
                <c:pt idx="2">
                  <c:v>20.912500000000001</c:v>
                </c:pt>
                <c:pt idx="3">
                  <c:v>20.830953125000001</c:v>
                </c:pt>
                <c:pt idx="4">
                  <c:v>20.867226562500001</c:v>
                </c:pt>
                <c:pt idx="5">
                  <c:v>19.776531250000001</c:v>
                </c:pt>
                <c:pt idx="6">
                  <c:v>19.339394531250001</c:v>
                </c:pt>
                <c:pt idx="7">
                  <c:v>19.0658984375</c:v>
                </c:pt>
                <c:pt idx="8">
                  <c:v>19.959093750000001</c:v>
                </c:pt>
                <c:pt idx="9">
                  <c:v>20.177455974842765</c:v>
                </c:pt>
                <c:pt idx="10">
                  <c:v>20.348396226415094</c:v>
                </c:pt>
                <c:pt idx="11">
                  <c:v>20.307798742138363</c:v>
                </c:pt>
              </c:numCache>
            </c:numRef>
          </c:val>
          <c:smooth val="0"/>
          <c:extLst>
            <c:ext xmlns:c16="http://schemas.microsoft.com/office/drawing/2014/chart" uri="{C3380CC4-5D6E-409C-BE32-E72D297353CC}">
              <c16:uniqueId val="{00000001-7A69-4A61-8B9B-1C9E7E48C56C}"/>
            </c:ext>
          </c:extLst>
        </c:ser>
        <c:ser>
          <c:idx val="2"/>
          <c:order val="2"/>
          <c:tx>
            <c:strRef>
              <c:f>'Combined 70 day gain  (5)'!$A$19</c:f>
              <c:strCache>
                <c:ptCount val="1"/>
                <c:pt idx="0">
                  <c:v>TARGET</c:v>
                </c:pt>
              </c:strCache>
            </c:strRef>
          </c:tx>
          <c:spPr>
            <a:ln w="28575" cap="rnd">
              <a:solidFill>
                <a:schemeClr val="accent3"/>
              </a:solidFill>
              <a:round/>
            </a:ln>
            <a:effectLst/>
          </c:spPr>
          <c:marker>
            <c:symbol val="none"/>
          </c:marker>
          <c:cat>
            <c:numRef>
              <c:f>'Combined 70 day gain  (5)'!$B$16:$M$16</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70 day gain  (5)'!$B$19:$M$19</c:f>
              <c:numCache>
                <c:formatCode>General</c:formatCode>
                <c:ptCount val="12"/>
                <c:pt idx="0">
                  <c:v>20</c:v>
                </c:pt>
                <c:pt idx="1">
                  <c:v>20</c:v>
                </c:pt>
                <c:pt idx="2">
                  <c:v>20</c:v>
                </c:pt>
                <c:pt idx="3">
                  <c:v>20</c:v>
                </c:pt>
                <c:pt idx="4">
                  <c:v>20</c:v>
                </c:pt>
                <c:pt idx="5">
                  <c:v>20</c:v>
                </c:pt>
                <c:pt idx="6">
                  <c:v>20</c:v>
                </c:pt>
                <c:pt idx="7">
                  <c:v>20</c:v>
                </c:pt>
                <c:pt idx="8">
                  <c:v>20</c:v>
                </c:pt>
                <c:pt idx="9">
                  <c:v>20</c:v>
                </c:pt>
                <c:pt idx="10">
                  <c:v>20</c:v>
                </c:pt>
                <c:pt idx="11">
                  <c:v>20</c:v>
                </c:pt>
              </c:numCache>
            </c:numRef>
          </c:val>
          <c:smooth val="0"/>
          <c:extLst>
            <c:ext xmlns:c16="http://schemas.microsoft.com/office/drawing/2014/chart" uri="{C3380CC4-5D6E-409C-BE32-E72D297353CC}">
              <c16:uniqueId val="{00000002-7A69-4A61-8B9B-1C9E7E48C56C}"/>
            </c:ext>
          </c:extLst>
        </c:ser>
        <c:dLbls>
          <c:showLegendKey val="0"/>
          <c:showVal val="0"/>
          <c:showCatName val="0"/>
          <c:showSerName val="0"/>
          <c:showPercent val="0"/>
          <c:showBubbleSize val="0"/>
        </c:dLbls>
        <c:smooth val="0"/>
        <c:axId val="1750091263"/>
        <c:axId val="1799171183"/>
      </c:lineChart>
      <c:dateAx>
        <c:axId val="175009126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99171183"/>
        <c:crosses val="autoZero"/>
        <c:auto val="1"/>
        <c:lblOffset val="100"/>
        <c:baseTimeUnit val="months"/>
      </c:dateAx>
      <c:valAx>
        <c:axId val="1799171183"/>
        <c:scaling>
          <c:orientation val="minMax"/>
          <c:max val="22"/>
          <c:min val="18"/>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50091263"/>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Combined w/s/y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'Combined WSY   (5)'!$A$19</c:f>
              <c:strCache>
                <c:ptCount val="1"/>
                <c:pt idx="0">
                  <c:v>FY26</c:v>
                </c:pt>
              </c:strCache>
            </c:strRef>
          </c:tx>
          <c:spPr>
            <a:ln w="28575" cap="rnd">
              <a:solidFill>
                <a:schemeClr val="accent1"/>
              </a:solidFill>
              <a:round/>
            </a:ln>
            <a:effectLst/>
          </c:spPr>
          <c:marker>
            <c:symbol val="none"/>
          </c:marker>
          <c:cat>
            <c:numRef>
              <c:f>'Combined WSY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WSY   (5)'!$B$19:$M$19</c:f>
              <c:numCache>
                <c:formatCode>0.0</c:formatCode>
                <c:ptCount val="12"/>
                <c:pt idx="0">
                  <c:v>32.469007965242575</c:v>
                </c:pt>
                <c:pt idx="1">
                  <c:v>32.854561911658223</c:v>
                </c:pt>
                <c:pt idx="2">
                  <c:v>33.31350470673425</c:v>
                </c:pt>
                <c:pt idx="3">
                  <c:v>33.480412744388126</c:v>
                </c:pt>
                <c:pt idx="4">
                  <c:v>33.833635047067339</c:v>
                </c:pt>
                <c:pt idx="5">
                  <c:v>33.842379679144386</c:v>
                </c:pt>
                <c:pt idx="6">
                  <c:v>33.813669786096263</c:v>
                </c:pt>
                <c:pt idx="7">
                  <c:v>34.69919786096257</c:v>
                </c:pt>
                <c:pt idx="8">
                  <c:v>34.034525401069523</c:v>
                </c:pt>
                <c:pt idx="9">
                  <c:v>34.46841577540107</c:v>
                </c:pt>
                <c:pt idx="10">
                  <c:v>33.654913101604279</c:v>
                </c:pt>
                <c:pt idx="11">
                  <c:v>34.291109625668447</c:v>
                </c:pt>
              </c:numCache>
            </c:numRef>
          </c:val>
          <c:smooth val="0"/>
          <c:extLst>
            <c:ext xmlns:c16="http://schemas.microsoft.com/office/drawing/2014/chart" uri="{C3380CC4-5D6E-409C-BE32-E72D297353CC}">
              <c16:uniqueId val="{00000000-2735-4FF7-9DD6-997FB4502EDB}"/>
            </c:ext>
          </c:extLst>
        </c:ser>
        <c:ser>
          <c:idx val="1"/>
          <c:order val="1"/>
          <c:tx>
            <c:strRef>
              <c:f>'Combined WSY   (5)'!$A$20</c:f>
              <c:strCache>
                <c:ptCount val="1"/>
                <c:pt idx="0">
                  <c:v>prior</c:v>
                </c:pt>
              </c:strCache>
            </c:strRef>
          </c:tx>
          <c:spPr>
            <a:ln w="28575" cap="rnd">
              <a:solidFill>
                <a:schemeClr val="accent2"/>
              </a:solidFill>
              <a:round/>
            </a:ln>
            <a:effectLst/>
          </c:spPr>
          <c:marker>
            <c:symbol val="none"/>
          </c:marker>
          <c:cat>
            <c:numRef>
              <c:f>'Combined WSY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WSY   (5)'!$B$20:$M$20</c:f>
              <c:numCache>
                <c:formatCode>0.0</c:formatCode>
                <c:ptCount val="12"/>
                <c:pt idx="0">
                  <c:v>31.576499466382071</c:v>
                </c:pt>
                <c:pt idx="1">
                  <c:v>31.345805763073642</c:v>
                </c:pt>
                <c:pt idx="2">
                  <c:v>31.992273212379935</c:v>
                </c:pt>
                <c:pt idx="3">
                  <c:v>32.1809564293305</c:v>
                </c:pt>
                <c:pt idx="4">
                  <c:v>32.379103521878328</c:v>
                </c:pt>
                <c:pt idx="5">
                  <c:v>32.834066168623259</c:v>
                </c:pt>
                <c:pt idx="6">
                  <c:v>32.323265741728925</c:v>
                </c:pt>
                <c:pt idx="7">
                  <c:v>32.209242262540016</c:v>
                </c:pt>
                <c:pt idx="8">
                  <c:v>32.57176888888889</c:v>
                </c:pt>
                <c:pt idx="9">
                  <c:v>32.205319522471918</c:v>
                </c:pt>
                <c:pt idx="10">
                  <c:v>32.943504213483138</c:v>
                </c:pt>
                <c:pt idx="11">
                  <c:v>33.211984069514841</c:v>
                </c:pt>
              </c:numCache>
            </c:numRef>
          </c:val>
          <c:smooth val="0"/>
          <c:extLst>
            <c:ext xmlns:c16="http://schemas.microsoft.com/office/drawing/2014/chart" uri="{C3380CC4-5D6E-409C-BE32-E72D297353CC}">
              <c16:uniqueId val="{00000001-2735-4FF7-9DD6-997FB4502EDB}"/>
            </c:ext>
          </c:extLst>
        </c:ser>
        <c:ser>
          <c:idx val="2"/>
          <c:order val="2"/>
          <c:tx>
            <c:strRef>
              <c:f>'Combined WSY   (5)'!$A$21</c:f>
              <c:strCache>
                <c:ptCount val="1"/>
                <c:pt idx="0">
                  <c:v>Target</c:v>
                </c:pt>
              </c:strCache>
            </c:strRef>
          </c:tx>
          <c:spPr>
            <a:ln w="28575" cap="rnd">
              <a:solidFill>
                <a:schemeClr val="accent3"/>
              </a:solidFill>
              <a:round/>
            </a:ln>
            <a:effectLst/>
          </c:spPr>
          <c:marker>
            <c:symbol val="none"/>
          </c:marker>
          <c:cat>
            <c:numRef>
              <c:f>'Combined WSY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'Combined WSY   (5)'!$B$21:$M$21</c:f>
              <c:numCache>
                <c:formatCode>0.0</c:formatCode>
                <c:ptCount val="12"/>
                <c:pt idx="0">
                  <c:v>31</c:v>
                </c:pt>
                <c:pt idx="1">
                  <c:v>31</c:v>
                </c:pt>
                <c:pt idx="2">
                  <c:v>31</c:v>
                </c:pt>
                <c:pt idx="3">
                  <c:v>31</c:v>
                </c:pt>
                <c:pt idx="4">
                  <c:v>31</c:v>
                </c:pt>
                <c:pt idx="5">
                  <c:v>31</c:v>
                </c:pt>
                <c:pt idx="6">
                  <c:v>33</c:v>
                </c:pt>
                <c:pt idx="7">
                  <c:v>33</c:v>
                </c:pt>
                <c:pt idx="8">
                  <c:v>33</c:v>
                </c:pt>
                <c:pt idx="9">
                  <c:v>33</c:v>
                </c:pt>
                <c:pt idx="10">
                  <c:v>33</c:v>
                </c:pt>
                <c:pt idx="11">
                  <c:v>33</c:v>
                </c:pt>
              </c:numCache>
            </c:numRef>
          </c:val>
          <c:smooth val="0"/>
          <c:extLst>
            <c:ext xmlns:c16="http://schemas.microsoft.com/office/drawing/2014/chart" uri="{C3380CC4-5D6E-409C-BE32-E72D297353CC}">
              <c16:uniqueId val="{00000002-2735-4FF7-9DD6-997FB4502EDB}"/>
            </c:ext>
          </c:extLst>
        </c:ser>
        <c:dLbls>
          <c:showLegendKey val="0"/>
          <c:showVal val="0"/>
          <c:showCatName val="0"/>
          <c:showSerName val="0"/>
          <c:showPercent val="0"/>
          <c:showBubbleSize val="0"/>
        </c:dLbls>
        <c:smooth val="0"/>
        <c:axId val="544517744"/>
        <c:axId val="544527824"/>
      </c:lineChart>
      <c:dateAx>
        <c:axId val="54451774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4527824"/>
        <c:crosses val="autoZero"/>
        <c:auto val="1"/>
        <c:lblOffset val="100"/>
        <c:baseTimeUnit val="months"/>
      </c:dateAx>
      <c:valAx>
        <c:axId val="544527824"/>
        <c:scaling>
          <c:orientation val="minMax"/>
          <c:max val="37"/>
          <c:min val="29"/>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45177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Multiplier Avg CDM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'Multiplier Avg CDM vs Budget'!$A$20</c:f>
              <c:strCache>
                <c:ptCount val="1"/>
                <c:pt idx="0">
                  <c:v>FY26</c:v>
                </c:pt>
              </c:strCache>
            </c:strRef>
          </c:tx>
          <c:spPr>
            <a:ln w="28575" cap="rnd">
              <a:solidFill>
                <a:schemeClr val="accent1"/>
              </a:solidFill>
              <a:round/>
            </a:ln>
            <a:effectLst/>
          </c:spPr>
          <c:marker>
            <c:symbol val="none"/>
          </c:marker>
          <c:cat>
            <c:numRef>
              <c:f>'Multiplier Avg CDM vs Budget'!$B$19:$M$19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Avg CDM vs Budget'!$B$20:$M$20</c:f>
              <c:numCache>
                <c:formatCode>_-* #,##0.00_-;\-* #,##0.00_-;_-* "-"??_-;_-@_-</c:formatCode>
                <c:ptCount val="12"/>
                <c:pt idx="8">
                  <c:v>88.413179347826087</c:v>
                </c:pt>
                <c:pt idx="9">
                  <c:v>87.785871964679913</c:v>
                </c:pt>
                <c:pt idx="10">
                  <c:v>91.779098360655752</c:v>
                </c:pt>
                <c:pt idx="11">
                  <c:v>88.918903436988558</c:v>
                </c:pt>
              </c:numCache>
            </c:numRef>
          </c:val>
          <c:smooth val="0"/>
          <c:extLst>
            <c:ext xmlns:c16="http://schemas.microsoft.com/office/drawing/2014/chart" uri="{C3380CC4-5D6E-409C-BE32-E72D297353CC}">
              <c16:uniqueId val="{00000000-2A0A-4018-9CF4-46EBEA92B548}"/>
            </c:ext>
          </c:extLst>
        </c:ser>
        <c:ser>
          <c:idx val="1"/>
          <c:order val="1"/>
          <c:tx>
            <c:strRef>
              <c:f>'Multiplier Avg CDM vs Budget'!$A$21</c:f>
              <c:strCache>
                <c:ptCount val="1"/>
                <c:pt idx="0">
                  <c:v>PRIOR</c:v>
                </c:pt>
              </c:strCache>
            </c:strRef>
          </c:tx>
          <c:spPr>
            <a:ln w="28575" cap="rnd">
              <a:solidFill>
                <a:schemeClr val="accent2"/>
              </a:solidFill>
              <a:round/>
            </a:ln>
            <a:effectLst/>
          </c:spPr>
          <c:marker>
            <c:symbol val="none"/>
          </c:marker>
          <c:cat>
            <c:numRef>
              <c:f>'Multiplier Avg CDM vs Budget'!$B$19:$M$19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Avg CDM vs Budget'!$B$21:$M$21</c:f>
              <c:numCache>
                <c:formatCode>_-* #,##0.00_-;\-* #,##0.00_-;_-* "-"??_-;_-@_-</c:formatCode>
                <c:ptCount val="12"/>
              </c:numCache>
            </c:numRef>
          </c:val>
          <c:smooth val="0"/>
          <c:extLst>
            <c:ext xmlns:c16="http://schemas.microsoft.com/office/drawing/2014/chart" uri="{C3380CC4-5D6E-409C-BE32-E72D297353CC}">
              <c16:uniqueId val="{00000001-2A0A-4018-9CF4-46EBEA92B548}"/>
            </c:ext>
          </c:extLst>
        </c:ser>
        <c:ser>
          <c:idx val="2"/>
          <c:order val="2"/>
          <c:tx>
            <c:strRef>
              <c:f>'Multiplier Avg CDM vs Budget'!$A$22</c:f>
              <c:strCache>
                <c:ptCount val="1"/>
                <c:pt idx="0">
                  <c:v>Budget</c:v>
                </c:pt>
              </c:strCache>
            </c:strRef>
          </c:tx>
          <c:spPr>
            <a:ln w="28575" cap="rnd">
              <a:solidFill>
                <a:schemeClr val="accent3"/>
              </a:solidFill>
              <a:round/>
            </a:ln>
            <a:effectLst/>
          </c:spPr>
          <c:marker>
            <c:symbol val="none"/>
          </c:marker>
          <c:cat>
            <c:numRef>
              <c:f>'Multiplier Avg CDM vs Budget'!$B$19:$M$19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Avg CDM vs Budget'!$B$22:$M$22</c:f>
              <c:numCache>
                <c:formatCode>_-* #,##0.00_-;\-* #,##0.00_-;_-* "-"??_-;_-@_-</c:formatCode>
                <c:ptCount val="12"/>
                <c:pt idx="7">
                  <c:v>88.785425566560022</c:v>
                </c:pt>
                <c:pt idx="8">
                  <c:v>88.785425566560022</c:v>
                </c:pt>
                <c:pt idx="9">
                  <c:v>90.76626884542442</c:v>
                </c:pt>
                <c:pt idx="10">
                  <c:v>90.76626884542442</c:v>
                </c:pt>
                <c:pt idx="11">
                  <c:v>90.76626884542442</c:v>
                </c:pt>
              </c:numCache>
            </c:numRef>
          </c:val>
          <c:smooth val="0"/>
          <c:extLst>
            <c:ext xmlns:c16="http://schemas.microsoft.com/office/drawing/2014/chart" uri="{C3380CC4-5D6E-409C-BE32-E72D297353CC}">
              <c16:uniqueId val="{00000002-2A0A-4018-9CF4-46EBEA92B548}"/>
            </c:ext>
          </c:extLst>
        </c:ser>
        <c:dLbls>
          <c:showLegendKey val="0"/>
          <c:showVal val="0"/>
          <c:showCatName val="0"/>
          <c:showSerName val="0"/>
          <c:showPercent val="0"/>
          <c:showBubbleSize val="0"/>
        </c:dLbls>
        <c:smooth val="0"/>
        <c:axId val="667614824"/>
        <c:axId val="667613744"/>
      </c:lineChart>
      <c:dateAx>
        <c:axId val="6676148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13744"/>
        <c:crosses val="autoZero"/>
        <c:auto val="1"/>
        <c:lblOffset val="100"/>
        <c:baseTimeUnit val="months"/>
      </c:dateAx>
      <c:valAx>
        <c:axId val="667613744"/>
        <c:scaling>
          <c:orientation val="minMax"/>
          <c:max val="105"/>
          <c:min val="84"/>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14824"/>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Multiplier total CDM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'Multiplier total CDM to Col'!$A$17</c:f>
              <c:strCache>
                <c:ptCount val="1"/>
                <c:pt idx="0">
                  <c:v>FY26</c:v>
                </c:pt>
              </c:strCache>
            </c:strRef>
          </c:tx>
          <c:spPr>
            <a:ln w="28575" cap="rnd">
              <a:solidFill>
                <a:schemeClr val="accent1"/>
              </a:solidFill>
              <a:round/>
            </a:ln>
            <a:effectLst/>
          </c:spPr>
          <c:marker>
            <c:symbol val="none"/>
          </c:marker>
          <c:cat>
            <c:numRef>
              <c:f>'Multiplier total CDM to Col'!$B$16:$M$16</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total CDM to Col'!$B$17:$M$17</c:f>
              <c:numCache>
                <c:formatCode>General</c:formatCode>
                <c:ptCount val="12"/>
                <c:pt idx="7" formatCode="_-* #,##0_-;\-* #,##0_-;_-* &quot;-&quot;??_-;_-@_-">
                  <c:v>18538.752</c:v>
                </c:pt>
                <c:pt idx="8" formatCode="_-* #,##0_-;\-* #,##0_-;_-* &quot;-&quot;??_-;_-@_-">
                  <c:v>65072.1</c:v>
                </c:pt>
                <c:pt idx="9" formatCode="_-* #,##0_-;\-* #,##0_-;_-* &quot;-&quot;??_-;_-@_-">
                  <c:v>79534</c:v>
                </c:pt>
                <c:pt idx="10" formatCode="_-* #,##0_-;\-* #,##0_-;_-* &quot;-&quot;??_-;_-@_-">
                  <c:v>89576.400000000009</c:v>
                </c:pt>
                <c:pt idx="11" formatCode="_-* #,##0_-;\-* #,##0_-;_-* &quot;-&quot;??_-;_-@_-">
                  <c:v>108658.90000000001</c:v>
                </c:pt>
              </c:numCache>
            </c:numRef>
          </c:val>
          <c:smooth val="0"/>
          <c:extLst>
            <c:ext xmlns:c16="http://schemas.microsoft.com/office/drawing/2014/chart" uri="{C3380CC4-5D6E-409C-BE32-E72D297353CC}">
              <c16:uniqueId val="{00000000-5915-4C0B-93B7-9AC0F9137BB7}"/>
            </c:ext>
          </c:extLst>
        </c:ser>
        <c:ser>
          <c:idx val="1"/>
          <c:order val="1"/>
          <c:tx>
            <c:strRef>
              <c:f>'Multiplier total CDM to Col'!$A$18</c:f>
              <c:strCache>
                <c:ptCount val="1"/>
                <c:pt idx="0">
                  <c:v>Budgeted</c:v>
                </c:pt>
              </c:strCache>
            </c:strRef>
          </c:tx>
          <c:spPr>
            <a:ln w="28575" cap="rnd">
              <a:solidFill>
                <a:schemeClr val="accent2"/>
              </a:solidFill>
              <a:round/>
            </a:ln>
            <a:effectLst/>
          </c:spPr>
          <c:marker>
            <c:symbol val="none"/>
          </c:marker>
          <c:cat>
            <c:numRef>
              <c:f>'Multiplier total CDM to Col'!$B$16:$M$16</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total CDM to Col'!$B$18:$M$18</c:f>
              <c:numCache>
                <c:formatCode>General</c:formatCode>
                <c:ptCount val="12"/>
                <c:pt idx="7" formatCode="_-* #,##0_-;\-* #,##0_-;_-* &quot;-&quot;??_-;_-@_-">
                  <c:v>18538.752</c:v>
                </c:pt>
                <c:pt idx="8" formatCode="_-* #,##0_-;\-* #,##0_-;_-* &quot;-&quot;??_-;_-@_-">
                  <c:v>92693.759999999995</c:v>
                </c:pt>
                <c:pt idx="9" formatCode="_-* #,##0_-;\-* #,##0_-;_-* &quot;-&quot;??_-;_-@_-">
                  <c:v>75809.440000000002</c:v>
                </c:pt>
                <c:pt idx="10" formatCode="_-* #,##0_-;\-* #,##0_-;_-* &quot;-&quot;??_-;_-@_-">
                  <c:v>75809.440000000002</c:v>
                </c:pt>
                <c:pt idx="11" formatCode="_-* #,##0_-;\-* #,##0_-;_-* &quot;-&quot;??_-;_-@_-">
                  <c:v>94761.8</c:v>
                </c:pt>
              </c:numCache>
            </c:numRef>
          </c:val>
          <c:smooth val="0"/>
          <c:extLst>
            <c:ext xmlns:c16="http://schemas.microsoft.com/office/drawing/2014/chart" uri="{C3380CC4-5D6E-409C-BE32-E72D297353CC}">
              <c16:uniqueId val="{00000001-5915-4C0B-93B7-9AC0F9137BB7}"/>
            </c:ext>
          </c:extLst>
        </c:ser>
        <c:dLbls>
          <c:showLegendKey val="0"/>
          <c:showVal val="0"/>
          <c:showCatName val="0"/>
          <c:showSerName val="0"/>
          <c:showPercent val="0"/>
          <c:showBubbleSize val="0"/>
        </c:dLbls>
        <c:smooth val="0"/>
        <c:axId val="1840738544"/>
        <c:axId val="1840735664"/>
      </c:lineChart>
      <c:dateAx>
        <c:axId val="184073854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35664"/>
        <c:crosses val="autoZero"/>
        <c:auto val="1"/>
        <c:lblOffset val="100"/>
        <c:baseTimeUnit val="months"/>
      </c:dateAx>
      <c:valAx>
        <c:axId val="184073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3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Multiplier pigs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'Multiplier pigs to col'!$A$18</c:f>
              <c:strCache>
                <c:ptCount val="1"/>
                <c:pt idx="0">
                  <c:v>FY26</c:v>
                </c:pt>
              </c:strCache>
            </c:strRef>
          </c:tx>
          <c:spPr>
            <a:ln w="28575" cap="rnd">
              <a:solidFill>
                <a:schemeClr val="accent1"/>
              </a:solidFill>
              <a:round/>
            </a:ln>
            <a:effectLst/>
          </c:spPr>
          <c:marker>
            <c:symbol val="none"/>
          </c:marker>
          <c:cat>
            <c:numRef>
              <c:f>'Multiplier pigs to col'!$B$17:$M$17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pigs to col'!$B$18:$M$18</c:f>
              <c:numCache>
                <c:formatCode>General</c:formatCode>
                <c:ptCount val="12"/>
                <c:pt idx="7">
                  <c:v>15</c:v>
                </c:pt>
                <c:pt idx="8">
                  <c:v>736</c:v>
                </c:pt>
                <c:pt idx="9">
                  <c:v>906</c:v>
                </c:pt>
                <c:pt idx="10">
                  <c:v>976</c:v>
                </c:pt>
                <c:pt idx="11">
                  <c:v>1222</c:v>
                </c:pt>
              </c:numCache>
            </c:numRef>
          </c:val>
          <c:smooth val="0"/>
          <c:extLst>
            <c:ext xmlns:c16="http://schemas.microsoft.com/office/drawing/2014/chart" uri="{C3380CC4-5D6E-409C-BE32-E72D297353CC}">
              <c16:uniqueId val="{00000000-E605-45C0-AED1-6E1835016503}"/>
            </c:ext>
          </c:extLst>
        </c:ser>
        <c:ser>
          <c:idx val="1"/>
          <c:order val="1"/>
          <c:tx>
            <c:strRef>
              <c:f>'Multiplier pigs to col'!$A$19</c:f>
              <c:strCache>
                <c:ptCount val="1"/>
                <c:pt idx="0">
                  <c:v>budget</c:v>
                </c:pt>
              </c:strCache>
            </c:strRef>
          </c:tx>
          <c:spPr>
            <a:ln w="28575" cap="rnd">
              <a:solidFill>
                <a:schemeClr val="accent2"/>
              </a:solidFill>
              <a:round/>
            </a:ln>
            <a:effectLst/>
          </c:spPr>
          <c:marker>
            <c:symbol val="none"/>
          </c:marker>
          <c:cat>
            <c:numRef>
              <c:f>'Multiplier pigs to col'!$B$17:$M$17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pigs to col'!$B$19:$M$19</c:f>
              <c:numCache>
                <c:formatCode>General</c:formatCode>
                <c:ptCount val="12"/>
                <c:pt idx="7" formatCode="_-* #,##0_-;\-* #,##0_-;_-* &quot;-&quot;??_-;_-@_-">
                  <c:v>208.804</c:v>
                </c:pt>
                <c:pt idx="8" formatCode="_-* #,##0_-;\-* #,##0_-;_-* &quot;-&quot;??_-;_-@_-">
                  <c:v>1044.02</c:v>
                </c:pt>
                <c:pt idx="9" formatCode="_-* #,##0_-;\-* #,##0_-;_-* &quot;-&quot;??_-;_-@_-">
                  <c:v>835.21600000000001</c:v>
                </c:pt>
                <c:pt idx="10" formatCode="_-* #,##0_-;\-* #,##0_-;_-* &quot;-&quot;??_-;_-@_-">
                  <c:v>835.21600000000001</c:v>
                </c:pt>
                <c:pt idx="11" formatCode="_-* #,##0_-;\-* #,##0_-;_-* &quot;-&quot;??_-;_-@_-">
                  <c:v>1044.02</c:v>
                </c:pt>
              </c:numCache>
            </c:numRef>
          </c:val>
          <c:smooth val="0"/>
          <c:extLst>
            <c:ext xmlns:c16="http://schemas.microsoft.com/office/drawing/2014/chart" uri="{C3380CC4-5D6E-409C-BE32-E72D297353CC}">
              <c16:uniqueId val="{00000001-E605-45C0-AED1-6E1835016503}"/>
            </c:ext>
          </c:extLst>
        </c:ser>
        <c:dLbls>
          <c:showLegendKey val="0"/>
          <c:showVal val="0"/>
          <c:showCatName val="0"/>
          <c:showSerName val="0"/>
          <c:showPercent val="0"/>
          <c:showBubbleSize val="0"/>
        </c:dLbls>
        <c:smooth val="0"/>
        <c:axId val="1840741904"/>
        <c:axId val="1840743344"/>
      </c:lineChart>
      <c:dateAx>
        <c:axId val="184074190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43344"/>
        <c:crosses val="autoZero"/>
        <c:auto val="1"/>
        <c:lblOffset val="100"/>
        <c:baseTimeUnit val="months"/>
      </c:dateAx>
      <c:valAx>
        <c:axId val="184074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4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Z line Farrow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'Multiplier farrow rate (2)'!$A$18</c:f>
              <c:strCache>
                <c:ptCount val="1"/>
                <c:pt idx="0">
                  <c:v>ZLINE</c:v>
                </c:pt>
              </c:strCache>
            </c:strRef>
          </c:tx>
          <c:spPr>
            <a:ln w="28575" cap="rnd">
              <a:solidFill>
                <a:schemeClr val="accent1"/>
              </a:solidFill>
              <a:round/>
            </a:ln>
            <a:effectLst/>
          </c:spPr>
          <c:marker>
            <c:symbol val="none"/>
          </c:marker>
          <c:cat>
            <c:numRef>
              <c:f>'Multiplier farrow rate (2)'!$B$17:$M$17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farrow rate (2)'!$B$18:$M$18</c:f>
              <c:numCache>
                <c:formatCode>General</c:formatCode>
                <c:ptCount val="12"/>
                <c:pt idx="0">
                  <c:v>91</c:v>
                </c:pt>
                <c:pt idx="1">
                  <c:v>96</c:v>
                </c:pt>
                <c:pt idx="2">
                  <c:v>89</c:v>
                </c:pt>
                <c:pt idx="3">
                  <c:v>93</c:v>
                </c:pt>
                <c:pt idx="4">
                  <c:v>90.3</c:v>
                </c:pt>
                <c:pt idx="5">
                  <c:v>97.2</c:v>
                </c:pt>
                <c:pt idx="6">
                  <c:v>94.9</c:v>
                </c:pt>
                <c:pt idx="7">
                  <c:v>93.8</c:v>
                </c:pt>
                <c:pt idx="8">
                  <c:v>93</c:v>
                </c:pt>
                <c:pt idx="9">
                  <c:v>93</c:v>
                </c:pt>
                <c:pt idx="10">
                  <c:v>93</c:v>
                </c:pt>
                <c:pt idx="11">
                  <c:v>88.2</c:v>
                </c:pt>
              </c:numCache>
            </c:numRef>
          </c:val>
          <c:smooth val="0"/>
          <c:extLst>
            <c:ext xmlns:c16="http://schemas.microsoft.com/office/drawing/2014/chart" uri="{C3380CC4-5D6E-409C-BE32-E72D297353CC}">
              <c16:uniqueId val="{00000000-1A4C-49B8-9FAE-6692D0898495}"/>
            </c:ext>
          </c:extLst>
        </c:ser>
        <c:ser>
          <c:idx val="1"/>
          <c:order val="1"/>
          <c:tx>
            <c:strRef>
              <c:f>'Multiplier farrow rate (2)'!$A$19</c:f>
              <c:strCache>
                <c:ptCount val="1"/>
                <c:pt idx="0">
                  <c:v>PRIOR YEAR</c:v>
                </c:pt>
              </c:strCache>
            </c:strRef>
          </c:tx>
          <c:spPr>
            <a:ln w="28575" cap="rnd">
              <a:solidFill>
                <a:schemeClr val="accent2"/>
              </a:solidFill>
              <a:round/>
            </a:ln>
            <a:effectLst/>
          </c:spPr>
          <c:marker>
            <c:symbol val="none"/>
          </c:marker>
          <c:cat>
            <c:numRef>
              <c:f>'Multiplier farrow rate (2)'!$B$17:$M$17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farrow rate (2)'!$B$19:$M$19</c:f>
              <c:numCache>
                <c:formatCode>General</c:formatCode>
                <c:ptCount val="12"/>
                <c:pt idx="0">
                  <c:v>86</c:v>
                </c:pt>
                <c:pt idx="1">
                  <c:v>84</c:v>
                </c:pt>
                <c:pt idx="2">
                  <c:v>83</c:v>
                </c:pt>
                <c:pt idx="3">
                  <c:v>86</c:v>
                </c:pt>
                <c:pt idx="4">
                  <c:v>86</c:v>
                </c:pt>
                <c:pt idx="5">
                  <c:v>84</c:v>
                </c:pt>
                <c:pt idx="6">
                  <c:v>74</c:v>
                </c:pt>
                <c:pt idx="7">
                  <c:v>80</c:v>
                </c:pt>
                <c:pt idx="8">
                  <c:v>87</c:v>
                </c:pt>
                <c:pt idx="9">
                  <c:v>92</c:v>
                </c:pt>
                <c:pt idx="10">
                  <c:v>92</c:v>
                </c:pt>
                <c:pt idx="11">
                  <c:v>91</c:v>
                </c:pt>
              </c:numCache>
            </c:numRef>
          </c:val>
          <c:smooth val="0"/>
          <c:extLst>
            <c:ext xmlns:c16="http://schemas.microsoft.com/office/drawing/2014/chart" uri="{C3380CC4-5D6E-409C-BE32-E72D297353CC}">
              <c16:uniqueId val="{00000001-1A4C-49B8-9FAE-6692D0898495}"/>
            </c:ext>
          </c:extLst>
        </c:ser>
        <c:ser>
          <c:idx val="2"/>
          <c:order val="2"/>
          <c:tx>
            <c:strRef>
              <c:f>'Multiplier farrow rate (2)'!$A$20</c:f>
              <c:strCache>
                <c:ptCount val="1"/>
                <c:pt idx="0">
                  <c:v>TARGET</c:v>
                </c:pt>
              </c:strCache>
            </c:strRef>
          </c:tx>
          <c:spPr>
            <a:ln w="28575" cap="rnd">
              <a:solidFill>
                <a:schemeClr val="accent3"/>
              </a:solidFill>
              <a:round/>
            </a:ln>
            <a:effectLst/>
          </c:spPr>
          <c:marker>
            <c:symbol val="none"/>
          </c:marker>
          <c:cat>
            <c:numRef>
              <c:f>'Multiplier farrow rate (2)'!$B$17:$M$17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farrow rate (2)'!$B$20:$M$20</c:f>
              <c:numCache>
                <c:formatCode>General</c:formatCode>
                <c:ptCount val="12"/>
                <c:pt idx="0">
                  <c:v>90</c:v>
                </c:pt>
                <c:pt idx="1">
                  <c:v>90</c:v>
                </c:pt>
                <c:pt idx="2">
                  <c:v>90</c:v>
                </c:pt>
                <c:pt idx="3">
                  <c:v>90</c:v>
                </c:pt>
                <c:pt idx="4">
                  <c:v>90</c:v>
                </c:pt>
                <c:pt idx="5">
                  <c:v>90</c:v>
                </c:pt>
                <c:pt idx="6">
                  <c:v>90</c:v>
                </c:pt>
                <c:pt idx="7">
                  <c:v>90</c:v>
                </c:pt>
                <c:pt idx="8">
                  <c:v>90</c:v>
                </c:pt>
                <c:pt idx="9">
                  <c:v>90</c:v>
                </c:pt>
                <c:pt idx="10">
                  <c:v>90</c:v>
                </c:pt>
                <c:pt idx="11">
                  <c:v>90</c:v>
                </c:pt>
              </c:numCache>
            </c:numRef>
          </c:val>
          <c:smooth val="0"/>
          <c:extLst>
            <c:ext xmlns:c16="http://schemas.microsoft.com/office/drawing/2014/chart" uri="{C3380CC4-5D6E-409C-BE32-E72D297353CC}">
              <c16:uniqueId val="{00000002-1A4C-49B8-9FAE-6692D0898495}"/>
            </c:ext>
          </c:extLst>
        </c:ser>
        <c:dLbls>
          <c:showLegendKey val="0"/>
          <c:showVal val="0"/>
          <c:showCatName val="0"/>
          <c:showSerName val="0"/>
          <c:showPercent val="0"/>
          <c:showBubbleSize val="0"/>
        </c:dLbls>
        <c:smooth val="0"/>
        <c:axId val="1665885455"/>
        <c:axId val="1455836815"/>
      </c:lineChart>
      <c:dateAx>
        <c:axId val="166588545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55836815"/>
        <c:crosses val="autoZero"/>
        <c:auto val="1"/>
        <c:lblOffset val="100"/>
        <c:baseTimeUnit val="months"/>
      </c:dateAx>
      <c:valAx>
        <c:axId val="1455836815"/>
        <c:scaling>
          <c:orientation val="minMax"/>
          <c:max val="100"/>
          <c:min val="7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65885455"/>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Z line BA</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'Multiplier Born alive  (2)'!$A$18</c:f>
              <c:strCache>
                <c:ptCount val="1"/>
                <c:pt idx="0">
                  <c:v>Pedigree</c:v>
                </c:pt>
              </c:strCache>
            </c:strRef>
          </c:tx>
          <c:spPr>
            <a:ln w="28575" cap="rnd">
              <a:solidFill>
                <a:schemeClr val="accent1"/>
              </a:solidFill>
              <a:round/>
            </a:ln>
            <a:effectLst/>
          </c:spPr>
          <c:marker>
            <c:symbol val="none"/>
          </c:marker>
          <c:cat>
            <c:numRef>
              <c:f>'Multiplier Born alive  (2)'!$B$17:$N$17</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Born alive  (2)'!$B$18:$N$18</c:f>
              <c:numCache>
                <c:formatCode>General</c:formatCode>
                <c:ptCount val="13"/>
                <c:pt idx="0">
                  <c:v>15.1</c:v>
                </c:pt>
                <c:pt idx="1">
                  <c:v>15.7</c:v>
                </c:pt>
                <c:pt idx="2">
                  <c:v>16</c:v>
                </c:pt>
                <c:pt idx="3">
                  <c:v>15.3</c:v>
                </c:pt>
                <c:pt idx="4">
                  <c:v>14.1</c:v>
                </c:pt>
                <c:pt idx="5">
                  <c:v>14.8</c:v>
                </c:pt>
                <c:pt idx="6">
                  <c:v>15.5</c:v>
                </c:pt>
                <c:pt idx="7">
                  <c:v>15.9</c:v>
                </c:pt>
                <c:pt idx="8">
                  <c:v>15.8</c:v>
                </c:pt>
                <c:pt idx="9">
                  <c:v>15.9</c:v>
                </c:pt>
                <c:pt idx="10">
                  <c:v>15.5</c:v>
                </c:pt>
                <c:pt idx="11">
                  <c:v>15</c:v>
                </c:pt>
                <c:pt idx="12" formatCode="0.0">
                  <c:v>15.383333333333333</c:v>
                </c:pt>
              </c:numCache>
            </c:numRef>
          </c:val>
          <c:smooth val="0"/>
          <c:extLst>
            <c:ext xmlns:c16="http://schemas.microsoft.com/office/drawing/2014/chart" uri="{C3380CC4-5D6E-409C-BE32-E72D297353CC}">
              <c16:uniqueId val="{00000000-6EE9-4ECA-B3BE-16EF27039EF9}"/>
            </c:ext>
          </c:extLst>
        </c:ser>
        <c:ser>
          <c:idx val="1"/>
          <c:order val="1"/>
          <c:tx>
            <c:strRef>
              <c:f>'Multiplier Born alive  (2)'!$A$19</c:f>
              <c:strCache>
                <c:ptCount val="1"/>
                <c:pt idx="0">
                  <c:v>PRIOR YEAR</c:v>
                </c:pt>
              </c:strCache>
            </c:strRef>
          </c:tx>
          <c:spPr>
            <a:ln w="28575" cap="rnd">
              <a:solidFill>
                <a:schemeClr val="accent2"/>
              </a:solidFill>
              <a:round/>
            </a:ln>
            <a:effectLst/>
          </c:spPr>
          <c:marker>
            <c:symbol val="none"/>
          </c:marker>
          <c:cat>
            <c:numRef>
              <c:f>'Multiplier Born alive  (2)'!$B$17:$N$17</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Born alive  (2)'!$B$19:$N$19</c:f>
              <c:numCache>
                <c:formatCode>General</c:formatCode>
                <c:ptCount val="13"/>
                <c:pt idx="0">
                  <c:v>13.5</c:v>
                </c:pt>
                <c:pt idx="1">
                  <c:v>14.5</c:v>
                </c:pt>
                <c:pt idx="2">
                  <c:v>15.2</c:v>
                </c:pt>
                <c:pt idx="3">
                  <c:v>14.9</c:v>
                </c:pt>
                <c:pt idx="4">
                  <c:v>14.7</c:v>
                </c:pt>
                <c:pt idx="5">
                  <c:v>14.9</c:v>
                </c:pt>
                <c:pt idx="6">
                  <c:v>13.9</c:v>
                </c:pt>
                <c:pt idx="7">
                  <c:v>15.7</c:v>
                </c:pt>
                <c:pt idx="8">
                  <c:v>15.2</c:v>
                </c:pt>
                <c:pt idx="9">
                  <c:v>14.3</c:v>
                </c:pt>
                <c:pt idx="10">
                  <c:v>16.2</c:v>
                </c:pt>
                <c:pt idx="11">
                  <c:v>14.6</c:v>
                </c:pt>
                <c:pt idx="12" formatCode="0.0">
                  <c:v>14.799999999999999</c:v>
                </c:pt>
              </c:numCache>
            </c:numRef>
          </c:val>
          <c:smooth val="0"/>
          <c:extLst>
            <c:ext xmlns:c16="http://schemas.microsoft.com/office/drawing/2014/chart" uri="{C3380CC4-5D6E-409C-BE32-E72D297353CC}">
              <c16:uniqueId val="{00000001-6EE9-4ECA-B3BE-16EF27039EF9}"/>
            </c:ext>
          </c:extLst>
        </c:ser>
        <c:ser>
          <c:idx val="2"/>
          <c:order val="2"/>
          <c:tx>
            <c:strRef>
              <c:f>'Multiplier Born alive  (2)'!$A$20</c:f>
              <c:strCache>
                <c:ptCount val="1"/>
                <c:pt idx="0">
                  <c:v>TARGET</c:v>
                </c:pt>
              </c:strCache>
            </c:strRef>
          </c:tx>
          <c:spPr>
            <a:ln w="28575" cap="rnd">
              <a:solidFill>
                <a:schemeClr val="accent3"/>
              </a:solidFill>
              <a:round/>
            </a:ln>
            <a:effectLst/>
          </c:spPr>
          <c:marker>
            <c:symbol val="none"/>
          </c:marker>
          <c:cat>
            <c:numRef>
              <c:f>'Multiplier Born alive  (2)'!$B$17:$N$17</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Born alive  (2)'!$B$20:$N$20</c:f>
              <c:numCache>
                <c:formatCode>General</c:formatCode>
                <c:ptCount val="13"/>
                <c:pt idx="0">
                  <c:v>14.7</c:v>
                </c:pt>
                <c:pt idx="1">
                  <c:v>14.7</c:v>
                </c:pt>
                <c:pt idx="2">
                  <c:v>14.7</c:v>
                </c:pt>
                <c:pt idx="3">
                  <c:v>14.7</c:v>
                </c:pt>
                <c:pt idx="4">
                  <c:v>14.7</c:v>
                </c:pt>
                <c:pt idx="5">
                  <c:v>14.7</c:v>
                </c:pt>
                <c:pt idx="6">
                  <c:v>14.7</c:v>
                </c:pt>
                <c:pt idx="7">
                  <c:v>14.7</c:v>
                </c:pt>
                <c:pt idx="8">
                  <c:v>14.7</c:v>
                </c:pt>
                <c:pt idx="9">
                  <c:v>14.7</c:v>
                </c:pt>
                <c:pt idx="10">
                  <c:v>14.7</c:v>
                </c:pt>
                <c:pt idx="11">
                  <c:v>14.7</c:v>
                </c:pt>
                <c:pt idx="12" formatCode="0.0">
                  <c:v>14.699999999999998</c:v>
                </c:pt>
              </c:numCache>
            </c:numRef>
          </c:val>
          <c:smooth val="0"/>
          <c:extLst>
            <c:ext xmlns:c16="http://schemas.microsoft.com/office/drawing/2014/chart" uri="{C3380CC4-5D6E-409C-BE32-E72D297353CC}">
              <c16:uniqueId val="{00000002-6EE9-4ECA-B3BE-16EF27039EF9}"/>
            </c:ext>
          </c:extLst>
        </c:ser>
        <c:dLbls>
          <c:showLegendKey val="0"/>
          <c:showVal val="0"/>
          <c:showCatName val="0"/>
          <c:showSerName val="0"/>
          <c:showPercent val="0"/>
          <c:showBubbleSize val="0"/>
        </c:dLbls>
        <c:smooth val="0"/>
        <c:axId val="613988264"/>
        <c:axId val="613986464"/>
      </c:lineChart>
      <c:dateAx>
        <c:axId val="6139882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3986464"/>
        <c:crosses val="autoZero"/>
        <c:auto val="1"/>
        <c:lblOffset val="100"/>
        <c:baseTimeUnit val="months"/>
      </c:dateAx>
      <c:valAx>
        <c:axId val="613986464"/>
        <c:scaling>
          <c:orientation val="minMax"/>
          <c:max val="17"/>
          <c:min val="1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39882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Multiplier Avg Wean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'Multiplier Avg wean weight (2)'!$A$17</c:f>
              <c:strCache>
                <c:ptCount val="1"/>
                <c:pt idx="0">
                  <c:v>FY26</c:v>
                </c:pt>
              </c:strCache>
            </c:strRef>
          </c:tx>
          <c:spPr>
            <a:ln w="28575" cap="rnd">
              <a:solidFill>
                <a:schemeClr val="accent1"/>
              </a:solidFill>
              <a:round/>
            </a:ln>
            <a:effectLst/>
          </c:spPr>
          <c:marker>
            <c:symbol val="none"/>
          </c:marker>
          <c:cat>
            <c:numRef>
              <c:f>'Multiplier Avg wean weight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Avg wean weight (2)'!$B$17:$M$17</c:f>
              <c:numCache>
                <c:formatCode>General</c:formatCode>
                <c:ptCount val="12"/>
                <c:pt idx="4" formatCode="0.00">
                  <c:v>7.4</c:v>
                </c:pt>
                <c:pt idx="5">
                  <c:v>7.48</c:v>
                </c:pt>
                <c:pt idx="6" formatCode="0.00">
                  <c:v>7.4</c:v>
                </c:pt>
                <c:pt idx="7" formatCode="0.00">
                  <c:v>7.08</c:v>
                </c:pt>
                <c:pt idx="8" formatCode="0.00">
                  <c:v>6.8</c:v>
                </c:pt>
                <c:pt idx="9" formatCode="0.00">
                  <c:v>6.6</c:v>
                </c:pt>
                <c:pt idx="10" formatCode="0.00">
                  <c:v>6.93</c:v>
                </c:pt>
                <c:pt idx="11" formatCode="0.00">
                  <c:v>7.76</c:v>
                </c:pt>
              </c:numCache>
            </c:numRef>
          </c:val>
          <c:smooth val="0"/>
          <c:extLst>
            <c:ext xmlns:c16="http://schemas.microsoft.com/office/drawing/2014/chart" uri="{C3380CC4-5D6E-409C-BE32-E72D297353CC}">
              <c16:uniqueId val="{00000000-242F-4571-990E-FC0628653BCD}"/>
            </c:ext>
          </c:extLst>
        </c:ser>
        <c:ser>
          <c:idx val="1"/>
          <c:order val="1"/>
          <c:tx>
            <c:strRef>
              <c:f>'Multiplier Avg wean weight (2)'!$A$18</c:f>
              <c:strCache>
                <c:ptCount val="1"/>
                <c:pt idx="0">
                  <c:v>PRIOR YEAR</c:v>
                </c:pt>
              </c:strCache>
            </c:strRef>
          </c:tx>
          <c:spPr>
            <a:ln w="28575" cap="rnd">
              <a:solidFill>
                <a:schemeClr val="accent2"/>
              </a:solidFill>
              <a:round/>
            </a:ln>
            <a:effectLst/>
          </c:spPr>
          <c:marker>
            <c:symbol val="none"/>
          </c:marker>
          <c:cat>
            <c:numRef>
              <c:f>'Multiplier Avg wean weight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Avg wean weight (2)'!$B$18:$M$18</c:f>
              <c:numCache>
                <c:formatCode>General</c:formatCode>
                <c:ptCount val="12"/>
              </c:numCache>
            </c:numRef>
          </c:val>
          <c:smooth val="0"/>
          <c:extLst>
            <c:ext xmlns:c16="http://schemas.microsoft.com/office/drawing/2014/chart" uri="{C3380CC4-5D6E-409C-BE32-E72D297353CC}">
              <c16:uniqueId val="{00000001-242F-4571-990E-FC0628653BCD}"/>
            </c:ext>
          </c:extLst>
        </c:ser>
        <c:ser>
          <c:idx val="2"/>
          <c:order val="2"/>
          <c:tx>
            <c:strRef>
              <c:f>'Multiplier Avg wean weight (2)'!$A$19</c:f>
              <c:strCache>
                <c:ptCount val="1"/>
                <c:pt idx="0">
                  <c:v>TARGET</c:v>
                </c:pt>
              </c:strCache>
            </c:strRef>
          </c:tx>
          <c:spPr>
            <a:ln w="28575" cap="rnd">
              <a:solidFill>
                <a:schemeClr val="accent3"/>
              </a:solidFill>
              <a:round/>
            </a:ln>
            <a:effectLst/>
          </c:spPr>
          <c:marker>
            <c:symbol val="none"/>
          </c:marker>
          <c:cat>
            <c:numRef>
              <c:f>'Multiplier Avg wean weight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Avg wean weight (2)'!$B$19:$M$19</c:f>
              <c:numCache>
                <c:formatCode>General</c:formatCode>
                <c:ptCount val="12"/>
                <c:pt idx="0">
                  <c:v>7.5</c:v>
                </c:pt>
                <c:pt idx="1">
                  <c:v>7.5</c:v>
                </c:pt>
                <c:pt idx="2">
                  <c:v>7.5</c:v>
                </c:pt>
                <c:pt idx="3">
                  <c:v>7.5</c:v>
                </c:pt>
                <c:pt idx="4">
                  <c:v>7.5</c:v>
                </c:pt>
                <c:pt idx="5">
                  <c:v>7.5</c:v>
                </c:pt>
                <c:pt idx="6">
                  <c:v>7.5</c:v>
                </c:pt>
                <c:pt idx="7">
                  <c:v>7.5</c:v>
                </c:pt>
                <c:pt idx="8">
                  <c:v>7.5</c:v>
                </c:pt>
                <c:pt idx="9">
                  <c:v>7.5</c:v>
                </c:pt>
                <c:pt idx="10">
                  <c:v>7.5</c:v>
                </c:pt>
                <c:pt idx="11">
                  <c:v>7.5</c:v>
                </c:pt>
              </c:numCache>
            </c:numRef>
          </c:val>
          <c:smooth val="0"/>
          <c:extLst>
            <c:ext xmlns:c16="http://schemas.microsoft.com/office/drawing/2014/chart" uri="{C3380CC4-5D6E-409C-BE32-E72D297353CC}">
              <c16:uniqueId val="{00000002-242F-4571-990E-FC0628653BCD}"/>
            </c:ext>
          </c:extLst>
        </c:ser>
        <c:ser>
          <c:idx val="3"/>
          <c:order val="3"/>
          <c:tx>
            <c:strRef>
              <c:f>'Multiplier Avg wean weight (2)'!$A$20</c:f>
              <c:strCache>
                <c:ptCount val="1"/>
              </c:strCache>
            </c:strRef>
          </c:tx>
          <c:spPr>
            <a:ln w="28575" cap="rnd">
              <a:solidFill>
                <a:schemeClr val="accent4"/>
              </a:solidFill>
              <a:round/>
            </a:ln>
            <a:effectLst/>
          </c:spPr>
          <c:marker>
            <c:symbol val="none"/>
          </c:marker>
          <c:cat>
            <c:numRef>
              <c:f>'Multiplier Avg wean weight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Avg wean weight (2)'!$B$20:$M$20</c:f>
              <c:numCache>
                <c:formatCode>General</c:formatCode>
                <c:ptCount val="12"/>
              </c:numCache>
            </c:numRef>
          </c:val>
          <c:smooth val="0"/>
          <c:extLst>
            <c:ext xmlns:c16="http://schemas.microsoft.com/office/drawing/2014/chart" uri="{C3380CC4-5D6E-409C-BE32-E72D297353CC}">
              <c16:uniqueId val="{00000003-242F-4571-990E-FC0628653BCD}"/>
            </c:ext>
          </c:extLst>
        </c:ser>
        <c:dLbls>
          <c:showLegendKey val="0"/>
          <c:showVal val="0"/>
          <c:showCatName val="0"/>
          <c:showSerName val="0"/>
          <c:showPercent val="0"/>
          <c:showBubbleSize val="0"/>
        </c:dLbls>
        <c:smooth val="0"/>
        <c:axId val="142161248"/>
        <c:axId val="49634544"/>
      </c:lineChart>
      <c:dateAx>
        <c:axId val="1421612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544"/>
        <c:crosses val="autoZero"/>
        <c:auto val="1"/>
        <c:lblOffset val="100"/>
        <c:baseTimeUnit val="months"/>
      </c:dateAx>
      <c:valAx>
        <c:axId val="49634544"/>
        <c:scaling>
          <c:orientation val="minMax"/>
          <c:max val="9"/>
          <c:min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6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Multiplier total litter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'Multiplier Total litter mas (2)'!$A$17</c:f>
              <c:strCache>
                <c:ptCount val="1"/>
                <c:pt idx="0">
                  <c:v>FY26</c:v>
                </c:pt>
              </c:strCache>
            </c:strRef>
          </c:tx>
          <c:spPr>
            <a:ln w="28575" cap="rnd">
              <a:solidFill>
                <a:schemeClr val="accent1"/>
              </a:solidFill>
              <a:round/>
            </a:ln>
            <a:effectLst/>
          </c:spPr>
          <c:marker>
            <c:symbol val="none"/>
          </c:marker>
          <c:cat>
            <c:numRef>
              <c:f>'Multiplier Total litter mas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Total litter mas (2)'!$B$17:$M$17</c:f>
              <c:numCache>
                <c:formatCode>General</c:formatCode>
                <c:ptCount val="12"/>
                <c:pt idx="4">
                  <c:v>105</c:v>
                </c:pt>
                <c:pt idx="5">
                  <c:v>105.2</c:v>
                </c:pt>
                <c:pt idx="6">
                  <c:v>104.9</c:v>
                </c:pt>
                <c:pt idx="7">
                  <c:v>99.63</c:v>
                </c:pt>
                <c:pt idx="8">
                  <c:v>97.62</c:v>
                </c:pt>
                <c:pt idx="9">
                  <c:v>91</c:v>
                </c:pt>
                <c:pt idx="10">
                  <c:v>98.79</c:v>
                </c:pt>
                <c:pt idx="11">
                  <c:v>102.32</c:v>
                </c:pt>
              </c:numCache>
            </c:numRef>
          </c:val>
          <c:smooth val="0"/>
          <c:extLst>
            <c:ext xmlns:c16="http://schemas.microsoft.com/office/drawing/2014/chart" uri="{C3380CC4-5D6E-409C-BE32-E72D297353CC}">
              <c16:uniqueId val="{00000000-AD1E-4640-95C7-5532E1DA4DD4}"/>
            </c:ext>
          </c:extLst>
        </c:ser>
        <c:ser>
          <c:idx val="1"/>
          <c:order val="1"/>
          <c:tx>
            <c:strRef>
              <c:f>'Multiplier Total litter mas (2)'!$A$18</c:f>
              <c:strCache>
                <c:ptCount val="1"/>
                <c:pt idx="0">
                  <c:v>PRIOR YEAR</c:v>
                </c:pt>
              </c:strCache>
            </c:strRef>
          </c:tx>
          <c:spPr>
            <a:ln w="28575" cap="rnd">
              <a:solidFill>
                <a:schemeClr val="accent2"/>
              </a:solidFill>
              <a:round/>
            </a:ln>
            <a:effectLst/>
          </c:spPr>
          <c:marker>
            <c:symbol val="none"/>
          </c:marker>
          <c:cat>
            <c:numRef>
              <c:f>'Multiplier Total litter mas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Total litter mas (2)'!$B$18:$M$18</c:f>
              <c:numCache>
                <c:formatCode>General</c:formatCode>
                <c:ptCount val="12"/>
              </c:numCache>
            </c:numRef>
          </c:val>
          <c:smooth val="0"/>
          <c:extLst>
            <c:ext xmlns:c16="http://schemas.microsoft.com/office/drawing/2014/chart" uri="{C3380CC4-5D6E-409C-BE32-E72D297353CC}">
              <c16:uniqueId val="{00000001-AD1E-4640-95C7-5532E1DA4DD4}"/>
            </c:ext>
          </c:extLst>
        </c:ser>
        <c:ser>
          <c:idx val="2"/>
          <c:order val="2"/>
          <c:tx>
            <c:strRef>
              <c:f>'Multiplier Total litter mas (2)'!$A$19</c:f>
              <c:strCache>
                <c:ptCount val="1"/>
                <c:pt idx="0">
                  <c:v>TARGET</c:v>
                </c:pt>
              </c:strCache>
            </c:strRef>
          </c:tx>
          <c:spPr>
            <a:ln w="28575" cap="rnd">
              <a:solidFill>
                <a:schemeClr val="accent3"/>
              </a:solidFill>
              <a:round/>
            </a:ln>
            <a:effectLst/>
          </c:spPr>
          <c:marker>
            <c:symbol val="none"/>
          </c:marker>
          <c:cat>
            <c:numRef>
              <c:f>'Multiplier Total litter mas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Total litter mas (2)'!$B$19:$M$19</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2-AD1E-4640-95C7-5532E1DA4DD4}"/>
            </c:ext>
          </c:extLst>
        </c:ser>
        <c:dLbls>
          <c:showLegendKey val="0"/>
          <c:showVal val="0"/>
          <c:showCatName val="0"/>
          <c:showSerName val="0"/>
          <c:showPercent val="0"/>
          <c:showBubbleSize val="0"/>
        </c:dLbls>
        <c:smooth val="0"/>
        <c:axId val="142199248"/>
        <c:axId val="49636208"/>
      </c:lineChart>
      <c:dateAx>
        <c:axId val="1421992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6208"/>
        <c:crosses val="autoZero"/>
        <c:auto val="1"/>
        <c:lblOffset val="100"/>
        <c:baseTimeUnit val="months"/>
      </c:dateAx>
      <c:valAx>
        <c:axId val="49636208"/>
        <c:scaling>
          <c:orientation val="minMax"/>
          <c:max val="130"/>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9248"/>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Multiplier 70 day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'Multiplier 70 day weight  (2)'!$A$17</c:f>
              <c:strCache>
                <c:ptCount val="1"/>
                <c:pt idx="0">
                  <c:v>FY26</c:v>
                </c:pt>
              </c:strCache>
            </c:strRef>
          </c:tx>
          <c:spPr>
            <a:ln w="28575" cap="rnd">
              <a:solidFill>
                <a:schemeClr val="accent1"/>
              </a:solidFill>
              <a:round/>
            </a:ln>
            <a:effectLst/>
          </c:spPr>
          <c:marker>
            <c:symbol val="none"/>
          </c:marker>
          <c:cat>
            <c:numRef>
              <c:f>'Multiplier 70 day weight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70 day weight  (2)'!$B$17:$M$17</c:f>
              <c:numCache>
                <c:formatCode>General</c:formatCode>
                <c:ptCount val="12"/>
                <c:pt idx="5">
                  <c:v>28.3</c:v>
                </c:pt>
                <c:pt idx="6">
                  <c:v>25.85</c:v>
                </c:pt>
                <c:pt idx="7">
                  <c:v>26.57</c:v>
                </c:pt>
                <c:pt idx="8">
                  <c:v>24.89</c:v>
                </c:pt>
                <c:pt idx="9">
                  <c:v>24.96</c:v>
                </c:pt>
                <c:pt idx="10">
                  <c:v>23.9</c:v>
                </c:pt>
                <c:pt idx="11">
                  <c:v>24.27</c:v>
                </c:pt>
              </c:numCache>
            </c:numRef>
          </c:val>
          <c:smooth val="0"/>
          <c:extLst>
            <c:ext xmlns:c16="http://schemas.microsoft.com/office/drawing/2014/chart" uri="{C3380CC4-5D6E-409C-BE32-E72D297353CC}">
              <c16:uniqueId val="{00000000-A254-41BB-BE1E-9506D027A31C}"/>
            </c:ext>
          </c:extLst>
        </c:ser>
        <c:ser>
          <c:idx val="1"/>
          <c:order val="1"/>
          <c:tx>
            <c:strRef>
              <c:f>'Multiplier 70 day weight  (2)'!$A$18</c:f>
              <c:strCache>
                <c:ptCount val="1"/>
                <c:pt idx="0">
                  <c:v>PRIOR YEAR</c:v>
                </c:pt>
              </c:strCache>
            </c:strRef>
          </c:tx>
          <c:spPr>
            <a:ln w="28575" cap="rnd">
              <a:solidFill>
                <a:schemeClr val="accent2"/>
              </a:solidFill>
              <a:round/>
            </a:ln>
            <a:effectLst/>
          </c:spPr>
          <c:marker>
            <c:symbol val="none"/>
          </c:marker>
          <c:cat>
            <c:numRef>
              <c:f>'Multiplier 70 day weight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70 day weight  (2)'!$B$18:$M$18</c:f>
              <c:numCache>
                <c:formatCode>General</c:formatCode>
                <c:ptCount val="12"/>
              </c:numCache>
            </c:numRef>
          </c:val>
          <c:smooth val="0"/>
          <c:extLst>
            <c:ext xmlns:c16="http://schemas.microsoft.com/office/drawing/2014/chart" uri="{C3380CC4-5D6E-409C-BE32-E72D297353CC}">
              <c16:uniqueId val="{00000001-A254-41BB-BE1E-9506D027A31C}"/>
            </c:ext>
          </c:extLst>
        </c:ser>
        <c:ser>
          <c:idx val="2"/>
          <c:order val="2"/>
          <c:tx>
            <c:strRef>
              <c:f>'Multiplier 70 day weight  (2)'!$A$19</c:f>
              <c:strCache>
                <c:ptCount val="1"/>
                <c:pt idx="0">
                  <c:v>TARGET</c:v>
                </c:pt>
              </c:strCache>
            </c:strRef>
          </c:tx>
          <c:spPr>
            <a:ln w="28575" cap="rnd">
              <a:solidFill>
                <a:schemeClr val="accent3"/>
              </a:solidFill>
              <a:round/>
            </a:ln>
            <a:effectLst/>
          </c:spPr>
          <c:marker>
            <c:symbol val="none"/>
          </c:marker>
          <c:cat>
            <c:numRef>
              <c:f>'Multiplier 70 day weight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70 day weight  (2)'!$B$19:$M$19</c:f>
              <c:numCache>
                <c:formatCode>General</c:formatCode>
                <c:ptCount val="12"/>
                <c:pt idx="0">
                  <c:v>28</c:v>
                </c:pt>
                <c:pt idx="1">
                  <c:v>28</c:v>
                </c:pt>
                <c:pt idx="2">
                  <c:v>28</c:v>
                </c:pt>
                <c:pt idx="3">
                  <c:v>28</c:v>
                </c:pt>
                <c:pt idx="4">
                  <c:v>28</c:v>
                </c:pt>
                <c:pt idx="5">
                  <c:v>28</c:v>
                </c:pt>
                <c:pt idx="6">
                  <c:v>28</c:v>
                </c:pt>
                <c:pt idx="7">
                  <c:v>28</c:v>
                </c:pt>
                <c:pt idx="8">
                  <c:v>28</c:v>
                </c:pt>
                <c:pt idx="9">
                  <c:v>28</c:v>
                </c:pt>
                <c:pt idx="10">
                  <c:v>28</c:v>
                </c:pt>
                <c:pt idx="11">
                  <c:v>28</c:v>
                </c:pt>
              </c:numCache>
            </c:numRef>
          </c:val>
          <c:smooth val="0"/>
          <c:extLst>
            <c:ext xmlns:c16="http://schemas.microsoft.com/office/drawing/2014/chart" uri="{C3380CC4-5D6E-409C-BE32-E72D297353CC}">
              <c16:uniqueId val="{00000002-A254-41BB-BE1E-9506D027A31C}"/>
            </c:ext>
          </c:extLst>
        </c:ser>
        <c:ser>
          <c:idx val="3"/>
          <c:order val="3"/>
          <c:tx>
            <c:strRef>
              <c:f>'Multiplier 70 day weight  (2)'!$A$20</c:f>
              <c:strCache>
                <c:ptCount val="1"/>
              </c:strCache>
            </c:strRef>
          </c:tx>
          <c:spPr>
            <a:ln w="28575" cap="rnd">
              <a:solidFill>
                <a:schemeClr val="accent4"/>
              </a:solidFill>
              <a:round/>
            </a:ln>
            <a:effectLst/>
          </c:spPr>
          <c:marker>
            <c:symbol val="none"/>
          </c:marker>
          <c:cat>
            <c:numRef>
              <c:f>'Multiplier 70 day weight  (2)'!$B$16:$M$16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70 day weight  (2)'!$B$20:$M$20</c:f>
              <c:numCache>
                <c:formatCode>General</c:formatCode>
                <c:ptCount val="12"/>
              </c:numCache>
            </c:numRef>
          </c:val>
          <c:smooth val="0"/>
          <c:extLst>
            <c:ext xmlns:c16="http://schemas.microsoft.com/office/drawing/2014/chart" uri="{C3380CC4-5D6E-409C-BE32-E72D297353CC}">
              <c16:uniqueId val="{00000003-A254-41BB-BE1E-9506D027A31C}"/>
            </c:ext>
          </c:extLst>
        </c:ser>
        <c:dLbls>
          <c:showLegendKey val="0"/>
          <c:showVal val="0"/>
          <c:showCatName val="0"/>
          <c:showSerName val="0"/>
          <c:showPercent val="0"/>
          <c:showBubbleSize val="0"/>
        </c:dLbls>
        <c:smooth val="0"/>
        <c:axId val="1260788767"/>
        <c:axId val="1164285823"/>
      </c:lineChart>
      <c:dateAx>
        <c:axId val="126078876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4285823"/>
        <c:crosses val="autoZero"/>
        <c:auto val="1"/>
        <c:lblOffset val="100"/>
        <c:baseTimeUnit val="months"/>
      </c:dateAx>
      <c:valAx>
        <c:axId val="1164285823"/>
        <c:scaling>
          <c:orientation val="minMax"/>
          <c:max val="31"/>
          <c:min val="2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0788767"/>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	Multiplier 70 day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'Multiplier 70 day gain  (2)'!$A$17</c:f>
              <c:strCache>
                <c:ptCount val="1"/>
                <c:pt idx="0">
                  <c:v>FY26</c:v>
                </c:pt>
              </c:strCache>
            </c:strRef>
          </c:tx>
          <c:spPr>
            <a:ln w="28575" cap="rnd">
              <a:solidFill>
                <a:schemeClr val="accent1"/>
              </a:solidFill>
              <a:round/>
            </a:ln>
            <a:effectLst/>
          </c:spPr>
          <c:marker>
            <c:symbol val="none"/>
          </c:marker>
          <c:cat>
            <c:numRef>
              <c:f>'Multiplier 70 day gain  (2)'!$B$16:$N$16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70 day gain  (2)'!$B$17:$N$17</c:f>
              <c:numCache>
                <c:formatCode>0.0</c:formatCode>
                <c:ptCount val="13"/>
                <c:pt idx="5">
                  <c:v>18.399999999999999</c:v>
                </c:pt>
                <c:pt idx="6" formatCode="General">
                  <c:v>18.399999999999999</c:v>
                </c:pt>
                <c:pt idx="7" formatCode="General">
                  <c:v>19.2</c:v>
                </c:pt>
                <c:pt idx="8" formatCode="General">
                  <c:v>17.989999999999998</c:v>
                </c:pt>
                <c:pt idx="9" formatCode="General">
                  <c:v>18.36</c:v>
                </c:pt>
                <c:pt idx="10" formatCode="General">
                  <c:v>17</c:v>
                </c:pt>
                <c:pt idx="11" formatCode="General">
                  <c:v>17.63</c:v>
                </c:pt>
                <c:pt idx="12">
                  <c:v>18.139999999999997</c:v>
                </c:pt>
              </c:numCache>
            </c:numRef>
          </c:val>
          <c:smooth val="0"/>
          <c:extLst>
            <c:ext xmlns:c16="http://schemas.microsoft.com/office/drawing/2014/chart" uri="{C3380CC4-5D6E-409C-BE32-E72D297353CC}">
              <c16:uniqueId val="{00000000-91D9-4AA0-A967-248B4EC2DCAF}"/>
            </c:ext>
          </c:extLst>
        </c:ser>
        <c:ser>
          <c:idx val="1"/>
          <c:order val="1"/>
          <c:tx>
            <c:strRef>
              <c:f>'Multiplier 70 day gain  (2)'!$A$18</c:f>
              <c:strCache>
                <c:ptCount val="1"/>
                <c:pt idx="0">
                  <c:v>PRIOR YEAR</c:v>
                </c:pt>
              </c:strCache>
            </c:strRef>
          </c:tx>
          <c:spPr>
            <a:ln w="28575" cap="rnd">
              <a:solidFill>
                <a:schemeClr val="accent2"/>
              </a:solidFill>
              <a:round/>
            </a:ln>
            <a:effectLst/>
          </c:spPr>
          <c:marker>
            <c:symbol val="none"/>
          </c:marker>
          <c:cat>
            <c:numRef>
              <c:f>'Multiplier 70 day gain  (2)'!$B$16:$N$16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70 day gain  (2)'!$B$18:$N$18</c:f>
              <c:numCache>
                <c:formatCode>General</c:formatCode>
                <c:ptCount val="13"/>
              </c:numCache>
            </c:numRef>
          </c:val>
          <c:smooth val="0"/>
          <c:extLst>
            <c:ext xmlns:c16="http://schemas.microsoft.com/office/drawing/2014/chart" uri="{C3380CC4-5D6E-409C-BE32-E72D297353CC}">
              <c16:uniqueId val="{00000001-91D9-4AA0-A967-248B4EC2DCAF}"/>
            </c:ext>
          </c:extLst>
        </c:ser>
        <c:ser>
          <c:idx val="2"/>
          <c:order val="2"/>
          <c:tx>
            <c:strRef>
              <c:f>'Multiplier 70 day gain  (2)'!$A$19</c:f>
              <c:strCache>
                <c:ptCount val="1"/>
                <c:pt idx="0">
                  <c:v>TARGET</c:v>
                </c:pt>
              </c:strCache>
            </c:strRef>
          </c:tx>
          <c:spPr>
            <a:ln w="28575" cap="rnd">
              <a:solidFill>
                <a:schemeClr val="accent3"/>
              </a:solidFill>
              <a:round/>
            </a:ln>
            <a:effectLst/>
          </c:spPr>
          <c:marker>
            <c:symbol val="none"/>
          </c:marker>
          <c:cat>
            <c:numRef>
              <c:f>'Multiplier 70 day gain  (2)'!$B$16:$N$16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70 day gain  (2)'!$B$19:$N$19</c:f>
              <c:numCache>
                <c:formatCode>General</c:formatCode>
                <c:ptCount val="13"/>
                <c:pt idx="0">
                  <c:v>21</c:v>
                </c:pt>
                <c:pt idx="1">
                  <c:v>21</c:v>
                </c:pt>
                <c:pt idx="2">
                  <c:v>21</c:v>
                </c:pt>
                <c:pt idx="3">
                  <c:v>21</c:v>
                </c:pt>
                <c:pt idx="4">
                  <c:v>21</c:v>
                </c:pt>
                <c:pt idx="5">
                  <c:v>21</c:v>
                </c:pt>
                <c:pt idx="6">
                  <c:v>21</c:v>
                </c:pt>
                <c:pt idx="7">
                  <c:v>21</c:v>
                </c:pt>
                <c:pt idx="8">
                  <c:v>21</c:v>
                </c:pt>
                <c:pt idx="9">
                  <c:v>21</c:v>
                </c:pt>
                <c:pt idx="10">
                  <c:v>21</c:v>
                </c:pt>
                <c:pt idx="11">
                  <c:v>21</c:v>
                </c:pt>
                <c:pt idx="12" formatCode="0.0">
                  <c:v>21</c:v>
                </c:pt>
              </c:numCache>
            </c:numRef>
          </c:val>
          <c:smooth val="0"/>
          <c:extLst>
            <c:ext xmlns:c16="http://schemas.microsoft.com/office/drawing/2014/chart" uri="{C3380CC4-5D6E-409C-BE32-E72D297353CC}">
              <c16:uniqueId val="{00000002-91D9-4AA0-A967-248B4EC2DCAF}"/>
            </c:ext>
          </c:extLst>
        </c:ser>
        <c:ser>
          <c:idx val="3"/>
          <c:order val="3"/>
          <c:tx>
            <c:strRef>
              <c:f>'Multiplier 70 day gain  (2)'!$A$20</c:f>
              <c:strCache>
                <c:ptCount val="1"/>
              </c:strCache>
            </c:strRef>
          </c:tx>
          <c:spPr>
            <a:ln w="28575" cap="rnd">
              <a:solidFill>
                <a:schemeClr val="accent4"/>
              </a:solidFill>
              <a:round/>
            </a:ln>
            <a:effectLst/>
          </c:spPr>
          <c:marker>
            <c:symbol val="none"/>
          </c:marker>
          <c:cat>
            <c:numRef>
              <c:f>'Multiplier 70 day gain  (2)'!$B$16:$N$16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'Multiplier 70 day gain  (2)'!$B$20:$N$20</c:f>
              <c:numCache>
                <c:formatCode>General</c:formatCode>
                <c:ptCount val="13"/>
              </c:numCache>
            </c:numRef>
          </c:val>
          <c:smooth val="0"/>
          <c:extLst>
            <c:ext xmlns:c16="http://schemas.microsoft.com/office/drawing/2014/chart" uri="{C3380CC4-5D6E-409C-BE32-E72D297353CC}">
              <c16:uniqueId val="{00000003-91D9-4AA0-A967-248B4EC2DCAF}"/>
            </c:ext>
          </c:extLst>
        </c:ser>
        <c:dLbls>
          <c:showLegendKey val="0"/>
          <c:showVal val="0"/>
          <c:showCatName val="0"/>
          <c:showSerName val="0"/>
          <c:showPercent val="0"/>
          <c:showBubbleSize val="0"/>
        </c:dLbls>
        <c:smooth val="0"/>
        <c:axId val="1261193455"/>
        <c:axId val="1183778207"/>
      </c:lineChart>
      <c:dateAx>
        <c:axId val="126119345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83778207"/>
        <c:crosses val="autoZero"/>
        <c:auto val="1"/>
        <c:lblOffset val="100"/>
        <c:baseTimeUnit val="months"/>
      </c:dateAx>
      <c:valAx>
        <c:axId val="1183778207"/>
        <c:scaling>
          <c:orientation val="minMax"/>
          <c:max val="23"/>
          <c:min val="16"/>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1193455"/>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Multiplier Pedigree W/S/Y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'Multiplier WSY  (2)'!$A$18</c:f>
              <c:strCache>
                <c:ptCount val="1"/>
                <c:pt idx="0">
                  <c:v>Pedigree</c:v>
                </c:pt>
              </c:strCache>
            </c:strRef>
          </c:tx>
          <c:spPr>
            <a:ln w="28575" cap="rnd">
              <a:solidFill>
                <a:schemeClr val="accent1"/>
              </a:solidFill>
              <a:round/>
            </a:ln>
            <a:effectLst/>
          </c:spPr>
          <c:marker>
            <c:symbol val="none"/>
          </c:marker>
          <c:cat>
            <c:numRef>
              <c:f>'Multiplier WSY  (2)'!$B$17:$N$17</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WSY  (2)'!$B$18:$N$18</c:f>
              <c:numCache>
                <c:formatCode>General</c:formatCode>
                <c:ptCount val="13"/>
                <c:pt idx="5">
                  <c:v>34.6</c:v>
                </c:pt>
                <c:pt idx="6">
                  <c:v>32.86</c:v>
                </c:pt>
                <c:pt idx="7">
                  <c:v>34.1</c:v>
                </c:pt>
                <c:pt idx="8">
                  <c:v>35.32</c:v>
                </c:pt>
                <c:pt idx="9">
                  <c:v>31.4</c:v>
                </c:pt>
                <c:pt idx="10">
                  <c:v>31.6</c:v>
                </c:pt>
                <c:pt idx="11">
                  <c:v>29.78</c:v>
                </c:pt>
                <c:pt idx="12" formatCode="0.0">
                  <c:v>32.808571428571426</c:v>
                </c:pt>
              </c:numCache>
            </c:numRef>
          </c:val>
          <c:smooth val="0"/>
          <c:extLst>
            <c:ext xmlns:c16="http://schemas.microsoft.com/office/drawing/2014/chart" uri="{C3380CC4-5D6E-409C-BE32-E72D297353CC}">
              <c16:uniqueId val="{00000000-F344-4FC2-8A4E-AAF9760A6FF9}"/>
            </c:ext>
          </c:extLst>
        </c:ser>
        <c:ser>
          <c:idx val="1"/>
          <c:order val="1"/>
          <c:tx>
            <c:strRef>
              <c:f>'Multiplier WSY  (2)'!$A$19</c:f>
              <c:strCache>
                <c:ptCount val="1"/>
                <c:pt idx="0">
                  <c:v>PRIOR YEAR</c:v>
                </c:pt>
              </c:strCache>
            </c:strRef>
          </c:tx>
          <c:spPr>
            <a:ln w="28575" cap="rnd">
              <a:solidFill>
                <a:schemeClr val="accent2"/>
              </a:solidFill>
              <a:round/>
            </a:ln>
            <a:effectLst/>
          </c:spPr>
          <c:marker>
            <c:symbol val="none"/>
          </c:marker>
          <c:cat>
            <c:numRef>
              <c:f>'Multiplier WSY  (2)'!$B$17:$N$17</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WSY  (2)'!$B$19:$N$19</c:f>
              <c:numCache>
                <c:formatCode>General</c:formatCode>
                <c:ptCount val="13"/>
              </c:numCache>
            </c:numRef>
          </c:val>
          <c:smooth val="0"/>
          <c:extLst>
            <c:ext xmlns:c16="http://schemas.microsoft.com/office/drawing/2014/chart" uri="{C3380CC4-5D6E-409C-BE32-E72D297353CC}">
              <c16:uniqueId val="{00000001-F344-4FC2-8A4E-AAF9760A6FF9}"/>
            </c:ext>
          </c:extLst>
        </c:ser>
        <c:ser>
          <c:idx val="2"/>
          <c:order val="2"/>
          <c:tx>
            <c:strRef>
              <c:f>'Multiplier WSY  (2)'!$A$20</c:f>
              <c:strCache>
                <c:ptCount val="1"/>
                <c:pt idx="0">
                  <c:v>TARGET</c:v>
                </c:pt>
              </c:strCache>
            </c:strRef>
          </c:tx>
          <c:spPr>
            <a:ln w="28575" cap="rnd">
              <a:solidFill>
                <a:schemeClr val="accent3"/>
              </a:solidFill>
              <a:round/>
            </a:ln>
            <a:effectLst/>
          </c:spPr>
          <c:marker>
            <c:symbol val="none"/>
          </c:marker>
          <c:cat>
            <c:numRef>
              <c:f>'Multiplier WSY  (2)'!$B$17:$N$17</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WSY  (2)'!$B$20:$N$20</c:f>
              <c:numCache>
                <c:formatCode>General</c:formatCode>
                <c:ptCount val="13"/>
                <c:pt idx="0">
                  <c:v>33</c:v>
                </c:pt>
                <c:pt idx="1">
                  <c:v>33</c:v>
                </c:pt>
                <c:pt idx="2">
                  <c:v>33</c:v>
                </c:pt>
                <c:pt idx="3">
                  <c:v>33</c:v>
                </c:pt>
                <c:pt idx="4">
                  <c:v>33</c:v>
                </c:pt>
                <c:pt idx="5">
                  <c:v>33</c:v>
                </c:pt>
                <c:pt idx="6">
                  <c:v>33</c:v>
                </c:pt>
                <c:pt idx="7">
                  <c:v>33</c:v>
                </c:pt>
                <c:pt idx="8">
                  <c:v>33</c:v>
                </c:pt>
                <c:pt idx="9">
                  <c:v>33</c:v>
                </c:pt>
                <c:pt idx="10">
                  <c:v>33</c:v>
                </c:pt>
                <c:pt idx="11">
                  <c:v>33</c:v>
                </c:pt>
                <c:pt idx="12" formatCode="0.0">
                  <c:v>33</c:v>
                </c:pt>
              </c:numCache>
            </c:numRef>
          </c:val>
          <c:smooth val="0"/>
          <c:extLst>
            <c:ext xmlns:c16="http://schemas.microsoft.com/office/drawing/2014/chart" uri="{C3380CC4-5D6E-409C-BE32-E72D297353CC}">
              <c16:uniqueId val="{00000002-F344-4FC2-8A4E-AAF9760A6FF9}"/>
            </c:ext>
          </c:extLst>
        </c:ser>
        <c:dLbls>
          <c:showLegendKey val="0"/>
          <c:showVal val="0"/>
          <c:showCatName val="0"/>
          <c:showSerName val="0"/>
          <c:showPercent val="0"/>
          <c:showBubbleSize val="0"/>
        </c:dLbls>
        <c:smooth val="0"/>
        <c:axId val="618677952"/>
        <c:axId val="618678312"/>
      </c:lineChart>
      <c:dateAx>
        <c:axId val="61867795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678312"/>
        <c:crosses val="autoZero"/>
        <c:auto val="1"/>
        <c:lblOffset val="100"/>
        <c:baseTimeUnit val="months"/>
      </c:dateAx>
      <c:valAx>
        <c:axId val="618678312"/>
        <c:scaling>
          <c:orientation val="minMax"/>
          <c:max val="37"/>
          <c:min val="2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6779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Multiplier quality gilt selection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'Multiplier quality gilts suppli'!$A$19</c:f>
              <c:strCache>
                <c:ptCount val="1"/>
                <c:pt idx="0">
                  <c:v>Pedigree</c:v>
                </c:pt>
              </c:strCache>
            </c:strRef>
          </c:tx>
          <c:spPr>
            <a:ln w="28575" cap="rnd">
              <a:solidFill>
                <a:schemeClr val="accent1"/>
              </a:solidFill>
              <a:round/>
            </a:ln>
            <a:effectLst/>
          </c:spPr>
          <c:marker>
            <c:symbol val="none"/>
          </c:marker>
          <c:cat>
            <c:numRef>
              <c:f>'Multiplier quality gilts suppli'!$B$18:$M$18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quality gilts suppli'!$B$19:$M$19</c:f>
              <c:numCache>
                <c:formatCode>General</c:formatCode>
                <c:ptCount val="12"/>
                <c:pt idx="9" formatCode="0.0">
                  <c:v>80.888657554291143</c:v>
                </c:pt>
                <c:pt idx="10" formatCode="0.0">
                  <c:v>82.914083579410573</c:v>
                </c:pt>
                <c:pt idx="11" formatCode="0.0">
                  <c:v>76.973453499196083</c:v>
                </c:pt>
              </c:numCache>
            </c:numRef>
          </c:val>
          <c:smooth val="0"/>
          <c:extLst>
            <c:ext xmlns:c16="http://schemas.microsoft.com/office/drawing/2014/chart" uri="{C3380CC4-5D6E-409C-BE32-E72D297353CC}">
              <c16:uniqueId val="{00000000-0A32-4F37-879E-0AE12BD52A15}"/>
            </c:ext>
          </c:extLst>
        </c:ser>
        <c:ser>
          <c:idx val="1"/>
          <c:order val="1"/>
          <c:tx>
            <c:strRef>
              <c:f>'Multiplier quality gilts suppli'!$A$20</c:f>
              <c:strCache>
                <c:ptCount val="1"/>
                <c:pt idx="0">
                  <c:v>PRIOR YEAR</c:v>
                </c:pt>
              </c:strCache>
            </c:strRef>
          </c:tx>
          <c:spPr>
            <a:ln w="28575" cap="rnd">
              <a:solidFill>
                <a:schemeClr val="accent2"/>
              </a:solidFill>
              <a:round/>
            </a:ln>
            <a:effectLst/>
          </c:spPr>
          <c:marker>
            <c:symbol val="none"/>
          </c:marker>
          <c:cat>
            <c:numRef>
              <c:f>'Multiplier quality gilts suppli'!$B$18:$M$18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quality gilts suppli'!$B$20:$M$20</c:f>
              <c:numCache>
                <c:formatCode>General</c:formatCode>
                <c:ptCount val="12"/>
              </c:numCache>
            </c:numRef>
          </c:val>
          <c:smooth val="0"/>
          <c:extLst>
            <c:ext xmlns:c16="http://schemas.microsoft.com/office/drawing/2014/chart" uri="{C3380CC4-5D6E-409C-BE32-E72D297353CC}">
              <c16:uniqueId val="{00000001-0A32-4F37-879E-0AE12BD52A15}"/>
            </c:ext>
          </c:extLst>
        </c:ser>
        <c:ser>
          <c:idx val="2"/>
          <c:order val="2"/>
          <c:tx>
            <c:strRef>
              <c:f>'Multiplier quality gilts suppli'!$A$21</c:f>
              <c:strCache>
                <c:ptCount val="1"/>
                <c:pt idx="0">
                  <c:v>TARGET</c:v>
                </c:pt>
              </c:strCache>
            </c:strRef>
          </c:tx>
          <c:spPr>
            <a:ln w="28575" cap="rnd">
              <a:solidFill>
                <a:schemeClr val="accent3"/>
              </a:solidFill>
              <a:round/>
            </a:ln>
            <a:effectLst/>
          </c:spPr>
          <c:marker>
            <c:symbol val="none"/>
          </c:marker>
          <c:cat>
            <c:numRef>
              <c:f>'Multiplier quality gilts suppli'!$B$18:$M$18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'Multiplier quality gilts suppli'!$B$21:$M$21</c:f>
              <c:numCache>
                <c:formatCode>General</c:formatCode>
                <c:ptCount val="12"/>
                <c:pt idx="0">
                  <c:v>85</c:v>
                </c:pt>
                <c:pt idx="1">
                  <c:v>85</c:v>
                </c:pt>
                <c:pt idx="2">
                  <c:v>85</c:v>
                </c:pt>
                <c:pt idx="3">
                  <c:v>85</c:v>
                </c:pt>
                <c:pt idx="4">
                  <c:v>85</c:v>
                </c:pt>
                <c:pt idx="5">
                  <c:v>85</c:v>
                </c:pt>
                <c:pt idx="6">
                  <c:v>85</c:v>
                </c:pt>
                <c:pt idx="7">
                  <c:v>85</c:v>
                </c:pt>
                <c:pt idx="8">
                  <c:v>85</c:v>
                </c:pt>
                <c:pt idx="9">
                  <c:v>85</c:v>
                </c:pt>
                <c:pt idx="10">
                  <c:v>85</c:v>
                </c:pt>
                <c:pt idx="11">
                  <c:v>85</c:v>
                </c:pt>
              </c:numCache>
            </c:numRef>
          </c:val>
          <c:smooth val="0"/>
          <c:extLst>
            <c:ext xmlns:c16="http://schemas.microsoft.com/office/drawing/2014/chart" uri="{C3380CC4-5D6E-409C-BE32-E72D297353CC}">
              <c16:uniqueId val="{00000002-0A32-4F37-879E-0AE12BD52A15}"/>
            </c:ext>
          </c:extLst>
        </c:ser>
        <c:dLbls>
          <c:showLegendKey val="0"/>
          <c:showVal val="0"/>
          <c:showCatName val="0"/>
          <c:showSerName val="0"/>
          <c:showPercent val="0"/>
          <c:showBubbleSize val="0"/>
        </c:dLbls>
        <c:smooth val="0"/>
        <c:axId val="778456799"/>
        <c:axId val="759790639"/>
      </c:lineChart>
      <c:dateAx>
        <c:axId val="77845679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790639"/>
        <c:crosses val="autoZero"/>
        <c:auto val="1"/>
        <c:lblOffset val="100"/>
        <c:baseTimeUnit val="months"/>
      </c:dateAx>
      <c:valAx>
        <c:axId val="75979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56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Porta Avg CDM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'Porta Avg CDM vs Budget '!$A$20</c:f>
              <c:strCache>
                <c:ptCount val="1"/>
                <c:pt idx="0">
                  <c:v>FY26</c:v>
                </c:pt>
              </c:strCache>
            </c:strRef>
          </c:tx>
          <c:spPr>
            <a:ln w="28575" cap="rnd">
              <a:solidFill>
                <a:schemeClr val="accent1"/>
              </a:solidFill>
              <a:round/>
            </a:ln>
            <a:effectLst/>
          </c:spPr>
          <c:marker>
            <c:symbol val="none"/>
          </c:marker>
          <c:cat>
            <c:numRef>
              <c:f>'Porta Avg CDM vs Budget '!$B$19:$M$19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'Porta Avg CDM vs Budget '!$B$20:$M$20</c:f>
              <c:numCache>
                <c:formatCode>_-* #,##0.00_-;\-* #,##0.00_-;_-* "-"??_-;_-@_-</c:formatCode>
                <c:ptCount val="12"/>
                <c:pt idx="0">
                  <c:v>98.21616391576552</c:v>
                </c:pt>
                <c:pt idx="1">
                  <c:v>93.636764083015663</c:v>
                </c:pt>
                <c:pt idx="2">
                  <c:v>87.233279639175251</c:v>
                </c:pt>
                <c:pt idx="3">
                  <c:v>86.755084427767358</c:v>
                </c:pt>
                <c:pt idx="4">
                  <c:v>84.68104524180967</c:v>
                </c:pt>
                <c:pt idx="5">
                  <c:v>90.746933052926749</c:v>
                </c:pt>
                <c:pt idx="6">
                  <c:v>95.05470121186795</c:v>
                </c:pt>
                <c:pt idx="7">
                  <c:v>92.949055018899628</c:v>
                </c:pt>
                <c:pt idx="8">
                  <c:v>92.741757827235006</c:v>
                </c:pt>
                <c:pt idx="9">
                  <c:v>94.145201238390086</c:v>
                </c:pt>
                <c:pt idx="10">
                  <c:v>94.407090986757794</c:v>
                </c:pt>
                <c:pt idx="11">
                  <c:v>94.823861801743618</c:v>
                </c:pt>
              </c:numCache>
            </c:numRef>
          </c:val>
          <c:smooth val="0"/>
          <c:extLst>
            <c:ext xmlns:c16="http://schemas.microsoft.com/office/drawing/2014/chart" uri="{C3380CC4-5D6E-409C-BE32-E72D297353CC}">
              <c16:uniqueId val="{00000000-A041-487D-A089-2E7FC28FFADD}"/>
            </c:ext>
          </c:extLst>
        </c:ser>
        <c:ser>
          <c:idx val="1"/>
          <c:order val="1"/>
          <c:tx>
            <c:strRef>
              <c:f>'Porta Avg CDM vs Budget '!$A$21</c:f>
              <c:strCache>
                <c:ptCount val="1"/>
                <c:pt idx="0">
                  <c:v>PRIOR</c:v>
                </c:pt>
              </c:strCache>
            </c:strRef>
          </c:tx>
          <c:spPr>
            <a:ln w="28575" cap="rnd">
              <a:solidFill>
                <a:schemeClr val="accent2"/>
              </a:solidFill>
              <a:round/>
            </a:ln>
            <a:effectLst/>
          </c:spPr>
          <c:marker>
            <c:symbol val="none"/>
          </c:marker>
          <c:cat>
            <c:numRef>
              <c:f>'Porta Avg CDM vs Budget '!$B$19:$M$19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'Porta Avg CDM vs Budget '!$B$21:$M$21</c:f>
              <c:numCache>
                <c:formatCode>_-* #,##0.00_-;\-* #,##0.00_-;_-* "-"??_-;_-@_-</c:formatCode>
                <c:ptCount val="12"/>
              </c:numCache>
            </c:numRef>
          </c:val>
          <c:smooth val="0"/>
          <c:extLst>
            <c:ext xmlns:c16="http://schemas.microsoft.com/office/drawing/2014/chart" uri="{C3380CC4-5D6E-409C-BE32-E72D297353CC}">
              <c16:uniqueId val="{00000001-A041-487D-A089-2E7FC28FFADD}"/>
            </c:ext>
          </c:extLst>
        </c:ser>
        <c:ser>
          <c:idx val="2"/>
          <c:order val="2"/>
          <c:tx>
            <c:strRef>
              <c:f>'Porta Avg CDM vs Budget '!$A$22</c:f>
              <c:strCache>
                <c:ptCount val="1"/>
                <c:pt idx="0">
                  <c:v>Budget</c:v>
                </c:pt>
              </c:strCache>
            </c:strRef>
          </c:tx>
          <c:spPr>
            <a:ln w="28575" cap="rnd">
              <a:solidFill>
                <a:schemeClr val="accent3"/>
              </a:solidFill>
              <a:round/>
            </a:ln>
            <a:effectLst/>
          </c:spPr>
          <c:marker>
            <c:symbol val="none"/>
          </c:marker>
          <c:cat>
            <c:numRef>
              <c:f>'Porta Avg CDM vs Budget '!$B$19:$M$19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'Porta Avg CDM vs Budget '!$B$22:$M$22</c:f>
              <c:numCache>
                <c:formatCode>_-* #,##0.00_-;\-* #,##0.00_-;_-* "-"??_-;_-@_-</c:formatCode>
                <c:ptCount val="12"/>
                <c:pt idx="0">
                  <c:v>93.876314471707559</c:v>
                </c:pt>
                <c:pt idx="1">
                  <c:v>93.660467988746305</c:v>
                </c:pt>
                <c:pt idx="2">
                  <c:v>93.66</c:v>
                </c:pt>
                <c:pt idx="3">
                  <c:v>93.66</c:v>
                </c:pt>
                <c:pt idx="4">
                  <c:v>93.66</c:v>
                </c:pt>
                <c:pt idx="5">
                  <c:v>93.66</c:v>
                </c:pt>
                <c:pt idx="6">
                  <c:v>93.66</c:v>
                </c:pt>
                <c:pt idx="7">
                  <c:v>93.66</c:v>
                </c:pt>
                <c:pt idx="8">
                  <c:v>93.66</c:v>
                </c:pt>
                <c:pt idx="9">
                  <c:v>93.66</c:v>
                </c:pt>
                <c:pt idx="10">
                  <c:v>93.66</c:v>
                </c:pt>
                <c:pt idx="11">
                  <c:v>93.66</c:v>
                </c:pt>
              </c:numCache>
            </c:numRef>
          </c:val>
          <c:smooth val="0"/>
          <c:extLst>
            <c:ext xmlns:c16="http://schemas.microsoft.com/office/drawing/2014/chart" uri="{C3380CC4-5D6E-409C-BE32-E72D297353CC}">
              <c16:uniqueId val="{00000002-A041-487D-A089-2E7FC28FFADD}"/>
            </c:ext>
          </c:extLst>
        </c:ser>
        <c:dLbls>
          <c:showLegendKey val="0"/>
          <c:showVal val="0"/>
          <c:showCatName val="0"/>
          <c:showSerName val="0"/>
          <c:showPercent val="0"/>
          <c:showBubbleSize val="0"/>
        </c:dLbls>
        <c:smooth val="0"/>
        <c:axId val="667614824"/>
        <c:axId val="667613744"/>
      </c:lineChart>
      <c:dateAx>
        <c:axId val="6676148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13744"/>
        <c:crosses val="autoZero"/>
        <c:auto val="1"/>
        <c:lblOffset val="100"/>
        <c:baseTimeUnit val="months"/>
      </c:dateAx>
      <c:valAx>
        <c:axId val="667613744"/>
        <c:scaling>
          <c:orientation val="minMax"/>
          <c:max val="105"/>
          <c:min val="84"/>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14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Porta Total CDM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'Porta Total CDM to Colco'!$A$20</c:f>
              <c:strCache>
                <c:ptCount val="1"/>
                <c:pt idx="0">
                  <c:v>FY26</c:v>
                </c:pt>
              </c:strCache>
            </c:strRef>
          </c:tx>
          <c:spPr>
            <a:ln w="28575" cap="rnd">
              <a:solidFill>
                <a:schemeClr val="accent1"/>
              </a:solidFill>
              <a:round/>
            </a:ln>
            <a:effectLst/>
          </c:spPr>
          <c:marker>
            <c:symbol val="none"/>
          </c:marker>
          <c:cat>
            <c:numRef>
              <c:f>'Porta Total CDM to Colco'!$B$19:$M$19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'Porta Total CDM to Colco'!$B$20:$M$20</c:f>
              <c:numCache>
                <c:formatCode>_-* #,##0_-;\-* #,##0_-;_-* "-"??_-;_-@_-</c:formatCode>
                <c:ptCount val="12"/>
                <c:pt idx="0">
                  <c:v>172565.80000000002</c:v>
                </c:pt>
                <c:pt idx="1">
                  <c:v>221076.4</c:v>
                </c:pt>
                <c:pt idx="2">
                  <c:v>270772.09999999998</c:v>
                </c:pt>
                <c:pt idx="3">
                  <c:v>231202.30000000002</c:v>
                </c:pt>
                <c:pt idx="4">
                  <c:v>217122.2</c:v>
                </c:pt>
                <c:pt idx="5">
                  <c:v>258901</c:v>
                </c:pt>
                <c:pt idx="6">
                  <c:v>227465.9</c:v>
                </c:pt>
                <c:pt idx="7">
                  <c:v>221311.7</c:v>
                </c:pt>
                <c:pt idx="8">
                  <c:v>245858.4</c:v>
                </c:pt>
                <c:pt idx="9">
                  <c:v>273680.09999999998</c:v>
                </c:pt>
                <c:pt idx="10">
                  <c:v>221007</c:v>
                </c:pt>
                <c:pt idx="11">
                  <c:v>293669.5</c:v>
                </c:pt>
              </c:numCache>
            </c:numRef>
          </c:val>
          <c:smooth val="0"/>
          <c:extLst>
            <c:ext xmlns:c16="http://schemas.microsoft.com/office/drawing/2014/chart" uri="{C3380CC4-5D6E-409C-BE32-E72D297353CC}">
              <c16:uniqueId val="{00000000-9CFD-4951-A092-76680D0900F5}"/>
            </c:ext>
          </c:extLst>
        </c:ser>
        <c:ser>
          <c:idx val="1"/>
          <c:order val="1"/>
          <c:tx>
            <c:strRef>
              <c:f>'Porta Total CDM to Colco'!$A$21</c:f>
              <c:strCache>
                <c:ptCount val="1"/>
                <c:pt idx="0">
                  <c:v>Budgeted</c:v>
                </c:pt>
              </c:strCache>
            </c:strRef>
          </c:tx>
          <c:spPr>
            <a:ln w="28575" cap="rnd">
              <a:solidFill>
                <a:schemeClr val="accent2"/>
              </a:solidFill>
              <a:round/>
            </a:ln>
            <a:effectLst/>
          </c:spPr>
          <c:marker>
            <c:symbol val="none"/>
          </c:marker>
          <c:cat>
            <c:numRef>
              <c:f>'Porta Total CDM to Colco'!$B$19:$M$19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'Porta Total CDM to Colco'!$B$21:$M$21</c:f>
              <c:numCache>
                <c:formatCode>_-* #,##0_-;\-* #,##0_-;_-* "-"??_-;_-@_-</c:formatCode>
                <c:ptCount val="12"/>
                <c:pt idx="0">
                  <c:v>164974.47999999998</c:v>
                </c:pt>
                <c:pt idx="1">
                  <c:v>218386.24000000002</c:v>
                </c:pt>
                <c:pt idx="2">
                  <c:v>267602.36200000002</c:v>
                </c:pt>
                <c:pt idx="3">
                  <c:v>224110.30799999999</c:v>
                </c:pt>
                <c:pt idx="4">
                  <c:v>220588.33499999999</c:v>
                </c:pt>
                <c:pt idx="5">
                  <c:v>271919.94800000003</c:v>
                </c:pt>
                <c:pt idx="6">
                  <c:v>214718.37999999998</c:v>
                </c:pt>
                <c:pt idx="7">
                  <c:v>214718.37999999998</c:v>
                </c:pt>
                <c:pt idx="8">
                  <c:v>268397.97499999998</c:v>
                </c:pt>
                <c:pt idx="9">
                  <c:v>219362.74</c:v>
                </c:pt>
                <c:pt idx="10">
                  <c:v>219362.74</c:v>
                </c:pt>
                <c:pt idx="11">
                  <c:v>274203.42499999999</c:v>
                </c:pt>
              </c:numCache>
            </c:numRef>
          </c:val>
          <c:smooth val="0"/>
          <c:extLst>
            <c:ext xmlns:c16="http://schemas.microsoft.com/office/drawing/2014/chart" uri="{C3380CC4-5D6E-409C-BE32-E72D297353CC}">
              <c16:uniqueId val="{00000001-9CFD-4951-A092-76680D0900F5}"/>
            </c:ext>
          </c:extLst>
        </c:ser>
        <c:dLbls>
          <c:showLegendKey val="0"/>
          <c:showVal val="0"/>
          <c:showCatName val="0"/>
          <c:showSerName val="0"/>
          <c:showPercent val="0"/>
          <c:showBubbleSize val="0"/>
        </c:dLbls>
        <c:smooth val="0"/>
        <c:axId val="1736642815"/>
        <c:axId val="1543694671"/>
      </c:lineChart>
      <c:dateAx>
        <c:axId val="17366428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94671"/>
        <c:crosses val="autoZero"/>
        <c:auto val="1"/>
        <c:lblOffset val="100"/>
        <c:baseTimeUnit val="months"/>
      </c:dateAx>
      <c:valAx>
        <c:axId val="1543694671"/>
        <c:scaling>
          <c:orientation val="minMax"/>
          <c:min val="15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42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Porta pigs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'Porta Pigs to Colcom'!$A$20</c:f>
              <c:strCache>
                <c:ptCount val="1"/>
                <c:pt idx="0">
                  <c:v>FY26</c:v>
                </c:pt>
              </c:strCache>
            </c:strRef>
          </c:tx>
          <c:spPr>
            <a:ln w="28575" cap="rnd">
              <a:solidFill>
                <a:schemeClr val="accent1"/>
              </a:solidFill>
              <a:round/>
            </a:ln>
            <a:effectLst/>
          </c:spPr>
          <c:marker>
            <c:symbol val="none"/>
          </c:marker>
          <c:cat>
            <c:numRef>
              <c:f>'Porta Pigs to Colcom'!$B$19:$M$19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'Porta Pigs to Colcom'!$B$20:$M$20</c:f>
              <c:numCache>
                <c:formatCode>_-* #,##0_-;\-* #,##0_-;_-* "-"??_-;_-@_-</c:formatCode>
                <c:ptCount val="12"/>
                <c:pt idx="0">
                  <c:v>1757</c:v>
                </c:pt>
                <c:pt idx="1">
                  <c:v>2361</c:v>
                </c:pt>
                <c:pt idx="2">
                  <c:v>3104</c:v>
                </c:pt>
                <c:pt idx="3">
                  <c:v>2665</c:v>
                </c:pt>
                <c:pt idx="4">
                  <c:v>2564</c:v>
                </c:pt>
                <c:pt idx="5">
                  <c:v>2853</c:v>
                </c:pt>
                <c:pt idx="6">
                  <c:v>2393</c:v>
                </c:pt>
                <c:pt idx="7">
                  <c:v>2381</c:v>
                </c:pt>
                <c:pt idx="8">
                  <c:v>2651</c:v>
                </c:pt>
                <c:pt idx="9">
                  <c:v>2907</c:v>
                </c:pt>
                <c:pt idx="10">
                  <c:v>2341</c:v>
                </c:pt>
                <c:pt idx="11">
                  <c:v>3097</c:v>
                </c:pt>
              </c:numCache>
            </c:numRef>
          </c:val>
          <c:smooth val="0"/>
          <c:extLst>
            <c:ext xmlns:c16="http://schemas.microsoft.com/office/drawing/2014/chart" uri="{C3380CC4-5D6E-409C-BE32-E72D297353CC}">
              <c16:uniqueId val="{00000000-3417-4B90-B43A-D2ACC20D5AEC}"/>
            </c:ext>
          </c:extLst>
        </c:ser>
        <c:ser>
          <c:idx val="1"/>
          <c:order val="1"/>
          <c:tx>
            <c:strRef>
              <c:f>'Porta Pigs to Colcom'!$A$21</c:f>
              <c:strCache>
                <c:ptCount val="1"/>
                <c:pt idx="0">
                  <c:v>budget</c:v>
                </c:pt>
              </c:strCache>
            </c:strRef>
          </c:tx>
          <c:spPr>
            <a:ln w="28575" cap="rnd">
              <a:solidFill>
                <a:schemeClr val="accent2"/>
              </a:solidFill>
              <a:round/>
            </a:ln>
            <a:effectLst/>
          </c:spPr>
          <c:marker>
            <c:symbol val="none"/>
          </c:marker>
          <c:cat>
            <c:numRef>
              <c:f>'Porta Pigs to Colcom'!$B$19:$M$19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'Porta Pigs to Colcom'!$B$21:$M$21</c:f>
              <c:numCache>
                <c:formatCode>_-* #,##0_-;\-* #,##0_-;_-* "-"??_-;_-@_-</c:formatCode>
                <c:ptCount val="12"/>
                <c:pt idx="0">
                  <c:v>1757.36</c:v>
                </c:pt>
                <c:pt idx="1">
                  <c:v>2331.6800000000003</c:v>
                </c:pt>
                <c:pt idx="2">
                  <c:v>2918.982</c:v>
                </c:pt>
                <c:pt idx="3">
                  <c:v>2445.3879999999999</c:v>
                </c:pt>
                <c:pt idx="4">
                  <c:v>2406.6849999999999</c:v>
                </c:pt>
                <c:pt idx="5">
                  <c:v>2966.4280000000003</c:v>
                </c:pt>
                <c:pt idx="6">
                  <c:v>2342.1799999999998</c:v>
                </c:pt>
                <c:pt idx="7">
                  <c:v>2342.1799999999998</c:v>
                </c:pt>
                <c:pt idx="8">
                  <c:v>2927.7249999999999</c:v>
                </c:pt>
                <c:pt idx="9">
                  <c:v>2342.1799999999998</c:v>
                </c:pt>
                <c:pt idx="10">
                  <c:v>2342.1799999999998</c:v>
                </c:pt>
                <c:pt idx="11">
                  <c:v>2927.7249999999999</c:v>
                </c:pt>
              </c:numCache>
            </c:numRef>
          </c:val>
          <c:smooth val="0"/>
          <c:extLst>
            <c:ext xmlns:c16="http://schemas.microsoft.com/office/drawing/2014/chart" uri="{C3380CC4-5D6E-409C-BE32-E72D297353CC}">
              <c16:uniqueId val="{00000001-3417-4B90-B43A-D2ACC20D5AEC}"/>
            </c:ext>
          </c:extLst>
        </c:ser>
        <c:dLbls>
          <c:showLegendKey val="0"/>
          <c:showVal val="0"/>
          <c:showCatName val="0"/>
          <c:showSerName val="0"/>
          <c:showPercent val="0"/>
          <c:showBubbleSize val="0"/>
        </c:dLbls>
        <c:smooth val="0"/>
        <c:axId val="1735753215"/>
        <c:axId val="1543714639"/>
      </c:lineChart>
      <c:dateAx>
        <c:axId val="17357532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714639"/>
        <c:crosses val="autoZero"/>
        <c:auto val="1"/>
        <c:lblOffset val="100"/>
        <c:baseTimeUnit val="months"/>
      </c:dateAx>
      <c:valAx>
        <c:axId val="1543714639"/>
        <c:scaling>
          <c:orientation val="minMax"/>
          <c:min val="15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753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Porta Kgs sold / sow /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'Porta kgs sold  sow  year'!$A$24</c:f>
              <c:strCache>
                <c:ptCount val="1"/>
                <c:pt idx="0">
                  <c:v>kgs sold/sow/year</c:v>
                </c:pt>
              </c:strCache>
            </c:strRef>
          </c:tx>
          <c:spPr>
            <a:ln w="28575" cap="rnd">
              <a:solidFill>
                <a:schemeClr val="accent1"/>
              </a:solidFill>
              <a:round/>
            </a:ln>
            <a:effectLst/>
          </c:spPr>
          <c:marker>
            <c:symbol val="none"/>
          </c:marker>
          <c:cat>
            <c:numRef>
              <c:f>'Porta kgs sold  sow  year'!$B$23:$R$23</c:f>
              <c:numCache>
                <c:formatCode>mmm\-yy</c:formatCode>
                <c:ptCount val="17"/>
                <c:pt idx="0">
                  <c:v>45689</c:v>
                </c:pt>
                <c:pt idx="1">
                  <c:v>45717</c:v>
                </c:pt>
                <c:pt idx="2">
                  <c:v>45748</c:v>
                </c:pt>
                <c:pt idx="3">
                  <c:v>45778</c:v>
                </c:pt>
                <c:pt idx="4">
                  <c:v>45809</c:v>
                </c:pt>
                <c:pt idx="5">
                  <c:v>45839</c:v>
                </c:pt>
                <c:pt idx="6">
                  <c:v>45870</c:v>
                </c:pt>
                <c:pt idx="7">
                  <c:v>45901</c:v>
                </c:pt>
                <c:pt idx="8">
                  <c:v>45931</c:v>
                </c:pt>
                <c:pt idx="9">
                  <c:v>45962</c:v>
                </c:pt>
                <c:pt idx="10">
                  <c:v>45992</c:v>
                </c:pt>
                <c:pt idx="11">
                  <c:v>46023</c:v>
                </c:pt>
                <c:pt idx="12">
                  <c:v>46054</c:v>
                </c:pt>
                <c:pt idx="13">
                  <c:v>46082</c:v>
                </c:pt>
                <c:pt idx="14">
                  <c:v>46113</c:v>
                </c:pt>
                <c:pt idx="15">
                  <c:v>46143</c:v>
                </c:pt>
                <c:pt idx="16">
                  <c:v>46174</c:v>
                </c:pt>
              </c:numCache>
            </c:numRef>
          </c:cat>
          <c:val>
            <c:numRef>
              <c:f>'Porta kgs sold  sow  year'!$B$24:$R$24</c:f>
              <c:numCache>
                <c:formatCode>0.0</c:formatCode>
                <c:ptCount val="17"/>
                <c:pt idx="10">
                  <c:v>2710</c:v>
                </c:pt>
                <c:pt idx="11">
                  <c:v>2710.0798418972331</c:v>
                </c:pt>
                <c:pt idx="12">
                  <c:v>2697.7764777586635</c:v>
                </c:pt>
                <c:pt idx="13">
                  <c:v>2715.4348622465141</c:v>
                </c:pt>
                <c:pt idx="14">
                  <c:v>2760.2535110968197</c:v>
                </c:pt>
                <c:pt idx="15">
                  <c:v>2765.6068568316159</c:v>
                </c:pt>
                <c:pt idx="16">
                  <c:v>2846.5042289437438</c:v>
                </c:pt>
              </c:numCache>
            </c:numRef>
          </c:val>
          <c:smooth val="0"/>
          <c:extLst>
            <c:ext xmlns:c16="http://schemas.microsoft.com/office/drawing/2014/chart" uri="{C3380CC4-5D6E-409C-BE32-E72D297353CC}">
              <c16:uniqueId val="{00000000-189F-4539-83FA-7C04657128E9}"/>
            </c:ext>
          </c:extLst>
        </c:ser>
        <c:ser>
          <c:idx val="1"/>
          <c:order val="1"/>
          <c:tx>
            <c:strRef>
              <c:f>'Porta kgs sold  sow  year'!$A$25</c:f>
              <c:strCache>
                <c:ptCount val="1"/>
                <c:pt idx="0">
                  <c:v>TARGET</c:v>
                </c:pt>
              </c:strCache>
            </c:strRef>
          </c:tx>
          <c:spPr>
            <a:ln w="28575" cap="rnd">
              <a:solidFill>
                <a:schemeClr val="accent2"/>
              </a:solidFill>
              <a:round/>
            </a:ln>
            <a:effectLst/>
          </c:spPr>
          <c:marker>
            <c:symbol val="none"/>
          </c:marker>
          <c:cat>
            <c:numRef>
              <c:f>'Porta kgs sold  sow  year'!$B$23:$R$23</c:f>
              <c:numCache>
                <c:formatCode>mmm\-yy</c:formatCode>
                <c:ptCount val="17"/>
                <c:pt idx="0">
                  <c:v>45689</c:v>
                </c:pt>
                <c:pt idx="1">
                  <c:v>45717</c:v>
                </c:pt>
                <c:pt idx="2">
                  <c:v>45748</c:v>
                </c:pt>
                <c:pt idx="3">
                  <c:v>45778</c:v>
                </c:pt>
                <c:pt idx="4">
                  <c:v>45809</c:v>
                </c:pt>
                <c:pt idx="5">
                  <c:v>45839</c:v>
                </c:pt>
                <c:pt idx="6">
                  <c:v>45870</c:v>
                </c:pt>
                <c:pt idx="7">
                  <c:v>45901</c:v>
                </c:pt>
                <c:pt idx="8">
                  <c:v>45931</c:v>
                </c:pt>
                <c:pt idx="9">
                  <c:v>45962</c:v>
                </c:pt>
                <c:pt idx="10">
                  <c:v>45992</c:v>
                </c:pt>
                <c:pt idx="11">
                  <c:v>46023</c:v>
                </c:pt>
                <c:pt idx="12">
                  <c:v>46054</c:v>
                </c:pt>
                <c:pt idx="13">
                  <c:v>46082</c:v>
                </c:pt>
                <c:pt idx="14">
                  <c:v>46113</c:v>
                </c:pt>
                <c:pt idx="15">
                  <c:v>46143</c:v>
                </c:pt>
                <c:pt idx="16">
                  <c:v>46174</c:v>
                </c:pt>
              </c:numCache>
            </c:numRef>
          </c:cat>
          <c:val>
            <c:numRef>
              <c:f>'Porta kgs sold  sow  year'!$B$25:$R$25</c:f>
              <c:numCache>
                <c:formatCode>General</c:formatCode>
                <c:ptCount val="17"/>
                <c:pt idx="0">
                  <c:v>3000</c:v>
                </c:pt>
                <c:pt idx="1">
                  <c:v>3000</c:v>
                </c:pt>
                <c:pt idx="2">
                  <c:v>3000</c:v>
                </c:pt>
                <c:pt idx="3">
                  <c:v>3000</c:v>
                </c:pt>
                <c:pt idx="4">
                  <c:v>3000</c:v>
                </c:pt>
                <c:pt idx="5">
                  <c:v>3000</c:v>
                </c:pt>
                <c:pt idx="6">
                  <c:v>3000</c:v>
                </c:pt>
                <c:pt idx="7">
                  <c:v>3000</c:v>
                </c:pt>
                <c:pt idx="8">
                  <c:v>3000</c:v>
                </c:pt>
                <c:pt idx="9">
                  <c:v>3000</c:v>
                </c:pt>
                <c:pt idx="10">
                  <c:v>3000</c:v>
                </c:pt>
                <c:pt idx="11">
                  <c:v>3000</c:v>
                </c:pt>
                <c:pt idx="12">
                  <c:v>3000</c:v>
                </c:pt>
                <c:pt idx="13">
                  <c:v>3000</c:v>
                </c:pt>
                <c:pt idx="14">
                  <c:v>3000</c:v>
                </c:pt>
                <c:pt idx="15">
                  <c:v>3000</c:v>
                </c:pt>
                <c:pt idx="16">
                  <c:v>3000</c:v>
                </c:pt>
              </c:numCache>
            </c:numRef>
          </c:val>
          <c:smooth val="0"/>
          <c:extLst>
            <c:ext xmlns:c16="http://schemas.microsoft.com/office/drawing/2014/chart" uri="{C3380CC4-5D6E-409C-BE32-E72D297353CC}">
              <c16:uniqueId val="{00000001-189F-4539-83FA-7C04657128E9}"/>
            </c:ext>
          </c:extLst>
        </c:ser>
        <c:dLbls>
          <c:showLegendKey val="0"/>
          <c:showVal val="0"/>
          <c:showCatName val="0"/>
          <c:showSerName val="0"/>
          <c:showPercent val="0"/>
          <c:showBubbleSize val="0"/>
        </c:dLbls>
        <c:smooth val="0"/>
        <c:axId val="320806255"/>
        <c:axId val="320807215"/>
      </c:lineChart>
      <c:dateAx>
        <c:axId val="32080625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07215"/>
        <c:crosses val="autoZero"/>
        <c:auto val="1"/>
        <c:lblOffset val="100"/>
        <c:baseTimeUnit val="months"/>
      </c:dateAx>
      <c:valAx>
        <c:axId val="3208072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06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Porta Farrow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'Porta Farrow rates  (5)'!$A$18</c:f>
              <c:strCache>
                <c:ptCount val="1"/>
                <c:pt idx="0">
                  <c:v>FY26</c:v>
                </c:pt>
              </c:strCache>
            </c:strRef>
          </c:tx>
          <c:spPr>
            <a:ln w="28575" cap="rnd">
              <a:solidFill>
                <a:schemeClr val="accent1"/>
              </a:solidFill>
              <a:round/>
            </a:ln>
            <a:effectLst/>
          </c:spPr>
          <c:marker>
            <c:symbol val="none"/>
          </c:marker>
          <c:cat>
            <c:numRef>
              <c:f>'Porta Farrow rates  (5)'!$B$17:$M$17</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Farrow rates  (5)'!$B$18:$M$18</c:f>
              <c:numCache>
                <c:formatCode>General</c:formatCode>
                <c:ptCount val="12"/>
                <c:pt idx="0">
                  <c:v>89</c:v>
                </c:pt>
                <c:pt idx="1">
                  <c:v>92</c:v>
                </c:pt>
                <c:pt idx="2">
                  <c:v>95</c:v>
                </c:pt>
                <c:pt idx="3">
                  <c:v>95</c:v>
                </c:pt>
                <c:pt idx="4">
                  <c:v>96</c:v>
                </c:pt>
                <c:pt idx="5">
                  <c:v>94</c:v>
                </c:pt>
                <c:pt idx="6">
                  <c:v>93</c:v>
                </c:pt>
                <c:pt idx="7">
                  <c:v>93</c:v>
                </c:pt>
                <c:pt idx="8">
                  <c:v>94</c:v>
                </c:pt>
                <c:pt idx="9">
                  <c:v>93</c:v>
                </c:pt>
                <c:pt idx="10">
                  <c:v>95</c:v>
                </c:pt>
                <c:pt idx="11">
                  <c:v>96</c:v>
                </c:pt>
              </c:numCache>
            </c:numRef>
          </c:val>
          <c:smooth val="0"/>
          <c:extLst>
            <c:ext xmlns:c16="http://schemas.microsoft.com/office/drawing/2014/chart" uri="{C3380CC4-5D6E-409C-BE32-E72D297353CC}">
              <c16:uniqueId val="{00000000-BB9D-43AB-8DBF-7EB0DCEEDFCA}"/>
            </c:ext>
          </c:extLst>
        </c:ser>
        <c:ser>
          <c:idx val="1"/>
          <c:order val="1"/>
          <c:tx>
            <c:strRef>
              <c:f>'Porta Farrow rates  (5)'!$A$19</c:f>
              <c:strCache>
                <c:ptCount val="1"/>
                <c:pt idx="0">
                  <c:v>TARGET</c:v>
                </c:pt>
              </c:strCache>
            </c:strRef>
          </c:tx>
          <c:spPr>
            <a:ln w="28575" cap="rnd">
              <a:solidFill>
                <a:schemeClr val="accent2"/>
              </a:solidFill>
              <a:round/>
            </a:ln>
            <a:effectLst/>
          </c:spPr>
          <c:marker>
            <c:symbol val="none"/>
          </c:marker>
          <c:cat>
            <c:numRef>
              <c:f>'Porta Farrow rates  (5)'!$B$17:$M$17</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Farrow rates  (5)'!$B$19:$M$19</c:f>
              <c:numCache>
                <c:formatCode>General</c:formatCode>
                <c:ptCount val="12"/>
                <c:pt idx="0">
                  <c:v>92</c:v>
                </c:pt>
                <c:pt idx="1">
                  <c:v>92</c:v>
                </c:pt>
                <c:pt idx="2">
                  <c:v>92</c:v>
                </c:pt>
                <c:pt idx="3">
                  <c:v>92</c:v>
                </c:pt>
                <c:pt idx="4">
                  <c:v>92</c:v>
                </c:pt>
                <c:pt idx="5">
                  <c:v>92</c:v>
                </c:pt>
                <c:pt idx="6">
                  <c:v>92</c:v>
                </c:pt>
                <c:pt idx="7">
                  <c:v>92</c:v>
                </c:pt>
                <c:pt idx="8">
                  <c:v>92</c:v>
                </c:pt>
                <c:pt idx="9">
                  <c:v>92</c:v>
                </c:pt>
                <c:pt idx="10">
                  <c:v>92</c:v>
                </c:pt>
                <c:pt idx="11">
                  <c:v>92</c:v>
                </c:pt>
              </c:numCache>
            </c:numRef>
          </c:val>
          <c:smooth val="0"/>
          <c:extLst>
            <c:ext xmlns:c16="http://schemas.microsoft.com/office/drawing/2014/chart" uri="{C3380CC4-5D6E-409C-BE32-E72D297353CC}">
              <c16:uniqueId val="{00000001-BB9D-43AB-8DBF-7EB0DCEEDFCA}"/>
            </c:ext>
          </c:extLst>
        </c:ser>
        <c:ser>
          <c:idx val="2"/>
          <c:order val="2"/>
          <c:tx>
            <c:strRef>
              <c:f>'Porta Farrow rates  (5)'!$A$20</c:f>
              <c:strCache>
                <c:ptCount val="1"/>
                <c:pt idx="0">
                  <c:v>Prior year</c:v>
                </c:pt>
              </c:strCache>
            </c:strRef>
          </c:tx>
          <c:spPr>
            <a:ln w="28575" cap="rnd">
              <a:solidFill>
                <a:schemeClr val="accent3"/>
              </a:solidFill>
              <a:round/>
            </a:ln>
            <a:effectLst/>
          </c:spPr>
          <c:marker>
            <c:symbol val="none"/>
          </c:marker>
          <c:cat>
            <c:numRef>
              <c:f>'Porta Farrow rates  (5)'!$B$17:$M$17</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Farrow rates  (5)'!$B$20:$M$20</c:f>
              <c:numCache>
                <c:formatCode>General</c:formatCode>
                <c:ptCount val="12"/>
                <c:pt idx="7">
                  <c:v>93.9</c:v>
                </c:pt>
                <c:pt idx="8">
                  <c:v>96</c:v>
                </c:pt>
                <c:pt idx="9">
                  <c:v>92.2</c:v>
                </c:pt>
                <c:pt idx="10">
                  <c:v>96.9</c:v>
                </c:pt>
                <c:pt idx="11">
                  <c:v>95.1</c:v>
                </c:pt>
              </c:numCache>
            </c:numRef>
          </c:val>
          <c:smooth val="0"/>
          <c:extLst>
            <c:ext xmlns:c16="http://schemas.microsoft.com/office/drawing/2014/chart" uri="{C3380CC4-5D6E-409C-BE32-E72D297353CC}">
              <c16:uniqueId val="{00000002-BB9D-43AB-8DBF-7EB0DCEEDFCA}"/>
            </c:ext>
          </c:extLst>
        </c:ser>
        <c:dLbls>
          <c:showLegendKey val="0"/>
          <c:showVal val="0"/>
          <c:showCatName val="0"/>
          <c:showSerName val="0"/>
          <c:showPercent val="0"/>
          <c:showBubbleSize val="0"/>
        </c:dLbls>
        <c:smooth val="0"/>
        <c:axId val="1604041616"/>
        <c:axId val="1605374240"/>
      </c:lineChart>
      <c:dateAx>
        <c:axId val="160404161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374240"/>
        <c:crosses val="autoZero"/>
        <c:auto val="1"/>
        <c:lblOffset val="100"/>
        <c:baseTimeUnit val="months"/>
      </c:dateAx>
      <c:valAx>
        <c:axId val="1605374240"/>
        <c:scaling>
          <c:orientation val="minMax"/>
          <c:max val="100"/>
          <c:min val="7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4041616"/>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Porta Born Alive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'Porta BA  (5)'!$A$18</c:f>
              <c:strCache>
                <c:ptCount val="1"/>
                <c:pt idx="0">
                  <c:v>FY26</c:v>
                </c:pt>
              </c:strCache>
            </c:strRef>
          </c:tx>
          <c:spPr>
            <a:ln w="28575" cap="rnd">
              <a:solidFill>
                <a:schemeClr val="accent1"/>
              </a:solidFill>
              <a:round/>
            </a:ln>
            <a:effectLst/>
          </c:spPr>
          <c:marker>
            <c:symbol val="none"/>
          </c:marker>
          <c:cat>
            <c:numRef>
              <c:f>'Porta BA  (5)'!$B$17:$M$17</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BA  (5)'!$B$18:$M$18</c:f>
              <c:numCache>
                <c:formatCode>General</c:formatCode>
                <c:ptCount val="12"/>
                <c:pt idx="0">
                  <c:v>14</c:v>
                </c:pt>
                <c:pt idx="1">
                  <c:v>14.2</c:v>
                </c:pt>
                <c:pt idx="2">
                  <c:v>14</c:v>
                </c:pt>
                <c:pt idx="3">
                  <c:v>14</c:v>
                </c:pt>
                <c:pt idx="4">
                  <c:v>14.7</c:v>
                </c:pt>
                <c:pt idx="5">
                  <c:v>16</c:v>
                </c:pt>
                <c:pt idx="6">
                  <c:v>15.9</c:v>
                </c:pt>
                <c:pt idx="7">
                  <c:v>16.399999999999999</c:v>
                </c:pt>
                <c:pt idx="8">
                  <c:v>16.399999999999999</c:v>
                </c:pt>
                <c:pt idx="9">
                  <c:v>16.7</c:v>
                </c:pt>
                <c:pt idx="10">
                  <c:v>16.100000000000001</c:v>
                </c:pt>
                <c:pt idx="11">
                  <c:v>16.600000000000001</c:v>
                </c:pt>
              </c:numCache>
            </c:numRef>
          </c:val>
          <c:smooth val="0"/>
          <c:extLst>
            <c:ext xmlns:c16="http://schemas.microsoft.com/office/drawing/2014/chart" uri="{C3380CC4-5D6E-409C-BE32-E72D297353CC}">
              <c16:uniqueId val="{00000000-2C36-42DE-A93E-375468BA0E2D}"/>
            </c:ext>
          </c:extLst>
        </c:ser>
        <c:ser>
          <c:idx val="1"/>
          <c:order val="1"/>
          <c:tx>
            <c:strRef>
              <c:f>'Porta BA  (5)'!$A$19</c:f>
              <c:strCache>
                <c:ptCount val="1"/>
                <c:pt idx="0">
                  <c:v>TARGET</c:v>
                </c:pt>
              </c:strCache>
            </c:strRef>
          </c:tx>
          <c:spPr>
            <a:ln w="28575" cap="rnd">
              <a:solidFill>
                <a:schemeClr val="accent2"/>
              </a:solidFill>
              <a:round/>
            </a:ln>
            <a:effectLst/>
          </c:spPr>
          <c:marker>
            <c:symbol val="none"/>
          </c:marker>
          <c:cat>
            <c:numRef>
              <c:f>'Porta BA  (5)'!$B$17:$M$17</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BA  (5)'!$B$19:$M$19</c:f>
              <c:numCache>
                <c:formatCode>General</c:formatCode>
                <c:ptCount val="12"/>
                <c:pt idx="0">
                  <c:v>15</c:v>
                </c:pt>
                <c:pt idx="1">
                  <c:v>15</c:v>
                </c:pt>
                <c:pt idx="2">
                  <c:v>15</c:v>
                </c:pt>
                <c:pt idx="3">
                  <c:v>15</c:v>
                </c:pt>
                <c:pt idx="4">
                  <c:v>15</c:v>
                </c:pt>
                <c:pt idx="5">
                  <c:v>15</c:v>
                </c:pt>
                <c:pt idx="6">
                  <c:v>15</c:v>
                </c:pt>
                <c:pt idx="7">
                  <c:v>15</c:v>
                </c:pt>
                <c:pt idx="8">
                  <c:v>15</c:v>
                </c:pt>
                <c:pt idx="9">
                  <c:v>15</c:v>
                </c:pt>
                <c:pt idx="10">
                  <c:v>15</c:v>
                </c:pt>
                <c:pt idx="11">
                  <c:v>15</c:v>
                </c:pt>
              </c:numCache>
            </c:numRef>
          </c:val>
          <c:smooth val="0"/>
          <c:extLst>
            <c:ext xmlns:c16="http://schemas.microsoft.com/office/drawing/2014/chart" uri="{C3380CC4-5D6E-409C-BE32-E72D297353CC}">
              <c16:uniqueId val="{00000001-2C36-42DE-A93E-375468BA0E2D}"/>
            </c:ext>
          </c:extLst>
        </c:ser>
        <c:ser>
          <c:idx val="2"/>
          <c:order val="2"/>
          <c:tx>
            <c:strRef>
              <c:f>'Porta BA  (5)'!$A$20</c:f>
              <c:strCache>
                <c:ptCount val="1"/>
                <c:pt idx="0">
                  <c:v>prior year</c:v>
                </c:pt>
              </c:strCache>
            </c:strRef>
          </c:tx>
          <c:spPr>
            <a:ln w="28575" cap="rnd">
              <a:solidFill>
                <a:schemeClr val="accent3"/>
              </a:solidFill>
              <a:round/>
            </a:ln>
            <a:effectLst/>
          </c:spPr>
          <c:marker>
            <c:symbol val="none"/>
          </c:marker>
          <c:cat>
            <c:numRef>
              <c:f>'Porta BA  (5)'!$B$17:$M$17</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BA  (5)'!$B$20:$M$20</c:f>
              <c:numCache>
                <c:formatCode>General</c:formatCode>
                <c:ptCount val="12"/>
                <c:pt idx="7">
                  <c:v>14</c:v>
                </c:pt>
                <c:pt idx="8">
                  <c:v>13.4</c:v>
                </c:pt>
                <c:pt idx="9">
                  <c:v>14.6</c:v>
                </c:pt>
                <c:pt idx="10">
                  <c:v>15</c:v>
                </c:pt>
                <c:pt idx="11">
                  <c:v>15.1</c:v>
                </c:pt>
              </c:numCache>
            </c:numRef>
          </c:val>
          <c:smooth val="0"/>
          <c:extLst>
            <c:ext xmlns:c16="http://schemas.microsoft.com/office/drawing/2014/chart" uri="{C3380CC4-5D6E-409C-BE32-E72D297353CC}">
              <c16:uniqueId val="{00000002-2C36-42DE-A93E-375468BA0E2D}"/>
            </c:ext>
          </c:extLst>
        </c:ser>
        <c:dLbls>
          <c:showLegendKey val="0"/>
          <c:showVal val="0"/>
          <c:showCatName val="0"/>
          <c:showSerName val="0"/>
          <c:showPercent val="0"/>
          <c:showBubbleSize val="0"/>
        </c:dLbls>
        <c:smooth val="0"/>
        <c:axId val="1606270240"/>
        <c:axId val="1622843776"/>
      </c:lineChart>
      <c:dateAx>
        <c:axId val="16062702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2843776"/>
        <c:crosses val="autoZero"/>
        <c:auto val="1"/>
        <c:lblOffset val="100"/>
        <c:baseTimeUnit val="months"/>
      </c:dateAx>
      <c:valAx>
        <c:axId val="1622843776"/>
        <c:scaling>
          <c:orientation val="minMax"/>
          <c:min val="1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6270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Porta Avg</a:t>
            </a:r>
            <a:r>
              <a:rPr lang="en-US" baseline="0"/>
              <a:t> </a:t>
            </a:r>
            <a:r>
              <a:rPr lang="en-US"/>
              <a:t>wean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'Porta average wean weight (5)'!$A$17</c:f>
              <c:strCache>
                <c:ptCount val="1"/>
                <c:pt idx="0">
                  <c:v>FY26</c:v>
                </c:pt>
              </c:strCache>
            </c:strRef>
          </c:tx>
          <c:spPr>
            <a:ln w="28575" cap="rnd">
              <a:solidFill>
                <a:schemeClr val="accent1"/>
              </a:solidFill>
              <a:round/>
            </a:ln>
            <a:effectLst/>
          </c:spPr>
          <c:marker>
            <c:symbol val="none"/>
          </c:marker>
          <c:cat>
            <c:numRef>
              <c:f>'Porta average wean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average wean weight (5)'!$B$17:$M$17</c:f>
              <c:numCache>
                <c:formatCode>General</c:formatCode>
                <c:ptCount val="12"/>
                <c:pt idx="0">
                  <c:v>6</c:v>
                </c:pt>
                <c:pt idx="1">
                  <c:v>8.65</c:v>
                </c:pt>
                <c:pt idx="2">
                  <c:v>8.64</c:v>
                </c:pt>
                <c:pt idx="3">
                  <c:v>8.5</c:v>
                </c:pt>
                <c:pt idx="4">
                  <c:v>8.1999999999999993</c:v>
                </c:pt>
                <c:pt idx="5">
                  <c:v>8.1</c:v>
                </c:pt>
                <c:pt idx="6">
                  <c:v>7.9</c:v>
                </c:pt>
                <c:pt idx="7">
                  <c:v>8.25</c:v>
                </c:pt>
                <c:pt idx="8">
                  <c:v>8.1199999999999992</c:v>
                </c:pt>
                <c:pt idx="9">
                  <c:v>7.93</c:v>
                </c:pt>
                <c:pt idx="10">
                  <c:v>8.1</c:v>
                </c:pt>
                <c:pt idx="11">
                  <c:v>7.92</c:v>
                </c:pt>
              </c:numCache>
            </c:numRef>
          </c:val>
          <c:smooth val="0"/>
          <c:extLst>
            <c:ext xmlns:c16="http://schemas.microsoft.com/office/drawing/2014/chart" uri="{C3380CC4-5D6E-409C-BE32-E72D297353CC}">
              <c16:uniqueId val="{00000000-99F0-471A-9D18-51070A7025CC}"/>
            </c:ext>
          </c:extLst>
        </c:ser>
        <c:ser>
          <c:idx val="1"/>
          <c:order val="1"/>
          <c:tx>
            <c:strRef>
              <c:f>'Porta average wean weight (5)'!$A$18</c:f>
              <c:strCache>
                <c:ptCount val="1"/>
                <c:pt idx="0">
                  <c:v>PRIOR YEAR</c:v>
                </c:pt>
              </c:strCache>
            </c:strRef>
          </c:tx>
          <c:spPr>
            <a:ln w="28575" cap="rnd">
              <a:solidFill>
                <a:schemeClr val="accent2"/>
              </a:solidFill>
              <a:round/>
            </a:ln>
            <a:effectLst/>
          </c:spPr>
          <c:marker>
            <c:symbol val="none"/>
          </c:marker>
          <c:cat>
            <c:numRef>
              <c:f>'Porta average wean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average wean weight (5)'!$B$18:$M$18</c:f>
              <c:numCache>
                <c:formatCode>General</c:formatCode>
                <c:ptCount val="12"/>
                <c:pt idx="8">
                  <c:v>8.1</c:v>
                </c:pt>
                <c:pt idx="9">
                  <c:v>7.9</c:v>
                </c:pt>
                <c:pt idx="10">
                  <c:v>7.5</c:v>
                </c:pt>
                <c:pt idx="11">
                  <c:v>7.4</c:v>
                </c:pt>
              </c:numCache>
            </c:numRef>
          </c:val>
          <c:smooth val="0"/>
          <c:extLst>
            <c:ext xmlns:c16="http://schemas.microsoft.com/office/drawing/2014/chart" uri="{C3380CC4-5D6E-409C-BE32-E72D297353CC}">
              <c16:uniqueId val="{00000001-99F0-471A-9D18-51070A7025CC}"/>
            </c:ext>
          </c:extLst>
        </c:ser>
        <c:ser>
          <c:idx val="2"/>
          <c:order val="2"/>
          <c:tx>
            <c:strRef>
              <c:f>'Porta average wean weight (5)'!$A$19</c:f>
              <c:strCache>
                <c:ptCount val="1"/>
                <c:pt idx="0">
                  <c:v>TARGET</c:v>
                </c:pt>
              </c:strCache>
            </c:strRef>
          </c:tx>
          <c:spPr>
            <a:ln w="28575" cap="rnd">
              <a:solidFill>
                <a:schemeClr val="accent3"/>
              </a:solidFill>
              <a:round/>
            </a:ln>
            <a:effectLst/>
          </c:spPr>
          <c:marker>
            <c:symbol val="none"/>
          </c:marker>
          <c:cat>
            <c:numRef>
              <c:f>'Porta average wean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average wean weight (5)'!$B$19:$M$19</c:f>
              <c:numCache>
                <c:formatCode>General</c:formatCode>
                <c:ptCount val="12"/>
                <c:pt idx="0">
                  <c:v>7.5</c:v>
                </c:pt>
                <c:pt idx="1">
                  <c:v>7.5</c:v>
                </c:pt>
                <c:pt idx="2">
                  <c:v>7.5</c:v>
                </c:pt>
                <c:pt idx="3">
                  <c:v>7.5</c:v>
                </c:pt>
                <c:pt idx="4">
                  <c:v>7.5</c:v>
                </c:pt>
                <c:pt idx="5">
                  <c:v>7.5</c:v>
                </c:pt>
                <c:pt idx="6">
                  <c:v>7.5</c:v>
                </c:pt>
                <c:pt idx="7">
                  <c:v>7.5</c:v>
                </c:pt>
                <c:pt idx="8">
                  <c:v>7.5</c:v>
                </c:pt>
                <c:pt idx="9">
                  <c:v>7.5</c:v>
                </c:pt>
                <c:pt idx="10">
                  <c:v>7.5</c:v>
                </c:pt>
                <c:pt idx="11">
                  <c:v>7.5</c:v>
                </c:pt>
              </c:numCache>
            </c:numRef>
          </c:val>
          <c:smooth val="0"/>
          <c:extLst>
            <c:ext xmlns:c16="http://schemas.microsoft.com/office/drawing/2014/chart" uri="{C3380CC4-5D6E-409C-BE32-E72D297353CC}">
              <c16:uniqueId val="{00000002-99F0-471A-9D18-51070A7025CC}"/>
            </c:ext>
          </c:extLst>
        </c:ser>
        <c:ser>
          <c:idx val="3"/>
          <c:order val="3"/>
          <c:tx>
            <c:strRef>
              <c:f>'Porta average wean weight (5)'!$A$20</c:f>
              <c:strCache>
                <c:ptCount val="1"/>
              </c:strCache>
            </c:strRef>
          </c:tx>
          <c:spPr>
            <a:ln w="28575" cap="rnd">
              <a:solidFill>
                <a:schemeClr val="accent4"/>
              </a:solidFill>
              <a:round/>
            </a:ln>
            <a:effectLst/>
          </c:spPr>
          <c:marker>
            <c:symbol val="none"/>
          </c:marker>
          <c:cat>
            <c:numRef>
              <c:f>'Porta average wean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average wean weight (5)'!$B$20:$M$20</c:f>
              <c:numCache>
                <c:formatCode>General</c:formatCode>
                <c:ptCount val="12"/>
              </c:numCache>
            </c:numRef>
          </c:val>
          <c:smooth val="0"/>
          <c:extLst>
            <c:ext xmlns:c16="http://schemas.microsoft.com/office/drawing/2014/chart" uri="{C3380CC4-5D6E-409C-BE32-E72D297353CC}">
              <c16:uniqueId val="{00000003-99F0-471A-9D18-51070A7025CC}"/>
            </c:ext>
          </c:extLst>
        </c:ser>
        <c:dLbls>
          <c:showLegendKey val="0"/>
          <c:showVal val="0"/>
          <c:showCatName val="0"/>
          <c:showSerName val="0"/>
          <c:showPercent val="0"/>
          <c:showBubbleSize val="0"/>
        </c:dLbls>
        <c:smooth val="0"/>
        <c:axId val="1182218943"/>
        <c:axId val="1256415711"/>
      </c:lineChart>
      <c:dateAx>
        <c:axId val="118221894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56415711"/>
        <c:crosses val="autoZero"/>
        <c:auto val="1"/>
        <c:lblOffset val="100"/>
        <c:baseTimeUnit val="months"/>
      </c:dateAx>
      <c:valAx>
        <c:axId val="1256415711"/>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822189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Porta Total litter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'Porta total litter mass (3)'!$A$17</c:f>
              <c:strCache>
                <c:ptCount val="1"/>
                <c:pt idx="0">
                  <c:v>FY26</c:v>
                </c:pt>
              </c:strCache>
            </c:strRef>
          </c:tx>
          <c:spPr>
            <a:ln w="28575" cap="rnd">
              <a:solidFill>
                <a:schemeClr val="accent1"/>
              </a:solidFill>
              <a:round/>
            </a:ln>
            <a:effectLst/>
          </c:spPr>
          <c:marker>
            <c:symbol val="none"/>
          </c:marker>
          <c:cat>
            <c:numRef>
              <c:f>'Porta total litter mass (3)'!$B$16:$N$16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total litter mass (3)'!$B$17:$N$17</c:f>
              <c:numCache>
                <c:formatCode>General</c:formatCode>
                <c:ptCount val="13"/>
                <c:pt idx="0">
                  <c:v>82.7</c:v>
                </c:pt>
                <c:pt idx="1">
                  <c:v>115.4</c:v>
                </c:pt>
                <c:pt idx="2">
                  <c:v>117.55</c:v>
                </c:pt>
                <c:pt idx="3">
                  <c:v>114.13</c:v>
                </c:pt>
                <c:pt idx="4">
                  <c:v>114.1</c:v>
                </c:pt>
                <c:pt idx="5">
                  <c:v>119.9</c:v>
                </c:pt>
                <c:pt idx="6">
                  <c:v>117.35</c:v>
                </c:pt>
                <c:pt idx="7">
                  <c:v>125.65</c:v>
                </c:pt>
                <c:pt idx="8">
                  <c:v>123.82</c:v>
                </c:pt>
                <c:pt idx="9">
                  <c:v>122.38</c:v>
                </c:pt>
                <c:pt idx="10">
                  <c:v>121.5</c:v>
                </c:pt>
                <c:pt idx="11">
                  <c:v>121.02</c:v>
                </c:pt>
                <c:pt idx="12" formatCode="0.0">
                  <c:v>116.29166666666667</c:v>
                </c:pt>
              </c:numCache>
            </c:numRef>
          </c:val>
          <c:smooth val="0"/>
          <c:extLst>
            <c:ext xmlns:c16="http://schemas.microsoft.com/office/drawing/2014/chart" uri="{C3380CC4-5D6E-409C-BE32-E72D297353CC}">
              <c16:uniqueId val="{00000000-9A96-4FF2-846D-4ABE12D5F542}"/>
            </c:ext>
          </c:extLst>
        </c:ser>
        <c:ser>
          <c:idx val="1"/>
          <c:order val="1"/>
          <c:tx>
            <c:strRef>
              <c:f>'Porta total litter mass (3)'!$A$18</c:f>
              <c:strCache>
                <c:ptCount val="1"/>
                <c:pt idx="0">
                  <c:v>PRIOR YEAR</c:v>
                </c:pt>
              </c:strCache>
            </c:strRef>
          </c:tx>
          <c:spPr>
            <a:ln w="28575" cap="rnd">
              <a:solidFill>
                <a:schemeClr val="accent2"/>
              </a:solidFill>
              <a:round/>
            </a:ln>
            <a:effectLst/>
          </c:spPr>
          <c:marker>
            <c:symbol val="none"/>
          </c:marker>
          <c:cat>
            <c:numRef>
              <c:f>'Porta total litter mass (3)'!$B$16:$N$16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total litter mass (3)'!$B$18:$N$18</c:f>
              <c:numCache>
                <c:formatCode>General</c:formatCode>
                <c:ptCount val="13"/>
                <c:pt idx="8">
                  <c:v>106.1</c:v>
                </c:pt>
                <c:pt idx="9">
                  <c:v>98.2</c:v>
                </c:pt>
                <c:pt idx="10">
                  <c:v>93.6</c:v>
                </c:pt>
                <c:pt idx="11">
                  <c:v>90.9</c:v>
                </c:pt>
                <c:pt idx="12" formatCode="0.0">
                  <c:v>97.199999999999989</c:v>
                </c:pt>
              </c:numCache>
            </c:numRef>
          </c:val>
          <c:smooth val="0"/>
          <c:extLst>
            <c:ext xmlns:c16="http://schemas.microsoft.com/office/drawing/2014/chart" uri="{C3380CC4-5D6E-409C-BE32-E72D297353CC}">
              <c16:uniqueId val="{00000001-9A96-4FF2-846D-4ABE12D5F542}"/>
            </c:ext>
          </c:extLst>
        </c:ser>
        <c:ser>
          <c:idx val="2"/>
          <c:order val="2"/>
          <c:tx>
            <c:strRef>
              <c:f>'Porta total litter mass (3)'!$A$19</c:f>
              <c:strCache>
                <c:ptCount val="1"/>
                <c:pt idx="0">
                  <c:v>TARGET</c:v>
                </c:pt>
              </c:strCache>
            </c:strRef>
          </c:tx>
          <c:spPr>
            <a:ln w="28575" cap="rnd">
              <a:solidFill>
                <a:schemeClr val="accent3"/>
              </a:solidFill>
              <a:round/>
            </a:ln>
            <a:effectLst/>
          </c:spPr>
          <c:marker>
            <c:symbol val="none"/>
          </c:marker>
          <c:cat>
            <c:numRef>
              <c:f>'Porta total litter mass (3)'!$B$16:$N$16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total litter mass (3)'!$B$19:$N$19</c:f>
              <c:numCache>
                <c:formatCode>General</c:formatCode>
                <c:ptCount val="13"/>
                <c:pt idx="0">
                  <c:v>96</c:v>
                </c:pt>
                <c:pt idx="1">
                  <c:v>96</c:v>
                </c:pt>
                <c:pt idx="2">
                  <c:v>96</c:v>
                </c:pt>
                <c:pt idx="3">
                  <c:v>96</c:v>
                </c:pt>
                <c:pt idx="4">
                  <c:v>96</c:v>
                </c:pt>
                <c:pt idx="5">
                  <c:v>96</c:v>
                </c:pt>
                <c:pt idx="6">
                  <c:v>100</c:v>
                </c:pt>
                <c:pt idx="7">
                  <c:v>100</c:v>
                </c:pt>
                <c:pt idx="8">
                  <c:v>100</c:v>
                </c:pt>
                <c:pt idx="9">
                  <c:v>100</c:v>
                </c:pt>
                <c:pt idx="10">
                  <c:v>100</c:v>
                </c:pt>
                <c:pt idx="11">
                  <c:v>100</c:v>
                </c:pt>
                <c:pt idx="12" formatCode="0.0">
                  <c:v>98</c:v>
                </c:pt>
              </c:numCache>
            </c:numRef>
          </c:val>
          <c:smooth val="0"/>
          <c:extLst>
            <c:ext xmlns:c16="http://schemas.microsoft.com/office/drawing/2014/chart" uri="{C3380CC4-5D6E-409C-BE32-E72D297353CC}">
              <c16:uniqueId val="{00000002-9A96-4FF2-846D-4ABE12D5F542}"/>
            </c:ext>
          </c:extLst>
        </c:ser>
        <c:ser>
          <c:idx val="3"/>
          <c:order val="3"/>
          <c:tx>
            <c:strRef>
              <c:f>'Porta total litter mass (3)'!$A$20</c:f>
              <c:strCache>
                <c:ptCount val="1"/>
              </c:strCache>
            </c:strRef>
          </c:tx>
          <c:spPr>
            <a:ln w="28575" cap="rnd">
              <a:solidFill>
                <a:schemeClr val="accent4"/>
              </a:solidFill>
              <a:round/>
            </a:ln>
            <a:effectLst/>
          </c:spPr>
          <c:marker>
            <c:symbol val="none"/>
          </c:marker>
          <c:cat>
            <c:numRef>
              <c:f>'Porta total litter mass (3)'!$B$16:$N$16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total litter mass (3)'!$B$20:$N$20</c:f>
              <c:numCache>
                <c:formatCode>General</c:formatCode>
                <c:ptCount val="13"/>
              </c:numCache>
            </c:numRef>
          </c:val>
          <c:smooth val="0"/>
          <c:extLst>
            <c:ext xmlns:c16="http://schemas.microsoft.com/office/drawing/2014/chart" uri="{C3380CC4-5D6E-409C-BE32-E72D297353CC}">
              <c16:uniqueId val="{00000003-9A96-4FF2-846D-4ABE12D5F542}"/>
            </c:ext>
          </c:extLst>
        </c:ser>
        <c:dLbls>
          <c:showLegendKey val="0"/>
          <c:showVal val="0"/>
          <c:showCatName val="0"/>
          <c:showSerName val="0"/>
          <c:showPercent val="0"/>
          <c:showBubbleSize val="0"/>
        </c:dLbls>
        <c:smooth val="0"/>
        <c:axId val="1160050463"/>
        <c:axId val="1183739519"/>
      </c:lineChart>
      <c:dateAx>
        <c:axId val="116005046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83739519"/>
        <c:crosses val="autoZero"/>
        <c:auto val="1"/>
        <c:lblOffset val="100"/>
        <c:baseTimeUnit val="months"/>
      </c:dateAx>
      <c:valAx>
        <c:axId val="1183739519"/>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00504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Porta 70 day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'Porta 70 day weight  (5)'!$A$17</c:f>
              <c:strCache>
                <c:ptCount val="1"/>
                <c:pt idx="0">
                  <c:v>FY26</c:v>
                </c:pt>
              </c:strCache>
            </c:strRef>
          </c:tx>
          <c:spPr>
            <a:ln w="28575" cap="rnd">
              <a:solidFill>
                <a:schemeClr val="accent1"/>
              </a:solidFill>
              <a:round/>
            </a:ln>
            <a:effectLst/>
          </c:spPr>
          <c:marker>
            <c:symbol val="none"/>
          </c:marker>
          <c:cat>
            <c:numRef>
              <c:f>'Porta 70 day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70 day weight  (5)'!$B$17:$M$17</c:f>
              <c:numCache>
                <c:formatCode>General</c:formatCode>
                <c:ptCount val="12"/>
                <c:pt idx="0">
                  <c:v>25.76</c:v>
                </c:pt>
                <c:pt idx="1">
                  <c:v>22.34</c:v>
                </c:pt>
                <c:pt idx="2">
                  <c:v>25.89</c:v>
                </c:pt>
                <c:pt idx="3">
                  <c:v>28.27</c:v>
                </c:pt>
                <c:pt idx="4">
                  <c:v>28.28</c:v>
                </c:pt>
                <c:pt idx="5">
                  <c:v>28.3</c:v>
                </c:pt>
                <c:pt idx="6">
                  <c:v>28.24</c:v>
                </c:pt>
                <c:pt idx="7">
                  <c:v>27.9</c:v>
                </c:pt>
                <c:pt idx="8">
                  <c:v>28.11</c:v>
                </c:pt>
                <c:pt idx="9">
                  <c:v>28.24</c:v>
                </c:pt>
                <c:pt idx="10">
                  <c:v>28.33</c:v>
                </c:pt>
                <c:pt idx="11">
                  <c:v>29</c:v>
                </c:pt>
              </c:numCache>
            </c:numRef>
          </c:val>
          <c:smooth val="0"/>
          <c:extLst>
            <c:ext xmlns:c16="http://schemas.microsoft.com/office/drawing/2014/chart" uri="{C3380CC4-5D6E-409C-BE32-E72D297353CC}">
              <c16:uniqueId val="{00000000-6F4B-44EF-B956-630D60921BD0}"/>
            </c:ext>
          </c:extLst>
        </c:ser>
        <c:ser>
          <c:idx val="1"/>
          <c:order val="1"/>
          <c:tx>
            <c:strRef>
              <c:f>'Porta 70 day weight  (5)'!$A$18</c:f>
              <c:strCache>
                <c:ptCount val="1"/>
                <c:pt idx="0">
                  <c:v>PRIOR YEAR</c:v>
                </c:pt>
              </c:strCache>
            </c:strRef>
          </c:tx>
          <c:spPr>
            <a:ln w="28575" cap="rnd">
              <a:solidFill>
                <a:schemeClr val="accent2"/>
              </a:solidFill>
              <a:round/>
            </a:ln>
            <a:effectLst/>
          </c:spPr>
          <c:marker>
            <c:symbol val="none"/>
          </c:marker>
          <c:cat>
            <c:numRef>
              <c:f>'Porta 70 day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70 day weight  (5)'!$B$18:$M$18</c:f>
              <c:numCache>
                <c:formatCode>General</c:formatCode>
                <c:ptCount val="12"/>
                <c:pt idx="9" formatCode="0">
                  <c:v>28.8</c:v>
                </c:pt>
                <c:pt idx="10" formatCode="0">
                  <c:v>28.22</c:v>
                </c:pt>
                <c:pt idx="11" formatCode="0">
                  <c:v>27.24</c:v>
                </c:pt>
              </c:numCache>
            </c:numRef>
          </c:val>
          <c:smooth val="0"/>
          <c:extLst>
            <c:ext xmlns:c16="http://schemas.microsoft.com/office/drawing/2014/chart" uri="{C3380CC4-5D6E-409C-BE32-E72D297353CC}">
              <c16:uniqueId val="{00000001-6F4B-44EF-B956-630D60921BD0}"/>
            </c:ext>
          </c:extLst>
        </c:ser>
        <c:ser>
          <c:idx val="2"/>
          <c:order val="2"/>
          <c:tx>
            <c:strRef>
              <c:f>'Porta 70 day weight  (5)'!$A$19</c:f>
              <c:strCache>
                <c:ptCount val="1"/>
                <c:pt idx="0">
                  <c:v>TARGET</c:v>
                </c:pt>
              </c:strCache>
            </c:strRef>
          </c:tx>
          <c:spPr>
            <a:ln w="28575" cap="rnd">
              <a:solidFill>
                <a:schemeClr val="accent3"/>
              </a:solidFill>
              <a:round/>
            </a:ln>
            <a:effectLst/>
          </c:spPr>
          <c:marker>
            <c:symbol val="none"/>
          </c:marker>
          <c:cat>
            <c:numRef>
              <c:f>'Porta 70 day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70 day weight  (5)'!$B$19:$M$19</c:f>
              <c:numCache>
                <c:formatCode>General</c:formatCode>
                <c:ptCount val="12"/>
                <c:pt idx="0">
                  <c:v>28</c:v>
                </c:pt>
                <c:pt idx="1">
                  <c:v>28</c:v>
                </c:pt>
                <c:pt idx="2">
                  <c:v>28</c:v>
                </c:pt>
                <c:pt idx="3">
                  <c:v>28</c:v>
                </c:pt>
                <c:pt idx="4">
                  <c:v>28</c:v>
                </c:pt>
                <c:pt idx="5">
                  <c:v>28</c:v>
                </c:pt>
                <c:pt idx="6">
                  <c:v>28</c:v>
                </c:pt>
                <c:pt idx="7">
                  <c:v>28</c:v>
                </c:pt>
                <c:pt idx="8">
                  <c:v>28</c:v>
                </c:pt>
                <c:pt idx="9">
                  <c:v>28</c:v>
                </c:pt>
                <c:pt idx="10">
                  <c:v>28</c:v>
                </c:pt>
                <c:pt idx="11">
                  <c:v>28</c:v>
                </c:pt>
              </c:numCache>
            </c:numRef>
          </c:val>
          <c:smooth val="0"/>
          <c:extLst>
            <c:ext xmlns:c16="http://schemas.microsoft.com/office/drawing/2014/chart" uri="{C3380CC4-5D6E-409C-BE32-E72D297353CC}">
              <c16:uniqueId val="{00000002-6F4B-44EF-B956-630D60921BD0}"/>
            </c:ext>
          </c:extLst>
        </c:ser>
        <c:ser>
          <c:idx val="3"/>
          <c:order val="3"/>
          <c:tx>
            <c:strRef>
              <c:f>'Porta 70 day weight  (5)'!$A$20</c:f>
              <c:strCache>
                <c:ptCount val="1"/>
              </c:strCache>
            </c:strRef>
          </c:tx>
          <c:spPr>
            <a:ln w="28575" cap="rnd">
              <a:solidFill>
                <a:schemeClr val="accent4"/>
              </a:solidFill>
              <a:round/>
            </a:ln>
            <a:effectLst/>
          </c:spPr>
          <c:marker>
            <c:symbol val="none"/>
          </c:marker>
          <c:cat>
            <c:numRef>
              <c:f>'Porta 70 day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70 day weight  (5)'!$B$20:$M$20</c:f>
              <c:numCache>
                <c:formatCode>General</c:formatCode>
                <c:ptCount val="12"/>
              </c:numCache>
            </c:numRef>
          </c:val>
          <c:smooth val="0"/>
          <c:extLst>
            <c:ext xmlns:c16="http://schemas.microsoft.com/office/drawing/2014/chart" uri="{C3380CC4-5D6E-409C-BE32-E72D297353CC}">
              <c16:uniqueId val="{00000003-6F4B-44EF-B956-630D60921BD0}"/>
            </c:ext>
          </c:extLst>
        </c:ser>
        <c:dLbls>
          <c:showLegendKey val="0"/>
          <c:showVal val="0"/>
          <c:showCatName val="0"/>
          <c:showSerName val="0"/>
          <c:showPercent val="0"/>
          <c:showBubbleSize val="0"/>
        </c:dLbls>
        <c:smooth val="0"/>
        <c:axId val="1260788767"/>
        <c:axId val="1164285823"/>
      </c:lineChart>
      <c:dateAx>
        <c:axId val="126078876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4285823"/>
        <c:crosses val="autoZero"/>
        <c:auto val="1"/>
        <c:lblOffset val="100"/>
        <c:baseTimeUnit val="months"/>
      </c:dateAx>
      <c:valAx>
        <c:axId val="1164285823"/>
        <c:scaling>
          <c:orientation val="minMax"/>
          <c:max val="31"/>
          <c:min val="2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0788767"/>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Porta 70 day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'Porta 70 day gain  (5)'!$A$17</c:f>
              <c:strCache>
                <c:ptCount val="1"/>
                <c:pt idx="0">
                  <c:v>FY26</c:v>
                </c:pt>
              </c:strCache>
            </c:strRef>
          </c:tx>
          <c:spPr>
            <a:ln w="28575" cap="rnd">
              <a:solidFill>
                <a:schemeClr val="accent1"/>
              </a:solidFill>
              <a:round/>
            </a:ln>
            <a:effectLst/>
          </c:spPr>
          <c:marker>
            <c:symbol val="none"/>
          </c:marker>
          <c:cat>
            <c:numRef>
              <c:f>'Porta 70 day gain  (5)'!$B$16:$N$16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70 day gain  (5)'!$B$17:$N$17</c:f>
              <c:numCache>
                <c:formatCode>0.0</c:formatCode>
                <c:ptCount val="13"/>
                <c:pt idx="0">
                  <c:v>19.010000000000002</c:v>
                </c:pt>
                <c:pt idx="1">
                  <c:v>16.399999999999999</c:v>
                </c:pt>
                <c:pt idx="2">
                  <c:v>18.350000000000001</c:v>
                </c:pt>
                <c:pt idx="3">
                  <c:v>19.690000000000001</c:v>
                </c:pt>
                <c:pt idx="4">
                  <c:v>19.75</c:v>
                </c:pt>
                <c:pt idx="5">
                  <c:v>19.84</c:v>
                </c:pt>
                <c:pt idx="6" formatCode="0.00">
                  <c:v>19.989999999999998</c:v>
                </c:pt>
                <c:pt idx="7" formatCode="0.00">
                  <c:v>19.96</c:v>
                </c:pt>
                <c:pt idx="8" formatCode="0.00">
                  <c:v>20.010000000000002</c:v>
                </c:pt>
                <c:pt idx="9" formatCode="0.00">
                  <c:v>20.3</c:v>
                </c:pt>
                <c:pt idx="10" formatCode="0.00">
                  <c:v>20.36</c:v>
                </c:pt>
                <c:pt idx="11" formatCode="0.00">
                  <c:v>21.03</c:v>
                </c:pt>
                <c:pt idx="12">
                  <c:v>19.557500000000001</c:v>
                </c:pt>
              </c:numCache>
            </c:numRef>
          </c:val>
          <c:smooth val="0"/>
          <c:extLst>
            <c:ext xmlns:c16="http://schemas.microsoft.com/office/drawing/2014/chart" uri="{C3380CC4-5D6E-409C-BE32-E72D297353CC}">
              <c16:uniqueId val="{00000000-6F57-4139-BA03-6B4403ED5981}"/>
            </c:ext>
          </c:extLst>
        </c:ser>
        <c:ser>
          <c:idx val="1"/>
          <c:order val="1"/>
          <c:tx>
            <c:strRef>
              <c:f>'Porta 70 day gain  (5)'!$A$18</c:f>
              <c:strCache>
                <c:ptCount val="1"/>
                <c:pt idx="0">
                  <c:v>PRIOR YEAR</c:v>
                </c:pt>
              </c:strCache>
            </c:strRef>
          </c:tx>
          <c:spPr>
            <a:ln w="28575" cap="rnd">
              <a:solidFill>
                <a:schemeClr val="accent2"/>
              </a:solidFill>
              <a:round/>
            </a:ln>
            <a:effectLst/>
          </c:spPr>
          <c:marker>
            <c:symbol val="none"/>
          </c:marker>
          <c:cat>
            <c:numRef>
              <c:f>'Porta 70 day gain  (5)'!$B$16:$N$16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70 day gain  (5)'!$B$18:$N$18</c:f>
              <c:numCache>
                <c:formatCode>General</c:formatCode>
                <c:ptCount val="13"/>
                <c:pt idx="9" formatCode="0">
                  <c:v>20.8</c:v>
                </c:pt>
                <c:pt idx="10" formatCode="0">
                  <c:v>20.48</c:v>
                </c:pt>
                <c:pt idx="11" formatCode="0">
                  <c:v>20.03</c:v>
                </c:pt>
                <c:pt idx="12" formatCode="0.0">
                  <c:v>20.436666666666667</c:v>
                </c:pt>
              </c:numCache>
            </c:numRef>
          </c:val>
          <c:smooth val="0"/>
          <c:extLst>
            <c:ext xmlns:c16="http://schemas.microsoft.com/office/drawing/2014/chart" uri="{C3380CC4-5D6E-409C-BE32-E72D297353CC}">
              <c16:uniqueId val="{00000001-6F57-4139-BA03-6B4403ED5981}"/>
            </c:ext>
          </c:extLst>
        </c:ser>
        <c:ser>
          <c:idx val="2"/>
          <c:order val="2"/>
          <c:tx>
            <c:strRef>
              <c:f>'Porta 70 day gain  (5)'!$A$19</c:f>
              <c:strCache>
                <c:ptCount val="1"/>
                <c:pt idx="0">
                  <c:v>TARGET</c:v>
                </c:pt>
              </c:strCache>
            </c:strRef>
          </c:tx>
          <c:spPr>
            <a:ln w="28575" cap="rnd">
              <a:solidFill>
                <a:schemeClr val="accent3"/>
              </a:solidFill>
              <a:round/>
            </a:ln>
            <a:effectLst/>
          </c:spPr>
          <c:marker>
            <c:symbol val="none"/>
          </c:marker>
          <c:cat>
            <c:numRef>
              <c:f>'Porta 70 day gain  (5)'!$B$16:$N$16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70 day gain  (5)'!$B$19:$N$19</c:f>
              <c:numCache>
                <c:formatCode>General</c:formatCode>
                <c:ptCount val="13"/>
                <c:pt idx="0">
                  <c:v>21</c:v>
                </c:pt>
                <c:pt idx="1">
                  <c:v>21</c:v>
                </c:pt>
                <c:pt idx="2">
                  <c:v>21</c:v>
                </c:pt>
                <c:pt idx="3">
                  <c:v>21</c:v>
                </c:pt>
                <c:pt idx="4">
                  <c:v>21</c:v>
                </c:pt>
                <c:pt idx="5">
                  <c:v>21</c:v>
                </c:pt>
                <c:pt idx="6">
                  <c:v>21</c:v>
                </c:pt>
                <c:pt idx="7">
                  <c:v>21</c:v>
                </c:pt>
                <c:pt idx="8">
                  <c:v>21</c:v>
                </c:pt>
                <c:pt idx="9">
                  <c:v>21</c:v>
                </c:pt>
                <c:pt idx="10">
                  <c:v>21</c:v>
                </c:pt>
                <c:pt idx="11">
                  <c:v>21</c:v>
                </c:pt>
                <c:pt idx="12" formatCode="0.0">
                  <c:v>21</c:v>
                </c:pt>
              </c:numCache>
            </c:numRef>
          </c:val>
          <c:smooth val="0"/>
          <c:extLst>
            <c:ext xmlns:c16="http://schemas.microsoft.com/office/drawing/2014/chart" uri="{C3380CC4-5D6E-409C-BE32-E72D297353CC}">
              <c16:uniqueId val="{00000002-6F57-4139-BA03-6B4403ED5981}"/>
            </c:ext>
          </c:extLst>
        </c:ser>
        <c:ser>
          <c:idx val="3"/>
          <c:order val="3"/>
          <c:tx>
            <c:strRef>
              <c:f>'Porta 70 day gain  (5)'!$A$20</c:f>
              <c:strCache>
                <c:ptCount val="1"/>
              </c:strCache>
            </c:strRef>
          </c:tx>
          <c:spPr>
            <a:ln w="28575" cap="rnd">
              <a:solidFill>
                <a:schemeClr val="accent4"/>
              </a:solidFill>
              <a:round/>
            </a:ln>
            <a:effectLst/>
          </c:spPr>
          <c:marker>
            <c:symbol val="none"/>
          </c:marker>
          <c:cat>
            <c:numRef>
              <c:f>'Porta 70 day gain  (5)'!$B$16:$N$16</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70 day gain  (5)'!$B$20:$N$20</c:f>
              <c:numCache>
                <c:formatCode>General</c:formatCode>
                <c:ptCount val="13"/>
              </c:numCache>
            </c:numRef>
          </c:val>
          <c:smooth val="0"/>
          <c:extLst>
            <c:ext xmlns:c16="http://schemas.microsoft.com/office/drawing/2014/chart" uri="{C3380CC4-5D6E-409C-BE32-E72D297353CC}">
              <c16:uniqueId val="{00000003-6F57-4139-BA03-6B4403ED5981}"/>
            </c:ext>
          </c:extLst>
        </c:ser>
        <c:dLbls>
          <c:showLegendKey val="0"/>
          <c:showVal val="0"/>
          <c:showCatName val="0"/>
          <c:showSerName val="0"/>
          <c:showPercent val="0"/>
          <c:showBubbleSize val="0"/>
        </c:dLbls>
        <c:smooth val="0"/>
        <c:axId val="1261193455"/>
        <c:axId val="1183778207"/>
      </c:lineChart>
      <c:dateAx>
        <c:axId val="126119345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83778207"/>
        <c:crosses val="autoZero"/>
        <c:auto val="1"/>
        <c:lblOffset val="100"/>
        <c:baseTimeUnit val="months"/>
      </c:dateAx>
      <c:valAx>
        <c:axId val="1183778207"/>
        <c:scaling>
          <c:orientation val="minMax"/>
          <c:max val="23"/>
          <c:min val="16"/>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1193455"/>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Porta W/S/Y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'Porta WSY  (5)'!$A$19</c:f>
              <c:strCache>
                <c:ptCount val="1"/>
                <c:pt idx="0">
                  <c:v>FY26</c:v>
                </c:pt>
              </c:strCache>
            </c:strRef>
          </c:tx>
          <c:spPr>
            <a:ln w="28575" cap="rnd">
              <a:solidFill>
                <a:schemeClr val="accent1"/>
              </a:solidFill>
              <a:round/>
            </a:ln>
            <a:effectLst/>
          </c:spPr>
          <c:marker>
            <c:symbol val="none"/>
          </c:marker>
          <c:cat>
            <c:numRef>
              <c:f>'Porta WSY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WSY  (5)'!$B$19:$N$19</c:f>
              <c:numCache>
                <c:formatCode>General</c:formatCode>
                <c:ptCount val="13"/>
                <c:pt idx="0">
                  <c:v>35.299999999999997</c:v>
                </c:pt>
                <c:pt idx="1">
                  <c:v>32.4</c:v>
                </c:pt>
                <c:pt idx="2">
                  <c:v>33.6</c:v>
                </c:pt>
                <c:pt idx="3">
                  <c:v>32.5</c:v>
                </c:pt>
                <c:pt idx="4">
                  <c:v>33.700000000000003</c:v>
                </c:pt>
                <c:pt idx="5">
                  <c:v>35.700000000000003</c:v>
                </c:pt>
                <c:pt idx="6">
                  <c:v>36.200000000000003</c:v>
                </c:pt>
                <c:pt idx="7">
                  <c:v>36.5</c:v>
                </c:pt>
                <c:pt idx="8">
                  <c:v>37.1</c:v>
                </c:pt>
                <c:pt idx="9">
                  <c:v>37.4</c:v>
                </c:pt>
                <c:pt idx="10">
                  <c:v>37.200000000000003</c:v>
                </c:pt>
                <c:pt idx="11">
                  <c:v>38.6</c:v>
                </c:pt>
                <c:pt idx="12" formatCode="0.0">
                  <c:v>35.516666666666666</c:v>
                </c:pt>
              </c:numCache>
            </c:numRef>
          </c:val>
          <c:smooth val="0"/>
          <c:extLst>
            <c:ext xmlns:c16="http://schemas.microsoft.com/office/drawing/2014/chart" uri="{C3380CC4-5D6E-409C-BE32-E72D297353CC}">
              <c16:uniqueId val="{00000000-DB61-425E-89B1-016F29E8C50F}"/>
            </c:ext>
          </c:extLst>
        </c:ser>
        <c:ser>
          <c:idx val="1"/>
          <c:order val="1"/>
          <c:tx>
            <c:strRef>
              <c:f>'Porta WSY  (5)'!$A$20</c:f>
              <c:strCache>
                <c:ptCount val="1"/>
                <c:pt idx="0">
                  <c:v>prior</c:v>
                </c:pt>
              </c:strCache>
            </c:strRef>
          </c:tx>
          <c:spPr>
            <a:ln w="28575" cap="rnd">
              <a:solidFill>
                <a:schemeClr val="accent2"/>
              </a:solidFill>
              <a:round/>
            </a:ln>
            <a:effectLst/>
          </c:spPr>
          <c:marker>
            <c:symbol val="none"/>
          </c:marker>
          <c:cat>
            <c:numRef>
              <c:f>'Porta WSY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WSY  (5)'!$B$20:$N$20</c:f>
              <c:numCache>
                <c:formatCode>General</c:formatCode>
                <c:ptCount val="13"/>
                <c:pt idx="8">
                  <c:v>33.700000000000003</c:v>
                </c:pt>
                <c:pt idx="9">
                  <c:v>33.6</c:v>
                </c:pt>
                <c:pt idx="10">
                  <c:v>35.799999999999997</c:v>
                </c:pt>
                <c:pt idx="11">
                  <c:v>36.299999999999997</c:v>
                </c:pt>
                <c:pt idx="12" formatCode="0.0">
                  <c:v>34.85</c:v>
                </c:pt>
              </c:numCache>
            </c:numRef>
          </c:val>
          <c:smooth val="0"/>
          <c:extLst>
            <c:ext xmlns:c16="http://schemas.microsoft.com/office/drawing/2014/chart" uri="{C3380CC4-5D6E-409C-BE32-E72D297353CC}">
              <c16:uniqueId val="{00000001-DB61-425E-89B1-016F29E8C50F}"/>
            </c:ext>
          </c:extLst>
        </c:ser>
        <c:ser>
          <c:idx val="2"/>
          <c:order val="2"/>
          <c:tx>
            <c:strRef>
              <c:f>'Porta WSY  (5)'!$A$21</c:f>
              <c:strCache>
                <c:ptCount val="1"/>
                <c:pt idx="0">
                  <c:v>target</c:v>
                </c:pt>
              </c:strCache>
            </c:strRef>
          </c:tx>
          <c:spPr>
            <a:ln w="28575" cap="rnd">
              <a:solidFill>
                <a:schemeClr val="accent3"/>
              </a:solidFill>
              <a:round/>
            </a:ln>
            <a:effectLst/>
          </c:spPr>
          <c:marker>
            <c:symbol val="none"/>
          </c:marker>
          <c:cat>
            <c:numRef>
              <c:f>'Porta WSY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'Porta WSY  (5)'!$B$21:$N$21</c:f>
              <c:numCache>
                <c:formatCode>General</c:formatCode>
                <c:ptCount val="13"/>
                <c:pt idx="0">
                  <c:v>34</c:v>
                </c:pt>
                <c:pt idx="1">
                  <c:v>34</c:v>
                </c:pt>
                <c:pt idx="2">
                  <c:v>34</c:v>
                </c:pt>
                <c:pt idx="3">
                  <c:v>34</c:v>
                </c:pt>
                <c:pt idx="4">
                  <c:v>34</c:v>
                </c:pt>
                <c:pt idx="5">
                  <c:v>34</c:v>
                </c:pt>
                <c:pt idx="6">
                  <c:v>34</c:v>
                </c:pt>
                <c:pt idx="7">
                  <c:v>34</c:v>
                </c:pt>
                <c:pt idx="8">
                  <c:v>34</c:v>
                </c:pt>
                <c:pt idx="9">
                  <c:v>34</c:v>
                </c:pt>
                <c:pt idx="10">
                  <c:v>34</c:v>
                </c:pt>
                <c:pt idx="11">
                  <c:v>34</c:v>
                </c:pt>
                <c:pt idx="12" formatCode="0.0">
                  <c:v>34</c:v>
                </c:pt>
              </c:numCache>
            </c:numRef>
          </c:val>
          <c:smooth val="0"/>
          <c:extLst>
            <c:ext xmlns:c16="http://schemas.microsoft.com/office/drawing/2014/chart" uri="{C3380CC4-5D6E-409C-BE32-E72D297353CC}">
              <c16:uniqueId val="{00000002-DB61-425E-89B1-016F29E8C50F}"/>
            </c:ext>
          </c:extLst>
        </c:ser>
        <c:dLbls>
          <c:showLegendKey val="0"/>
          <c:showVal val="0"/>
          <c:showCatName val="0"/>
          <c:showSerName val="0"/>
          <c:showPercent val="0"/>
          <c:showBubbleSize val="0"/>
        </c:dLbls>
        <c:smooth val="0"/>
        <c:axId val="26034863"/>
        <c:axId val="2110673295"/>
      </c:lineChart>
      <c:dateAx>
        <c:axId val="2603486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0673295"/>
        <c:crosses val="autoZero"/>
        <c:auto val="1"/>
        <c:lblOffset val="100"/>
        <c:baseTimeUnit val="months"/>
      </c:dateAx>
      <c:valAx>
        <c:axId val="2110673295"/>
        <c:scaling>
          <c:orientation val="minMax"/>
          <c:min val="2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0348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Grasmere Avg CDM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'Grasmere Avg CDM vs Budget (7)'!$A$20</c:f>
              <c:strCache>
                <c:ptCount val="1"/>
                <c:pt idx="0">
                  <c:v>FY26</c:v>
                </c:pt>
              </c:strCache>
            </c:strRef>
          </c:tx>
          <c:spPr>
            <a:ln w="28575" cap="rnd">
              <a:solidFill>
                <a:schemeClr val="accent1"/>
              </a:solidFill>
              <a:round/>
            </a:ln>
            <a:effectLst/>
          </c:spPr>
          <c:marker>
            <c:symbol val="none"/>
          </c:marker>
          <c:cat>
            <c:numRef>
              <c:f>'Grasmere Avg CDM vs Budget (7)'!$B$19:$M$19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Avg CDM vs Budget (7)'!$B$20:$M$20</c:f>
              <c:numCache>
                <c:formatCode>_-* #,##0.00_-;\-* #,##0.00_-;_-* "-"??_-;_-@_-</c:formatCode>
                <c:ptCount val="12"/>
                <c:pt idx="0">
                  <c:v>97.837237008871995</c:v>
                </c:pt>
                <c:pt idx="1">
                  <c:v>96.123266909907386</c:v>
                </c:pt>
                <c:pt idx="2">
                  <c:v>94.818505647263251</c:v>
                </c:pt>
                <c:pt idx="3">
                  <c:v>92.617440633245394</c:v>
                </c:pt>
                <c:pt idx="4">
                  <c:v>93.137288135593224</c:v>
                </c:pt>
                <c:pt idx="5">
                  <c:v>90.075474848674602</c:v>
                </c:pt>
                <c:pt idx="6">
                  <c:v>95.359332974717589</c:v>
                </c:pt>
                <c:pt idx="7">
                  <c:v>94.394777463339338</c:v>
                </c:pt>
                <c:pt idx="8">
                  <c:v>92.703421160971601</c:v>
                </c:pt>
                <c:pt idx="9">
                  <c:v>96.421729091841982</c:v>
                </c:pt>
                <c:pt idx="10">
                  <c:v>95.735875984251976</c:v>
                </c:pt>
                <c:pt idx="11">
                  <c:v>96.660875356803047</c:v>
                </c:pt>
              </c:numCache>
            </c:numRef>
          </c:val>
          <c:smooth val="0"/>
          <c:extLst>
            <c:ext xmlns:c16="http://schemas.microsoft.com/office/drawing/2014/chart" uri="{C3380CC4-5D6E-409C-BE32-E72D297353CC}">
              <c16:uniqueId val="{00000000-EAD9-4AF3-840A-F9E80A5A88CA}"/>
            </c:ext>
          </c:extLst>
        </c:ser>
        <c:ser>
          <c:idx val="1"/>
          <c:order val="1"/>
          <c:tx>
            <c:strRef>
              <c:f>'Grasmere Avg CDM vs Budget (7)'!$A$21</c:f>
              <c:strCache>
                <c:ptCount val="1"/>
                <c:pt idx="0">
                  <c:v>PRIOR</c:v>
                </c:pt>
              </c:strCache>
            </c:strRef>
          </c:tx>
          <c:spPr>
            <a:ln w="28575" cap="rnd">
              <a:solidFill>
                <a:schemeClr val="accent2"/>
              </a:solidFill>
              <a:round/>
            </a:ln>
            <a:effectLst/>
          </c:spPr>
          <c:marker>
            <c:symbol val="none"/>
          </c:marker>
          <c:cat>
            <c:numRef>
              <c:f>'Grasmere Avg CDM vs Budget (7)'!$B$19:$M$19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Avg CDM vs Budget (7)'!$B$21:$M$21</c:f>
              <c:numCache>
                <c:formatCode>_-* #,##0.00_-;\-* #,##0.00_-;_-* "-"??_-;_-@_-</c:formatCode>
                <c:ptCount val="12"/>
                <c:pt idx="0">
                  <c:v>94.462793839502837</c:v>
                </c:pt>
                <c:pt idx="1">
                  <c:v>95.656871780970462</c:v>
                </c:pt>
                <c:pt idx="2">
                  <c:v>98.935605898696309</c:v>
                </c:pt>
                <c:pt idx="3">
                  <c:v>98.296455223880599</c:v>
                </c:pt>
                <c:pt idx="4">
                  <c:v>94.922449521785339</c:v>
                </c:pt>
                <c:pt idx="5">
                  <c:v>92.729746467165427</c:v>
                </c:pt>
                <c:pt idx="6">
                  <c:v>94.117688743526841</c:v>
                </c:pt>
                <c:pt idx="7">
                  <c:v>94.956693121693121</c:v>
                </c:pt>
                <c:pt idx="8">
                  <c:v>92.276740035693052</c:v>
                </c:pt>
                <c:pt idx="9">
                  <c:v>93.204591836734693</c:v>
                </c:pt>
                <c:pt idx="10">
                  <c:v>93.11850462615655</c:v>
                </c:pt>
                <c:pt idx="11">
                  <c:v>97.856760804450147</c:v>
                </c:pt>
              </c:numCache>
            </c:numRef>
          </c:val>
          <c:smooth val="0"/>
          <c:extLst>
            <c:ext xmlns:c16="http://schemas.microsoft.com/office/drawing/2014/chart" uri="{C3380CC4-5D6E-409C-BE32-E72D297353CC}">
              <c16:uniqueId val="{00000001-EAD9-4AF3-840A-F9E80A5A88CA}"/>
            </c:ext>
          </c:extLst>
        </c:ser>
        <c:ser>
          <c:idx val="2"/>
          <c:order val="2"/>
          <c:tx>
            <c:strRef>
              <c:f>'Grasmere Avg CDM vs Budget (7)'!$A$22</c:f>
              <c:strCache>
                <c:ptCount val="1"/>
                <c:pt idx="0">
                  <c:v>TARGET</c:v>
                </c:pt>
              </c:strCache>
            </c:strRef>
          </c:tx>
          <c:spPr>
            <a:ln w="28575" cap="rnd">
              <a:solidFill>
                <a:schemeClr val="accent3"/>
              </a:solidFill>
              <a:round/>
            </a:ln>
            <a:effectLst/>
          </c:spPr>
          <c:marker>
            <c:symbol val="none"/>
          </c:marker>
          <c:cat>
            <c:numRef>
              <c:f>'Grasmere Avg CDM vs Budget (7)'!$B$19:$M$19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Avg CDM vs Budget (7)'!$B$22:$M$22</c:f>
              <c:numCache>
                <c:formatCode>_-* #,##0.00_-;\-* #,##0.00_-;_-* "-"??_-;_-@_-</c:formatCode>
                <c:ptCount val="12"/>
                <c:pt idx="0">
                  <c:v>94.300112844714477</c:v>
                </c:pt>
                <c:pt idx="1">
                  <c:v>94.304306124562913</c:v>
                </c:pt>
                <c:pt idx="2">
                  <c:v>91.837946087282987</c:v>
                </c:pt>
                <c:pt idx="3">
                  <c:v>91.814469495926161</c:v>
                </c:pt>
                <c:pt idx="4">
                  <c:v>91.814468441599402</c:v>
                </c:pt>
                <c:pt idx="5">
                  <c:v>91.81434560598025</c:v>
                </c:pt>
                <c:pt idx="6">
                  <c:v>91.814611328199277</c:v>
                </c:pt>
                <c:pt idx="7">
                  <c:v>91.83145168765607</c:v>
                </c:pt>
                <c:pt idx="8">
                  <c:v>91.848898916547313</c:v>
                </c:pt>
                <c:pt idx="9">
                  <c:v>94.322035026783155</c:v>
                </c:pt>
                <c:pt idx="10">
                  <c:v>94.322035026783155</c:v>
                </c:pt>
                <c:pt idx="11">
                  <c:v>94.321712749158308</c:v>
                </c:pt>
              </c:numCache>
            </c:numRef>
          </c:val>
          <c:smooth val="0"/>
          <c:extLst>
            <c:ext xmlns:c16="http://schemas.microsoft.com/office/drawing/2014/chart" uri="{C3380CC4-5D6E-409C-BE32-E72D297353CC}">
              <c16:uniqueId val="{00000002-EAD9-4AF3-840A-F9E80A5A88CA}"/>
            </c:ext>
          </c:extLst>
        </c:ser>
        <c:dLbls>
          <c:showLegendKey val="0"/>
          <c:showVal val="0"/>
          <c:showCatName val="0"/>
          <c:showSerName val="0"/>
          <c:showPercent val="0"/>
          <c:showBubbleSize val="0"/>
        </c:dLbls>
        <c:smooth val="0"/>
        <c:axId val="667614824"/>
        <c:axId val="667613744"/>
      </c:lineChart>
      <c:dateAx>
        <c:axId val="6676148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13744"/>
        <c:crosses val="autoZero"/>
        <c:auto val="1"/>
        <c:lblOffset val="100"/>
        <c:baseTimeUnit val="months"/>
      </c:dateAx>
      <c:valAx>
        <c:axId val="667613744"/>
        <c:scaling>
          <c:orientation val="minMax"/>
          <c:max val="105"/>
          <c:min val="86"/>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14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Grasmere Total CDM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'Grasmere Total CDM to Colco (7)'!$A$20</c:f>
              <c:strCache>
                <c:ptCount val="1"/>
                <c:pt idx="0">
                  <c:v>FY26</c:v>
                </c:pt>
              </c:strCache>
            </c:strRef>
          </c:tx>
          <c:spPr>
            <a:ln w="28575" cap="rnd">
              <a:solidFill>
                <a:schemeClr val="accent1"/>
              </a:solidFill>
              <a:round/>
            </a:ln>
            <a:effectLst/>
          </c:spPr>
          <c:marker>
            <c:symbol val="none"/>
          </c:marker>
          <c:cat>
            <c:numRef>
              <c:f>'Grasmere Total CDM to Colco (7)'!$B$19:$M$19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Total CDM to Colco (7)'!$B$20:$M$20</c:f>
              <c:numCache>
                <c:formatCode>_-* #,##0_-;\-* #,##0_-;_-* "-"??_-;_-@_-</c:formatCode>
                <c:ptCount val="12"/>
                <c:pt idx="0">
                  <c:v>385967.9</c:v>
                </c:pt>
                <c:pt idx="1">
                  <c:v>342487.2</c:v>
                </c:pt>
                <c:pt idx="2">
                  <c:v>436544.4</c:v>
                </c:pt>
                <c:pt idx="3">
                  <c:v>351020.10000000003</c:v>
                </c:pt>
                <c:pt idx="4">
                  <c:v>346191.3</c:v>
                </c:pt>
                <c:pt idx="5">
                  <c:v>431551.60000000003</c:v>
                </c:pt>
                <c:pt idx="6">
                  <c:v>354546</c:v>
                </c:pt>
                <c:pt idx="7">
                  <c:v>366912.5</c:v>
                </c:pt>
                <c:pt idx="8">
                  <c:v>450353.22000000003</c:v>
                </c:pt>
                <c:pt idx="9">
                  <c:v>375851.9</c:v>
                </c:pt>
                <c:pt idx="10">
                  <c:v>389070.60000000003</c:v>
                </c:pt>
                <c:pt idx="11">
                  <c:v>507952.9</c:v>
                </c:pt>
              </c:numCache>
            </c:numRef>
          </c:val>
          <c:smooth val="0"/>
          <c:extLst>
            <c:ext xmlns:c16="http://schemas.microsoft.com/office/drawing/2014/chart" uri="{C3380CC4-5D6E-409C-BE32-E72D297353CC}">
              <c16:uniqueId val="{00000000-38B0-4C5E-8CB2-6A981154C366}"/>
            </c:ext>
          </c:extLst>
        </c:ser>
        <c:ser>
          <c:idx val="1"/>
          <c:order val="1"/>
          <c:tx>
            <c:strRef>
              <c:f>'Grasmere Total CDM to Colco (7)'!$A$21</c:f>
              <c:strCache>
                <c:ptCount val="1"/>
                <c:pt idx="0">
                  <c:v>Budgeted</c:v>
                </c:pt>
              </c:strCache>
            </c:strRef>
          </c:tx>
          <c:spPr>
            <a:ln w="28575" cap="rnd">
              <a:solidFill>
                <a:schemeClr val="accent2"/>
              </a:solidFill>
              <a:round/>
            </a:ln>
            <a:effectLst/>
          </c:spPr>
          <c:marker>
            <c:symbol val="none"/>
          </c:marker>
          <c:cat>
            <c:numRef>
              <c:f>'Grasmere Total CDM to Colco (7)'!$B$19:$M$19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Total CDM to Colco (7)'!$B$21:$M$21</c:f>
              <c:numCache>
                <c:formatCode>_-* #,##0_-;\-* #,##0_-;_-* "-"??_-;_-@_-</c:formatCode>
                <c:ptCount val="12"/>
                <c:pt idx="0">
                  <c:v>360647.06023785693</c:v>
                </c:pt>
                <c:pt idx="1">
                  <c:v>358782.76682026515</c:v>
                </c:pt>
                <c:pt idx="2">
                  <c:v>432915.54498572025</c:v>
                </c:pt>
                <c:pt idx="3">
                  <c:v>356224.17421195633</c:v>
                </c:pt>
                <c:pt idx="4">
                  <c:v>356224.63125238434</c:v>
                </c:pt>
                <c:pt idx="5">
                  <c:v>445347.35925426689</c:v>
                </c:pt>
                <c:pt idx="6">
                  <c:v>356162.70208083163</c:v>
                </c:pt>
                <c:pt idx="7">
                  <c:v>349012.92719852371</c:v>
                </c:pt>
                <c:pt idx="8">
                  <c:v>427380.86201826273</c:v>
                </c:pt>
                <c:pt idx="9">
                  <c:v>351110.86240622035</c:v>
                </c:pt>
                <c:pt idx="10">
                  <c:v>351110.86240622035</c:v>
                </c:pt>
                <c:pt idx="11">
                  <c:v>439059.2109409048</c:v>
                </c:pt>
              </c:numCache>
            </c:numRef>
          </c:val>
          <c:smooth val="0"/>
          <c:extLst>
            <c:ext xmlns:c16="http://schemas.microsoft.com/office/drawing/2014/chart" uri="{C3380CC4-5D6E-409C-BE32-E72D297353CC}">
              <c16:uniqueId val="{00000001-38B0-4C5E-8CB2-6A981154C366}"/>
            </c:ext>
          </c:extLst>
        </c:ser>
        <c:ser>
          <c:idx val="2"/>
          <c:order val="2"/>
          <c:tx>
            <c:strRef>
              <c:f>'Grasmere Total CDM to Colco (7)'!$A$22</c:f>
              <c:strCache>
                <c:ptCount val="1"/>
                <c:pt idx="0">
                  <c:v>Prior</c:v>
                </c:pt>
              </c:strCache>
            </c:strRef>
          </c:tx>
          <c:spPr>
            <a:ln w="28575" cap="rnd">
              <a:solidFill>
                <a:schemeClr val="accent3"/>
              </a:solidFill>
              <a:round/>
            </a:ln>
            <a:effectLst/>
          </c:spPr>
          <c:marker>
            <c:symbol val="none"/>
          </c:marker>
          <c:cat>
            <c:numRef>
              <c:f>'Grasmere Total CDM to Colco (7)'!$B$19:$M$19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Total CDM to Colco (7)'!$B$22:$M$22</c:f>
              <c:numCache>
                <c:formatCode>_-* #,##0_-;\-* #,##0_-;_-* "-"??_-;_-@_-</c:formatCode>
                <c:ptCount val="12"/>
                <c:pt idx="0">
                  <c:v>349606.8</c:v>
                </c:pt>
                <c:pt idx="1">
                  <c:v>352878.2</c:v>
                </c:pt>
                <c:pt idx="2">
                  <c:v>462919.7</c:v>
                </c:pt>
                <c:pt idx="3">
                  <c:v>368808.3</c:v>
                </c:pt>
                <c:pt idx="4">
                  <c:v>357288.10000000003</c:v>
                </c:pt>
                <c:pt idx="5">
                  <c:v>446215.54000000004</c:v>
                </c:pt>
                <c:pt idx="6">
                  <c:v>345317.8</c:v>
                </c:pt>
                <c:pt idx="7">
                  <c:v>358936.3</c:v>
                </c:pt>
                <c:pt idx="8">
                  <c:v>465351.60000000003</c:v>
                </c:pt>
                <c:pt idx="9">
                  <c:v>365362</c:v>
                </c:pt>
                <c:pt idx="10">
                  <c:v>372380.9</c:v>
                </c:pt>
                <c:pt idx="11">
                  <c:v>457382.5</c:v>
                </c:pt>
              </c:numCache>
            </c:numRef>
          </c:val>
          <c:smooth val="0"/>
          <c:extLst>
            <c:ext xmlns:c16="http://schemas.microsoft.com/office/drawing/2014/chart" uri="{C3380CC4-5D6E-409C-BE32-E72D297353CC}">
              <c16:uniqueId val="{00000002-38B0-4C5E-8CB2-6A981154C366}"/>
            </c:ext>
          </c:extLst>
        </c:ser>
        <c:dLbls>
          <c:showLegendKey val="0"/>
          <c:showVal val="0"/>
          <c:showCatName val="0"/>
          <c:showSerName val="0"/>
          <c:showPercent val="0"/>
          <c:showBubbleSize val="0"/>
        </c:dLbls>
        <c:smooth val="0"/>
        <c:axId val="667634624"/>
        <c:axId val="667634984"/>
      </c:lineChart>
      <c:dateAx>
        <c:axId val="6676346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34984"/>
        <c:crosses val="autoZero"/>
        <c:auto val="1"/>
        <c:lblOffset val="100"/>
        <c:baseTimeUnit val="months"/>
      </c:dateAx>
      <c:valAx>
        <c:axId val="667634984"/>
        <c:scaling>
          <c:orientation val="minMax"/>
          <c:max val="470000"/>
          <c:min val="34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34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Grasmere Pigs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'Grasmere Pigs to Colcom (7)'!$A$18</c:f>
              <c:strCache>
                <c:ptCount val="1"/>
                <c:pt idx="0">
                  <c:v>FY26</c:v>
                </c:pt>
              </c:strCache>
            </c:strRef>
          </c:tx>
          <c:spPr>
            <a:ln w="28575" cap="rnd">
              <a:solidFill>
                <a:schemeClr val="accent1"/>
              </a:solidFill>
              <a:round/>
            </a:ln>
            <a:effectLst/>
          </c:spPr>
          <c:marker>
            <c:symbol val="none"/>
          </c:marker>
          <c:cat>
            <c:numRef>
              <c:f>'Grasmere Pigs to Colcom (7)'!$B$17:$M$17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Pigs to Colcom (7)'!$B$18:$M$18</c:f>
              <c:numCache>
                <c:formatCode>_-* #,##0_-;\-* #,##0_-;_-* "-"??_-;_-@_-</c:formatCode>
                <c:ptCount val="12"/>
                <c:pt idx="0">
                  <c:v>3945</c:v>
                </c:pt>
                <c:pt idx="1">
                  <c:v>3563</c:v>
                </c:pt>
                <c:pt idx="2">
                  <c:v>4604</c:v>
                </c:pt>
                <c:pt idx="3">
                  <c:v>3790</c:v>
                </c:pt>
                <c:pt idx="4">
                  <c:v>3717</c:v>
                </c:pt>
                <c:pt idx="5">
                  <c:v>4791</c:v>
                </c:pt>
                <c:pt idx="6">
                  <c:v>3718</c:v>
                </c:pt>
                <c:pt idx="7">
                  <c:v>3887</c:v>
                </c:pt>
                <c:pt idx="8">
                  <c:v>4858</c:v>
                </c:pt>
                <c:pt idx="9">
                  <c:v>3898</c:v>
                </c:pt>
                <c:pt idx="10">
                  <c:v>4064</c:v>
                </c:pt>
                <c:pt idx="11">
                  <c:v>5255</c:v>
                </c:pt>
              </c:numCache>
            </c:numRef>
          </c:val>
          <c:smooth val="0"/>
          <c:extLst>
            <c:ext xmlns:c16="http://schemas.microsoft.com/office/drawing/2014/chart" uri="{C3380CC4-5D6E-409C-BE32-E72D297353CC}">
              <c16:uniqueId val="{00000000-8FEE-4CAC-A735-221E61270627}"/>
            </c:ext>
          </c:extLst>
        </c:ser>
        <c:ser>
          <c:idx val="1"/>
          <c:order val="1"/>
          <c:tx>
            <c:strRef>
              <c:f>'Grasmere Pigs to Colcom (7)'!$A$19</c:f>
              <c:strCache>
                <c:ptCount val="1"/>
                <c:pt idx="0">
                  <c:v>budget</c:v>
                </c:pt>
              </c:strCache>
            </c:strRef>
          </c:tx>
          <c:spPr>
            <a:ln w="28575" cap="rnd">
              <a:solidFill>
                <a:schemeClr val="accent2"/>
              </a:solidFill>
              <a:round/>
            </a:ln>
            <a:effectLst/>
          </c:spPr>
          <c:marker>
            <c:symbol val="none"/>
          </c:marker>
          <c:cat>
            <c:numRef>
              <c:f>'Grasmere Pigs to Colcom (7)'!$B$17:$M$17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Pigs to Colcom (7)'!$B$19:$M$19</c:f>
              <c:numCache>
                <c:formatCode>_-* #,##0_-;\-* #,##0_-;_-* "-"??_-;_-@_-</c:formatCode>
                <c:ptCount val="12"/>
                <c:pt idx="0">
                  <c:v>3824.4605373032828</c:v>
                </c:pt>
                <c:pt idx="1">
                  <c:v>3804.5215702702153</c:v>
                </c:pt>
                <c:pt idx="2">
                  <c:v>4713.9070877551676</c:v>
                </c:pt>
                <c:pt idx="3">
                  <c:v>3879.8260902412785</c:v>
                </c:pt>
                <c:pt idx="4">
                  <c:v>3879.8311126635645</c:v>
                </c:pt>
                <c:pt idx="5">
                  <c:v>4850.5204313655704</c:v>
                </c:pt>
                <c:pt idx="6">
                  <c:v>3879.1505723168311</c:v>
                </c:pt>
                <c:pt idx="7">
                  <c:v>3800.5816175661944</c:v>
                </c:pt>
                <c:pt idx="8">
                  <c:v>4653.086395805085</c:v>
                </c:pt>
                <c:pt idx="9">
                  <c:v>3722.469116644068</c:v>
                </c:pt>
                <c:pt idx="10">
                  <c:v>3722.469116644068</c:v>
                </c:pt>
                <c:pt idx="11">
                  <c:v>4654.9113469615486</c:v>
                </c:pt>
              </c:numCache>
            </c:numRef>
          </c:val>
          <c:smooth val="0"/>
          <c:extLst>
            <c:ext xmlns:c16="http://schemas.microsoft.com/office/drawing/2014/chart" uri="{C3380CC4-5D6E-409C-BE32-E72D297353CC}">
              <c16:uniqueId val="{00000001-8FEE-4CAC-A735-221E61270627}"/>
            </c:ext>
          </c:extLst>
        </c:ser>
        <c:dLbls>
          <c:showLegendKey val="0"/>
          <c:showVal val="0"/>
          <c:showCatName val="0"/>
          <c:showSerName val="0"/>
          <c:showPercent val="0"/>
          <c:showBubbleSize val="0"/>
        </c:dLbls>
        <c:smooth val="0"/>
        <c:axId val="667656224"/>
        <c:axId val="667654064"/>
      </c:lineChart>
      <c:dateAx>
        <c:axId val="6676562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54064"/>
        <c:crosses val="autoZero"/>
        <c:auto val="1"/>
        <c:lblOffset val="100"/>
        <c:baseTimeUnit val="months"/>
      </c:dateAx>
      <c:valAx>
        <c:axId val="667654064"/>
        <c:scaling>
          <c:orientation val="minMax"/>
          <c:min val="34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56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Grasmere Kgs sold/sow/year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'Grasmere Kgs sold per sow p (7)'!$AB$23:$AW$23</c:f>
              <c:numCache>
                <c:formatCode>mmm\-yy</c:formatCode>
                <c:ptCount val="22"/>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pt idx="18">
                  <c:v>46082</c:v>
                </c:pt>
                <c:pt idx="19">
                  <c:v>46113</c:v>
                </c:pt>
                <c:pt idx="20">
                  <c:v>46143</c:v>
                </c:pt>
                <c:pt idx="21">
                  <c:v>46174</c:v>
                </c:pt>
              </c:numCache>
            </c:numRef>
          </c:cat>
          <c:val>
            <c:numRef>
              <c:f>'Grasmere Kgs sold per sow p (7)'!$AB$24:$AW$24</c:f>
              <c:numCache>
                <c:formatCode>0.0</c:formatCode>
                <c:ptCount val="22"/>
                <c:pt idx="0">
                  <c:v>2422.8527010250205</c:v>
                </c:pt>
                <c:pt idx="1">
                  <c:v>2460.2604513886126</c:v>
                </c:pt>
                <c:pt idx="2">
                  <c:v>2501.4400824309173</c:v>
                </c:pt>
                <c:pt idx="3">
                  <c:v>2539.8665143566768</c:v>
                </c:pt>
                <c:pt idx="4">
                  <c:v>2559.6698730422031</c:v>
                </c:pt>
                <c:pt idx="5">
                  <c:v>2585.2514550560009</c:v>
                </c:pt>
                <c:pt idx="6">
                  <c:v>2620.9410378977104</c:v>
                </c:pt>
                <c:pt idx="7">
                  <c:v>2648.3990567505775</c:v>
                </c:pt>
                <c:pt idx="8">
                  <c:v>2672.806634526356</c:v>
                </c:pt>
                <c:pt idx="9">
                  <c:v>2688.6120022022392</c:v>
                </c:pt>
                <c:pt idx="10">
                  <c:v>2718.2391246049228</c:v>
                </c:pt>
                <c:pt idx="11">
                  <c:v>2734.5883249948051</c:v>
                </c:pt>
                <c:pt idx="12">
                  <c:v>2737.4972363496786</c:v>
                </c:pt>
                <c:pt idx="13">
                  <c:v>2744.2422668278664</c:v>
                </c:pt>
                <c:pt idx="14">
                  <c:v>2739.0302868087219</c:v>
                </c:pt>
                <c:pt idx="15">
                  <c:v>2730.3400305901009</c:v>
                </c:pt>
                <c:pt idx="16">
                  <c:v>2737.0913009811047</c:v>
                </c:pt>
                <c:pt idx="17">
                  <c:v>2747.7780185060487</c:v>
                </c:pt>
                <c:pt idx="18">
                  <c:v>2765.1207664295403</c:v>
                </c:pt>
                <c:pt idx="19">
                  <c:v>2778.8139086958968</c:v>
                </c:pt>
                <c:pt idx="20">
                  <c:v>2788.4110085893558</c:v>
                </c:pt>
                <c:pt idx="21">
                  <c:v>2839.7434598781238</c:v>
                </c:pt>
              </c:numCache>
            </c:numRef>
          </c:val>
          <c:smooth val="0"/>
          <c:extLst>
            <c:ext xmlns:c16="http://schemas.microsoft.com/office/drawing/2014/chart" uri="{C3380CC4-5D6E-409C-BE32-E72D297353CC}">
              <c16:uniqueId val="{00000000-6A1E-4D5D-BC1A-4D721E54CAF5}"/>
            </c:ext>
          </c:extLst>
        </c:ser>
        <c:ser>
          <c:idx val="1"/>
          <c:order val="1"/>
          <c:spPr>
            <a:ln w="28575" cap="rnd">
              <a:solidFill>
                <a:schemeClr val="accent2"/>
              </a:solidFill>
              <a:round/>
            </a:ln>
            <a:effectLst/>
          </c:spPr>
          <c:marker>
            <c:symbol val="none"/>
          </c:marker>
          <c:cat>
            <c:numRef>
              <c:f>'Grasmere Kgs sold per sow p (7)'!$AB$23:$AW$23</c:f>
              <c:numCache>
                <c:formatCode>mmm\-yy</c:formatCode>
                <c:ptCount val="22"/>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pt idx="18">
                  <c:v>46082</c:v>
                </c:pt>
                <c:pt idx="19">
                  <c:v>46113</c:v>
                </c:pt>
                <c:pt idx="20">
                  <c:v>46143</c:v>
                </c:pt>
                <c:pt idx="21">
                  <c:v>46174</c:v>
                </c:pt>
              </c:numCache>
            </c:numRef>
          </c:cat>
          <c:val>
            <c:numRef>
              <c:f>'Grasmere Kgs sold per sow p (7)'!$AB$25:$AW$25</c:f>
              <c:numCache>
                <c:formatCode>General</c:formatCode>
                <c:ptCount val="22"/>
                <c:pt idx="0">
                  <c:v>2600</c:v>
                </c:pt>
                <c:pt idx="1">
                  <c:v>2600</c:v>
                </c:pt>
                <c:pt idx="2">
                  <c:v>2600</c:v>
                </c:pt>
                <c:pt idx="3">
                  <c:v>2600</c:v>
                </c:pt>
                <c:pt idx="4">
                  <c:v>3006</c:v>
                </c:pt>
                <c:pt idx="5">
                  <c:v>3006</c:v>
                </c:pt>
                <c:pt idx="6">
                  <c:v>3006</c:v>
                </c:pt>
                <c:pt idx="7">
                  <c:v>3006</c:v>
                </c:pt>
                <c:pt idx="8">
                  <c:v>3006</c:v>
                </c:pt>
                <c:pt idx="9">
                  <c:v>3006</c:v>
                </c:pt>
                <c:pt idx="10">
                  <c:v>3000</c:v>
                </c:pt>
                <c:pt idx="11">
                  <c:v>3000</c:v>
                </c:pt>
                <c:pt idx="12">
                  <c:v>3000</c:v>
                </c:pt>
                <c:pt idx="13">
                  <c:v>3000</c:v>
                </c:pt>
                <c:pt idx="14">
                  <c:v>3000</c:v>
                </c:pt>
                <c:pt idx="15">
                  <c:v>3000</c:v>
                </c:pt>
                <c:pt idx="16">
                  <c:v>3000</c:v>
                </c:pt>
                <c:pt idx="17">
                  <c:v>3000</c:v>
                </c:pt>
                <c:pt idx="18">
                  <c:v>3000</c:v>
                </c:pt>
                <c:pt idx="19">
                  <c:v>3000</c:v>
                </c:pt>
                <c:pt idx="20">
                  <c:v>3000</c:v>
                </c:pt>
                <c:pt idx="21">
                  <c:v>3000</c:v>
                </c:pt>
              </c:numCache>
            </c:numRef>
          </c:val>
          <c:smooth val="0"/>
          <c:extLst>
            <c:ext xmlns:c16="http://schemas.microsoft.com/office/drawing/2014/chart" uri="{C3380CC4-5D6E-409C-BE32-E72D297353CC}">
              <c16:uniqueId val="{00000001-6A1E-4D5D-BC1A-4D721E54CAF5}"/>
            </c:ext>
          </c:extLst>
        </c:ser>
        <c:dLbls>
          <c:showLegendKey val="0"/>
          <c:showVal val="0"/>
          <c:showCatName val="0"/>
          <c:showSerName val="0"/>
          <c:showPercent val="0"/>
          <c:showBubbleSize val="0"/>
        </c:dLbls>
        <c:smooth val="0"/>
        <c:axId val="1809810559"/>
        <c:axId val="1724373311"/>
      </c:lineChart>
      <c:dateAx>
        <c:axId val="180981055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373311"/>
        <c:crosses val="autoZero"/>
        <c:auto val="1"/>
        <c:lblOffset val="100"/>
        <c:baseTimeUnit val="months"/>
      </c:dateAx>
      <c:valAx>
        <c:axId val="1724373311"/>
        <c:scaling>
          <c:orientation val="minMax"/>
          <c:min val="24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81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Z line Farrow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'[59]Grasmere Farrow rate (2)'!#REF!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'[59]Grasmere Farrow rate (2)'!#REF!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'[59]Grasmere Farrow rate (2)'!#REF!</c15:sqref>
                        </c15:formulaRef>
                      </c:ext>
                    </c:extLst>
                    <c:strCache>
                      <c:ptCount val="1"/>
                      <c:pt idx="0">
                        <c:v>#REF!</c:v>
                      </c:pt>
                    </c:strCache>
                  </c:strRef>
                </c15:cat>
              </c15:filteredCategoryTitle>
            </c:ext>
            <c:ext xmlns:c16="http://schemas.microsoft.com/office/drawing/2014/chart" uri="{C3380CC4-5D6E-409C-BE32-E72D297353CC}">
              <c16:uniqueId val="{00000000-8709-4E95-83CB-78861600EEB7}"/>
            </c:ext>
          </c:extLst>
        </c:ser>
        <c:ser>
          <c:idx val="1"/>
          <c:order val="1"/>
          <c:spPr>
            <a:ln w="28575" cap="rnd">
              <a:solidFill>
                <a:schemeClr val="accent2"/>
              </a:solidFill>
              <a:round/>
            </a:ln>
            <a:effectLst/>
          </c:spPr>
          <c:marker>
            <c:symbol val="none"/>
          </c:marker>
          <c:val>
            <c:numRef>
              <c:f>'[59]Grasmere Farrow rate (2)'!#REF!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'[59]Grasmere Farrow rate (2)'!#REF!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'[59]Grasmere Farrow rate (2)'!#REF!</c15:sqref>
                        </c15:formulaRef>
                      </c:ext>
                    </c:extLst>
                    <c:strCache>
                      <c:ptCount val="1"/>
                      <c:pt idx="0">
                        <c:v>#REF!</c:v>
                      </c:pt>
                    </c:strCache>
                  </c:strRef>
                </c15:cat>
              </c15:filteredCategoryTitle>
            </c:ext>
            <c:ext xmlns:c16="http://schemas.microsoft.com/office/drawing/2014/chart" uri="{C3380CC4-5D6E-409C-BE32-E72D297353CC}">
              <c16:uniqueId val="{00000001-8709-4E95-83CB-78861600EEB7}"/>
            </c:ext>
          </c:extLst>
        </c:ser>
        <c:ser>
          <c:idx val="2"/>
          <c:order val="2"/>
          <c:spPr>
            <a:ln w="28575" cap="rnd">
              <a:solidFill>
                <a:schemeClr val="accent3"/>
              </a:solidFill>
              <a:round/>
            </a:ln>
            <a:effectLst/>
          </c:spPr>
          <c:marker>
            <c:symbol val="none"/>
          </c:marker>
          <c:val>
            <c:numRef>
              <c:f>'[59]Grasmere Farrow rate (2)'!#REF!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'[59]Grasmere Farrow rate (2)'!#REF!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'[59]Grasmere Farrow rate (2)'!#REF!</c15:sqref>
                        </c15:formulaRef>
                      </c:ext>
                    </c:extLst>
                    <c:strCache>
                      <c:ptCount val="1"/>
                      <c:pt idx="0">
                        <c:v>#REF!</c:v>
                      </c:pt>
                    </c:strCache>
                  </c:strRef>
                </c15:cat>
              </c15:filteredCategoryTitle>
            </c:ext>
            <c:ext xmlns:c16="http://schemas.microsoft.com/office/drawing/2014/chart" uri="{C3380CC4-5D6E-409C-BE32-E72D297353CC}">
              <c16:uniqueId val="{00000002-8709-4E95-83CB-78861600EEB7}"/>
            </c:ext>
          </c:extLst>
        </c:ser>
        <c:dLbls>
          <c:showLegendKey val="0"/>
          <c:showVal val="0"/>
          <c:showCatName val="0"/>
          <c:showSerName val="0"/>
          <c:showPercent val="0"/>
          <c:showBubbleSize val="0"/>
        </c:dLbls>
        <c:smooth val="0"/>
        <c:axId val="1665885455"/>
        <c:axId val="1455836815"/>
      </c:lineChart>
      <c:catAx>
        <c:axId val="1665885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55836815"/>
        <c:crosses val="autoZero"/>
        <c:auto val="1"/>
        <c:lblAlgn val="ctr"/>
        <c:lblOffset val="100"/>
        <c:noMultiLvlLbl val="0"/>
      </c:catAx>
      <c:valAx>
        <c:axId val="1455836815"/>
        <c:scaling>
          <c:orientation val="minMax"/>
          <c:min val="6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658854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Grasmere farrow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'Grasmere Farrow rate (5)'!$A$25</c:f>
              <c:strCache>
                <c:ptCount val="1"/>
                <c:pt idx="0">
                  <c:v>TN70</c:v>
                </c:pt>
              </c:strCache>
            </c:strRef>
          </c:tx>
          <c:spPr>
            <a:ln w="28575" cap="rnd">
              <a:solidFill>
                <a:schemeClr val="accent1"/>
              </a:solidFill>
              <a:round/>
            </a:ln>
            <a:effectLst/>
          </c:spPr>
          <c:marker>
            <c:symbol val="none"/>
          </c:marker>
          <c:cat>
            <c:numRef>
              <c:f>'Grasmere Farrow rate (5)'!$B$24:$M$24</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Farrow rate (5)'!$B$25:$M$25</c:f>
              <c:numCache>
                <c:formatCode>General</c:formatCode>
                <c:ptCount val="12"/>
                <c:pt idx="0">
                  <c:v>91</c:v>
                </c:pt>
                <c:pt idx="1">
                  <c:v>91</c:v>
                </c:pt>
                <c:pt idx="2">
                  <c:v>91</c:v>
                </c:pt>
                <c:pt idx="3">
                  <c:v>94</c:v>
                </c:pt>
                <c:pt idx="4">
                  <c:v>95</c:v>
                </c:pt>
                <c:pt idx="5">
                  <c:v>95</c:v>
                </c:pt>
                <c:pt idx="6">
                  <c:v>95</c:v>
                </c:pt>
                <c:pt idx="7">
                  <c:v>93</c:v>
                </c:pt>
                <c:pt idx="8">
                  <c:v>91</c:v>
                </c:pt>
                <c:pt idx="9">
                  <c:v>94</c:v>
                </c:pt>
                <c:pt idx="10">
                  <c:v>94</c:v>
                </c:pt>
                <c:pt idx="11">
                  <c:v>95</c:v>
                </c:pt>
              </c:numCache>
            </c:numRef>
          </c:val>
          <c:smooth val="0"/>
          <c:extLst>
            <c:ext xmlns:c16="http://schemas.microsoft.com/office/drawing/2014/chart" uri="{C3380CC4-5D6E-409C-BE32-E72D297353CC}">
              <c16:uniqueId val="{00000000-6DE9-4F88-9D6C-8ABD26C2A69E}"/>
            </c:ext>
          </c:extLst>
        </c:ser>
        <c:ser>
          <c:idx val="1"/>
          <c:order val="1"/>
          <c:tx>
            <c:strRef>
              <c:f>'Grasmere Farrow rate (5)'!$A$26</c:f>
              <c:strCache>
                <c:ptCount val="1"/>
                <c:pt idx="0">
                  <c:v>PRIOR YEAR</c:v>
                </c:pt>
              </c:strCache>
            </c:strRef>
          </c:tx>
          <c:spPr>
            <a:ln w="28575" cap="rnd">
              <a:solidFill>
                <a:schemeClr val="accent2"/>
              </a:solidFill>
              <a:round/>
            </a:ln>
            <a:effectLst/>
          </c:spPr>
          <c:marker>
            <c:symbol val="none"/>
          </c:marker>
          <c:cat>
            <c:numRef>
              <c:f>'Grasmere Farrow rate (5)'!$B$24:$M$24</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Farrow rate (5)'!$B$26:$M$26</c:f>
              <c:numCache>
                <c:formatCode>General</c:formatCode>
                <c:ptCount val="12"/>
                <c:pt idx="0">
                  <c:v>87</c:v>
                </c:pt>
                <c:pt idx="1">
                  <c:v>90</c:v>
                </c:pt>
                <c:pt idx="2">
                  <c:v>93</c:v>
                </c:pt>
                <c:pt idx="3">
                  <c:v>94</c:v>
                </c:pt>
                <c:pt idx="4">
                  <c:v>96</c:v>
                </c:pt>
                <c:pt idx="5">
                  <c:v>93</c:v>
                </c:pt>
                <c:pt idx="6">
                  <c:v>88</c:v>
                </c:pt>
                <c:pt idx="7">
                  <c:v>90</c:v>
                </c:pt>
                <c:pt idx="8">
                  <c:v>91</c:v>
                </c:pt>
                <c:pt idx="9">
                  <c:v>90</c:v>
                </c:pt>
                <c:pt idx="10">
                  <c:v>92</c:v>
                </c:pt>
                <c:pt idx="11">
                  <c:v>92</c:v>
                </c:pt>
              </c:numCache>
            </c:numRef>
          </c:val>
          <c:smooth val="0"/>
          <c:extLst>
            <c:ext xmlns:c16="http://schemas.microsoft.com/office/drawing/2014/chart" uri="{C3380CC4-5D6E-409C-BE32-E72D297353CC}">
              <c16:uniqueId val="{00000001-6DE9-4F88-9D6C-8ABD26C2A69E}"/>
            </c:ext>
          </c:extLst>
        </c:ser>
        <c:ser>
          <c:idx val="2"/>
          <c:order val="2"/>
          <c:tx>
            <c:strRef>
              <c:f>'Grasmere Farrow rate (5)'!$A$27</c:f>
              <c:strCache>
                <c:ptCount val="1"/>
                <c:pt idx="0">
                  <c:v>TARGET</c:v>
                </c:pt>
              </c:strCache>
            </c:strRef>
          </c:tx>
          <c:spPr>
            <a:ln w="28575" cap="rnd">
              <a:solidFill>
                <a:schemeClr val="accent3"/>
              </a:solidFill>
              <a:round/>
            </a:ln>
            <a:effectLst/>
          </c:spPr>
          <c:marker>
            <c:symbol val="none"/>
          </c:marker>
          <c:cat>
            <c:numRef>
              <c:f>'Grasmere Farrow rate (5)'!$B$24:$M$24</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Farrow rate (5)'!$B$27:$M$27</c:f>
              <c:numCache>
                <c:formatCode>General</c:formatCode>
                <c:ptCount val="12"/>
                <c:pt idx="0">
                  <c:v>93</c:v>
                </c:pt>
                <c:pt idx="1">
                  <c:v>93</c:v>
                </c:pt>
                <c:pt idx="2">
                  <c:v>93</c:v>
                </c:pt>
                <c:pt idx="3">
                  <c:v>93</c:v>
                </c:pt>
                <c:pt idx="4">
                  <c:v>93</c:v>
                </c:pt>
                <c:pt idx="5">
                  <c:v>93</c:v>
                </c:pt>
                <c:pt idx="6">
                  <c:v>93</c:v>
                </c:pt>
                <c:pt idx="7">
                  <c:v>93</c:v>
                </c:pt>
                <c:pt idx="8">
                  <c:v>93</c:v>
                </c:pt>
                <c:pt idx="9">
                  <c:v>93</c:v>
                </c:pt>
                <c:pt idx="10">
                  <c:v>93</c:v>
                </c:pt>
                <c:pt idx="11">
                  <c:v>93</c:v>
                </c:pt>
              </c:numCache>
            </c:numRef>
          </c:val>
          <c:smooth val="0"/>
          <c:extLst>
            <c:ext xmlns:c16="http://schemas.microsoft.com/office/drawing/2014/chart" uri="{C3380CC4-5D6E-409C-BE32-E72D297353CC}">
              <c16:uniqueId val="{00000002-6DE9-4F88-9D6C-8ABD26C2A69E}"/>
            </c:ext>
          </c:extLst>
        </c:ser>
        <c:dLbls>
          <c:showLegendKey val="0"/>
          <c:showVal val="0"/>
          <c:showCatName val="0"/>
          <c:showSerName val="0"/>
          <c:showPercent val="0"/>
          <c:showBubbleSize val="0"/>
        </c:dLbls>
        <c:smooth val="0"/>
        <c:axId val="172864464"/>
        <c:axId val="463650896"/>
      </c:lineChart>
      <c:dateAx>
        <c:axId val="172864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50896"/>
        <c:crosses val="autoZero"/>
        <c:auto val="1"/>
        <c:lblOffset val="100"/>
        <c:baseTimeUnit val="months"/>
      </c:dateAx>
      <c:valAx>
        <c:axId val="463650896"/>
        <c:scaling>
          <c:orientation val="minMax"/>
          <c:max val="100"/>
          <c:min val="7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64464"/>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Z line BA</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'[60]Grasmere Born Alive (2)'!#REF!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'[60]Grasmere Born Alive (2)'!#REF!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'[60]Grasmere Born Alive (2)'!#REF!</c15:sqref>
                        </c15:formulaRef>
                      </c:ext>
                    </c:extLst>
                    <c:strCache>
                      <c:ptCount val="1"/>
                      <c:pt idx="0">
                        <c:v>#REF!</c:v>
                      </c:pt>
                    </c:strCache>
                  </c:strRef>
                </c15:cat>
              </c15:filteredCategoryTitle>
            </c:ext>
            <c:ext xmlns:c16="http://schemas.microsoft.com/office/drawing/2014/chart" uri="{C3380CC4-5D6E-409C-BE32-E72D297353CC}">
              <c16:uniqueId val="{00000000-EDC9-4E3B-BAD6-A13F186DD310}"/>
            </c:ext>
          </c:extLst>
        </c:ser>
        <c:ser>
          <c:idx val="1"/>
          <c:order val="1"/>
          <c:spPr>
            <a:ln w="28575" cap="rnd">
              <a:solidFill>
                <a:schemeClr val="accent2"/>
              </a:solidFill>
              <a:round/>
            </a:ln>
            <a:effectLst/>
          </c:spPr>
          <c:marker>
            <c:symbol val="none"/>
          </c:marker>
          <c:val>
            <c:numRef>
              <c:f>'[60]Grasmere Born Alive (2)'!#REF!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'[60]Grasmere Born Alive (2)'!#REF!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'[60]Grasmere Born Alive (2)'!#REF!</c15:sqref>
                        </c15:formulaRef>
                      </c:ext>
                    </c:extLst>
                    <c:strCache>
                      <c:ptCount val="1"/>
                      <c:pt idx="0">
                        <c:v>#REF!</c:v>
                      </c:pt>
                    </c:strCache>
                  </c:strRef>
                </c15:cat>
              </c15:filteredCategoryTitle>
            </c:ext>
            <c:ext xmlns:c16="http://schemas.microsoft.com/office/drawing/2014/chart" uri="{C3380CC4-5D6E-409C-BE32-E72D297353CC}">
              <c16:uniqueId val="{00000001-EDC9-4E3B-BAD6-A13F186DD310}"/>
            </c:ext>
          </c:extLst>
        </c:ser>
        <c:ser>
          <c:idx val="2"/>
          <c:order val="2"/>
          <c:spPr>
            <a:ln w="28575" cap="rnd">
              <a:solidFill>
                <a:schemeClr val="accent3"/>
              </a:solidFill>
              <a:round/>
            </a:ln>
            <a:effectLst/>
          </c:spPr>
          <c:marker>
            <c:symbol val="none"/>
          </c:marker>
          <c:val>
            <c:numRef>
              <c:f>'[60]Grasmere Born Alive (2)'!#REF!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'[60]Grasmere Born Alive (2)'!#REF!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'[60]Grasmere Born Alive (2)'!#REF!</c15:sqref>
                        </c15:formulaRef>
                      </c:ext>
                    </c:extLst>
                    <c:strCache>
                      <c:ptCount val="1"/>
                      <c:pt idx="0">
                        <c:v>#REF!</c:v>
                      </c:pt>
                    </c:strCache>
                  </c:strRef>
                </c15:cat>
              </c15:filteredCategoryTitle>
            </c:ext>
            <c:ext xmlns:c16="http://schemas.microsoft.com/office/drawing/2014/chart" uri="{C3380CC4-5D6E-409C-BE32-E72D297353CC}">
              <c16:uniqueId val="{00000002-EDC9-4E3B-BAD6-A13F186DD310}"/>
            </c:ext>
          </c:extLst>
        </c:ser>
        <c:dLbls>
          <c:showLegendKey val="0"/>
          <c:showVal val="0"/>
          <c:showCatName val="0"/>
          <c:showSerName val="0"/>
          <c:showPercent val="0"/>
          <c:showBubbleSize val="0"/>
        </c:dLbls>
        <c:smooth val="0"/>
        <c:axId val="613988264"/>
        <c:axId val="613986464"/>
      </c:lineChart>
      <c:catAx>
        <c:axId val="613988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3986464"/>
        <c:crosses val="autoZero"/>
        <c:auto val="1"/>
        <c:lblAlgn val="ctr"/>
        <c:lblOffset val="100"/>
        <c:noMultiLvlLbl val="0"/>
      </c:catAx>
      <c:valAx>
        <c:axId val="613986464"/>
        <c:scaling>
          <c:orientation val="minMax"/>
          <c:min val="13.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39882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Grasmere TN70 Born Alive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'Grasmere Born Alive (5)'!$A$19</c:f>
              <c:strCache>
                <c:ptCount val="1"/>
                <c:pt idx="0">
                  <c:v>TN70</c:v>
                </c:pt>
              </c:strCache>
            </c:strRef>
          </c:tx>
          <c:spPr>
            <a:ln w="28575" cap="rnd">
              <a:solidFill>
                <a:schemeClr val="accent1"/>
              </a:solidFill>
              <a:round/>
            </a:ln>
            <a:effectLst/>
          </c:spPr>
          <c:marker>
            <c:symbol val="none"/>
          </c:marker>
          <c:cat>
            <c:numRef>
              <c:f>'Grasmere Born Alive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Born Alive (5)'!$B$19:$N$19</c:f>
              <c:numCache>
                <c:formatCode>General</c:formatCode>
                <c:ptCount val="13"/>
                <c:pt idx="0">
                  <c:v>15</c:v>
                </c:pt>
                <c:pt idx="1">
                  <c:v>15.2</c:v>
                </c:pt>
                <c:pt idx="2">
                  <c:v>15.4</c:v>
                </c:pt>
                <c:pt idx="3">
                  <c:v>15.4</c:v>
                </c:pt>
                <c:pt idx="4">
                  <c:v>14.8</c:v>
                </c:pt>
                <c:pt idx="5">
                  <c:v>15.4</c:v>
                </c:pt>
                <c:pt idx="6">
                  <c:v>15.4</c:v>
                </c:pt>
                <c:pt idx="7">
                  <c:v>15.3</c:v>
                </c:pt>
                <c:pt idx="8">
                  <c:v>15.4</c:v>
                </c:pt>
                <c:pt idx="9">
                  <c:v>14.7</c:v>
                </c:pt>
                <c:pt idx="10">
                  <c:v>15.3</c:v>
                </c:pt>
                <c:pt idx="11">
                  <c:v>15.5</c:v>
                </c:pt>
                <c:pt idx="12" formatCode="0.0">
                  <c:v>15.233333333333334</c:v>
                </c:pt>
              </c:numCache>
            </c:numRef>
          </c:val>
          <c:smooth val="0"/>
          <c:extLst>
            <c:ext xmlns:c16="http://schemas.microsoft.com/office/drawing/2014/chart" uri="{C3380CC4-5D6E-409C-BE32-E72D297353CC}">
              <c16:uniqueId val="{00000000-049B-41B1-ABB8-4636FAAB56F2}"/>
            </c:ext>
          </c:extLst>
        </c:ser>
        <c:ser>
          <c:idx val="1"/>
          <c:order val="1"/>
          <c:tx>
            <c:strRef>
              <c:f>'Grasmere Born Alive (5)'!$A$20</c:f>
              <c:strCache>
                <c:ptCount val="1"/>
                <c:pt idx="0">
                  <c:v>PRIOR YEAR</c:v>
                </c:pt>
              </c:strCache>
            </c:strRef>
          </c:tx>
          <c:spPr>
            <a:ln w="28575" cap="rnd">
              <a:solidFill>
                <a:schemeClr val="accent2"/>
              </a:solidFill>
              <a:round/>
            </a:ln>
            <a:effectLst/>
          </c:spPr>
          <c:marker>
            <c:symbol val="none"/>
          </c:marker>
          <c:cat>
            <c:numRef>
              <c:f>'Grasmere Born Alive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Born Alive (5)'!$B$20:$N$20</c:f>
              <c:numCache>
                <c:formatCode>General</c:formatCode>
                <c:ptCount val="13"/>
                <c:pt idx="0">
                  <c:v>14.5</c:v>
                </c:pt>
                <c:pt idx="1">
                  <c:v>14.7</c:v>
                </c:pt>
                <c:pt idx="2">
                  <c:v>14.5</c:v>
                </c:pt>
                <c:pt idx="3">
                  <c:v>15.4</c:v>
                </c:pt>
                <c:pt idx="4">
                  <c:v>14.7</c:v>
                </c:pt>
                <c:pt idx="5">
                  <c:v>14.8</c:v>
                </c:pt>
                <c:pt idx="6">
                  <c:v>14.4</c:v>
                </c:pt>
                <c:pt idx="7">
                  <c:v>14.3</c:v>
                </c:pt>
                <c:pt idx="8">
                  <c:v>14.8</c:v>
                </c:pt>
                <c:pt idx="9">
                  <c:v>14.7</c:v>
                </c:pt>
                <c:pt idx="10">
                  <c:v>14.8</c:v>
                </c:pt>
                <c:pt idx="11">
                  <c:v>14.2</c:v>
                </c:pt>
                <c:pt idx="12" formatCode="0.0">
                  <c:v>14.649999999999999</c:v>
                </c:pt>
              </c:numCache>
            </c:numRef>
          </c:val>
          <c:smooth val="0"/>
          <c:extLst>
            <c:ext xmlns:c16="http://schemas.microsoft.com/office/drawing/2014/chart" uri="{C3380CC4-5D6E-409C-BE32-E72D297353CC}">
              <c16:uniqueId val="{00000001-049B-41B1-ABB8-4636FAAB56F2}"/>
            </c:ext>
          </c:extLst>
        </c:ser>
        <c:ser>
          <c:idx val="2"/>
          <c:order val="2"/>
          <c:tx>
            <c:strRef>
              <c:f>'Grasmere Born Alive (5)'!$A$21</c:f>
              <c:strCache>
                <c:ptCount val="1"/>
                <c:pt idx="0">
                  <c:v>TARGET</c:v>
                </c:pt>
              </c:strCache>
            </c:strRef>
          </c:tx>
          <c:spPr>
            <a:ln w="28575" cap="rnd">
              <a:solidFill>
                <a:schemeClr val="accent3"/>
              </a:solidFill>
              <a:round/>
            </a:ln>
            <a:effectLst/>
          </c:spPr>
          <c:marker>
            <c:symbol val="none"/>
          </c:marker>
          <c:cat>
            <c:numRef>
              <c:f>'Grasmere Born Alive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Born Alive (5)'!$B$21:$N$21</c:f>
              <c:numCache>
                <c:formatCode>General</c:formatCode>
                <c:ptCount val="13"/>
                <c:pt idx="0">
                  <c:v>14.8</c:v>
                </c:pt>
                <c:pt idx="1">
                  <c:v>14.8</c:v>
                </c:pt>
                <c:pt idx="2">
                  <c:v>14.8</c:v>
                </c:pt>
                <c:pt idx="3">
                  <c:v>14.8</c:v>
                </c:pt>
                <c:pt idx="4">
                  <c:v>14.8</c:v>
                </c:pt>
                <c:pt idx="5">
                  <c:v>14.8</c:v>
                </c:pt>
                <c:pt idx="6">
                  <c:v>14.8</c:v>
                </c:pt>
                <c:pt idx="7">
                  <c:v>14.8</c:v>
                </c:pt>
                <c:pt idx="8">
                  <c:v>14.8</c:v>
                </c:pt>
                <c:pt idx="9">
                  <c:v>14.8</c:v>
                </c:pt>
                <c:pt idx="10">
                  <c:v>14.8</c:v>
                </c:pt>
                <c:pt idx="11">
                  <c:v>14.8</c:v>
                </c:pt>
                <c:pt idx="12" formatCode="0.0">
                  <c:v>14.800000000000002</c:v>
                </c:pt>
              </c:numCache>
            </c:numRef>
          </c:val>
          <c:smooth val="0"/>
          <c:extLst>
            <c:ext xmlns:c16="http://schemas.microsoft.com/office/drawing/2014/chart" uri="{C3380CC4-5D6E-409C-BE32-E72D297353CC}">
              <c16:uniqueId val="{00000002-049B-41B1-ABB8-4636FAAB56F2}"/>
            </c:ext>
          </c:extLst>
        </c:ser>
        <c:dLbls>
          <c:showLegendKey val="0"/>
          <c:showVal val="0"/>
          <c:showCatName val="0"/>
          <c:showSerName val="0"/>
          <c:showPercent val="0"/>
          <c:showBubbleSize val="0"/>
        </c:dLbls>
        <c:smooth val="0"/>
        <c:axId val="23823680"/>
        <c:axId val="458138752"/>
      </c:lineChart>
      <c:dateAx>
        <c:axId val="2382368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138752"/>
        <c:crosses val="autoZero"/>
        <c:auto val="1"/>
        <c:lblOffset val="100"/>
        <c:baseTimeUnit val="months"/>
      </c:dateAx>
      <c:valAx>
        <c:axId val="458138752"/>
        <c:scaling>
          <c:orientation val="minMax"/>
          <c:max val="17"/>
          <c:min val="1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8236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Grasmere Wean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'Grasmere Wean weight (5)'!$A$17</c:f>
              <c:strCache>
                <c:ptCount val="1"/>
                <c:pt idx="0">
                  <c:v>FY26</c:v>
                </c:pt>
              </c:strCache>
            </c:strRef>
          </c:tx>
          <c:spPr>
            <a:ln w="28575" cap="rnd">
              <a:solidFill>
                <a:schemeClr val="accent1"/>
              </a:solidFill>
              <a:round/>
            </a:ln>
            <a:effectLst/>
          </c:spPr>
          <c:marker>
            <c:symbol val="none"/>
          </c:marker>
          <c:cat>
            <c:numRef>
              <c:f>'Grasmere Wean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Wean weight (5)'!$B$17:$M$17</c:f>
              <c:numCache>
                <c:formatCode>General</c:formatCode>
                <c:ptCount val="12"/>
                <c:pt idx="0">
                  <c:v>7.62</c:v>
                </c:pt>
                <c:pt idx="1">
                  <c:v>7.6</c:v>
                </c:pt>
                <c:pt idx="2">
                  <c:v>7.3</c:v>
                </c:pt>
                <c:pt idx="3">
                  <c:v>7.4</c:v>
                </c:pt>
                <c:pt idx="4">
                  <c:v>7.25</c:v>
                </c:pt>
                <c:pt idx="5">
                  <c:v>7.36</c:v>
                </c:pt>
                <c:pt idx="6">
                  <c:v>7.03</c:v>
                </c:pt>
                <c:pt idx="7">
                  <c:v>6.95</c:v>
                </c:pt>
                <c:pt idx="8">
                  <c:v>7.16</c:v>
                </c:pt>
                <c:pt idx="9">
                  <c:v>7.11</c:v>
                </c:pt>
                <c:pt idx="10">
                  <c:v>7.14</c:v>
                </c:pt>
                <c:pt idx="11">
                  <c:v>7.44</c:v>
                </c:pt>
              </c:numCache>
            </c:numRef>
          </c:val>
          <c:smooth val="0"/>
          <c:extLst>
            <c:ext xmlns:c16="http://schemas.microsoft.com/office/drawing/2014/chart" uri="{C3380CC4-5D6E-409C-BE32-E72D297353CC}">
              <c16:uniqueId val="{00000000-CA41-4115-8132-05CBD11E8A65}"/>
            </c:ext>
          </c:extLst>
        </c:ser>
        <c:ser>
          <c:idx val="1"/>
          <c:order val="1"/>
          <c:tx>
            <c:strRef>
              <c:f>'Grasmere Wean weight (5)'!$A$18</c:f>
              <c:strCache>
                <c:ptCount val="1"/>
                <c:pt idx="0">
                  <c:v>PRIOR YEAR</c:v>
                </c:pt>
              </c:strCache>
            </c:strRef>
          </c:tx>
          <c:spPr>
            <a:ln w="28575" cap="rnd">
              <a:solidFill>
                <a:schemeClr val="accent2"/>
              </a:solidFill>
              <a:round/>
            </a:ln>
            <a:effectLst/>
          </c:spPr>
          <c:marker>
            <c:symbol val="none"/>
          </c:marker>
          <c:cat>
            <c:numRef>
              <c:f>'Grasmere Wean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Wean weight (5)'!$B$18:$M$18</c:f>
              <c:numCache>
                <c:formatCode>General</c:formatCode>
                <c:ptCount val="12"/>
                <c:pt idx="0">
                  <c:v>7.8</c:v>
                </c:pt>
                <c:pt idx="1">
                  <c:v>7.7</c:v>
                </c:pt>
                <c:pt idx="2">
                  <c:v>7.4</c:v>
                </c:pt>
                <c:pt idx="3">
                  <c:v>7.4</c:v>
                </c:pt>
                <c:pt idx="4">
                  <c:v>7.06</c:v>
                </c:pt>
                <c:pt idx="5">
                  <c:v>7.26</c:v>
                </c:pt>
                <c:pt idx="6">
                  <c:v>7.3000000000000007</c:v>
                </c:pt>
                <c:pt idx="7">
                  <c:v>7.3</c:v>
                </c:pt>
                <c:pt idx="8">
                  <c:v>7.3</c:v>
                </c:pt>
                <c:pt idx="9">
                  <c:v>7.2</c:v>
                </c:pt>
                <c:pt idx="10">
                  <c:v>7.5</c:v>
                </c:pt>
                <c:pt idx="11">
                  <c:v>7.6</c:v>
                </c:pt>
              </c:numCache>
            </c:numRef>
          </c:val>
          <c:smooth val="0"/>
          <c:extLst>
            <c:ext xmlns:c16="http://schemas.microsoft.com/office/drawing/2014/chart" uri="{C3380CC4-5D6E-409C-BE32-E72D297353CC}">
              <c16:uniqueId val="{00000001-CA41-4115-8132-05CBD11E8A65}"/>
            </c:ext>
          </c:extLst>
        </c:ser>
        <c:ser>
          <c:idx val="2"/>
          <c:order val="2"/>
          <c:tx>
            <c:strRef>
              <c:f>'Grasmere Wean weight (5)'!$A$19</c:f>
              <c:strCache>
                <c:ptCount val="1"/>
                <c:pt idx="0">
                  <c:v>TARGET</c:v>
                </c:pt>
              </c:strCache>
            </c:strRef>
          </c:tx>
          <c:spPr>
            <a:ln w="28575" cap="rnd">
              <a:solidFill>
                <a:schemeClr val="accent3"/>
              </a:solidFill>
              <a:round/>
            </a:ln>
            <a:effectLst/>
          </c:spPr>
          <c:marker>
            <c:symbol val="none"/>
          </c:marker>
          <c:cat>
            <c:numRef>
              <c:f>'Grasmere Wean weight (5)'!$B$16:$M$16</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Wean weight (5)'!$B$19:$M$19</c:f>
              <c:numCache>
                <c:formatCode>General</c:formatCode>
                <c:ptCount val="12"/>
                <c:pt idx="0">
                  <c:v>7.5</c:v>
                </c:pt>
                <c:pt idx="1">
                  <c:v>7.5</c:v>
                </c:pt>
                <c:pt idx="2">
                  <c:v>7.5</c:v>
                </c:pt>
                <c:pt idx="3">
                  <c:v>7.5</c:v>
                </c:pt>
                <c:pt idx="4">
                  <c:v>7.5</c:v>
                </c:pt>
                <c:pt idx="5">
                  <c:v>7.5</c:v>
                </c:pt>
                <c:pt idx="6">
                  <c:v>7.5</c:v>
                </c:pt>
                <c:pt idx="7">
                  <c:v>7.5</c:v>
                </c:pt>
                <c:pt idx="8">
                  <c:v>7.5</c:v>
                </c:pt>
                <c:pt idx="9">
                  <c:v>7.5</c:v>
                </c:pt>
                <c:pt idx="10">
                  <c:v>7.5</c:v>
                </c:pt>
                <c:pt idx="11">
                  <c:v>7.5</c:v>
                </c:pt>
              </c:numCache>
            </c:numRef>
          </c:val>
          <c:smooth val="0"/>
          <c:extLst>
            <c:ext xmlns:c16="http://schemas.microsoft.com/office/drawing/2014/chart" uri="{C3380CC4-5D6E-409C-BE32-E72D297353CC}">
              <c16:uniqueId val="{00000002-CA41-4115-8132-05CBD11E8A65}"/>
            </c:ext>
          </c:extLst>
        </c:ser>
        <c:dLbls>
          <c:showLegendKey val="0"/>
          <c:showVal val="0"/>
          <c:showCatName val="0"/>
          <c:showSerName val="0"/>
          <c:showPercent val="0"/>
          <c:showBubbleSize val="0"/>
        </c:dLbls>
        <c:smooth val="0"/>
        <c:axId val="618672192"/>
        <c:axId val="618671472"/>
      </c:lineChart>
      <c:dateAx>
        <c:axId val="61867219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671472"/>
        <c:crosses val="autoZero"/>
        <c:auto val="1"/>
        <c:lblOffset val="100"/>
        <c:baseTimeUnit val="months"/>
      </c:dateAx>
      <c:valAx>
        <c:axId val="618671472"/>
        <c:scaling>
          <c:orientation val="minMax"/>
          <c:max val="9"/>
          <c:min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6721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Grasmere total litter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'Grasmere total litter mass  (5)'!$A$22</c:f>
              <c:strCache>
                <c:ptCount val="1"/>
                <c:pt idx="0">
                  <c:v>FY26</c:v>
                </c:pt>
              </c:strCache>
            </c:strRef>
          </c:tx>
          <c:spPr>
            <a:ln w="28575" cap="rnd">
              <a:solidFill>
                <a:schemeClr val="accent1"/>
              </a:solidFill>
              <a:round/>
            </a:ln>
            <a:effectLst/>
          </c:spPr>
          <c:marker>
            <c:symbol val="none"/>
          </c:marker>
          <c:cat>
            <c:numRef>
              <c:f>'Grasmere total litter mass  (5)'!$B$21:$N$21</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total litter mass  (5)'!$B$22:$N$22</c:f>
              <c:numCache>
                <c:formatCode>0.0</c:formatCode>
                <c:ptCount val="13"/>
                <c:pt idx="0">
                  <c:v>96.62</c:v>
                </c:pt>
                <c:pt idx="1">
                  <c:v>102.5</c:v>
                </c:pt>
                <c:pt idx="2">
                  <c:v>98.2</c:v>
                </c:pt>
                <c:pt idx="3">
                  <c:v>102.4</c:v>
                </c:pt>
                <c:pt idx="4">
                  <c:v>100.3</c:v>
                </c:pt>
                <c:pt idx="5">
                  <c:v>98.46</c:v>
                </c:pt>
                <c:pt idx="6">
                  <c:v>98.95</c:v>
                </c:pt>
                <c:pt idx="7">
                  <c:v>97.18</c:v>
                </c:pt>
                <c:pt idx="8">
                  <c:v>99.93</c:v>
                </c:pt>
                <c:pt idx="9">
                  <c:v>98.73</c:v>
                </c:pt>
                <c:pt idx="10">
                  <c:v>99.58</c:v>
                </c:pt>
                <c:pt idx="11">
                  <c:v>102.72</c:v>
                </c:pt>
                <c:pt idx="12">
                  <c:v>99.630833333333342</c:v>
                </c:pt>
              </c:numCache>
            </c:numRef>
          </c:val>
          <c:smooth val="0"/>
          <c:extLst>
            <c:ext xmlns:c16="http://schemas.microsoft.com/office/drawing/2014/chart" uri="{C3380CC4-5D6E-409C-BE32-E72D297353CC}">
              <c16:uniqueId val="{00000000-9914-4594-B67F-505C76B4A703}"/>
            </c:ext>
          </c:extLst>
        </c:ser>
        <c:ser>
          <c:idx val="1"/>
          <c:order val="1"/>
          <c:tx>
            <c:strRef>
              <c:f>'Grasmere total litter mass  (5)'!$A$23</c:f>
              <c:strCache>
                <c:ptCount val="1"/>
                <c:pt idx="0">
                  <c:v>PRIOR</c:v>
                </c:pt>
              </c:strCache>
            </c:strRef>
          </c:tx>
          <c:spPr>
            <a:ln w="28575" cap="rnd">
              <a:solidFill>
                <a:schemeClr val="accent2"/>
              </a:solidFill>
              <a:round/>
            </a:ln>
            <a:effectLst/>
          </c:spPr>
          <c:marker>
            <c:symbol val="none"/>
          </c:marker>
          <c:cat>
            <c:numRef>
              <c:f>'Grasmere total litter mass  (5)'!$B$21:$N$21</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total litter mass  (5)'!$B$23:$N$23</c:f>
              <c:numCache>
                <c:formatCode>0.0</c:formatCode>
                <c:ptCount val="13"/>
                <c:pt idx="0">
                  <c:v>102.33</c:v>
                </c:pt>
                <c:pt idx="1">
                  <c:v>100</c:v>
                </c:pt>
                <c:pt idx="2">
                  <c:v>97.28</c:v>
                </c:pt>
                <c:pt idx="3">
                  <c:v>99.08</c:v>
                </c:pt>
                <c:pt idx="4">
                  <c:v>97.3</c:v>
                </c:pt>
                <c:pt idx="5">
                  <c:v>99.04</c:v>
                </c:pt>
                <c:pt idx="6">
                  <c:v>99.75</c:v>
                </c:pt>
                <c:pt idx="7">
                  <c:v>97.9</c:v>
                </c:pt>
                <c:pt idx="8" formatCode="General">
                  <c:v>95.92</c:v>
                </c:pt>
                <c:pt idx="9" formatCode="General">
                  <c:v>97.25</c:v>
                </c:pt>
                <c:pt idx="10" formatCode="General">
                  <c:v>98.98</c:v>
                </c:pt>
                <c:pt idx="11" formatCode="General">
                  <c:v>102.8</c:v>
                </c:pt>
                <c:pt idx="12">
                  <c:v>98.969166666666652</c:v>
                </c:pt>
              </c:numCache>
            </c:numRef>
          </c:val>
          <c:smooth val="0"/>
          <c:extLst>
            <c:ext xmlns:c16="http://schemas.microsoft.com/office/drawing/2014/chart" uri="{C3380CC4-5D6E-409C-BE32-E72D297353CC}">
              <c16:uniqueId val="{00000001-9914-4594-B67F-505C76B4A703}"/>
            </c:ext>
          </c:extLst>
        </c:ser>
        <c:ser>
          <c:idx val="2"/>
          <c:order val="2"/>
          <c:tx>
            <c:strRef>
              <c:f>'Grasmere total litter mass  (5)'!$A$24</c:f>
              <c:strCache>
                <c:ptCount val="1"/>
                <c:pt idx="0">
                  <c:v>TARGET</c:v>
                </c:pt>
              </c:strCache>
            </c:strRef>
          </c:tx>
          <c:spPr>
            <a:ln w="28575" cap="rnd">
              <a:solidFill>
                <a:schemeClr val="accent3"/>
              </a:solidFill>
              <a:round/>
            </a:ln>
            <a:effectLst/>
          </c:spPr>
          <c:marker>
            <c:symbol val="none"/>
          </c:marker>
          <c:cat>
            <c:numRef>
              <c:f>'Grasmere total litter mass  (5)'!$B$21:$N$21</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total litter mass  (5)'!$B$24:$N$24</c:f>
              <c:numCache>
                <c:formatCode>General</c:formatCode>
                <c:ptCount val="13"/>
                <c:pt idx="0">
                  <c:v>100</c:v>
                </c:pt>
                <c:pt idx="1">
                  <c:v>100</c:v>
                </c:pt>
                <c:pt idx="2">
                  <c:v>100</c:v>
                </c:pt>
                <c:pt idx="3">
                  <c:v>100</c:v>
                </c:pt>
                <c:pt idx="4">
                  <c:v>100</c:v>
                </c:pt>
                <c:pt idx="5">
                  <c:v>100</c:v>
                </c:pt>
                <c:pt idx="6">
                  <c:v>100</c:v>
                </c:pt>
                <c:pt idx="7">
                  <c:v>100</c:v>
                </c:pt>
                <c:pt idx="8">
                  <c:v>100</c:v>
                </c:pt>
                <c:pt idx="9">
                  <c:v>100</c:v>
                </c:pt>
                <c:pt idx="10">
                  <c:v>100</c:v>
                </c:pt>
                <c:pt idx="11">
                  <c:v>100</c:v>
                </c:pt>
                <c:pt idx="12" formatCode="0.0">
                  <c:v>100</c:v>
                </c:pt>
              </c:numCache>
            </c:numRef>
          </c:val>
          <c:smooth val="0"/>
          <c:extLst>
            <c:ext xmlns:c16="http://schemas.microsoft.com/office/drawing/2014/chart" uri="{C3380CC4-5D6E-409C-BE32-E72D297353CC}">
              <c16:uniqueId val="{00000002-9914-4594-B67F-505C76B4A703}"/>
            </c:ext>
          </c:extLst>
        </c:ser>
        <c:dLbls>
          <c:showLegendKey val="0"/>
          <c:showVal val="0"/>
          <c:showCatName val="0"/>
          <c:showSerName val="0"/>
          <c:showPercent val="0"/>
          <c:showBubbleSize val="0"/>
        </c:dLbls>
        <c:smooth val="0"/>
        <c:axId val="1309465727"/>
        <c:axId val="1258031935"/>
      </c:lineChart>
      <c:dateAx>
        <c:axId val="130946572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58031935"/>
        <c:crosses val="autoZero"/>
        <c:auto val="1"/>
        <c:lblOffset val="100"/>
        <c:baseTimeUnit val="months"/>
      </c:dateAx>
      <c:valAx>
        <c:axId val="1258031935"/>
        <c:scaling>
          <c:orientation val="minMax"/>
          <c:max val="130"/>
          <c:min val="8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094657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Grasmere 70 day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'Grasmere 70 day weight (5)'!$A$20</c:f>
              <c:strCache>
                <c:ptCount val="1"/>
                <c:pt idx="0">
                  <c:v>FY26</c:v>
                </c:pt>
              </c:strCache>
            </c:strRef>
          </c:tx>
          <c:spPr>
            <a:ln w="28575" cap="rnd">
              <a:solidFill>
                <a:schemeClr val="accent1"/>
              </a:solidFill>
              <a:round/>
            </a:ln>
            <a:effectLst/>
          </c:spPr>
          <c:marker>
            <c:symbol val="none"/>
          </c:marker>
          <c:cat>
            <c:numRef>
              <c:f>'Grasmere 70 day weight (5)'!$B$19:$N$19</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70 day weight (5)'!$B$20:$N$20</c:f>
              <c:numCache>
                <c:formatCode>General</c:formatCode>
                <c:ptCount val="13"/>
                <c:pt idx="0">
                  <c:v>27.77</c:v>
                </c:pt>
                <c:pt idx="1">
                  <c:v>28.68</c:v>
                </c:pt>
                <c:pt idx="2">
                  <c:v>28.21</c:v>
                </c:pt>
                <c:pt idx="3">
                  <c:v>28.16</c:v>
                </c:pt>
                <c:pt idx="4">
                  <c:v>28.31</c:v>
                </c:pt>
                <c:pt idx="5">
                  <c:v>28.03</c:v>
                </c:pt>
                <c:pt idx="6">
                  <c:v>28.51</c:v>
                </c:pt>
                <c:pt idx="7">
                  <c:v>27.81</c:v>
                </c:pt>
                <c:pt idx="8">
                  <c:v>28.72</c:v>
                </c:pt>
                <c:pt idx="9">
                  <c:v>29.04</c:v>
                </c:pt>
                <c:pt idx="10">
                  <c:v>29.15</c:v>
                </c:pt>
                <c:pt idx="11">
                  <c:v>28.79</c:v>
                </c:pt>
                <c:pt idx="12" formatCode="0.0">
                  <c:v>28.431666666666668</c:v>
                </c:pt>
              </c:numCache>
            </c:numRef>
          </c:val>
          <c:smooth val="0"/>
          <c:extLst>
            <c:ext xmlns:c16="http://schemas.microsoft.com/office/drawing/2014/chart" uri="{C3380CC4-5D6E-409C-BE32-E72D297353CC}">
              <c16:uniqueId val="{00000000-3C12-4673-B176-AE94A3AD645E}"/>
            </c:ext>
          </c:extLst>
        </c:ser>
        <c:ser>
          <c:idx val="1"/>
          <c:order val="1"/>
          <c:tx>
            <c:strRef>
              <c:f>'Grasmere 70 day weight (5)'!$A$21</c:f>
              <c:strCache>
                <c:ptCount val="1"/>
                <c:pt idx="0">
                  <c:v>PRIOR YEAR</c:v>
                </c:pt>
              </c:strCache>
            </c:strRef>
          </c:tx>
          <c:spPr>
            <a:ln w="28575" cap="rnd">
              <a:solidFill>
                <a:schemeClr val="accent2"/>
              </a:solidFill>
              <a:round/>
            </a:ln>
            <a:effectLst/>
          </c:spPr>
          <c:marker>
            <c:symbol val="none"/>
          </c:marker>
          <c:cat>
            <c:numRef>
              <c:f>'Grasmere 70 day weight (5)'!$B$19:$N$19</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70 day weight (5)'!$B$21:$N$21</c:f>
              <c:numCache>
                <c:formatCode>0.0</c:formatCode>
                <c:ptCount val="13"/>
                <c:pt idx="0">
                  <c:v>29.38</c:v>
                </c:pt>
                <c:pt idx="1">
                  <c:v>29.17</c:v>
                </c:pt>
                <c:pt idx="2">
                  <c:v>29.3</c:v>
                </c:pt>
                <c:pt idx="3">
                  <c:v>28.85</c:v>
                </c:pt>
                <c:pt idx="4">
                  <c:v>28.99</c:v>
                </c:pt>
                <c:pt idx="5">
                  <c:v>26.89</c:v>
                </c:pt>
                <c:pt idx="6">
                  <c:v>26.81</c:v>
                </c:pt>
                <c:pt idx="7">
                  <c:v>26.95</c:v>
                </c:pt>
                <c:pt idx="8">
                  <c:v>27.22</c:v>
                </c:pt>
                <c:pt idx="9">
                  <c:v>27.36</c:v>
                </c:pt>
                <c:pt idx="10">
                  <c:v>27.33</c:v>
                </c:pt>
                <c:pt idx="11">
                  <c:v>27.09</c:v>
                </c:pt>
                <c:pt idx="12">
                  <c:v>27.944999999999993</c:v>
                </c:pt>
              </c:numCache>
            </c:numRef>
          </c:val>
          <c:smooth val="0"/>
          <c:extLst>
            <c:ext xmlns:c16="http://schemas.microsoft.com/office/drawing/2014/chart" uri="{C3380CC4-5D6E-409C-BE32-E72D297353CC}">
              <c16:uniqueId val="{00000001-3C12-4673-B176-AE94A3AD645E}"/>
            </c:ext>
          </c:extLst>
        </c:ser>
        <c:ser>
          <c:idx val="2"/>
          <c:order val="2"/>
          <c:tx>
            <c:strRef>
              <c:f>'Grasmere 70 day weight (5)'!$A$22</c:f>
              <c:strCache>
                <c:ptCount val="1"/>
                <c:pt idx="0">
                  <c:v>TARGET</c:v>
                </c:pt>
              </c:strCache>
            </c:strRef>
          </c:tx>
          <c:spPr>
            <a:ln w="28575" cap="rnd">
              <a:solidFill>
                <a:schemeClr val="accent3"/>
              </a:solidFill>
              <a:round/>
            </a:ln>
            <a:effectLst/>
          </c:spPr>
          <c:marker>
            <c:symbol val="none"/>
          </c:marker>
          <c:cat>
            <c:numRef>
              <c:f>'Grasmere 70 day weight (5)'!$B$19:$N$19</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'Grasmere 70 day weight (5)'!$B$22:$N$22</c:f>
              <c:numCache>
                <c:formatCode>General</c:formatCode>
                <c:ptCount val="13"/>
                <c:pt idx="0">
                  <c:v>29</c:v>
                </c:pt>
                <c:pt idx="1">
                  <c:v>29</c:v>
                </c:pt>
                <c:pt idx="2">
                  <c:v>29</c:v>
                </c:pt>
                <c:pt idx="3">
                  <c:v>29</c:v>
                </c:pt>
                <c:pt idx="4">
                  <c:v>29</c:v>
                </c:pt>
                <c:pt idx="5">
                  <c:v>29</c:v>
                </c:pt>
                <c:pt idx="6">
                  <c:v>29</c:v>
                </c:pt>
                <c:pt idx="7">
                  <c:v>29</c:v>
                </c:pt>
                <c:pt idx="8">
                  <c:v>29</c:v>
                </c:pt>
                <c:pt idx="9">
                  <c:v>29</c:v>
                </c:pt>
                <c:pt idx="10">
                  <c:v>29</c:v>
                </c:pt>
                <c:pt idx="11">
                  <c:v>29</c:v>
                </c:pt>
                <c:pt idx="12" formatCode="0.0">
                  <c:v>29</c:v>
                </c:pt>
              </c:numCache>
            </c:numRef>
          </c:val>
          <c:smooth val="0"/>
          <c:extLst>
            <c:ext xmlns:c16="http://schemas.microsoft.com/office/drawing/2014/chart" uri="{C3380CC4-5D6E-409C-BE32-E72D297353CC}">
              <c16:uniqueId val="{00000002-3C12-4673-B176-AE94A3AD645E}"/>
            </c:ext>
          </c:extLst>
        </c:ser>
        <c:dLbls>
          <c:showLegendKey val="0"/>
          <c:showVal val="0"/>
          <c:showCatName val="0"/>
          <c:showSerName val="0"/>
          <c:showPercent val="0"/>
          <c:showBubbleSize val="0"/>
        </c:dLbls>
        <c:smooth val="0"/>
        <c:axId val="618681912"/>
        <c:axId val="618673632"/>
      </c:lineChart>
      <c:dateAx>
        <c:axId val="6186819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673632"/>
        <c:crosses val="autoZero"/>
        <c:auto val="1"/>
        <c:lblOffset val="100"/>
        <c:baseTimeUnit val="months"/>
      </c:dateAx>
      <c:valAx>
        <c:axId val="618673632"/>
        <c:scaling>
          <c:orientation val="minMax"/>
          <c:max val="31"/>
          <c:min val="2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681912"/>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Grasmere 70 day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'Grasmere 70 day gain (5)'!$A$20</c:f>
              <c:strCache>
                <c:ptCount val="1"/>
                <c:pt idx="0">
                  <c:v>FY26</c:v>
                </c:pt>
              </c:strCache>
            </c:strRef>
          </c:tx>
          <c:spPr>
            <a:ln w="28575" cap="rnd">
              <a:solidFill>
                <a:schemeClr val="accent1"/>
              </a:solidFill>
              <a:round/>
            </a:ln>
            <a:effectLst/>
          </c:spPr>
          <c:marker>
            <c:symbol val="none"/>
          </c:marker>
          <c:cat>
            <c:numRef>
              <c:f>'Grasmere 70 day gain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70 day gain (5)'!$B$20:$N$20</c:f>
              <c:numCache>
                <c:formatCode>General</c:formatCode>
                <c:ptCount val="13"/>
                <c:pt idx="0">
                  <c:v>20.239999999999998</c:v>
                </c:pt>
                <c:pt idx="1">
                  <c:v>21</c:v>
                </c:pt>
                <c:pt idx="2">
                  <c:v>20.71</c:v>
                </c:pt>
                <c:pt idx="3">
                  <c:v>20.68</c:v>
                </c:pt>
                <c:pt idx="4">
                  <c:v>20.93</c:v>
                </c:pt>
                <c:pt idx="5">
                  <c:v>20.77</c:v>
                </c:pt>
                <c:pt idx="6">
                  <c:v>21.12</c:v>
                </c:pt>
                <c:pt idx="7">
                  <c:v>20.74</c:v>
                </c:pt>
                <c:pt idx="8">
                  <c:v>21.77</c:v>
                </c:pt>
                <c:pt idx="9">
                  <c:v>21.82</c:v>
                </c:pt>
                <c:pt idx="10">
                  <c:v>21.81</c:v>
                </c:pt>
                <c:pt idx="11">
                  <c:v>21.54</c:v>
                </c:pt>
                <c:pt idx="12" formatCode="0.0">
                  <c:v>21.094166666666666</c:v>
                </c:pt>
              </c:numCache>
            </c:numRef>
          </c:val>
          <c:smooth val="0"/>
          <c:extLst>
            <c:ext xmlns:c16="http://schemas.microsoft.com/office/drawing/2014/chart" uri="{C3380CC4-5D6E-409C-BE32-E72D297353CC}">
              <c16:uniqueId val="{00000000-93FD-4C46-AE4D-A97734B7C7C5}"/>
            </c:ext>
          </c:extLst>
        </c:ser>
        <c:ser>
          <c:idx val="1"/>
          <c:order val="1"/>
          <c:tx>
            <c:strRef>
              <c:f>'Grasmere 70 day gain (5)'!$A$21</c:f>
              <c:strCache>
                <c:ptCount val="1"/>
                <c:pt idx="0">
                  <c:v>PRIOR YEAR</c:v>
                </c:pt>
              </c:strCache>
            </c:strRef>
          </c:tx>
          <c:spPr>
            <a:ln w="28575" cap="rnd">
              <a:solidFill>
                <a:schemeClr val="accent2"/>
              </a:solidFill>
              <a:round/>
            </a:ln>
            <a:effectLst/>
          </c:spPr>
          <c:marker>
            <c:symbol val="none"/>
          </c:marker>
          <c:cat>
            <c:numRef>
              <c:f>'Grasmere 70 day gain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70 day gain (5)'!$B$21:$N$21</c:f>
              <c:numCache>
                <c:formatCode>General</c:formatCode>
                <c:ptCount val="13"/>
                <c:pt idx="0">
                  <c:v>21.76</c:v>
                </c:pt>
                <c:pt idx="1">
                  <c:v>21.26</c:v>
                </c:pt>
                <c:pt idx="2">
                  <c:v>21.41</c:v>
                </c:pt>
                <c:pt idx="3">
                  <c:v>21.51</c:v>
                </c:pt>
                <c:pt idx="4">
                  <c:v>21.56</c:v>
                </c:pt>
                <c:pt idx="5">
                  <c:v>19.670000000000002</c:v>
                </c:pt>
                <c:pt idx="6">
                  <c:v>19.45</c:v>
                </c:pt>
                <c:pt idx="7">
                  <c:v>19.59</c:v>
                </c:pt>
                <c:pt idx="8">
                  <c:v>19.93</c:v>
                </c:pt>
                <c:pt idx="9">
                  <c:v>20.18</c:v>
                </c:pt>
                <c:pt idx="10">
                  <c:v>20.170000000000002</c:v>
                </c:pt>
                <c:pt idx="11">
                  <c:v>19.79</c:v>
                </c:pt>
                <c:pt idx="12" formatCode="0.0">
                  <c:v>20.523333333333333</c:v>
                </c:pt>
              </c:numCache>
            </c:numRef>
          </c:val>
          <c:smooth val="0"/>
          <c:extLst>
            <c:ext xmlns:c16="http://schemas.microsoft.com/office/drawing/2014/chart" uri="{C3380CC4-5D6E-409C-BE32-E72D297353CC}">
              <c16:uniqueId val="{00000001-93FD-4C46-AE4D-A97734B7C7C5}"/>
            </c:ext>
          </c:extLst>
        </c:ser>
        <c:ser>
          <c:idx val="2"/>
          <c:order val="2"/>
          <c:tx>
            <c:strRef>
              <c:f>'Grasmere 70 day gain (5)'!$A$22</c:f>
              <c:strCache>
                <c:ptCount val="1"/>
                <c:pt idx="0">
                  <c:v>TARGET</c:v>
                </c:pt>
              </c:strCache>
            </c:strRef>
          </c:tx>
          <c:spPr>
            <a:ln w="28575" cap="rnd">
              <a:solidFill>
                <a:schemeClr val="accent3"/>
              </a:solidFill>
              <a:round/>
            </a:ln>
            <a:effectLst/>
          </c:spPr>
          <c:marker>
            <c:symbol val="none"/>
          </c:marker>
          <c:cat>
            <c:numRef>
              <c:f>'Grasmere 70 day gain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70 day gain (5)'!$B$22:$N$22</c:f>
              <c:numCache>
                <c:formatCode>General</c:formatCode>
                <c:ptCount val="13"/>
                <c:pt idx="0">
                  <c:v>21.5</c:v>
                </c:pt>
                <c:pt idx="1">
                  <c:v>21.5</c:v>
                </c:pt>
                <c:pt idx="2">
                  <c:v>21.5</c:v>
                </c:pt>
                <c:pt idx="3">
                  <c:v>21.5</c:v>
                </c:pt>
                <c:pt idx="4">
                  <c:v>21.5</c:v>
                </c:pt>
                <c:pt idx="5">
                  <c:v>21.5</c:v>
                </c:pt>
                <c:pt idx="6">
                  <c:v>21.5</c:v>
                </c:pt>
                <c:pt idx="7">
                  <c:v>21.5</c:v>
                </c:pt>
                <c:pt idx="8">
                  <c:v>21.5</c:v>
                </c:pt>
                <c:pt idx="9">
                  <c:v>21.5</c:v>
                </c:pt>
                <c:pt idx="10">
                  <c:v>21.5</c:v>
                </c:pt>
                <c:pt idx="11">
                  <c:v>21.5</c:v>
                </c:pt>
                <c:pt idx="12" formatCode="0.0">
                  <c:v>21.5</c:v>
                </c:pt>
              </c:numCache>
            </c:numRef>
          </c:val>
          <c:smooth val="0"/>
          <c:extLst>
            <c:ext xmlns:c16="http://schemas.microsoft.com/office/drawing/2014/chart" uri="{C3380CC4-5D6E-409C-BE32-E72D297353CC}">
              <c16:uniqueId val="{00000002-93FD-4C46-AE4D-A97734B7C7C5}"/>
            </c:ext>
          </c:extLst>
        </c:ser>
        <c:dLbls>
          <c:showLegendKey val="0"/>
          <c:showVal val="0"/>
          <c:showCatName val="0"/>
          <c:showSerName val="0"/>
          <c:showPercent val="0"/>
          <c:showBubbleSize val="0"/>
        </c:dLbls>
        <c:smooth val="0"/>
        <c:axId val="2026058767"/>
        <c:axId val="1858788975"/>
      </c:lineChart>
      <c:dateAx>
        <c:axId val="202605876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8788975"/>
        <c:crosses val="autoZero"/>
        <c:auto val="1"/>
        <c:lblOffset val="100"/>
        <c:baseTimeUnit val="months"/>
      </c:dateAx>
      <c:valAx>
        <c:axId val="1858788975"/>
        <c:scaling>
          <c:orientation val="minMax"/>
          <c:min val="1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6058767"/>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Grasmere TN70 W/S/Y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'Grasmere WSY (5)'!$A$20</c:f>
              <c:strCache>
                <c:ptCount val="1"/>
                <c:pt idx="0">
                  <c:v>TN70</c:v>
                </c:pt>
              </c:strCache>
            </c:strRef>
          </c:tx>
          <c:spPr>
            <a:ln w="28575" cap="rnd">
              <a:solidFill>
                <a:schemeClr val="accent1"/>
              </a:solidFill>
              <a:round/>
            </a:ln>
            <a:effectLst/>
          </c:spPr>
          <c:marker>
            <c:symbol val="none"/>
          </c:marker>
          <c:cat>
            <c:numRef>
              <c:f>'Grasmere WSY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WSY (5)'!$B$20:$N$20</c:f>
              <c:numCache>
                <c:formatCode>General</c:formatCode>
                <c:ptCount val="13"/>
                <c:pt idx="0">
                  <c:v>30.8</c:v>
                </c:pt>
                <c:pt idx="1">
                  <c:v>33.1</c:v>
                </c:pt>
                <c:pt idx="2">
                  <c:v>32.799999999999997</c:v>
                </c:pt>
                <c:pt idx="3">
                  <c:v>33.5</c:v>
                </c:pt>
                <c:pt idx="4">
                  <c:v>33.4</c:v>
                </c:pt>
                <c:pt idx="5">
                  <c:v>33</c:v>
                </c:pt>
                <c:pt idx="6">
                  <c:v>33.200000000000003</c:v>
                </c:pt>
                <c:pt idx="7">
                  <c:v>35.200000000000003</c:v>
                </c:pt>
                <c:pt idx="8">
                  <c:v>33.1</c:v>
                </c:pt>
                <c:pt idx="9">
                  <c:v>34.299999999999997</c:v>
                </c:pt>
                <c:pt idx="10">
                  <c:v>32.9</c:v>
                </c:pt>
                <c:pt idx="11">
                  <c:v>33.4</c:v>
                </c:pt>
                <c:pt idx="12" formatCode="0.0">
                  <c:v>33.225000000000001</c:v>
                </c:pt>
              </c:numCache>
            </c:numRef>
          </c:val>
          <c:smooth val="0"/>
          <c:extLst>
            <c:ext xmlns:c16="http://schemas.microsoft.com/office/drawing/2014/chart" uri="{C3380CC4-5D6E-409C-BE32-E72D297353CC}">
              <c16:uniqueId val="{00000000-D5C2-458A-AAF6-398CB9592963}"/>
            </c:ext>
          </c:extLst>
        </c:ser>
        <c:ser>
          <c:idx val="1"/>
          <c:order val="1"/>
          <c:tx>
            <c:strRef>
              <c:f>'Grasmere WSY (5)'!$A$21</c:f>
              <c:strCache>
                <c:ptCount val="1"/>
                <c:pt idx="0">
                  <c:v>PRIOR YEAR</c:v>
                </c:pt>
              </c:strCache>
            </c:strRef>
          </c:tx>
          <c:spPr>
            <a:ln w="28575" cap="rnd">
              <a:solidFill>
                <a:schemeClr val="accent2"/>
              </a:solidFill>
              <a:round/>
            </a:ln>
            <a:effectLst/>
          </c:spPr>
          <c:marker>
            <c:symbol val="none"/>
          </c:marker>
          <c:cat>
            <c:numRef>
              <c:f>'Grasmere WSY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WSY (5)'!$B$21:$N$21</c:f>
              <c:numCache>
                <c:formatCode>General</c:formatCode>
                <c:ptCount val="13"/>
                <c:pt idx="0">
                  <c:v>31.6</c:v>
                </c:pt>
                <c:pt idx="1">
                  <c:v>31.6</c:v>
                </c:pt>
                <c:pt idx="2">
                  <c:v>32.5</c:v>
                </c:pt>
                <c:pt idx="3">
                  <c:v>32.6</c:v>
                </c:pt>
                <c:pt idx="4">
                  <c:v>32.700000000000003</c:v>
                </c:pt>
                <c:pt idx="5">
                  <c:v>32.5</c:v>
                </c:pt>
                <c:pt idx="6">
                  <c:v>32.799999999999997</c:v>
                </c:pt>
                <c:pt idx="7">
                  <c:v>32.299999999999997</c:v>
                </c:pt>
                <c:pt idx="8">
                  <c:v>32.6</c:v>
                </c:pt>
                <c:pt idx="9">
                  <c:v>32.6</c:v>
                </c:pt>
                <c:pt idx="10">
                  <c:v>33.1</c:v>
                </c:pt>
                <c:pt idx="11">
                  <c:v>32.200000000000003</c:v>
                </c:pt>
                <c:pt idx="12" formatCode="0.0">
                  <c:v>32.425000000000004</c:v>
                </c:pt>
              </c:numCache>
            </c:numRef>
          </c:val>
          <c:smooth val="0"/>
          <c:extLst>
            <c:ext xmlns:c16="http://schemas.microsoft.com/office/drawing/2014/chart" uri="{C3380CC4-5D6E-409C-BE32-E72D297353CC}">
              <c16:uniqueId val="{00000001-D5C2-458A-AAF6-398CB9592963}"/>
            </c:ext>
          </c:extLst>
        </c:ser>
        <c:ser>
          <c:idx val="2"/>
          <c:order val="2"/>
          <c:tx>
            <c:strRef>
              <c:f>'Grasmere WSY (5)'!$A$22</c:f>
              <c:strCache>
                <c:ptCount val="1"/>
                <c:pt idx="0">
                  <c:v>TARGET</c:v>
                </c:pt>
              </c:strCache>
            </c:strRef>
          </c:tx>
          <c:spPr>
            <a:ln w="28575" cap="rnd">
              <a:solidFill>
                <a:schemeClr val="accent3"/>
              </a:solidFill>
              <a:round/>
            </a:ln>
            <a:effectLst/>
          </c:spPr>
          <c:marker>
            <c:symbol val="none"/>
          </c:marker>
          <c:cat>
            <c:numRef>
              <c:f>'Grasmere WSY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'Grasmere WSY (5)'!$B$22:$N$22</c:f>
              <c:numCache>
                <c:formatCode>General</c:formatCode>
                <c:ptCount val="13"/>
                <c:pt idx="0">
                  <c:v>33</c:v>
                </c:pt>
                <c:pt idx="1">
                  <c:v>33</c:v>
                </c:pt>
                <c:pt idx="2">
                  <c:v>33</c:v>
                </c:pt>
                <c:pt idx="3">
                  <c:v>33</c:v>
                </c:pt>
                <c:pt idx="4">
                  <c:v>33</c:v>
                </c:pt>
                <c:pt idx="5">
                  <c:v>33</c:v>
                </c:pt>
                <c:pt idx="6">
                  <c:v>33</c:v>
                </c:pt>
                <c:pt idx="7">
                  <c:v>33</c:v>
                </c:pt>
                <c:pt idx="8">
                  <c:v>33</c:v>
                </c:pt>
                <c:pt idx="9">
                  <c:v>33</c:v>
                </c:pt>
                <c:pt idx="10">
                  <c:v>33</c:v>
                </c:pt>
                <c:pt idx="11">
                  <c:v>33</c:v>
                </c:pt>
                <c:pt idx="12" formatCode="0.0">
                  <c:v>33</c:v>
                </c:pt>
              </c:numCache>
            </c:numRef>
          </c:val>
          <c:smooth val="0"/>
          <c:extLst>
            <c:ext xmlns:c16="http://schemas.microsoft.com/office/drawing/2014/chart" uri="{C3380CC4-5D6E-409C-BE32-E72D297353CC}">
              <c16:uniqueId val="{00000002-D5C2-458A-AAF6-398CB9592963}"/>
            </c:ext>
          </c:extLst>
        </c:ser>
        <c:dLbls>
          <c:showLegendKey val="0"/>
          <c:showVal val="0"/>
          <c:showCatName val="0"/>
          <c:showSerName val="0"/>
          <c:showPercent val="0"/>
          <c:showBubbleSize val="0"/>
        </c:dLbls>
        <c:smooth val="0"/>
        <c:axId val="503861808"/>
        <c:axId val="393674272"/>
      </c:lineChart>
      <c:dateAx>
        <c:axId val="50386180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93674272"/>
        <c:crosses val="autoZero"/>
        <c:auto val="1"/>
        <c:lblOffset val="100"/>
        <c:baseTimeUnit val="months"/>
      </c:dateAx>
      <c:valAx>
        <c:axId val="393674272"/>
        <c:scaling>
          <c:orientation val="minMax"/>
          <c:max val="38"/>
          <c:min val="2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3861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Richlands Avg CDM to colcom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'Richlands Avg CDM over budg (7)'!$A$18</c:f>
              <c:strCache>
                <c:ptCount val="1"/>
                <c:pt idx="0">
                  <c:v>FY26</c:v>
                </c:pt>
              </c:strCache>
            </c:strRef>
          </c:tx>
          <c:spPr>
            <a:ln w="28575" cap="rnd">
              <a:solidFill>
                <a:schemeClr val="accent1"/>
              </a:solidFill>
              <a:round/>
            </a:ln>
            <a:effectLst/>
          </c:spPr>
          <c:marker>
            <c:symbol val="none"/>
          </c:marker>
          <c:cat>
            <c:numRef>
              <c:f>'Richlands Avg CDM over budg (7)'!$B$17:$M$17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Avg CDM over budg (7)'!$B$18:$M$18</c:f>
              <c:numCache>
                <c:formatCode>_-* #,##0.00_-;\-* #,##0.00_-;_-* "-"??_-;_-@_-</c:formatCode>
                <c:ptCount val="12"/>
                <c:pt idx="0">
                  <c:v>91.902397260273972</c:v>
                </c:pt>
                <c:pt idx="1">
                  <c:v>93.897784491440078</c:v>
                </c:pt>
                <c:pt idx="2">
                  <c:v>92.361740493923961</c:v>
                </c:pt>
                <c:pt idx="3">
                  <c:v>90.936411736411742</c:v>
                </c:pt>
                <c:pt idx="4">
                  <c:v>90.423282254078117</c:v>
                </c:pt>
                <c:pt idx="5">
                  <c:v>89.066889763779528</c:v>
                </c:pt>
                <c:pt idx="6">
                  <c:v>89.810581506196385</c:v>
                </c:pt>
                <c:pt idx="7">
                  <c:v>89.580375180375185</c:v>
                </c:pt>
                <c:pt idx="8">
                  <c:v>86.185586231624242</c:v>
                </c:pt>
                <c:pt idx="9">
                  <c:v>90.566978346456693</c:v>
                </c:pt>
                <c:pt idx="10">
                  <c:v>87.94496826835902</c:v>
                </c:pt>
                <c:pt idx="11">
                  <c:v>91.390674673260335</c:v>
                </c:pt>
              </c:numCache>
            </c:numRef>
          </c:val>
          <c:smooth val="0"/>
          <c:extLst>
            <c:ext xmlns:c16="http://schemas.microsoft.com/office/drawing/2014/chart" uri="{C3380CC4-5D6E-409C-BE32-E72D297353CC}">
              <c16:uniqueId val="{00000000-8744-4E41-92B7-AD57D64F9262}"/>
            </c:ext>
          </c:extLst>
        </c:ser>
        <c:ser>
          <c:idx val="1"/>
          <c:order val="1"/>
          <c:tx>
            <c:strRef>
              <c:f>'Richlands Avg CDM over budg (7)'!$A$19</c:f>
              <c:strCache>
                <c:ptCount val="1"/>
                <c:pt idx="0">
                  <c:v>PRIOR YEAR</c:v>
                </c:pt>
              </c:strCache>
            </c:strRef>
          </c:tx>
          <c:spPr>
            <a:ln w="28575" cap="rnd">
              <a:solidFill>
                <a:schemeClr val="accent2"/>
              </a:solidFill>
              <a:round/>
            </a:ln>
            <a:effectLst/>
          </c:spPr>
          <c:marker>
            <c:symbol val="none"/>
          </c:marker>
          <c:cat>
            <c:numRef>
              <c:f>'Richlands Avg CDM over budg (7)'!$B$17:$M$17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Avg CDM over budg (7)'!$B$19:$M$19</c:f>
              <c:numCache>
                <c:formatCode>_-* #,##0.00_-;\-* #,##0.00_-;_-* "-"??_-;_-@_-</c:formatCode>
                <c:ptCount val="12"/>
                <c:pt idx="0">
                  <c:v>90.99419619928095</c:v>
                </c:pt>
                <c:pt idx="1">
                  <c:v>95.463095238095235</c:v>
                </c:pt>
                <c:pt idx="2">
                  <c:v>93.946836363636365</c:v>
                </c:pt>
                <c:pt idx="3">
                  <c:v>95.789555880917533</c:v>
                </c:pt>
                <c:pt idx="4">
                  <c:v>92.643467702768334</c:v>
                </c:pt>
                <c:pt idx="5">
                  <c:v>89.455454545454558</c:v>
                </c:pt>
                <c:pt idx="6">
                  <c:v>96.641706349206345</c:v>
                </c:pt>
                <c:pt idx="7">
                  <c:v>93.94070208728651</c:v>
                </c:pt>
                <c:pt idx="8">
                  <c:v>89.452394881170022</c:v>
                </c:pt>
                <c:pt idx="9">
                  <c:v>89.748077296562442</c:v>
                </c:pt>
                <c:pt idx="10">
                  <c:v>89.168285939968413</c:v>
                </c:pt>
                <c:pt idx="11">
                  <c:v>91.447388486465883</c:v>
                </c:pt>
              </c:numCache>
            </c:numRef>
          </c:val>
          <c:smooth val="0"/>
          <c:extLst>
            <c:ext xmlns:c16="http://schemas.microsoft.com/office/drawing/2014/chart" uri="{C3380CC4-5D6E-409C-BE32-E72D297353CC}">
              <c16:uniqueId val="{00000001-8744-4E41-92B7-AD57D64F9262}"/>
            </c:ext>
          </c:extLst>
        </c:ser>
        <c:ser>
          <c:idx val="2"/>
          <c:order val="2"/>
          <c:tx>
            <c:strRef>
              <c:f>'Richlands Avg CDM over budg (7)'!$A$20</c:f>
              <c:strCache>
                <c:ptCount val="1"/>
                <c:pt idx="0">
                  <c:v>TARGET</c:v>
                </c:pt>
              </c:strCache>
            </c:strRef>
          </c:tx>
          <c:spPr>
            <a:ln w="28575" cap="rnd">
              <a:solidFill>
                <a:schemeClr val="accent3"/>
              </a:solidFill>
              <a:round/>
            </a:ln>
            <a:effectLst/>
          </c:spPr>
          <c:marker>
            <c:symbol val="none"/>
          </c:marker>
          <c:cat>
            <c:numRef>
              <c:f>'Richlands Avg CDM over budg (7)'!$B$17:$M$17</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Avg CDM over budg (7)'!$B$20:$M$20</c:f>
              <c:numCache>
                <c:formatCode>_-* #,##0.00_-;\-* #,##0.00_-;_-* "-"??_-;_-@_-</c:formatCode>
                <c:ptCount val="12"/>
                <c:pt idx="0">
                  <c:v>92.185536062502891</c:v>
                </c:pt>
                <c:pt idx="1">
                  <c:v>92.308026024756202</c:v>
                </c:pt>
                <c:pt idx="2">
                  <c:v>89.30387903184851</c:v>
                </c:pt>
                <c:pt idx="3">
                  <c:v>89.304634166550443</c:v>
                </c:pt>
                <c:pt idx="4">
                  <c:v>89.304632487264684</c:v>
                </c:pt>
                <c:pt idx="5">
                  <c:v>89.30443683987086</c:v>
                </c:pt>
                <c:pt idx="6">
                  <c:v>89.304860070594813</c:v>
                </c:pt>
                <c:pt idx="7">
                  <c:v>89.33085228233935</c:v>
                </c:pt>
                <c:pt idx="8">
                  <c:v>89.357735860980057</c:v>
                </c:pt>
                <c:pt idx="9">
                  <c:v>92.308062597773471</c:v>
                </c:pt>
                <c:pt idx="10">
                  <c:v>92.308062597773471</c:v>
                </c:pt>
                <c:pt idx="11">
                  <c:v>92.307552785590474</c:v>
                </c:pt>
              </c:numCache>
            </c:numRef>
          </c:val>
          <c:smooth val="0"/>
          <c:extLst>
            <c:ext xmlns:c16="http://schemas.microsoft.com/office/drawing/2014/chart" uri="{C3380CC4-5D6E-409C-BE32-E72D297353CC}">
              <c16:uniqueId val="{00000002-8744-4E41-92B7-AD57D64F9262}"/>
            </c:ext>
          </c:extLst>
        </c:ser>
        <c:dLbls>
          <c:showLegendKey val="0"/>
          <c:showVal val="0"/>
          <c:showCatName val="0"/>
          <c:showSerName val="0"/>
          <c:showPercent val="0"/>
          <c:showBubbleSize val="0"/>
        </c:dLbls>
        <c:smooth val="0"/>
        <c:axId val="618716832"/>
        <c:axId val="618714312"/>
      </c:lineChart>
      <c:dateAx>
        <c:axId val="6187168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14312"/>
        <c:crosses val="autoZero"/>
        <c:auto val="1"/>
        <c:lblOffset val="100"/>
        <c:baseTimeUnit val="months"/>
      </c:dateAx>
      <c:valAx>
        <c:axId val="618714312"/>
        <c:scaling>
          <c:orientation val="minMax"/>
          <c:max val="105"/>
          <c:min val="84"/>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16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Richlands only CDM to Colcom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'Richlands total CDM to Colc (7)'!$A$21</c:f>
              <c:strCache>
                <c:ptCount val="1"/>
                <c:pt idx="0">
                  <c:v>FY26</c:v>
                </c:pt>
              </c:strCache>
            </c:strRef>
          </c:tx>
          <c:spPr>
            <a:ln w="28575" cap="rnd">
              <a:solidFill>
                <a:schemeClr val="accent1"/>
              </a:solidFill>
              <a:round/>
            </a:ln>
            <a:effectLst/>
          </c:spPr>
          <c:marker>
            <c:symbol val="none"/>
          </c:marker>
          <c:cat>
            <c:numRef>
              <c:f>'Richlands total CDM to Colc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total CDM to Colc (7)'!$B$21:$M$21</c:f>
              <c:numCache>
                <c:formatCode>_-* #,##0_-;\-* #,##0_-;_-* "-"??_-;_-@_-</c:formatCode>
                <c:ptCount val="12"/>
                <c:pt idx="0">
                  <c:v>187848.5</c:v>
                </c:pt>
                <c:pt idx="1">
                  <c:v>186481</c:v>
                </c:pt>
                <c:pt idx="2">
                  <c:v>235614.80000000002</c:v>
                </c:pt>
                <c:pt idx="3">
                  <c:v>189056.80000000002</c:v>
                </c:pt>
                <c:pt idx="4">
                  <c:v>182926.30000000002</c:v>
                </c:pt>
                <c:pt idx="5">
                  <c:v>226229.9</c:v>
                </c:pt>
                <c:pt idx="6">
                  <c:v>188422.6</c:v>
                </c:pt>
                <c:pt idx="7">
                  <c:v>186237.6</c:v>
                </c:pt>
                <c:pt idx="8">
                  <c:v>240371.6</c:v>
                </c:pt>
                <c:pt idx="9">
                  <c:v>184032.1</c:v>
                </c:pt>
                <c:pt idx="10">
                  <c:v>194006.6</c:v>
                </c:pt>
                <c:pt idx="11">
                  <c:v>258727</c:v>
                </c:pt>
              </c:numCache>
            </c:numRef>
          </c:val>
          <c:smooth val="0"/>
          <c:extLst>
            <c:ext xmlns:c16="http://schemas.microsoft.com/office/drawing/2014/chart" uri="{C3380CC4-5D6E-409C-BE32-E72D297353CC}">
              <c16:uniqueId val="{00000000-7FB4-4966-993F-93B2F87EAB57}"/>
            </c:ext>
          </c:extLst>
        </c:ser>
        <c:ser>
          <c:idx val="1"/>
          <c:order val="1"/>
          <c:tx>
            <c:strRef>
              <c:f>'Richlands total CDM to Colc (7)'!$A$22</c:f>
              <c:strCache>
                <c:ptCount val="1"/>
                <c:pt idx="0">
                  <c:v>Budget</c:v>
                </c:pt>
              </c:strCache>
            </c:strRef>
          </c:tx>
          <c:spPr>
            <a:ln w="28575" cap="rnd">
              <a:solidFill>
                <a:schemeClr val="accent2"/>
              </a:solidFill>
              <a:round/>
            </a:ln>
            <a:effectLst/>
          </c:spPr>
          <c:marker>
            <c:symbol val="none"/>
          </c:marker>
          <c:cat>
            <c:numRef>
              <c:f>'Richlands total CDM to Colc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total CDM to Colc (7)'!$B$22:$M$22</c:f>
              <c:numCache>
                <c:formatCode>_-* #,##0_-;\-* #,##0_-;_-* "-"??_-;_-@_-</c:formatCode>
                <c:ptCount val="12"/>
                <c:pt idx="0">
                  <c:v>196573.55228318018</c:v>
                </c:pt>
                <c:pt idx="1">
                  <c:v>178402.17654237946</c:v>
                </c:pt>
                <c:pt idx="2">
                  <c:v>224650.22910077398</c:v>
                </c:pt>
                <c:pt idx="3">
                  <c:v>179617.67832022297</c:v>
                </c:pt>
                <c:pt idx="4">
                  <c:v>179617.90614144003</c:v>
                </c:pt>
                <c:pt idx="5">
                  <c:v>224555.56595885061</c:v>
                </c:pt>
                <c:pt idx="6">
                  <c:v>179587.03627004183</c:v>
                </c:pt>
                <c:pt idx="7">
                  <c:v>176130.85952471581</c:v>
                </c:pt>
                <c:pt idx="8">
                  <c:v>215869.21436430834</c:v>
                </c:pt>
                <c:pt idx="9">
                  <c:v>178397.25915592784</c:v>
                </c:pt>
                <c:pt idx="10">
                  <c:v>178397.25915592784</c:v>
                </c:pt>
                <c:pt idx="11">
                  <c:v>223082.28777987143</c:v>
                </c:pt>
              </c:numCache>
            </c:numRef>
          </c:val>
          <c:smooth val="0"/>
          <c:extLst>
            <c:ext xmlns:c16="http://schemas.microsoft.com/office/drawing/2014/chart" uri="{C3380CC4-5D6E-409C-BE32-E72D297353CC}">
              <c16:uniqueId val="{00000001-7FB4-4966-993F-93B2F87EAB57}"/>
            </c:ext>
          </c:extLst>
        </c:ser>
        <c:dLbls>
          <c:showLegendKey val="0"/>
          <c:showVal val="0"/>
          <c:showCatName val="0"/>
          <c:showSerName val="0"/>
          <c:showPercent val="0"/>
          <c:showBubbleSize val="0"/>
        </c:dLbls>
        <c:smooth val="0"/>
        <c:axId val="618724032"/>
        <c:axId val="618722952"/>
      </c:lineChart>
      <c:dateAx>
        <c:axId val="6187240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22952"/>
        <c:crosses val="autoZero"/>
        <c:auto val="1"/>
        <c:lblOffset val="100"/>
        <c:baseTimeUnit val="months"/>
      </c:dateAx>
      <c:valAx>
        <c:axId val="618722952"/>
        <c:scaling>
          <c:orientation val="minMax"/>
          <c:max val="236000"/>
          <c:min val="173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2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Richlands Pigs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'Richlands Pigs to Colcom (7)'!$A$20</c:f>
              <c:strCache>
                <c:ptCount val="1"/>
                <c:pt idx="0">
                  <c:v>FY26</c:v>
                </c:pt>
              </c:strCache>
            </c:strRef>
          </c:tx>
          <c:spPr>
            <a:ln w="28575" cap="rnd">
              <a:solidFill>
                <a:schemeClr val="accent1"/>
              </a:solidFill>
              <a:round/>
            </a:ln>
            <a:effectLst/>
          </c:spPr>
          <c:marker>
            <c:symbol val="none"/>
          </c:marker>
          <c:cat>
            <c:numRef>
              <c:f>'Richlands Pigs to Colcom (7)'!$B$19:$M$19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Pigs to Colcom (7)'!$B$20:$M$20</c:f>
              <c:numCache>
                <c:formatCode>_-* #,##0_-;\-* #,##0_-;_-* "-"??_-;_-@_-</c:formatCode>
                <c:ptCount val="12"/>
                <c:pt idx="0">
                  <c:v>2044</c:v>
                </c:pt>
                <c:pt idx="1">
                  <c:v>1986</c:v>
                </c:pt>
                <c:pt idx="2">
                  <c:v>2551</c:v>
                </c:pt>
                <c:pt idx="3">
                  <c:v>2079</c:v>
                </c:pt>
                <c:pt idx="4">
                  <c:v>2023</c:v>
                </c:pt>
                <c:pt idx="5">
                  <c:v>2540</c:v>
                </c:pt>
                <c:pt idx="6">
                  <c:v>2098</c:v>
                </c:pt>
                <c:pt idx="7">
                  <c:v>2079</c:v>
                </c:pt>
                <c:pt idx="8">
                  <c:v>2789</c:v>
                </c:pt>
                <c:pt idx="9">
                  <c:v>2032</c:v>
                </c:pt>
                <c:pt idx="10">
                  <c:v>2206</c:v>
                </c:pt>
                <c:pt idx="11">
                  <c:v>2831</c:v>
                </c:pt>
              </c:numCache>
            </c:numRef>
          </c:val>
          <c:smooth val="0"/>
          <c:extLst>
            <c:ext xmlns:c16="http://schemas.microsoft.com/office/drawing/2014/chart" uri="{C3380CC4-5D6E-409C-BE32-E72D297353CC}">
              <c16:uniqueId val="{00000000-9F4B-4F63-ADBD-24DEC7BAC764}"/>
            </c:ext>
          </c:extLst>
        </c:ser>
        <c:ser>
          <c:idx val="1"/>
          <c:order val="1"/>
          <c:tx>
            <c:strRef>
              <c:f>'Richlands Pigs to Colcom (7)'!$A$21</c:f>
              <c:strCache>
                <c:ptCount val="1"/>
                <c:pt idx="0">
                  <c:v>budget</c:v>
                </c:pt>
              </c:strCache>
            </c:strRef>
          </c:tx>
          <c:spPr>
            <a:ln w="28575" cap="rnd">
              <a:solidFill>
                <a:schemeClr val="accent2"/>
              </a:solidFill>
              <a:round/>
            </a:ln>
            <a:effectLst/>
          </c:spPr>
          <c:marker>
            <c:symbol val="none"/>
          </c:marker>
          <c:cat>
            <c:numRef>
              <c:f>'Richlands Pigs to Colcom (7)'!$B$19:$M$19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Pigs to Colcom (7)'!$B$21:$M$21</c:f>
              <c:numCache>
                <c:formatCode>_-* #,##0_-;\-* #,##0_-;_-* "-"??_-;_-@_-</c:formatCode>
                <c:ptCount val="12"/>
                <c:pt idx="0">
                  <c:v>2132.3687064085734</c:v>
                </c:pt>
                <c:pt idx="1">
                  <c:v>1932.6832587074666</c:v>
                </c:pt>
                <c:pt idx="2">
                  <c:v>2515.5707852360679</c:v>
                </c:pt>
                <c:pt idx="3">
                  <c:v>2011.2917990934427</c:v>
                </c:pt>
                <c:pt idx="4">
                  <c:v>2011.2943879709096</c:v>
                </c:pt>
                <c:pt idx="5">
                  <c:v>2514.4950677142115</c:v>
                </c:pt>
                <c:pt idx="6">
                  <c:v>2010.9435939777482</c:v>
                </c:pt>
                <c:pt idx="7">
                  <c:v>1971.6688582354068</c:v>
                </c:pt>
                <c:pt idx="8">
                  <c:v>2415.7865268671403</c:v>
                </c:pt>
                <c:pt idx="9">
                  <c:v>1932.6292214937125</c:v>
                </c:pt>
                <c:pt idx="10">
                  <c:v>1932.6292214937125</c:v>
                </c:pt>
                <c:pt idx="11">
                  <c:v>2416.7284371414444</c:v>
                </c:pt>
              </c:numCache>
            </c:numRef>
          </c:val>
          <c:smooth val="0"/>
          <c:extLst>
            <c:ext xmlns:c16="http://schemas.microsoft.com/office/drawing/2014/chart" uri="{C3380CC4-5D6E-409C-BE32-E72D297353CC}">
              <c16:uniqueId val="{00000001-9F4B-4F63-ADBD-24DEC7BAC764}"/>
            </c:ext>
          </c:extLst>
        </c:ser>
        <c:dLbls>
          <c:showLegendKey val="0"/>
          <c:showVal val="0"/>
          <c:showCatName val="0"/>
          <c:showSerName val="0"/>
          <c:showPercent val="0"/>
          <c:showBubbleSize val="0"/>
        </c:dLbls>
        <c:smooth val="0"/>
        <c:axId val="618727272"/>
        <c:axId val="618719712"/>
      </c:lineChart>
      <c:dateAx>
        <c:axId val="6187272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19712"/>
        <c:crosses val="autoZero"/>
        <c:auto val="1"/>
        <c:lblOffset val="100"/>
        <c:baseTimeUnit val="months"/>
      </c:dateAx>
      <c:valAx>
        <c:axId val="618719712"/>
        <c:scaling>
          <c:orientation val="minMax"/>
          <c:max val="2900"/>
          <c:min val="19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27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Richlands Kgs sold/sow/year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'Richlands kgs sold per sow  (7)'!$AB$24:$AX$24</c:f>
              <c:numCache>
                <c:formatCode>mmm\-yy</c:formatCode>
                <c:ptCount val="23"/>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numCache>
            </c:numRef>
          </c:cat>
          <c:val>
            <c:numRef>
              <c:f>'Richlands kgs sold per sow  (7)'!$AB$25:$AX$25</c:f>
              <c:numCache>
                <c:formatCode>General</c:formatCode>
                <c:ptCount val="23"/>
                <c:pt idx="0">
                  <c:v>2518.8339214717771</c:v>
                </c:pt>
                <c:pt idx="1">
                  <c:v>2545.0553622087346</c:v>
                </c:pt>
                <c:pt idx="2" formatCode="0.0">
                  <c:v>2579.4103484210782</c:v>
                </c:pt>
                <c:pt idx="3" formatCode="0.0">
                  <c:v>2605.2517289006273</c:v>
                </c:pt>
                <c:pt idx="4" formatCode="0.0">
                  <c:v>2577.6810295935429</c:v>
                </c:pt>
                <c:pt idx="5" formatCode="0.0">
                  <c:v>2663.9764555549264</c:v>
                </c:pt>
                <c:pt idx="6" formatCode="0.0">
                  <c:v>2693.9174207979763</c:v>
                </c:pt>
                <c:pt idx="7" formatCode="0.0">
                  <c:v>2732.1770153036359</c:v>
                </c:pt>
                <c:pt idx="8" formatCode="0.0">
                  <c:v>2706.8600434229243</c:v>
                </c:pt>
                <c:pt idx="9" formatCode="0.0">
                  <c:v>2752.6334674446298</c:v>
                </c:pt>
                <c:pt idx="10" formatCode="0.0">
                  <c:v>2789.2602508842797</c:v>
                </c:pt>
                <c:pt idx="11" formatCode="0.0">
                  <c:v>2802.0539326713738</c:v>
                </c:pt>
                <c:pt idx="12" formatCode="0.0">
                  <c:v>2841.6234156203495</c:v>
                </c:pt>
                <c:pt idx="13" formatCode="0.0">
                  <c:v>2833.8361691752543</c:v>
                </c:pt>
                <c:pt idx="14" formatCode="0.0">
                  <c:v>2820.450450708815</c:v>
                </c:pt>
                <c:pt idx="15" formatCode="0.0">
                  <c:v>2803.9505510994763</c:v>
                </c:pt>
                <c:pt idx="16" formatCode="0.0">
                  <c:v>2868.9454434344207</c:v>
                </c:pt>
                <c:pt idx="17" formatCode="0.0">
                  <c:v>2824.3458335790915</c:v>
                </c:pt>
                <c:pt idx="18" formatCode="0.0">
                  <c:v>2834.2867840918775</c:v>
                </c:pt>
                <c:pt idx="19" formatCode="0.0">
                  <c:v>2830.8101935283553</c:v>
                </c:pt>
                <c:pt idx="20" formatCode="0.0">
                  <c:v>2863.7759441605376</c:v>
                </c:pt>
                <c:pt idx="21" formatCode="0.0">
                  <c:v>2836.4873639611196</c:v>
                </c:pt>
                <c:pt idx="22" formatCode="0.0">
                  <c:v>2838.7092222129991</c:v>
                </c:pt>
              </c:numCache>
            </c:numRef>
          </c:val>
          <c:smooth val="0"/>
          <c:extLst>
            <c:ext xmlns:c16="http://schemas.microsoft.com/office/drawing/2014/chart" uri="{C3380CC4-5D6E-409C-BE32-E72D297353CC}">
              <c16:uniqueId val="{00000000-12E3-4048-AF64-1A1613BC366B}"/>
            </c:ext>
          </c:extLst>
        </c:ser>
        <c:ser>
          <c:idx val="1"/>
          <c:order val="1"/>
          <c:spPr>
            <a:ln w="28575" cap="rnd">
              <a:solidFill>
                <a:schemeClr val="accent2"/>
              </a:solidFill>
              <a:round/>
            </a:ln>
            <a:effectLst/>
          </c:spPr>
          <c:marker>
            <c:symbol val="none"/>
          </c:marker>
          <c:cat>
            <c:numRef>
              <c:f>'Richlands kgs sold per sow  (7)'!$AB$24:$AX$24</c:f>
              <c:numCache>
                <c:formatCode>mmm\-yy</c:formatCode>
                <c:ptCount val="23"/>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pt idx="18">
                  <c:v>46054</c:v>
                </c:pt>
                <c:pt idx="19">
                  <c:v>46082</c:v>
                </c:pt>
                <c:pt idx="20">
                  <c:v>46113</c:v>
                </c:pt>
                <c:pt idx="21">
                  <c:v>46143</c:v>
                </c:pt>
                <c:pt idx="22">
                  <c:v>46174</c:v>
                </c:pt>
              </c:numCache>
            </c:numRef>
          </c:cat>
          <c:val>
            <c:numRef>
              <c:f>'Richlands kgs sold per sow  (7)'!$AB$26:$AX$26</c:f>
              <c:numCache>
                <c:formatCode>General</c:formatCode>
                <c:ptCount val="23"/>
                <c:pt idx="0">
                  <c:v>2600</c:v>
                </c:pt>
                <c:pt idx="1">
                  <c:v>2600</c:v>
                </c:pt>
                <c:pt idx="2">
                  <c:v>2600</c:v>
                </c:pt>
                <c:pt idx="3">
                  <c:v>2600</c:v>
                </c:pt>
                <c:pt idx="4">
                  <c:v>2600</c:v>
                </c:pt>
                <c:pt idx="5">
                  <c:v>2887</c:v>
                </c:pt>
                <c:pt idx="6">
                  <c:v>2887</c:v>
                </c:pt>
                <c:pt idx="7">
                  <c:v>2887</c:v>
                </c:pt>
                <c:pt idx="8">
                  <c:v>2887</c:v>
                </c:pt>
                <c:pt idx="9">
                  <c:v>2887</c:v>
                </c:pt>
                <c:pt idx="10">
                  <c:v>2887</c:v>
                </c:pt>
                <c:pt idx="11">
                  <c:v>3000</c:v>
                </c:pt>
                <c:pt idx="12">
                  <c:v>3000</c:v>
                </c:pt>
                <c:pt idx="13">
                  <c:v>3000</c:v>
                </c:pt>
                <c:pt idx="14">
                  <c:v>3000</c:v>
                </c:pt>
                <c:pt idx="15">
                  <c:v>3000</c:v>
                </c:pt>
                <c:pt idx="16">
                  <c:v>3000</c:v>
                </c:pt>
                <c:pt idx="17">
                  <c:v>3000</c:v>
                </c:pt>
                <c:pt idx="18">
                  <c:v>3000</c:v>
                </c:pt>
                <c:pt idx="19">
                  <c:v>3000</c:v>
                </c:pt>
                <c:pt idx="20">
                  <c:v>3000</c:v>
                </c:pt>
                <c:pt idx="21">
                  <c:v>3000</c:v>
                </c:pt>
                <c:pt idx="22">
                  <c:v>3000</c:v>
                </c:pt>
              </c:numCache>
            </c:numRef>
          </c:val>
          <c:smooth val="0"/>
          <c:extLst>
            <c:ext xmlns:c16="http://schemas.microsoft.com/office/drawing/2014/chart" uri="{C3380CC4-5D6E-409C-BE32-E72D297353CC}">
              <c16:uniqueId val="{00000001-12E3-4048-AF64-1A1613BC366B}"/>
            </c:ext>
          </c:extLst>
        </c:ser>
        <c:dLbls>
          <c:showLegendKey val="0"/>
          <c:showVal val="0"/>
          <c:showCatName val="0"/>
          <c:showSerName val="0"/>
          <c:showPercent val="0"/>
          <c:showBubbleSize val="0"/>
        </c:dLbls>
        <c:smooth val="0"/>
        <c:axId val="1844935999"/>
        <c:axId val="1724411999"/>
      </c:lineChart>
      <c:dateAx>
        <c:axId val="184493599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11999"/>
        <c:crosses val="autoZero"/>
        <c:auto val="1"/>
        <c:lblOffset val="100"/>
        <c:baseTimeUnit val="months"/>
      </c:dateAx>
      <c:valAx>
        <c:axId val="1724411999"/>
        <c:scaling>
          <c:orientation val="minMax"/>
          <c:min val="2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93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Richlands Farrow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'Richlands Farrow rate (5)'!$A$19</c:f>
              <c:strCache>
                <c:ptCount val="1"/>
                <c:pt idx="0">
                  <c:v>FY26</c:v>
                </c:pt>
              </c:strCache>
            </c:strRef>
          </c:tx>
          <c:spPr>
            <a:ln w="28575" cap="rnd">
              <a:solidFill>
                <a:schemeClr val="accent1"/>
              </a:solidFill>
              <a:round/>
            </a:ln>
            <a:effectLst/>
          </c:spPr>
          <c:marker>
            <c:symbol val="none"/>
          </c:marker>
          <c:cat>
            <c:numRef>
              <c:f>'Richlands Farrow rate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Farrow rate (5)'!$B$19:$N$19</c:f>
              <c:numCache>
                <c:formatCode>General</c:formatCode>
                <c:ptCount val="13"/>
                <c:pt idx="0">
                  <c:v>91</c:v>
                </c:pt>
                <c:pt idx="1">
                  <c:v>94</c:v>
                </c:pt>
                <c:pt idx="2">
                  <c:v>94</c:v>
                </c:pt>
                <c:pt idx="3">
                  <c:v>95</c:v>
                </c:pt>
                <c:pt idx="4">
                  <c:v>94</c:v>
                </c:pt>
                <c:pt idx="5">
                  <c:v>94</c:v>
                </c:pt>
                <c:pt idx="6">
                  <c:v>95</c:v>
                </c:pt>
                <c:pt idx="7">
                  <c:v>93</c:v>
                </c:pt>
                <c:pt idx="8">
                  <c:v>92</c:v>
                </c:pt>
                <c:pt idx="9">
                  <c:v>93</c:v>
                </c:pt>
                <c:pt idx="10">
                  <c:v>93</c:v>
                </c:pt>
                <c:pt idx="11">
                  <c:v>93</c:v>
                </c:pt>
                <c:pt idx="12" formatCode="0.0">
                  <c:v>93.416666666666671</c:v>
                </c:pt>
              </c:numCache>
            </c:numRef>
          </c:val>
          <c:smooth val="0"/>
          <c:extLst>
            <c:ext xmlns:c16="http://schemas.microsoft.com/office/drawing/2014/chart" uri="{C3380CC4-5D6E-409C-BE32-E72D297353CC}">
              <c16:uniqueId val="{00000000-1D96-46BE-98B1-B5BE3D5935E4}"/>
            </c:ext>
          </c:extLst>
        </c:ser>
        <c:ser>
          <c:idx val="1"/>
          <c:order val="1"/>
          <c:tx>
            <c:strRef>
              <c:f>'Richlands Farrow rate (5)'!$A$20</c:f>
              <c:strCache>
                <c:ptCount val="1"/>
                <c:pt idx="0">
                  <c:v>prior</c:v>
                </c:pt>
              </c:strCache>
            </c:strRef>
          </c:tx>
          <c:spPr>
            <a:ln w="28575" cap="rnd">
              <a:solidFill>
                <a:schemeClr val="accent2"/>
              </a:solidFill>
              <a:round/>
            </a:ln>
            <a:effectLst/>
          </c:spPr>
          <c:marker>
            <c:symbol val="none"/>
          </c:marker>
          <c:cat>
            <c:numRef>
              <c:f>'Richlands Farrow rate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Farrow rate (5)'!$B$20:$M$20</c:f>
              <c:numCache>
                <c:formatCode>0.0</c:formatCode>
                <c:ptCount val="12"/>
                <c:pt idx="0">
                  <c:v>91.88</c:v>
                </c:pt>
                <c:pt idx="1">
                  <c:v>92</c:v>
                </c:pt>
                <c:pt idx="2">
                  <c:v>94</c:v>
                </c:pt>
                <c:pt idx="3">
                  <c:v>93</c:v>
                </c:pt>
                <c:pt idx="4">
                  <c:v>91</c:v>
                </c:pt>
                <c:pt idx="5">
                  <c:v>93</c:v>
                </c:pt>
                <c:pt idx="6">
                  <c:v>93</c:v>
                </c:pt>
                <c:pt idx="7">
                  <c:v>91</c:v>
                </c:pt>
                <c:pt idx="8">
                  <c:v>91</c:v>
                </c:pt>
                <c:pt idx="9">
                  <c:v>92</c:v>
                </c:pt>
                <c:pt idx="10">
                  <c:v>90</c:v>
                </c:pt>
                <c:pt idx="11">
                  <c:v>92.2</c:v>
                </c:pt>
              </c:numCache>
            </c:numRef>
          </c:val>
          <c:smooth val="0"/>
          <c:extLst>
            <c:ext xmlns:c16="http://schemas.microsoft.com/office/drawing/2014/chart" uri="{C3380CC4-5D6E-409C-BE32-E72D297353CC}">
              <c16:uniqueId val="{00000001-1D96-46BE-98B1-B5BE3D5935E4}"/>
            </c:ext>
          </c:extLst>
        </c:ser>
        <c:ser>
          <c:idx val="2"/>
          <c:order val="2"/>
          <c:tx>
            <c:strRef>
              <c:f>'Richlands Farrow rate (5)'!$A$21</c:f>
              <c:strCache>
                <c:ptCount val="1"/>
                <c:pt idx="0">
                  <c:v>target</c:v>
                </c:pt>
              </c:strCache>
            </c:strRef>
          </c:tx>
          <c:spPr>
            <a:ln w="28575" cap="rnd">
              <a:solidFill>
                <a:schemeClr val="accent3"/>
              </a:solidFill>
              <a:round/>
            </a:ln>
            <a:effectLst/>
          </c:spPr>
          <c:marker>
            <c:symbol val="none"/>
          </c:marker>
          <c:cat>
            <c:numRef>
              <c:f>'Richlands Farrow rate (5)'!$B$18:$M$18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Farrow rate (5)'!$B$21:$N$21</c:f>
              <c:numCache>
                <c:formatCode>General</c:formatCode>
                <c:ptCount val="13"/>
                <c:pt idx="0">
                  <c:v>91.8</c:v>
                </c:pt>
                <c:pt idx="1">
                  <c:v>91.8</c:v>
                </c:pt>
                <c:pt idx="2">
                  <c:v>91.8</c:v>
                </c:pt>
                <c:pt idx="3">
                  <c:v>91.8</c:v>
                </c:pt>
                <c:pt idx="4">
                  <c:v>91.8</c:v>
                </c:pt>
                <c:pt idx="5">
                  <c:v>91.8</c:v>
                </c:pt>
                <c:pt idx="6">
                  <c:v>91.8</c:v>
                </c:pt>
                <c:pt idx="7">
                  <c:v>91.8</c:v>
                </c:pt>
                <c:pt idx="8">
                  <c:v>91.8</c:v>
                </c:pt>
                <c:pt idx="9">
                  <c:v>91.8</c:v>
                </c:pt>
                <c:pt idx="10">
                  <c:v>91.8</c:v>
                </c:pt>
                <c:pt idx="11">
                  <c:v>91.8</c:v>
                </c:pt>
                <c:pt idx="12" formatCode="0.0">
                  <c:v>91.799999999999969</c:v>
                </c:pt>
              </c:numCache>
            </c:numRef>
          </c:val>
          <c:smooth val="0"/>
          <c:extLst>
            <c:ext xmlns:c16="http://schemas.microsoft.com/office/drawing/2014/chart" uri="{C3380CC4-5D6E-409C-BE32-E72D297353CC}">
              <c16:uniqueId val="{00000002-1D96-46BE-98B1-B5BE3D5935E4}"/>
            </c:ext>
          </c:extLst>
        </c:ser>
        <c:dLbls>
          <c:showLegendKey val="0"/>
          <c:showVal val="0"/>
          <c:showCatName val="0"/>
          <c:showSerName val="0"/>
          <c:showPercent val="0"/>
          <c:showBubbleSize val="0"/>
        </c:dLbls>
        <c:smooth val="0"/>
        <c:axId val="618730512"/>
        <c:axId val="618734832"/>
      </c:lineChart>
      <c:dateAx>
        <c:axId val="6187305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34832"/>
        <c:crosses val="autoZero"/>
        <c:auto val="1"/>
        <c:lblOffset val="100"/>
        <c:baseTimeUnit val="months"/>
      </c:dateAx>
      <c:valAx>
        <c:axId val="618734832"/>
        <c:scaling>
          <c:orientation val="minMax"/>
          <c:max val="100"/>
          <c:min val="7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30512"/>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Richlands Born Alive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'Richlands Born Alive (5)'!$A$19</c:f>
              <c:strCache>
                <c:ptCount val="1"/>
                <c:pt idx="0">
                  <c:v>FY26</c:v>
                </c:pt>
              </c:strCache>
            </c:strRef>
          </c:tx>
          <c:spPr>
            <a:ln w="28575" cap="rnd">
              <a:solidFill>
                <a:schemeClr val="accent1"/>
              </a:solidFill>
              <a:round/>
            </a:ln>
            <a:effectLst/>
          </c:spPr>
          <c:marker>
            <c:symbol val="none"/>
          </c:marker>
          <c:cat>
            <c:numRef>
              <c:f>'Richlands Born Alive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Born Alive (5)'!$B$19:$N$19</c:f>
              <c:numCache>
                <c:formatCode>General</c:formatCode>
                <c:ptCount val="13"/>
                <c:pt idx="0">
                  <c:v>14.9</c:v>
                </c:pt>
                <c:pt idx="1">
                  <c:v>14.9</c:v>
                </c:pt>
                <c:pt idx="2">
                  <c:v>15.5</c:v>
                </c:pt>
                <c:pt idx="3">
                  <c:v>15</c:v>
                </c:pt>
                <c:pt idx="4">
                  <c:v>15.3</c:v>
                </c:pt>
                <c:pt idx="5">
                  <c:v>15.2</c:v>
                </c:pt>
                <c:pt idx="6">
                  <c:v>15</c:v>
                </c:pt>
                <c:pt idx="7">
                  <c:v>15.3</c:v>
                </c:pt>
                <c:pt idx="8">
                  <c:v>15.2</c:v>
                </c:pt>
                <c:pt idx="9">
                  <c:v>14.3</c:v>
                </c:pt>
                <c:pt idx="10">
                  <c:v>15.3</c:v>
                </c:pt>
                <c:pt idx="11">
                  <c:v>15.4</c:v>
                </c:pt>
                <c:pt idx="12" formatCode="0.0">
                  <c:v>15.108333333333334</c:v>
                </c:pt>
              </c:numCache>
            </c:numRef>
          </c:val>
          <c:smooth val="0"/>
          <c:extLst>
            <c:ext xmlns:c16="http://schemas.microsoft.com/office/drawing/2014/chart" uri="{C3380CC4-5D6E-409C-BE32-E72D297353CC}">
              <c16:uniqueId val="{00000000-8440-413E-AEDE-7D4714E16843}"/>
            </c:ext>
          </c:extLst>
        </c:ser>
        <c:ser>
          <c:idx val="1"/>
          <c:order val="1"/>
          <c:tx>
            <c:strRef>
              <c:f>'Richlands Born Alive (5)'!$A$20</c:f>
              <c:strCache>
                <c:ptCount val="1"/>
                <c:pt idx="0">
                  <c:v>prior</c:v>
                </c:pt>
              </c:strCache>
            </c:strRef>
          </c:tx>
          <c:spPr>
            <a:ln w="28575" cap="rnd">
              <a:solidFill>
                <a:schemeClr val="accent2"/>
              </a:solidFill>
              <a:round/>
            </a:ln>
            <a:effectLst/>
          </c:spPr>
          <c:marker>
            <c:symbol val="none"/>
          </c:marker>
          <c:cat>
            <c:numRef>
              <c:f>'Richlands Born Alive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Born Alive (5)'!$B$20:$N$20</c:f>
              <c:numCache>
                <c:formatCode>General</c:formatCode>
                <c:ptCount val="13"/>
                <c:pt idx="0">
                  <c:v>14.4</c:v>
                </c:pt>
                <c:pt idx="1">
                  <c:v>14</c:v>
                </c:pt>
                <c:pt idx="2">
                  <c:v>14.4</c:v>
                </c:pt>
                <c:pt idx="3">
                  <c:v>14.4</c:v>
                </c:pt>
                <c:pt idx="4">
                  <c:v>14.2</c:v>
                </c:pt>
                <c:pt idx="5">
                  <c:v>14.9</c:v>
                </c:pt>
                <c:pt idx="6">
                  <c:v>14.7</c:v>
                </c:pt>
                <c:pt idx="7">
                  <c:v>14.4</c:v>
                </c:pt>
                <c:pt idx="8">
                  <c:v>14.2</c:v>
                </c:pt>
                <c:pt idx="9">
                  <c:v>14.8</c:v>
                </c:pt>
                <c:pt idx="10">
                  <c:v>15</c:v>
                </c:pt>
                <c:pt idx="11">
                  <c:v>14.4</c:v>
                </c:pt>
                <c:pt idx="12" formatCode="0.0">
                  <c:v>14.483333333333334</c:v>
                </c:pt>
              </c:numCache>
            </c:numRef>
          </c:val>
          <c:smooth val="0"/>
          <c:extLst>
            <c:ext xmlns:c16="http://schemas.microsoft.com/office/drawing/2014/chart" uri="{C3380CC4-5D6E-409C-BE32-E72D297353CC}">
              <c16:uniqueId val="{00000001-8440-413E-AEDE-7D4714E16843}"/>
            </c:ext>
          </c:extLst>
        </c:ser>
        <c:ser>
          <c:idx val="2"/>
          <c:order val="2"/>
          <c:tx>
            <c:strRef>
              <c:f>'Richlands Born Alive (5)'!$A$21</c:f>
              <c:strCache>
                <c:ptCount val="1"/>
                <c:pt idx="0">
                  <c:v>target</c:v>
                </c:pt>
              </c:strCache>
            </c:strRef>
          </c:tx>
          <c:spPr>
            <a:ln w="28575" cap="rnd">
              <a:solidFill>
                <a:schemeClr val="accent3"/>
              </a:solidFill>
              <a:round/>
            </a:ln>
            <a:effectLst/>
          </c:spPr>
          <c:marker>
            <c:symbol val="none"/>
          </c:marker>
          <c:cat>
            <c:numRef>
              <c:f>'Richlands Born Alive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Born Alive (5)'!$B$21:$N$21</c:f>
              <c:numCache>
                <c:formatCode>General</c:formatCode>
                <c:ptCount val="13"/>
                <c:pt idx="0">
                  <c:v>14.4</c:v>
                </c:pt>
                <c:pt idx="1">
                  <c:v>14.4</c:v>
                </c:pt>
                <c:pt idx="2">
                  <c:v>14.4</c:v>
                </c:pt>
                <c:pt idx="3">
                  <c:v>14.4</c:v>
                </c:pt>
                <c:pt idx="4">
                  <c:v>14.4</c:v>
                </c:pt>
                <c:pt idx="5">
                  <c:v>14.4</c:v>
                </c:pt>
                <c:pt idx="6">
                  <c:v>14.4</c:v>
                </c:pt>
                <c:pt idx="7">
                  <c:v>14.4</c:v>
                </c:pt>
                <c:pt idx="8">
                  <c:v>14.4</c:v>
                </c:pt>
                <c:pt idx="9">
                  <c:v>14.4</c:v>
                </c:pt>
                <c:pt idx="10">
                  <c:v>14.4</c:v>
                </c:pt>
                <c:pt idx="11">
                  <c:v>14.4</c:v>
                </c:pt>
                <c:pt idx="12" formatCode="0.0">
                  <c:v>14.400000000000004</c:v>
                </c:pt>
              </c:numCache>
            </c:numRef>
          </c:val>
          <c:smooth val="0"/>
          <c:extLst>
            <c:ext xmlns:c16="http://schemas.microsoft.com/office/drawing/2014/chart" uri="{C3380CC4-5D6E-409C-BE32-E72D297353CC}">
              <c16:uniqueId val="{00000002-8440-413E-AEDE-7D4714E16843}"/>
            </c:ext>
          </c:extLst>
        </c:ser>
        <c:dLbls>
          <c:showLegendKey val="0"/>
          <c:showVal val="0"/>
          <c:showCatName val="0"/>
          <c:showSerName val="0"/>
          <c:showPercent val="0"/>
          <c:showBubbleSize val="0"/>
        </c:dLbls>
        <c:smooth val="0"/>
        <c:axId val="618747072"/>
        <c:axId val="618751032"/>
      </c:lineChart>
      <c:dateAx>
        <c:axId val="6187470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751032"/>
        <c:crosses val="autoZero"/>
        <c:auto val="1"/>
        <c:lblOffset val="100"/>
        <c:baseTimeUnit val="months"/>
      </c:dateAx>
      <c:valAx>
        <c:axId val="618751032"/>
        <c:scaling>
          <c:orientation val="minMax"/>
          <c:max val="17"/>
          <c:min val="1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747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Richlands Wean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'Richlands Wean weight (5)'!$A$19</c:f>
              <c:strCache>
                <c:ptCount val="1"/>
                <c:pt idx="0">
                  <c:v>FY26</c:v>
                </c:pt>
              </c:strCache>
            </c:strRef>
          </c:tx>
          <c:spPr>
            <a:ln w="28575" cap="rnd">
              <a:solidFill>
                <a:schemeClr val="accent1"/>
              </a:solidFill>
              <a:round/>
            </a:ln>
            <a:effectLst/>
          </c:spPr>
          <c:marker>
            <c:symbol val="none"/>
          </c:marker>
          <c:cat>
            <c:numRef>
              <c:f>'Richlands Wean weight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Wean weight (5)'!$B$19:$N$19</c:f>
              <c:numCache>
                <c:formatCode>0.0</c:formatCode>
                <c:ptCount val="13"/>
                <c:pt idx="0">
                  <c:v>6.6</c:v>
                </c:pt>
                <c:pt idx="1">
                  <c:v>6.9</c:v>
                </c:pt>
                <c:pt idx="2">
                  <c:v>6.8</c:v>
                </c:pt>
                <c:pt idx="3">
                  <c:v>6.7</c:v>
                </c:pt>
                <c:pt idx="4">
                  <c:v>6.7</c:v>
                </c:pt>
                <c:pt idx="5">
                  <c:v>6.6</c:v>
                </c:pt>
                <c:pt idx="6">
                  <c:v>6.15</c:v>
                </c:pt>
                <c:pt idx="7">
                  <c:v>6.2</c:v>
                </c:pt>
                <c:pt idx="8">
                  <c:v>6.3</c:v>
                </c:pt>
                <c:pt idx="9">
                  <c:v>6.43</c:v>
                </c:pt>
                <c:pt idx="10">
                  <c:v>6.65</c:v>
                </c:pt>
                <c:pt idx="11">
                  <c:v>6.74</c:v>
                </c:pt>
                <c:pt idx="12">
                  <c:v>6.564166666666666</c:v>
                </c:pt>
              </c:numCache>
            </c:numRef>
          </c:val>
          <c:smooth val="0"/>
          <c:extLst>
            <c:ext xmlns:c16="http://schemas.microsoft.com/office/drawing/2014/chart" uri="{C3380CC4-5D6E-409C-BE32-E72D297353CC}">
              <c16:uniqueId val="{00000000-DCC6-4941-BAD0-E98EC82DEF1E}"/>
            </c:ext>
          </c:extLst>
        </c:ser>
        <c:ser>
          <c:idx val="1"/>
          <c:order val="1"/>
          <c:tx>
            <c:strRef>
              <c:f>'Richlands Wean weight (5)'!$A$20</c:f>
              <c:strCache>
                <c:ptCount val="1"/>
                <c:pt idx="0">
                  <c:v>prior</c:v>
                </c:pt>
              </c:strCache>
            </c:strRef>
          </c:tx>
          <c:spPr>
            <a:ln w="28575" cap="rnd">
              <a:solidFill>
                <a:schemeClr val="accent2"/>
              </a:solidFill>
              <a:round/>
            </a:ln>
            <a:effectLst/>
          </c:spPr>
          <c:marker>
            <c:symbol val="none"/>
          </c:marker>
          <c:cat>
            <c:numRef>
              <c:f>'Richlands Wean weight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Wean weight (5)'!$B$20:$N$20</c:f>
              <c:numCache>
                <c:formatCode>General</c:formatCode>
                <c:ptCount val="13"/>
                <c:pt idx="0">
                  <c:v>7</c:v>
                </c:pt>
                <c:pt idx="1">
                  <c:v>7.3</c:v>
                </c:pt>
                <c:pt idx="2">
                  <c:v>7.4</c:v>
                </c:pt>
                <c:pt idx="3">
                  <c:v>7.1</c:v>
                </c:pt>
                <c:pt idx="4">
                  <c:v>6.7</c:v>
                </c:pt>
                <c:pt idx="5">
                  <c:v>6.8</c:v>
                </c:pt>
                <c:pt idx="6">
                  <c:v>6.3250000000000002</c:v>
                </c:pt>
                <c:pt idx="7">
                  <c:v>6.6</c:v>
                </c:pt>
                <c:pt idx="8">
                  <c:v>6.4</c:v>
                </c:pt>
                <c:pt idx="9">
                  <c:v>6.4</c:v>
                </c:pt>
                <c:pt idx="10">
                  <c:v>6.6</c:v>
                </c:pt>
                <c:pt idx="11">
                  <c:v>6.6</c:v>
                </c:pt>
                <c:pt idx="12" formatCode="0.0">
                  <c:v>6.7687499999999998</c:v>
                </c:pt>
              </c:numCache>
            </c:numRef>
          </c:val>
          <c:smooth val="0"/>
          <c:extLst>
            <c:ext xmlns:c16="http://schemas.microsoft.com/office/drawing/2014/chart" uri="{C3380CC4-5D6E-409C-BE32-E72D297353CC}">
              <c16:uniqueId val="{00000001-DCC6-4941-BAD0-E98EC82DEF1E}"/>
            </c:ext>
          </c:extLst>
        </c:ser>
        <c:ser>
          <c:idx val="2"/>
          <c:order val="2"/>
          <c:tx>
            <c:strRef>
              <c:f>'Richlands Wean weight (5)'!$A$21</c:f>
              <c:strCache>
                <c:ptCount val="1"/>
                <c:pt idx="0">
                  <c:v>target</c:v>
                </c:pt>
              </c:strCache>
            </c:strRef>
          </c:tx>
          <c:spPr>
            <a:ln w="28575" cap="rnd">
              <a:solidFill>
                <a:schemeClr val="accent3"/>
              </a:solidFill>
              <a:round/>
            </a:ln>
            <a:effectLst/>
          </c:spPr>
          <c:marker>
            <c:symbol val="none"/>
          </c:marker>
          <c:cat>
            <c:numRef>
              <c:f>'Richlands Wean weight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Wean weight (5)'!$B$21:$N$21</c:f>
              <c:numCache>
                <c:formatCode>General</c:formatCode>
                <c:ptCount val="13"/>
                <c:pt idx="0">
                  <c:v>6.8</c:v>
                </c:pt>
                <c:pt idx="1">
                  <c:v>6.8</c:v>
                </c:pt>
                <c:pt idx="2">
                  <c:v>6.8</c:v>
                </c:pt>
                <c:pt idx="3">
                  <c:v>6.8</c:v>
                </c:pt>
                <c:pt idx="4">
                  <c:v>6.8</c:v>
                </c:pt>
                <c:pt idx="5">
                  <c:v>6.8</c:v>
                </c:pt>
                <c:pt idx="6">
                  <c:v>6.8</c:v>
                </c:pt>
                <c:pt idx="7">
                  <c:v>6.8</c:v>
                </c:pt>
                <c:pt idx="8">
                  <c:v>6.8</c:v>
                </c:pt>
                <c:pt idx="9">
                  <c:v>6.8</c:v>
                </c:pt>
                <c:pt idx="10">
                  <c:v>6.8</c:v>
                </c:pt>
                <c:pt idx="11">
                  <c:v>6.8</c:v>
                </c:pt>
                <c:pt idx="12" formatCode="0.0">
                  <c:v>6.799999999999998</c:v>
                </c:pt>
              </c:numCache>
            </c:numRef>
          </c:val>
          <c:smooth val="0"/>
          <c:extLst>
            <c:ext xmlns:c16="http://schemas.microsoft.com/office/drawing/2014/chart" uri="{C3380CC4-5D6E-409C-BE32-E72D297353CC}">
              <c16:uniqueId val="{00000002-DCC6-4941-BAD0-E98EC82DEF1E}"/>
            </c:ext>
          </c:extLst>
        </c:ser>
        <c:dLbls>
          <c:showLegendKey val="0"/>
          <c:showVal val="0"/>
          <c:showCatName val="0"/>
          <c:showSerName val="0"/>
          <c:showPercent val="0"/>
          <c:showBubbleSize val="0"/>
        </c:dLbls>
        <c:smooth val="0"/>
        <c:axId val="618752112"/>
        <c:axId val="618743832"/>
      </c:lineChart>
      <c:dateAx>
        <c:axId val="6187521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743832"/>
        <c:crosses val="autoZero"/>
        <c:auto val="1"/>
        <c:lblOffset val="100"/>
        <c:baseTimeUnit val="months"/>
      </c:dateAx>
      <c:valAx>
        <c:axId val="618743832"/>
        <c:scaling>
          <c:orientation val="minMax"/>
          <c:max val="9"/>
          <c:min val="6"/>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7521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Richlands Combined litter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'Richlands total litter mass (5)'!$A$22</c:f>
              <c:strCache>
                <c:ptCount val="1"/>
                <c:pt idx="0">
                  <c:v>FY26</c:v>
                </c:pt>
              </c:strCache>
            </c:strRef>
          </c:tx>
          <c:spPr>
            <a:ln w="28575" cap="rnd">
              <a:solidFill>
                <a:schemeClr val="accent1"/>
              </a:solidFill>
              <a:round/>
            </a:ln>
            <a:effectLst/>
          </c:spPr>
          <c:marker>
            <c:symbol val="none"/>
          </c:marker>
          <c:cat>
            <c:numRef>
              <c:f>'Richlands total litter mass (5)'!$B$21:$N$21</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total litter mass (5)'!$B$22:$N$22</c:f>
              <c:numCache>
                <c:formatCode>0.00</c:formatCode>
                <c:ptCount val="13"/>
                <c:pt idx="0">
                  <c:v>89.3</c:v>
                </c:pt>
                <c:pt idx="1">
                  <c:v>93.48</c:v>
                </c:pt>
                <c:pt idx="2">
                  <c:v>94.45</c:v>
                </c:pt>
                <c:pt idx="3">
                  <c:v>93.7</c:v>
                </c:pt>
                <c:pt idx="4">
                  <c:v>92.91</c:v>
                </c:pt>
                <c:pt idx="5">
                  <c:v>91.29</c:v>
                </c:pt>
                <c:pt idx="6">
                  <c:v>84.97</c:v>
                </c:pt>
                <c:pt idx="7">
                  <c:v>86.09</c:v>
                </c:pt>
                <c:pt idx="8">
                  <c:v>86.88</c:v>
                </c:pt>
                <c:pt idx="9">
                  <c:v>88.54</c:v>
                </c:pt>
                <c:pt idx="10">
                  <c:v>87.2</c:v>
                </c:pt>
                <c:pt idx="11">
                  <c:v>93.93</c:v>
                </c:pt>
                <c:pt idx="12">
                  <c:v>90.228333333333339</c:v>
                </c:pt>
              </c:numCache>
            </c:numRef>
          </c:val>
          <c:smooth val="0"/>
          <c:extLst>
            <c:ext xmlns:c16="http://schemas.microsoft.com/office/drawing/2014/chart" uri="{C3380CC4-5D6E-409C-BE32-E72D297353CC}">
              <c16:uniqueId val="{00000000-B1D6-4F64-810C-70AA1D373ABA}"/>
            </c:ext>
          </c:extLst>
        </c:ser>
        <c:ser>
          <c:idx val="1"/>
          <c:order val="1"/>
          <c:tx>
            <c:strRef>
              <c:f>'Richlands total litter mass (5)'!$A$23</c:f>
              <c:strCache>
                <c:ptCount val="1"/>
                <c:pt idx="0">
                  <c:v>Prior</c:v>
                </c:pt>
              </c:strCache>
            </c:strRef>
          </c:tx>
          <c:spPr>
            <a:ln w="28575" cap="rnd">
              <a:solidFill>
                <a:schemeClr val="accent2"/>
              </a:solidFill>
              <a:round/>
            </a:ln>
            <a:effectLst/>
          </c:spPr>
          <c:marker>
            <c:symbol val="none"/>
          </c:marker>
          <c:cat>
            <c:numRef>
              <c:f>'Richlands total litter mass (5)'!$B$21:$N$21</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total litter mass (5)'!$B$23:$N$23</c:f>
              <c:numCache>
                <c:formatCode>0.0</c:formatCode>
                <c:ptCount val="13"/>
                <c:pt idx="0">
                  <c:v>97.03904375667021</c:v>
                </c:pt>
                <c:pt idx="1">
                  <c:v>98.045171824973337</c:v>
                </c:pt>
                <c:pt idx="2">
                  <c:v>96.635287086446112</c:v>
                </c:pt>
                <c:pt idx="3">
                  <c:v>96.643400637619564</c:v>
                </c:pt>
                <c:pt idx="4">
                  <c:v>94.092452508004257</c:v>
                </c:pt>
                <c:pt idx="5">
                  <c:v>93.303820704375667</c:v>
                </c:pt>
                <c:pt idx="6">
                  <c:v>91.294849593480308</c:v>
                </c:pt>
                <c:pt idx="7">
                  <c:v>88.69</c:v>
                </c:pt>
                <c:pt idx="8">
                  <c:v>83.85</c:v>
                </c:pt>
                <c:pt idx="9">
                  <c:v>85.04</c:v>
                </c:pt>
                <c:pt idx="10">
                  <c:v>88.61</c:v>
                </c:pt>
                <c:pt idx="11">
                  <c:v>89.9</c:v>
                </c:pt>
                <c:pt idx="12" formatCode="0.00">
                  <c:v>91.928668842630785</c:v>
                </c:pt>
              </c:numCache>
            </c:numRef>
          </c:val>
          <c:smooth val="0"/>
          <c:extLst>
            <c:ext xmlns:c16="http://schemas.microsoft.com/office/drawing/2014/chart" uri="{C3380CC4-5D6E-409C-BE32-E72D297353CC}">
              <c16:uniqueId val="{00000001-B1D6-4F64-810C-70AA1D373ABA}"/>
            </c:ext>
          </c:extLst>
        </c:ser>
        <c:ser>
          <c:idx val="2"/>
          <c:order val="2"/>
          <c:tx>
            <c:strRef>
              <c:f>'Richlands total litter mass (5)'!$A$24</c:f>
              <c:strCache>
                <c:ptCount val="1"/>
                <c:pt idx="0">
                  <c:v>target</c:v>
                </c:pt>
              </c:strCache>
            </c:strRef>
          </c:tx>
          <c:spPr>
            <a:ln w="28575" cap="rnd">
              <a:solidFill>
                <a:schemeClr val="accent3"/>
              </a:solidFill>
              <a:round/>
            </a:ln>
            <a:effectLst/>
          </c:spPr>
          <c:marker>
            <c:symbol val="none"/>
          </c:marker>
          <c:cat>
            <c:numRef>
              <c:f>'Richlands total litter mass (5)'!$B$21:$N$21</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total litter mass (5)'!$B$24:$N$24</c:f>
              <c:numCache>
                <c:formatCode>General</c:formatCode>
                <c:ptCount val="13"/>
                <c:pt idx="0">
                  <c:v>100</c:v>
                </c:pt>
                <c:pt idx="1">
                  <c:v>100</c:v>
                </c:pt>
                <c:pt idx="2">
                  <c:v>100</c:v>
                </c:pt>
                <c:pt idx="3">
                  <c:v>100</c:v>
                </c:pt>
                <c:pt idx="4">
                  <c:v>100</c:v>
                </c:pt>
                <c:pt idx="5">
                  <c:v>100</c:v>
                </c:pt>
                <c:pt idx="6">
                  <c:v>100</c:v>
                </c:pt>
                <c:pt idx="7">
                  <c:v>100</c:v>
                </c:pt>
                <c:pt idx="8">
                  <c:v>100</c:v>
                </c:pt>
                <c:pt idx="9">
                  <c:v>100</c:v>
                </c:pt>
                <c:pt idx="10">
                  <c:v>100</c:v>
                </c:pt>
                <c:pt idx="11">
                  <c:v>100</c:v>
                </c:pt>
                <c:pt idx="12" formatCode="0.00">
                  <c:v>100</c:v>
                </c:pt>
              </c:numCache>
            </c:numRef>
          </c:val>
          <c:smooth val="0"/>
          <c:extLst>
            <c:ext xmlns:c16="http://schemas.microsoft.com/office/drawing/2014/chart" uri="{C3380CC4-5D6E-409C-BE32-E72D297353CC}">
              <c16:uniqueId val="{00000002-B1D6-4F64-810C-70AA1D373ABA}"/>
            </c:ext>
          </c:extLst>
        </c:ser>
        <c:dLbls>
          <c:showLegendKey val="0"/>
          <c:showVal val="0"/>
          <c:showCatName val="0"/>
          <c:showSerName val="0"/>
          <c:showPercent val="0"/>
          <c:showBubbleSize val="0"/>
        </c:dLbls>
        <c:smooth val="0"/>
        <c:axId val="1625354639"/>
        <c:axId val="1620421567"/>
      </c:lineChart>
      <c:dateAx>
        <c:axId val="162535463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0421567"/>
        <c:crosses val="autoZero"/>
        <c:auto val="1"/>
        <c:lblOffset val="100"/>
        <c:baseTimeUnit val="months"/>
      </c:dateAx>
      <c:valAx>
        <c:axId val="1620421567"/>
        <c:scaling>
          <c:orientation val="minMax"/>
          <c:max val="130"/>
          <c:min val="8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53546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Richlands 70 day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'Richlands 70 day weight (5)'!$A$20</c:f>
              <c:strCache>
                <c:ptCount val="1"/>
                <c:pt idx="0">
                  <c:v>FY26</c:v>
                </c:pt>
              </c:strCache>
            </c:strRef>
          </c:tx>
          <c:spPr>
            <a:ln w="28575" cap="rnd">
              <a:solidFill>
                <a:schemeClr val="accent1"/>
              </a:solidFill>
              <a:round/>
            </a:ln>
            <a:effectLst/>
          </c:spPr>
          <c:marker>
            <c:symbol val="none"/>
          </c:marker>
          <c:cat>
            <c:numRef>
              <c:f>'Richlands 70 day weight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'Richlands 70 day weight (5)'!$B$20:$M$20</c:f>
              <c:numCache>
                <c:formatCode>General</c:formatCode>
                <c:ptCount val="12"/>
                <c:pt idx="0">
                  <c:v>27.4</c:v>
                </c:pt>
                <c:pt idx="1">
                  <c:v>27.54</c:v>
                </c:pt>
                <c:pt idx="2">
                  <c:v>27.7</c:v>
                </c:pt>
                <c:pt idx="3">
                  <c:v>28.46</c:v>
                </c:pt>
                <c:pt idx="4">
                  <c:v>27.44</c:v>
                </c:pt>
                <c:pt idx="5">
                  <c:v>27.31</c:v>
                </c:pt>
                <c:pt idx="6">
                  <c:v>26.72</c:v>
                </c:pt>
                <c:pt idx="7">
                  <c:v>26.94</c:v>
                </c:pt>
                <c:pt idx="8">
                  <c:v>26.82</c:v>
                </c:pt>
                <c:pt idx="9">
                  <c:v>26.93</c:v>
                </c:pt>
                <c:pt idx="10">
                  <c:v>26.08</c:v>
                </c:pt>
                <c:pt idx="11">
                  <c:v>27.63</c:v>
                </c:pt>
              </c:numCache>
            </c:numRef>
          </c:val>
          <c:smooth val="0"/>
          <c:extLst>
            <c:ext xmlns:c16="http://schemas.microsoft.com/office/drawing/2014/chart" uri="{C3380CC4-5D6E-409C-BE32-E72D297353CC}">
              <c16:uniqueId val="{00000000-2120-4D7E-A9FA-76D478359A87}"/>
            </c:ext>
          </c:extLst>
        </c:ser>
        <c:ser>
          <c:idx val="1"/>
          <c:order val="1"/>
          <c:tx>
            <c:strRef>
              <c:f>'Richlands 70 day weight (5)'!$A$21</c:f>
              <c:strCache>
                <c:ptCount val="1"/>
                <c:pt idx="0">
                  <c:v>PRIOR YEAR</c:v>
                </c:pt>
              </c:strCache>
            </c:strRef>
          </c:tx>
          <c:spPr>
            <a:ln w="28575" cap="rnd">
              <a:solidFill>
                <a:schemeClr val="accent2"/>
              </a:solidFill>
              <a:round/>
            </a:ln>
            <a:effectLst/>
          </c:spPr>
          <c:marker>
            <c:symbol val="none"/>
          </c:marker>
          <c:cat>
            <c:numRef>
              <c:f>'Richlands 70 day weight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'Richlands 70 day weight (5)'!$B$21:$M$21</c:f>
              <c:numCache>
                <c:formatCode>0.0</c:formatCode>
                <c:ptCount val="12"/>
                <c:pt idx="0">
                  <c:v>27.8</c:v>
                </c:pt>
                <c:pt idx="1">
                  <c:v>28.88</c:v>
                </c:pt>
                <c:pt idx="2">
                  <c:v>28.72</c:v>
                </c:pt>
                <c:pt idx="3">
                  <c:v>29.08</c:v>
                </c:pt>
                <c:pt idx="4">
                  <c:v>28.54</c:v>
                </c:pt>
                <c:pt idx="5">
                  <c:v>27.52</c:v>
                </c:pt>
                <c:pt idx="6">
                  <c:v>27.692499999999999</c:v>
                </c:pt>
                <c:pt idx="7">
                  <c:v>26.28</c:v>
                </c:pt>
                <c:pt idx="8">
                  <c:v>26.9</c:v>
                </c:pt>
                <c:pt idx="9">
                  <c:v>27.26</c:v>
                </c:pt>
                <c:pt idx="10">
                  <c:v>27.32</c:v>
                </c:pt>
                <c:pt idx="11">
                  <c:v>27.76</c:v>
                </c:pt>
              </c:numCache>
            </c:numRef>
          </c:val>
          <c:smooth val="0"/>
          <c:extLst>
            <c:ext xmlns:c16="http://schemas.microsoft.com/office/drawing/2014/chart" uri="{C3380CC4-5D6E-409C-BE32-E72D297353CC}">
              <c16:uniqueId val="{00000001-2120-4D7E-A9FA-76D478359A87}"/>
            </c:ext>
          </c:extLst>
        </c:ser>
        <c:ser>
          <c:idx val="2"/>
          <c:order val="2"/>
          <c:tx>
            <c:strRef>
              <c:f>'Richlands 70 day weight (5)'!$A$22</c:f>
              <c:strCache>
                <c:ptCount val="1"/>
                <c:pt idx="0">
                  <c:v>TARGET</c:v>
                </c:pt>
              </c:strCache>
            </c:strRef>
          </c:tx>
          <c:spPr>
            <a:ln w="28575" cap="rnd">
              <a:solidFill>
                <a:schemeClr val="accent3"/>
              </a:solidFill>
              <a:round/>
            </a:ln>
            <a:effectLst/>
          </c:spPr>
          <c:marker>
            <c:symbol val="none"/>
          </c:marker>
          <c:cat>
            <c:numRef>
              <c:f>'Richlands 70 day weight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'Richlands 70 day weight (5)'!$B$22:$M$22</c:f>
              <c:numCache>
                <c:formatCode>General</c:formatCode>
                <c:ptCount val="12"/>
                <c:pt idx="0">
                  <c:v>28</c:v>
                </c:pt>
                <c:pt idx="1">
                  <c:v>28</c:v>
                </c:pt>
                <c:pt idx="2">
                  <c:v>28</c:v>
                </c:pt>
                <c:pt idx="3">
                  <c:v>28</c:v>
                </c:pt>
                <c:pt idx="4">
                  <c:v>28</c:v>
                </c:pt>
                <c:pt idx="5">
                  <c:v>28</c:v>
                </c:pt>
                <c:pt idx="6">
                  <c:v>28</c:v>
                </c:pt>
                <c:pt idx="7">
                  <c:v>28</c:v>
                </c:pt>
                <c:pt idx="8">
                  <c:v>28</c:v>
                </c:pt>
                <c:pt idx="9">
                  <c:v>28</c:v>
                </c:pt>
                <c:pt idx="10">
                  <c:v>28</c:v>
                </c:pt>
                <c:pt idx="11">
                  <c:v>28</c:v>
                </c:pt>
              </c:numCache>
            </c:numRef>
          </c:val>
          <c:smooth val="0"/>
          <c:extLst>
            <c:ext xmlns:c16="http://schemas.microsoft.com/office/drawing/2014/chart" uri="{C3380CC4-5D6E-409C-BE32-E72D297353CC}">
              <c16:uniqueId val="{00000002-2120-4D7E-A9FA-76D478359A87}"/>
            </c:ext>
          </c:extLst>
        </c:ser>
        <c:dLbls>
          <c:showLegendKey val="0"/>
          <c:showVal val="0"/>
          <c:showCatName val="0"/>
          <c:showSerName val="0"/>
          <c:showPercent val="0"/>
          <c:showBubbleSize val="0"/>
        </c:dLbls>
        <c:smooth val="0"/>
        <c:axId val="103966623"/>
        <c:axId val="91078223"/>
      </c:lineChart>
      <c:dateAx>
        <c:axId val="10396662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78223"/>
        <c:crosses val="autoZero"/>
        <c:auto val="1"/>
        <c:lblOffset val="100"/>
        <c:baseTimeUnit val="months"/>
      </c:dateAx>
      <c:valAx>
        <c:axId val="91078223"/>
        <c:scaling>
          <c:orientation val="minMax"/>
          <c:max val="31"/>
          <c:min val="2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6623"/>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Richlands 70 day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'Richlands 70 day gain (5)'!$A$21</c:f>
              <c:strCache>
                <c:ptCount val="1"/>
                <c:pt idx="0">
                  <c:v>FY26</c:v>
                </c:pt>
              </c:strCache>
            </c:strRef>
          </c:tx>
          <c:spPr>
            <a:ln w="28575" cap="rnd">
              <a:solidFill>
                <a:schemeClr val="accent1"/>
              </a:solidFill>
              <a:round/>
            </a:ln>
            <a:effectLst/>
          </c:spPr>
          <c:marker>
            <c:symbol val="none"/>
          </c:marker>
          <c:cat>
            <c:numRef>
              <c:f>'Richlands 70 day gain (5)'!$B$20:$N$20</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'Richlands 70 day gain (5)'!$B$21:$N$21</c:f>
              <c:numCache>
                <c:formatCode>General</c:formatCode>
                <c:ptCount val="13"/>
                <c:pt idx="0">
                  <c:v>20.7</c:v>
                </c:pt>
                <c:pt idx="1">
                  <c:v>20.99</c:v>
                </c:pt>
                <c:pt idx="2">
                  <c:v>20.85</c:v>
                </c:pt>
                <c:pt idx="3">
                  <c:v>21.51</c:v>
                </c:pt>
                <c:pt idx="4">
                  <c:v>20.78</c:v>
                </c:pt>
                <c:pt idx="5">
                  <c:v>20.53</c:v>
                </c:pt>
                <c:pt idx="6">
                  <c:v>20.02</c:v>
                </c:pt>
                <c:pt idx="7">
                  <c:v>20.61</c:v>
                </c:pt>
                <c:pt idx="8">
                  <c:v>20.100000000000001</c:v>
                </c:pt>
                <c:pt idx="9">
                  <c:v>20.64</c:v>
                </c:pt>
                <c:pt idx="10">
                  <c:v>19.93</c:v>
                </c:pt>
                <c:pt idx="11">
                  <c:v>20.92</c:v>
                </c:pt>
                <c:pt idx="12" formatCode="0.00">
                  <c:v>20.631666666666671</c:v>
                </c:pt>
              </c:numCache>
            </c:numRef>
          </c:val>
          <c:smooth val="0"/>
          <c:extLst>
            <c:ext xmlns:c16="http://schemas.microsoft.com/office/drawing/2014/chart" uri="{C3380CC4-5D6E-409C-BE32-E72D297353CC}">
              <c16:uniqueId val="{00000000-2D73-44C1-8996-B60D96F04A09}"/>
            </c:ext>
          </c:extLst>
        </c:ser>
        <c:ser>
          <c:idx val="1"/>
          <c:order val="1"/>
          <c:tx>
            <c:strRef>
              <c:f>'Richlands 70 day gain (5)'!$A$22</c:f>
              <c:strCache>
                <c:ptCount val="1"/>
                <c:pt idx="0">
                  <c:v>PRIOR YEAR</c:v>
                </c:pt>
              </c:strCache>
            </c:strRef>
          </c:tx>
          <c:spPr>
            <a:ln w="28575" cap="rnd">
              <a:solidFill>
                <a:schemeClr val="accent2"/>
              </a:solidFill>
              <a:round/>
            </a:ln>
            <a:effectLst/>
          </c:spPr>
          <c:marker>
            <c:symbol val="none"/>
          </c:marker>
          <c:cat>
            <c:numRef>
              <c:f>'Richlands 70 day gain (5)'!$B$20:$N$20</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'Richlands 70 day gain (5)'!$B$22:$N$22</c:f>
              <c:numCache>
                <c:formatCode>0.0</c:formatCode>
                <c:ptCount val="13"/>
                <c:pt idx="0">
                  <c:v>21.59</c:v>
                </c:pt>
                <c:pt idx="1">
                  <c:v>21.76</c:v>
                </c:pt>
                <c:pt idx="2">
                  <c:v>21.6</c:v>
                </c:pt>
                <c:pt idx="3">
                  <c:v>21.55</c:v>
                </c:pt>
                <c:pt idx="4">
                  <c:v>21.35</c:v>
                </c:pt>
                <c:pt idx="5">
                  <c:v>20.63</c:v>
                </c:pt>
                <c:pt idx="6">
                  <c:v>20.8125</c:v>
                </c:pt>
                <c:pt idx="7">
                  <c:v>19.93</c:v>
                </c:pt>
                <c:pt idx="8">
                  <c:v>20.27</c:v>
                </c:pt>
                <c:pt idx="9">
                  <c:v>20.9</c:v>
                </c:pt>
                <c:pt idx="10">
                  <c:v>20.92</c:v>
                </c:pt>
                <c:pt idx="11">
                  <c:v>21.37</c:v>
                </c:pt>
                <c:pt idx="12" formatCode="0.00">
                  <c:v>21.056875000000002</c:v>
                </c:pt>
              </c:numCache>
            </c:numRef>
          </c:val>
          <c:smooth val="0"/>
          <c:extLst>
            <c:ext xmlns:c16="http://schemas.microsoft.com/office/drawing/2014/chart" uri="{C3380CC4-5D6E-409C-BE32-E72D297353CC}">
              <c16:uniqueId val="{00000001-2D73-44C1-8996-B60D96F04A09}"/>
            </c:ext>
          </c:extLst>
        </c:ser>
        <c:ser>
          <c:idx val="2"/>
          <c:order val="2"/>
          <c:tx>
            <c:strRef>
              <c:f>'Richlands 70 day gain (5)'!$A$23</c:f>
              <c:strCache>
                <c:ptCount val="1"/>
                <c:pt idx="0">
                  <c:v>TARGET</c:v>
                </c:pt>
              </c:strCache>
            </c:strRef>
          </c:tx>
          <c:spPr>
            <a:ln w="28575" cap="rnd">
              <a:solidFill>
                <a:schemeClr val="accent3"/>
              </a:solidFill>
              <a:round/>
            </a:ln>
            <a:effectLst/>
          </c:spPr>
          <c:marker>
            <c:symbol val="none"/>
          </c:marker>
          <c:cat>
            <c:numRef>
              <c:f>'Richlands 70 day gain (5)'!$B$20:$N$20</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'Richlands 70 day gain (5)'!$B$23:$N$23</c:f>
              <c:numCache>
                <c:formatCode>General</c:formatCode>
                <c:ptCount val="13"/>
                <c:pt idx="0">
                  <c:v>20.8</c:v>
                </c:pt>
                <c:pt idx="1">
                  <c:v>20.8</c:v>
                </c:pt>
                <c:pt idx="2">
                  <c:v>20.8</c:v>
                </c:pt>
                <c:pt idx="3">
                  <c:v>20.8</c:v>
                </c:pt>
                <c:pt idx="4">
                  <c:v>20.8</c:v>
                </c:pt>
                <c:pt idx="5">
                  <c:v>20.8</c:v>
                </c:pt>
                <c:pt idx="6">
                  <c:v>20.8</c:v>
                </c:pt>
                <c:pt idx="7">
                  <c:v>20.8</c:v>
                </c:pt>
                <c:pt idx="8">
                  <c:v>20.8</c:v>
                </c:pt>
                <c:pt idx="9">
                  <c:v>20.8</c:v>
                </c:pt>
                <c:pt idx="10">
                  <c:v>20.8</c:v>
                </c:pt>
                <c:pt idx="11">
                  <c:v>20.8</c:v>
                </c:pt>
                <c:pt idx="12" formatCode="0.00">
                  <c:v>20.800000000000004</c:v>
                </c:pt>
              </c:numCache>
            </c:numRef>
          </c:val>
          <c:smooth val="0"/>
          <c:extLst>
            <c:ext xmlns:c16="http://schemas.microsoft.com/office/drawing/2014/chart" uri="{C3380CC4-5D6E-409C-BE32-E72D297353CC}">
              <c16:uniqueId val="{00000002-2D73-44C1-8996-B60D96F04A09}"/>
            </c:ext>
          </c:extLst>
        </c:ser>
        <c:dLbls>
          <c:showLegendKey val="0"/>
          <c:showVal val="0"/>
          <c:showCatName val="0"/>
          <c:showSerName val="0"/>
          <c:showPercent val="0"/>
          <c:showBubbleSize val="0"/>
        </c:dLbls>
        <c:smooth val="0"/>
        <c:axId val="2111742495"/>
        <c:axId val="1798963647"/>
      </c:lineChart>
      <c:dateAx>
        <c:axId val="211174249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98963647"/>
        <c:crosses val="autoZero"/>
        <c:auto val="1"/>
        <c:lblOffset val="100"/>
        <c:baseTimeUnit val="months"/>
      </c:dateAx>
      <c:valAx>
        <c:axId val="1798963647"/>
        <c:scaling>
          <c:orientation val="minMax"/>
          <c:min val="1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1742495"/>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Richlands W/S/Y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'Richlands WSY  (5)'!$A$19</c:f>
              <c:strCache>
                <c:ptCount val="1"/>
                <c:pt idx="0">
                  <c:v>FY26</c:v>
                </c:pt>
              </c:strCache>
            </c:strRef>
          </c:tx>
          <c:spPr>
            <a:ln w="28575" cap="rnd">
              <a:solidFill>
                <a:schemeClr val="accent1"/>
              </a:solidFill>
              <a:round/>
            </a:ln>
            <a:effectLst/>
          </c:spPr>
          <c:marker>
            <c:symbol val="none"/>
          </c:marker>
          <c:cat>
            <c:numRef>
              <c:f>'Richlands WSY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WSY  (5)'!$B$19:$N$19</c:f>
              <c:numCache>
                <c:formatCode>General</c:formatCode>
                <c:ptCount val="13"/>
                <c:pt idx="0">
                  <c:v>33</c:v>
                </c:pt>
                <c:pt idx="1">
                  <c:v>33.200000000000003</c:v>
                </c:pt>
                <c:pt idx="2">
                  <c:v>33.700000000000003</c:v>
                </c:pt>
                <c:pt idx="3">
                  <c:v>33.4</c:v>
                </c:pt>
                <c:pt idx="4">
                  <c:v>33.299999999999997</c:v>
                </c:pt>
                <c:pt idx="5">
                  <c:v>33.799999999999997</c:v>
                </c:pt>
                <c:pt idx="6">
                  <c:v>33.1</c:v>
                </c:pt>
                <c:pt idx="7">
                  <c:v>33.200000000000003</c:v>
                </c:pt>
                <c:pt idx="8">
                  <c:v>32.799999999999997</c:v>
                </c:pt>
                <c:pt idx="9">
                  <c:v>33</c:v>
                </c:pt>
                <c:pt idx="10">
                  <c:v>31.8</c:v>
                </c:pt>
                <c:pt idx="11">
                  <c:v>33.4</c:v>
                </c:pt>
                <c:pt idx="12" formatCode="0.0">
                  <c:v>33.141666666666673</c:v>
                </c:pt>
              </c:numCache>
            </c:numRef>
          </c:val>
          <c:smooth val="0"/>
          <c:extLst>
            <c:ext xmlns:c16="http://schemas.microsoft.com/office/drawing/2014/chart" uri="{C3380CC4-5D6E-409C-BE32-E72D297353CC}">
              <c16:uniqueId val="{00000000-2D75-4746-9CBF-55E1301C4D25}"/>
            </c:ext>
          </c:extLst>
        </c:ser>
        <c:ser>
          <c:idx val="1"/>
          <c:order val="1"/>
          <c:tx>
            <c:strRef>
              <c:f>'Richlands WSY  (5)'!$A$20</c:f>
              <c:strCache>
                <c:ptCount val="1"/>
                <c:pt idx="0">
                  <c:v>prior</c:v>
                </c:pt>
              </c:strCache>
            </c:strRef>
          </c:tx>
          <c:spPr>
            <a:ln w="28575" cap="rnd">
              <a:solidFill>
                <a:schemeClr val="accent2"/>
              </a:solidFill>
              <a:round/>
            </a:ln>
            <a:effectLst/>
          </c:spPr>
          <c:marker>
            <c:symbol val="none"/>
          </c:marker>
          <c:cat>
            <c:numRef>
              <c:f>'Richlands WSY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WSY  (5)'!$B$20:$N$20</c:f>
              <c:numCache>
                <c:formatCode>General</c:formatCode>
                <c:ptCount val="13"/>
                <c:pt idx="0">
                  <c:v>31.7</c:v>
                </c:pt>
                <c:pt idx="1">
                  <c:v>31.5</c:v>
                </c:pt>
                <c:pt idx="2">
                  <c:v>32</c:v>
                </c:pt>
                <c:pt idx="3">
                  <c:v>32</c:v>
                </c:pt>
                <c:pt idx="4">
                  <c:v>32.700000000000003</c:v>
                </c:pt>
                <c:pt idx="5">
                  <c:v>32.4</c:v>
                </c:pt>
                <c:pt idx="6">
                  <c:v>32.5</c:v>
                </c:pt>
                <c:pt idx="7">
                  <c:v>31.9</c:v>
                </c:pt>
                <c:pt idx="8">
                  <c:v>31.2</c:v>
                </c:pt>
                <c:pt idx="9">
                  <c:v>31.3</c:v>
                </c:pt>
                <c:pt idx="10">
                  <c:v>32.299999999999997</c:v>
                </c:pt>
                <c:pt idx="11">
                  <c:v>33.1</c:v>
                </c:pt>
                <c:pt idx="12" formatCode="0.0">
                  <c:v>32.050000000000004</c:v>
                </c:pt>
              </c:numCache>
            </c:numRef>
          </c:val>
          <c:smooth val="0"/>
          <c:extLst>
            <c:ext xmlns:c16="http://schemas.microsoft.com/office/drawing/2014/chart" uri="{C3380CC4-5D6E-409C-BE32-E72D297353CC}">
              <c16:uniqueId val="{00000001-2D75-4746-9CBF-55E1301C4D25}"/>
            </c:ext>
          </c:extLst>
        </c:ser>
        <c:ser>
          <c:idx val="2"/>
          <c:order val="2"/>
          <c:tx>
            <c:strRef>
              <c:f>'Richlands WSY  (5)'!$A$21</c:f>
              <c:strCache>
                <c:ptCount val="1"/>
                <c:pt idx="0">
                  <c:v>target</c:v>
                </c:pt>
              </c:strCache>
            </c:strRef>
          </c:tx>
          <c:spPr>
            <a:ln w="28575" cap="rnd">
              <a:solidFill>
                <a:schemeClr val="accent3"/>
              </a:solidFill>
              <a:round/>
            </a:ln>
            <a:effectLst/>
          </c:spPr>
          <c:marker>
            <c:symbol val="none"/>
          </c:marker>
          <c:cat>
            <c:numRef>
              <c:f>'Richlands WSY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'Richlands WSY  (5)'!$B$21:$N$21</c:f>
              <c:numCache>
                <c:formatCode>General</c:formatCode>
                <c:ptCount val="13"/>
                <c:pt idx="0">
                  <c:v>31.5</c:v>
                </c:pt>
                <c:pt idx="1">
                  <c:v>31.5</c:v>
                </c:pt>
                <c:pt idx="2">
                  <c:v>31.5</c:v>
                </c:pt>
                <c:pt idx="3">
                  <c:v>31.5</c:v>
                </c:pt>
                <c:pt idx="4">
                  <c:v>31.5</c:v>
                </c:pt>
                <c:pt idx="5">
                  <c:v>31.5</c:v>
                </c:pt>
                <c:pt idx="6">
                  <c:v>31.5</c:v>
                </c:pt>
                <c:pt idx="7">
                  <c:v>31.5</c:v>
                </c:pt>
                <c:pt idx="8">
                  <c:v>31.5</c:v>
                </c:pt>
                <c:pt idx="9">
                  <c:v>31.5</c:v>
                </c:pt>
                <c:pt idx="10">
                  <c:v>31.5</c:v>
                </c:pt>
                <c:pt idx="11">
                  <c:v>31.5</c:v>
                </c:pt>
                <c:pt idx="12" formatCode="0.0">
                  <c:v>31.5</c:v>
                </c:pt>
              </c:numCache>
            </c:numRef>
          </c:val>
          <c:smooth val="0"/>
          <c:extLst>
            <c:ext xmlns:c16="http://schemas.microsoft.com/office/drawing/2014/chart" uri="{C3380CC4-5D6E-409C-BE32-E72D297353CC}">
              <c16:uniqueId val="{00000002-2D75-4746-9CBF-55E1301C4D25}"/>
            </c:ext>
          </c:extLst>
        </c:ser>
        <c:dLbls>
          <c:showLegendKey val="0"/>
          <c:showVal val="0"/>
          <c:showCatName val="0"/>
          <c:showSerName val="0"/>
          <c:showPercent val="0"/>
          <c:showBubbleSize val="0"/>
        </c:dLbls>
        <c:smooth val="0"/>
        <c:axId val="618760752"/>
        <c:axId val="618762552"/>
      </c:lineChart>
      <c:dateAx>
        <c:axId val="61876075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762552"/>
        <c:crosses val="autoZero"/>
        <c:auto val="1"/>
        <c:lblOffset val="100"/>
        <c:baseTimeUnit val="months"/>
      </c:dateAx>
      <c:valAx>
        <c:axId val="618762552"/>
        <c:scaling>
          <c:orientation val="minMax"/>
          <c:max val="38"/>
          <c:min val="2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87607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LH Extension Avg CDM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'LH ext avg Cdm against budg (7)'!$A$19</c:f>
              <c:strCache>
                <c:ptCount val="1"/>
                <c:pt idx="0">
                  <c:v>FY26</c:v>
                </c:pt>
              </c:strCache>
            </c:strRef>
          </c:tx>
          <c:spPr>
            <a:ln w="28575" cap="rnd">
              <a:solidFill>
                <a:schemeClr val="accent1"/>
              </a:solidFill>
              <a:round/>
            </a:ln>
            <a:effectLst/>
          </c:spPr>
          <c:marker>
            <c:symbol val="none"/>
          </c:marker>
          <c:cat>
            <c:numRef>
              <c:f>'LH ext avg Cdm against budg (7)'!$B$18:$M$18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ext avg Cdm against budg (7)'!$B$19:$M$19</c:f>
              <c:numCache>
                <c:formatCode>_-* #,##0.00_-;\-* #,##0.00_-;_-* "-"??_-;_-@_-</c:formatCode>
                <c:ptCount val="12"/>
                <c:pt idx="0">
                  <c:v>92.305631399317406</c:v>
                </c:pt>
                <c:pt idx="1">
                  <c:v>95.428646748681899</c:v>
                </c:pt>
                <c:pt idx="2">
                  <c:v>91.492604006163319</c:v>
                </c:pt>
                <c:pt idx="3">
                  <c:v>87.775280898876403</c:v>
                </c:pt>
                <c:pt idx="4">
                  <c:v>87.291962174940892</c:v>
                </c:pt>
                <c:pt idx="5">
                  <c:v>86.352105263157895</c:v>
                </c:pt>
                <c:pt idx="6">
                  <c:v>84.033806818181816</c:v>
                </c:pt>
                <c:pt idx="7">
                  <c:v>85.530085959885383</c:v>
                </c:pt>
                <c:pt idx="8">
                  <c:v>86.95751072961373</c:v>
                </c:pt>
                <c:pt idx="9">
                  <c:v>84.715007898894157</c:v>
                </c:pt>
                <c:pt idx="10">
                  <c:v>88.262309644670069</c:v>
                </c:pt>
                <c:pt idx="11">
                  <c:v>88.859545004945602</c:v>
                </c:pt>
              </c:numCache>
            </c:numRef>
          </c:val>
          <c:smooth val="0"/>
          <c:extLst>
            <c:ext xmlns:c16="http://schemas.microsoft.com/office/drawing/2014/chart" uri="{C3380CC4-5D6E-409C-BE32-E72D297353CC}">
              <c16:uniqueId val="{00000000-6ACD-43A0-89F8-C4B4D84637A8}"/>
            </c:ext>
          </c:extLst>
        </c:ser>
        <c:ser>
          <c:idx val="1"/>
          <c:order val="1"/>
          <c:tx>
            <c:strRef>
              <c:f>'LH ext avg Cdm against budg (7)'!$A$20</c:f>
              <c:strCache>
                <c:ptCount val="1"/>
                <c:pt idx="0">
                  <c:v>PRIOR YEAR</c:v>
                </c:pt>
              </c:strCache>
            </c:strRef>
          </c:tx>
          <c:spPr>
            <a:ln w="28575" cap="rnd">
              <a:solidFill>
                <a:schemeClr val="accent2"/>
              </a:solidFill>
              <a:round/>
            </a:ln>
            <a:effectLst/>
          </c:spPr>
          <c:marker>
            <c:symbol val="none"/>
          </c:marker>
          <c:cat>
            <c:numRef>
              <c:f>'LH ext avg Cdm against budg (7)'!$B$18:$M$18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ext avg Cdm against budg (7)'!$B$20:$M$20</c:f>
              <c:numCache>
                <c:formatCode>_-* #,##0.00_-;\-* #,##0.00_-;_-* "-"??_-;_-@_-</c:formatCode>
                <c:ptCount val="12"/>
                <c:pt idx="0">
                  <c:v>87.069060773480658</c:v>
                </c:pt>
                <c:pt idx="1">
                  <c:v>90.974556213017749</c:v>
                </c:pt>
                <c:pt idx="2">
                  <c:v>97.884251968503932</c:v>
                </c:pt>
                <c:pt idx="3">
                  <c:v>92.636805555555554</c:v>
                </c:pt>
                <c:pt idx="4">
                  <c:v>92.406315789473695</c:v>
                </c:pt>
                <c:pt idx="5">
                  <c:v>91.531199999999998</c:v>
                </c:pt>
                <c:pt idx="6">
                  <c:v>89.866447368421063</c:v>
                </c:pt>
                <c:pt idx="7">
                  <c:v>93.547495961227796</c:v>
                </c:pt>
                <c:pt idx="8">
                  <c:v>89.525326797385617</c:v>
                </c:pt>
                <c:pt idx="9">
                  <c:v>85.124237804878049</c:v>
                </c:pt>
                <c:pt idx="10">
                  <c:v>88.219736842105249</c:v>
                </c:pt>
                <c:pt idx="11">
                  <c:v>99.662426614481404</c:v>
                </c:pt>
              </c:numCache>
            </c:numRef>
          </c:val>
          <c:smooth val="0"/>
          <c:extLst>
            <c:ext xmlns:c16="http://schemas.microsoft.com/office/drawing/2014/chart" uri="{C3380CC4-5D6E-409C-BE32-E72D297353CC}">
              <c16:uniqueId val="{00000001-6ACD-43A0-89F8-C4B4D84637A8}"/>
            </c:ext>
          </c:extLst>
        </c:ser>
        <c:ser>
          <c:idx val="2"/>
          <c:order val="2"/>
          <c:tx>
            <c:strRef>
              <c:f>'LH ext avg Cdm against budg (7)'!$A$21</c:f>
              <c:strCache>
                <c:ptCount val="1"/>
                <c:pt idx="0">
                  <c:v>TARGET</c:v>
                </c:pt>
              </c:strCache>
            </c:strRef>
          </c:tx>
          <c:spPr>
            <a:ln w="28575" cap="rnd">
              <a:solidFill>
                <a:schemeClr val="accent3"/>
              </a:solidFill>
              <a:round/>
            </a:ln>
            <a:effectLst/>
          </c:spPr>
          <c:marker>
            <c:symbol val="none"/>
          </c:marker>
          <c:cat>
            <c:numRef>
              <c:f>'LH ext avg Cdm against budg (7)'!$B$18:$M$18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ext avg Cdm against budg (7)'!$B$21:$M$21</c:f>
              <c:numCache>
                <c:formatCode>_-* #,##0.00_-;\-* #,##0.00_-;_-* "-"??_-;_-@_-</c:formatCode>
                <c:ptCount val="12"/>
                <c:pt idx="0">
                  <c:v>90</c:v>
                </c:pt>
                <c:pt idx="1">
                  <c:v>90</c:v>
                </c:pt>
                <c:pt idx="2">
                  <c:v>88</c:v>
                </c:pt>
                <c:pt idx="3">
                  <c:v>88</c:v>
                </c:pt>
                <c:pt idx="4">
                  <c:v>88</c:v>
                </c:pt>
                <c:pt idx="5">
                  <c:v>88</c:v>
                </c:pt>
                <c:pt idx="6">
                  <c:v>88</c:v>
                </c:pt>
                <c:pt idx="7">
                  <c:v>88</c:v>
                </c:pt>
                <c:pt idx="8">
                  <c:v>88</c:v>
                </c:pt>
                <c:pt idx="9">
                  <c:v>90</c:v>
                </c:pt>
                <c:pt idx="10">
                  <c:v>90</c:v>
                </c:pt>
                <c:pt idx="11">
                  <c:v>90</c:v>
                </c:pt>
              </c:numCache>
            </c:numRef>
          </c:val>
          <c:smooth val="0"/>
          <c:extLst>
            <c:ext xmlns:c16="http://schemas.microsoft.com/office/drawing/2014/chart" uri="{C3380CC4-5D6E-409C-BE32-E72D297353CC}">
              <c16:uniqueId val="{00000002-6ACD-43A0-89F8-C4B4D84637A8}"/>
            </c:ext>
          </c:extLst>
        </c:ser>
        <c:dLbls>
          <c:showLegendKey val="0"/>
          <c:showVal val="0"/>
          <c:showCatName val="0"/>
          <c:showSerName val="0"/>
          <c:showPercent val="0"/>
          <c:showBubbleSize val="0"/>
        </c:dLbls>
        <c:smooth val="0"/>
        <c:axId val="1545906048"/>
        <c:axId val="1545890240"/>
      </c:lineChart>
      <c:dateAx>
        <c:axId val="15459060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90240"/>
        <c:crosses val="autoZero"/>
        <c:auto val="1"/>
        <c:lblOffset val="100"/>
        <c:baseTimeUnit val="months"/>
      </c:dateAx>
      <c:valAx>
        <c:axId val="1545890240"/>
        <c:scaling>
          <c:orientation val="minMax"/>
          <c:max val="105"/>
          <c:min val="84"/>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0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LH ExtensionCDM to Colcom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'LH Ext total CDM to colcom  (7)'!$A$21</c:f>
              <c:strCache>
                <c:ptCount val="1"/>
                <c:pt idx="0">
                  <c:v>FY26</c:v>
                </c:pt>
              </c:strCache>
            </c:strRef>
          </c:tx>
          <c:spPr>
            <a:ln w="28575" cap="rnd">
              <a:solidFill>
                <a:schemeClr val="accent1"/>
              </a:solidFill>
              <a:round/>
            </a:ln>
            <a:effectLst/>
          </c:spPr>
          <c:marker>
            <c:symbol val="none"/>
          </c:marker>
          <c:cat>
            <c:numRef>
              <c:f>'LH Ext total CDM to colcom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Ext total CDM to colcom  (7)'!$B$21:$M$21</c:f>
              <c:numCache>
                <c:formatCode>_-* #,##0_-;\-* #,##0_-;_-* "-"??_-;_-@_-</c:formatCode>
                <c:ptCount val="12"/>
                <c:pt idx="0">
                  <c:v>54091.1</c:v>
                </c:pt>
                <c:pt idx="1">
                  <c:v>54298.9</c:v>
                </c:pt>
                <c:pt idx="2">
                  <c:v>59378.7</c:v>
                </c:pt>
                <c:pt idx="3">
                  <c:v>46872</c:v>
                </c:pt>
                <c:pt idx="4">
                  <c:v>36924.5</c:v>
                </c:pt>
                <c:pt idx="5">
                  <c:v>65627.600000000006</c:v>
                </c:pt>
                <c:pt idx="6">
                  <c:v>59159.8</c:v>
                </c:pt>
                <c:pt idx="7">
                  <c:v>59699.999999999993</c:v>
                </c:pt>
                <c:pt idx="8">
                  <c:v>81044.399999999994</c:v>
                </c:pt>
                <c:pt idx="9">
                  <c:v>53624.6</c:v>
                </c:pt>
                <c:pt idx="10">
                  <c:v>69550.700000000012</c:v>
                </c:pt>
                <c:pt idx="11">
                  <c:v>89837</c:v>
                </c:pt>
              </c:numCache>
            </c:numRef>
          </c:val>
          <c:smooth val="0"/>
          <c:extLst>
            <c:ext xmlns:c16="http://schemas.microsoft.com/office/drawing/2014/chart" uri="{C3380CC4-5D6E-409C-BE32-E72D297353CC}">
              <c16:uniqueId val="{00000000-44FA-4E07-A9AE-64CAE61F81E8}"/>
            </c:ext>
          </c:extLst>
        </c:ser>
        <c:ser>
          <c:idx val="1"/>
          <c:order val="1"/>
          <c:tx>
            <c:strRef>
              <c:f>'LH Ext total CDM to colcom  (7)'!$A$22</c:f>
              <c:strCache>
                <c:ptCount val="1"/>
                <c:pt idx="0">
                  <c:v>Budget</c:v>
                </c:pt>
              </c:strCache>
            </c:strRef>
          </c:tx>
          <c:spPr>
            <a:ln w="28575" cap="rnd">
              <a:solidFill>
                <a:schemeClr val="accent2"/>
              </a:solidFill>
              <a:round/>
            </a:ln>
            <a:effectLst/>
          </c:spPr>
          <c:marker>
            <c:symbol val="none"/>
          </c:marker>
          <c:cat>
            <c:numRef>
              <c:f>'LH Ext total CDM to colcom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Ext total CDM to colcom  (7)'!$B$22:$M$22</c:f>
              <c:numCache>
                <c:formatCode>_-* #,##0_-;\-* #,##0_-;_-* "-"??_-;_-@_-</c:formatCode>
                <c:ptCount val="12"/>
                <c:pt idx="0">
                  <c:v>49335.166639714749</c:v>
                </c:pt>
                <c:pt idx="1">
                  <c:v>57007.641033594773</c:v>
                </c:pt>
                <c:pt idx="2">
                  <c:v>81239.656273832778</c:v>
                </c:pt>
                <c:pt idx="3">
                  <c:v>65229.144644861517</c:v>
                </c:pt>
                <c:pt idx="4">
                  <c:v>54716.35332734741</c:v>
                </c:pt>
                <c:pt idx="5">
                  <c:v>63375.164670616279</c:v>
                </c:pt>
                <c:pt idx="6">
                  <c:v>60672.465945624768</c:v>
                </c:pt>
                <c:pt idx="7">
                  <c:v>63086.406567438156</c:v>
                </c:pt>
                <c:pt idx="8">
                  <c:v>78880.072336200523</c:v>
                </c:pt>
                <c:pt idx="9">
                  <c:v>64538.241002345887</c:v>
                </c:pt>
                <c:pt idx="10">
                  <c:v>64538.241002345887</c:v>
                </c:pt>
                <c:pt idx="11">
                  <c:v>80704.784993684181</c:v>
                </c:pt>
              </c:numCache>
            </c:numRef>
          </c:val>
          <c:smooth val="0"/>
          <c:extLst>
            <c:ext xmlns:c16="http://schemas.microsoft.com/office/drawing/2014/chart" uri="{C3380CC4-5D6E-409C-BE32-E72D297353CC}">
              <c16:uniqueId val="{00000001-44FA-4E07-A9AE-64CAE61F81E8}"/>
            </c:ext>
          </c:extLst>
        </c:ser>
        <c:dLbls>
          <c:showLegendKey val="0"/>
          <c:showVal val="0"/>
          <c:showCatName val="0"/>
          <c:showSerName val="0"/>
          <c:showPercent val="0"/>
          <c:showBubbleSize val="0"/>
        </c:dLbls>
        <c:smooth val="0"/>
        <c:axId val="1531226096"/>
        <c:axId val="1531228176"/>
      </c:lineChart>
      <c:dateAx>
        <c:axId val="153122609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28176"/>
        <c:crosses val="autoZero"/>
        <c:auto val="1"/>
        <c:lblOffset val="100"/>
        <c:baseTimeUnit val="months"/>
      </c:dateAx>
      <c:valAx>
        <c:axId val="1531228176"/>
        <c:scaling>
          <c:orientation val="minMax"/>
          <c:min val="3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2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LH Extension pigs to Colcom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'LH extension pigs to Colcom (7)'!$A$21</c:f>
              <c:strCache>
                <c:ptCount val="1"/>
                <c:pt idx="0">
                  <c:v>FY26</c:v>
                </c:pt>
              </c:strCache>
            </c:strRef>
          </c:tx>
          <c:spPr>
            <a:ln w="28575" cap="rnd">
              <a:solidFill>
                <a:schemeClr val="accent1"/>
              </a:solidFill>
              <a:round/>
            </a:ln>
            <a:effectLst/>
          </c:spPr>
          <c:marker>
            <c:symbol val="none"/>
          </c:marker>
          <c:cat>
            <c:numRef>
              <c:f>'LH extension pigs to Colcom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extension pigs to Colcom (7)'!$B$21:$M$21</c:f>
              <c:numCache>
                <c:formatCode>_-* #,##0_-;\-* #,##0_-;_-* "-"??_-;_-@_-</c:formatCode>
                <c:ptCount val="12"/>
                <c:pt idx="0">
                  <c:v>586</c:v>
                </c:pt>
                <c:pt idx="1">
                  <c:v>569</c:v>
                </c:pt>
                <c:pt idx="2">
                  <c:v>649</c:v>
                </c:pt>
                <c:pt idx="3">
                  <c:v>534</c:v>
                </c:pt>
                <c:pt idx="4">
                  <c:v>423</c:v>
                </c:pt>
                <c:pt idx="5">
                  <c:v>760</c:v>
                </c:pt>
                <c:pt idx="6">
                  <c:v>704</c:v>
                </c:pt>
                <c:pt idx="7">
                  <c:v>698</c:v>
                </c:pt>
                <c:pt idx="8">
                  <c:v>932</c:v>
                </c:pt>
                <c:pt idx="9">
                  <c:v>633</c:v>
                </c:pt>
                <c:pt idx="10">
                  <c:v>788</c:v>
                </c:pt>
                <c:pt idx="11">
                  <c:v>1011</c:v>
                </c:pt>
              </c:numCache>
            </c:numRef>
          </c:val>
          <c:smooth val="0"/>
          <c:extLst>
            <c:ext xmlns:c16="http://schemas.microsoft.com/office/drawing/2014/chart" uri="{C3380CC4-5D6E-409C-BE32-E72D297353CC}">
              <c16:uniqueId val="{00000000-B062-460D-86ED-209EE46BED7D}"/>
            </c:ext>
          </c:extLst>
        </c:ser>
        <c:ser>
          <c:idx val="1"/>
          <c:order val="1"/>
          <c:tx>
            <c:strRef>
              <c:f>'LH extension pigs to Colcom (7)'!$A$22</c:f>
              <c:strCache>
                <c:ptCount val="1"/>
                <c:pt idx="0">
                  <c:v>Budget</c:v>
                </c:pt>
              </c:strCache>
            </c:strRef>
          </c:tx>
          <c:spPr>
            <a:ln w="28575" cap="rnd">
              <a:solidFill>
                <a:schemeClr val="accent2"/>
              </a:solidFill>
              <a:round/>
            </a:ln>
            <a:effectLst/>
          </c:spPr>
          <c:marker>
            <c:symbol val="none"/>
          </c:marker>
          <c:cat>
            <c:numRef>
              <c:f>'LH extension pigs to Colcom (7)'!$B$20:$M$20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extension pigs to Colcom (7)'!$B$22:$M$22</c:f>
              <c:numCache>
                <c:formatCode>_-* #,##0_-;\-* #,##0_-;_-* "-"??_-;_-@_-</c:formatCode>
                <c:ptCount val="12"/>
                <c:pt idx="0">
                  <c:v>548.16851821905277</c:v>
                </c:pt>
                <c:pt idx="1">
                  <c:v>633.41823370660859</c:v>
                </c:pt>
                <c:pt idx="2">
                  <c:v>923.17791220264519</c:v>
                </c:pt>
                <c:pt idx="3">
                  <c:v>741.24028005524451</c:v>
                </c:pt>
                <c:pt idx="4">
                  <c:v>621.77674235622055</c:v>
                </c:pt>
                <c:pt idx="5">
                  <c:v>720.17232580245775</c:v>
                </c:pt>
                <c:pt idx="6">
                  <c:v>689.45984029119052</c:v>
                </c:pt>
                <c:pt idx="7">
                  <c:v>716.89098372088813</c:v>
                </c:pt>
                <c:pt idx="8">
                  <c:v>896.36445836591508</c:v>
                </c:pt>
                <c:pt idx="9">
                  <c:v>717.09156669273204</c:v>
                </c:pt>
                <c:pt idx="10">
                  <c:v>717.09156669273204</c:v>
                </c:pt>
                <c:pt idx="11">
                  <c:v>896.71983326315762</c:v>
                </c:pt>
              </c:numCache>
            </c:numRef>
          </c:val>
          <c:smooth val="0"/>
          <c:extLst>
            <c:ext xmlns:c16="http://schemas.microsoft.com/office/drawing/2014/chart" uri="{C3380CC4-5D6E-409C-BE32-E72D297353CC}">
              <c16:uniqueId val="{00000001-B062-460D-86ED-209EE46BED7D}"/>
            </c:ext>
          </c:extLst>
        </c:ser>
        <c:dLbls>
          <c:showLegendKey val="0"/>
          <c:showVal val="0"/>
          <c:showCatName val="0"/>
          <c:showSerName val="0"/>
          <c:showPercent val="0"/>
          <c:showBubbleSize val="0"/>
        </c:dLbls>
        <c:smooth val="0"/>
        <c:axId val="1248623712"/>
        <c:axId val="1248631200"/>
      </c:lineChart>
      <c:dateAx>
        <c:axId val="124862371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31200"/>
        <c:crosses val="autoZero"/>
        <c:auto val="1"/>
        <c:lblOffset val="100"/>
        <c:baseTimeUnit val="months"/>
      </c:dateAx>
      <c:valAx>
        <c:axId val="1248631200"/>
        <c:scaling>
          <c:orientation val="minMax"/>
          <c:min val="4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23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Lionshead Avg CDM to Colcom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'LH avg CDM over budget '!$A$21</c:f>
              <c:strCache>
                <c:ptCount val="1"/>
                <c:pt idx="0">
                  <c:v>FY26</c:v>
                </c:pt>
              </c:strCache>
            </c:strRef>
          </c:tx>
          <c:spPr>
            <a:ln w="28575" cap="rnd">
              <a:solidFill>
                <a:schemeClr val="accent1"/>
              </a:solidFill>
              <a:round/>
            </a:ln>
            <a:effectLst/>
          </c:spPr>
          <c:marker>
            <c:symbol val="none"/>
          </c:marker>
          <c:cat>
            <c:numRef>
              <c:f>'LH avg CDM over budget '!$B$20:$M$20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avg CDM over budget '!$B$21:$M$21</c:f>
              <c:numCache>
                <c:formatCode>_-* #,##0.00_-;\-* #,##0.00_-;_-* "-"??_-;_-@_-</c:formatCode>
                <c:ptCount val="12"/>
                <c:pt idx="0">
                  <c:v>92.408420593368234</c:v>
                </c:pt>
                <c:pt idx="1">
                  <c:v>91.933717181022573</c:v>
                </c:pt>
                <c:pt idx="2">
                  <c:v>90.621196643560751</c:v>
                </c:pt>
                <c:pt idx="3">
                  <c:v>90.399624060150387</c:v>
                </c:pt>
                <c:pt idx="4">
                  <c:v>90.184558139534886</c:v>
                </c:pt>
                <c:pt idx="5">
                  <c:v>90.353154162000749</c:v>
                </c:pt>
                <c:pt idx="6">
                  <c:v>89.068465788355297</c:v>
                </c:pt>
                <c:pt idx="7">
                  <c:v>87.191257536606372</c:v>
                </c:pt>
                <c:pt idx="8">
                  <c:v>88.445427435387671</c:v>
                </c:pt>
                <c:pt idx="9">
                  <c:v>88.590848026868173</c:v>
                </c:pt>
                <c:pt idx="10">
                  <c:v>89.630795847750861</c:v>
                </c:pt>
                <c:pt idx="11">
                  <c:v>89.610232558139529</c:v>
                </c:pt>
              </c:numCache>
            </c:numRef>
          </c:val>
          <c:smooth val="0"/>
          <c:extLst>
            <c:ext xmlns:c16="http://schemas.microsoft.com/office/drawing/2014/chart" uri="{C3380CC4-5D6E-409C-BE32-E72D297353CC}">
              <c16:uniqueId val="{00000000-3475-4B7D-8D7D-29D0D299E4CA}"/>
            </c:ext>
          </c:extLst>
        </c:ser>
        <c:ser>
          <c:idx val="1"/>
          <c:order val="1"/>
          <c:tx>
            <c:strRef>
              <c:f>'LH avg CDM over budget '!$A$22</c:f>
              <c:strCache>
                <c:ptCount val="1"/>
                <c:pt idx="0">
                  <c:v>PRIOR YEAR</c:v>
                </c:pt>
              </c:strCache>
            </c:strRef>
          </c:tx>
          <c:spPr>
            <a:ln w="28575" cap="rnd">
              <a:solidFill>
                <a:schemeClr val="accent2"/>
              </a:solidFill>
              <a:round/>
            </a:ln>
            <a:effectLst/>
          </c:spPr>
          <c:marker>
            <c:symbol val="none"/>
          </c:marker>
          <c:cat>
            <c:numRef>
              <c:f>'LH avg CDM over budget '!$B$20:$M$20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avg CDM over budget '!$B$22:$M$22</c:f>
              <c:numCache>
                <c:formatCode>_-* #,##0.00_-;\-* #,##0.00_-;_-* "-"??_-;_-@_-</c:formatCode>
                <c:ptCount val="12"/>
                <c:pt idx="0">
                  <c:v>89.83081847279378</c:v>
                </c:pt>
                <c:pt idx="1">
                  <c:v>94.422358859698164</c:v>
                </c:pt>
                <c:pt idx="2">
                  <c:v>92.462447665056374</c:v>
                </c:pt>
                <c:pt idx="3">
                  <c:v>91.319100000000006</c:v>
                </c:pt>
                <c:pt idx="4">
                  <c:v>90.63034207019102</c:v>
                </c:pt>
                <c:pt idx="5">
                  <c:v>89.163632602399687</c:v>
                </c:pt>
                <c:pt idx="6">
                  <c:v>91.343223300970877</c:v>
                </c:pt>
                <c:pt idx="7">
                  <c:v>89.388237905015544</c:v>
                </c:pt>
                <c:pt idx="8">
                  <c:v>87.620361830436337</c:v>
                </c:pt>
                <c:pt idx="9">
                  <c:v>82.975000000000009</c:v>
                </c:pt>
                <c:pt idx="10">
                  <c:v>86.59448105436573</c:v>
                </c:pt>
                <c:pt idx="11">
                  <c:v>91.841630434782601</c:v>
                </c:pt>
              </c:numCache>
            </c:numRef>
          </c:val>
          <c:smooth val="0"/>
          <c:extLst>
            <c:ext xmlns:c16="http://schemas.microsoft.com/office/drawing/2014/chart" uri="{C3380CC4-5D6E-409C-BE32-E72D297353CC}">
              <c16:uniqueId val="{00000001-3475-4B7D-8D7D-29D0D299E4CA}"/>
            </c:ext>
          </c:extLst>
        </c:ser>
        <c:ser>
          <c:idx val="2"/>
          <c:order val="2"/>
          <c:tx>
            <c:strRef>
              <c:f>'LH avg CDM over budget '!$A$23</c:f>
              <c:strCache>
                <c:ptCount val="1"/>
                <c:pt idx="0">
                  <c:v>Budget</c:v>
                </c:pt>
              </c:strCache>
            </c:strRef>
          </c:tx>
          <c:spPr>
            <a:ln w="28575" cap="rnd">
              <a:solidFill>
                <a:schemeClr val="accent3"/>
              </a:solidFill>
              <a:round/>
            </a:ln>
            <a:effectLst/>
          </c:spPr>
          <c:marker>
            <c:symbol val="none"/>
          </c:marker>
          <c:cat>
            <c:numRef>
              <c:f>'LH avg CDM over budget '!$B$20:$M$20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avg CDM over budget '!$B$23:$M$23</c:f>
              <c:numCache>
                <c:formatCode>_-* #,##0.00_-;\-* #,##0.00_-;_-* "-"??_-;_-@_-</c:formatCode>
                <c:ptCount val="12"/>
                <c:pt idx="0">
                  <c:v>90.961960902206059</c:v>
                </c:pt>
                <c:pt idx="1">
                  <c:v>91.019775287388356</c:v>
                </c:pt>
                <c:pt idx="2">
                  <c:v>89.039150514139877</c:v>
                </c:pt>
                <c:pt idx="3">
                  <c:v>89.022805162864628</c:v>
                </c:pt>
                <c:pt idx="4">
                  <c:v>89.0228038417427</c:v>
                </c:pt>
                <c:pt idx="5">
                  <c:v>89.022649922778285</c:v>
                </c:pt>
                <c:pt idx="6">
                  <c:v>89.022982885426842</c:v>
                </c:pt>
                <c:pt idx="7">
                  <c:v>89.022817147075074</c:v>
                </c:pt>
                <c:pt idx="8">
                  <c:v>89.022534614990732</c:v>
                </c:pt>
                <c:pt idx="9">
                  <c:v>90.997594746332439</c:v>
                </c:pt>
                <c:pt idx="10">
                  <c:v>90.997594746332439</c:v>
                </c:pt>
                <c:pt idx="11">
                  <c:v>90.997204322250241</c:v>
                </c:pt>
              </c:numCache>
            </c:numRef>
          </c:val>
          <c:smooth val="0"/>
          <c:extLst>
            <c:ext xmlns:c16="http://schemas.microsoft.com/office/drawing/2014/chart" uri="{C3380CC4-5D6E-409C-BE32-E72D297353CC}">
              <c16:uniqueId val="{00000002-3475-4B7D-8D7D-29D0D299E4CA}"/>
            </c:ext>
          </c:extLst>
        </c:ser>
        <c:dLbls>
          <c:showLegendKey val="0"/>
          <c:showVal val="0"/>
          <c:showCatName val="0"/>
          <c:showSerName val="0"/>
          <c:showPercent val="0"/>
          <c:showBubbleSize val="0"/>
        </c:dLbls>
        <c:smooth val="0"/>
        <c:axId val="1677526784"/>
        <c:axId val="1677534272"/>
      </c:lineChart>
      <c:dateAx>
        <c:axId val="167752678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34272"/>
        <c:crosses val="autoZero"/>
        <c:auto val="1"/>
        <c:lblOffset val="100"/>
        <c:baseTimeUnit val="months"/>
      </c:dateAx>
      <c:valAx>
        <c:axId val="1677534272"/>
        <c:scaling>
          <c:orientation val="minMax"/>
          <c:max val="105"/>
          <c:min val="84"/>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2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Lionshead CDM to Colcom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'LH total CDM to Colcom'!$A$21</c:f>
              <c:strCache>
                <c:ptCount val="1"/>
                <c:pt idx="0">
                  <c:v>FY26</c:v>
                </c:pt>
              </c:strCache>
            </c:strRef>
          </c:tx>
          <c:spPr>
            <a:ln w="28575" cap="rnd">
              <a:solidFill>
                <a:schemeClr val="accent1"/>
              </a:solidFill>
              <a:round/>
            </a:ln>
            <a:effectLst/>
          </c:spPr>
          <c:marker>
            <c:symbol val="none"/>
          </c:marker>
          <c:cat>
            <c:numRef>
              <c:f>'LH total CDM to Colcom'!$B$20:$M$20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total CDM to Colcom'!$B$21:$M$21</c:f>
              <c:numCache>
                <c:formatCode>_-* #,##0_-;\-* #,##0_-;_-* "-"??_-;_-@_-</c:formatCode>
                <c:ptCount val="12"/>
                <c:pt idx="0">
                  <c:v>211800.1</c:v>
                </c:pt>
                <c:pt idx="1">
                  <c:v>199588.1</c:v>
                </c:pt>
                <c:pt idx="2">
                  <c:v>248392.7</c:v>
                </c:pt>
                <c:pt idx="3">
                  <c:v>216416.7</c:v>
                </c:pt>
                <c:pt idx="4">
                  <c:v>193896.80000000002</c:v>
                </c:pt>
                <c:pt idx="5">
                  <c:v>242056.1</c:v>
                </c:pt>
                <c:pt idx="6">
                  <c:v>209578.1</c:v>
                </c:pt>
                <c:pt idx="7">
                  <c:v>202458.1</c:v>
                </c:pt>
                <c:pt idx="8">
                  <c:v>266928.3</c:v>
                </c:pt>
                <c:pt idx="9">
                  <c:v>211023.4</c:v>
                </c:pt>
                <c:pt idx="10">
                  <c:v>207226.4</c:v>
                </c:pt>
                <c:pt idx="11">
                  <c:v>269726.8</c:v>
                </c:pt>
              </c:numCache>
            </c:numRef>
          </c:val>
          <c:smooth val="0"/>
          <c:extLst>
            <c:ext xmlns:c16="http://schemas.microsoft.com/office/drawing/2014/chart" uri="{C3380CC4-5D6E-409C-BE32-E72D297353CC}">
              <c16:uniqueId val="{00000000-873A-460A-ABCA-325D5FBFCFB3}"/>
            </c:ext>
          </c:extLst>
        </c:ser>
        <c:ser>
          <c:idx val="1"/>
          <c:order val="1"/>
          <c:tx>
            <c:strRef>
              <c:f>'LH total CDM to Colcom'!$A$22</c:f>
              <c:strCache>
                <c:ptCount val="1"/>
                <c:pt idx="0">
                  <c:v>Budget</c:v>
                </c:pt>
              </c:strCache>
            </c:strRef>
          </c:tx>
          <c:spPr>
            <a:ln w="28575" cap="rnd">
              <a:solidFill>
                <a:schemeClr val="accent2"/>
              </a:solidFill>
              <a:round/>
            </a:ln>
            <a:effectLst/>
          </c:spPr>
          <c:marker>
            <c:symbol val="none"/>
          </c:marker>
          <c:cat>
            <c:numRef>
              <c:f>'LH total CDM to Colcom'!$B$20:$M$20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total CDM to Colcom'!$B$22:$M$22</c:f>
              <c:numCache>
                <c:formatCode>_-* #,##0_-;\-* #,##0_-;_-* "-"??_-;_-@_-</c:formatCode>
                <c:ptCount val="12"/>
                <c:pt idx="0">
                  <c:v>211811.92702704537</c:v>
                </c:pt>
                <c:pt idx="1">
                  <c:v>199930.61134664205</c:v>
                </c:pt>
                <c:pt idx="2">
                  <c:v>245914.67597655777</c:v>
                </c:pt>
                <c:pt idx="3">
                  <c:v>199838.99971864972</c:v>
                </c:pt>
                <c:pt idx="4">
                  <c:v>199839.25487841287</c:v>
                </c:pt>
                <c:pt idx="5">
                  <c:v>249836.23387391269</c:v>
                </c:pt>
                <c:pt idx="6">
                  <c:v>199804.68062244687</c:v>
                </c:pt>
                <c:pt idx="7">
                  <c:v>199836.68513398874</c:v>
                </c:pt>
                <c:pt idx="8">
                  <c:v>249864.08342502645</c:v>
                </c:pt>
                <c:pt idx="9">
                  <c:v>204326.06825683985</c:v>
                </c:pt>
                <c:pt idx="10">
                  <c:v>204326.06825683985</c:v>
                </c:pt>
                <c:pt idx="11">
                  <c:v>255506.48589985166</c:v>
                </c:pt>
              </c:numCache>
            </c:numRef>
          </c:val>
          <c:smooth val="0"/>
          <c:extLst>
            <c:ext xmlns:c16="http://schemas.microsoft.com/office/drawing/2014/chart" uri="{C3380CC4-5D6E-409C-BE32-E72D297353CC}">
              <c16:uniqueId val="{00000001-873A-460A-ABCA-325D5FBFCFB3}"/>
            </c:ext>
          </c:extLst>
        </c:ser>
        <c:dLbls>
          <c:showLegendKey val="0"/>
          <c:showVal val="0"/>
          <c:showCatName val="0"/>
          <c:showSerName val="0"/>
          <c:showPercent val="0"/>
          <c:showBubbleSize val="0"/>
        </c:dLbls>
        <c:smooth val="0"/>
        <c:axId val="1531213200"/>
        <c:axId val="1531244816"/>
      </c:lineChart>
      <c:dateAx>
        <c:axId val="15312132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44816"/>
        <c:crosses val="autoZero"/>
        <c:auto val="1"/>
        <c:lblOffset val="100"/>
        <c:baseTimeUnit val="months"/>
      </c:dateAx>
      <c:valAx>
        <c:axId val="1531244816"/>
        <c:scaling>
          <c:orientation val="minMax"/>
          <c:min val="19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21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'[63]LH Pigs to Colcom '!$AD$1</c:f>
              <c:strCache>
                <c:ptCount val="1"/>
                <c:pt idx="0">
                  <c:v>CDM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6.4713035870516189E-2"/>
                  <c:y val="-0.40870443277923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'[63]LH Pigs to Colcom '!$AC$2:$AC$11</c:f>
              <c:strCache>
                <c:ptCount val="10"/>
                <c:pt idx="0">
                  <c:v>2549</c:v>
                </c:pt>
                <c:pt idx="1">
                  <c:v>2127</c:v>
                </c:pt>
                <c:pt idx="2">
                  <c:v>3359</c:v>
                </c:pt>
                <c:pt idx="3">
                  <c:v>2776</c:v>
                </c:pt>
                <c:pt idx="4">
                  <c:v>2821</c:v>
                </c:pt>
                <c:pt idx="5">
                  <c:v>2917</c:v>
                </c:pt>
                <c:pt idx="6">
                  <c:v>3031</c:v>
                </c:pt>
                <c:pt idx="7">
                  <c:v>2872</c:v>
                </c:pt>
                <c:pt idx="8">
                  <c:v>3431</c:v>
                </c:pt>
                <c:pt idx="9">
                  <c:v>3152</c:v>
                </c:pt>
              </c:strCache>
            </c:strRef>
          </c:xVal>
          <c:yVal>
            <c:numRef>
              <c:f>'[63]LH Pigs to Colcom '!$AD$2:$AD$11</c:f>
              <c:numCache>
                <c:formatCode>General</c:formatCode>
                <c:ptCount val="10"/>
                <c:pt idx="0">
                  <c:v>88.449939623137226</c:v>
                </c:pt>
                <c:pt idx="1">
                  <c:v>92.698457536357949</c:v>
                </c:pt>
                <c:pt idx="2">
                  <c:v>95.17334981678016</c:v>
                </c:pt>
                <c:pt idx="3">
                  <c:v>91.977952777777773</c:v>
                </c:pt>
                <c:pt idx="4">
                  <c:v>91.518328929832364</c:v>
                </c:pt>
                <c:pt idx="5">
                  <c:v>90.347416301199843</c:v>
                </c:pt>
                <c:pt idx="6">
                  <c:v>90.604835334695963</c:v>
                </c:pt>
                <c:pt idx="7">
                  <c:v>91.46786693312167</c:v>
                </c:pt>
                <c:pt idx="8">
                  <c:v>88.572844313910977</c:v>
                </c:pt>
                <c:pt idx="9">
                  <c:v>84.049618902439022</c:v>
                </c:pt>
              </c:numCache>
            </c:numRef>
          </c:yVal>
          <c:smooth val="0"/>
          <c:extLst>
            <c:ext xmlns:c16="http://schemas.microsoft.com/office/drawing/2014/chart" uri="{C3380CC4-5D6E-409C-BE32-E72D297353CC}">
              <c16:uniqueId val="{00000001-E4F0-4577-9D14-C4456500BF59}"/>
            </c:ext>
          </c:extLst>
        </c:ser>
        <c:dLbls>
          <c:showLegendKey val="0"/>
          <c:showVal val="0"/>
          <c:showCatName val="0"/>
          <c:showSerName val="0"/>
          <c:showPercent val="0"/>
          <c:showBubbleSize val="0"/>
        </c:dLbls>
        <c:axId val="1018229743"/>
        <c:axId val="1183600159"/>
      </c:scatterChart>
      <c:valAx>
        <c:axId val="1018229743"/>
        <c:scaling>
          <c:orientation val="minMax"/>
          <c:min val="2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00159"/>
        <c:crosses val="autoZero"/>
        <c:crossBetween val="midCat"/>
      </c:valAx>
      <c:valAx>
        <c:axId val="118360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29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Lionshead pigs to Colcom</a:t>
            </a:r>
            <a:r>
              <a:rPr lang="en-ZW" baseline="0"/>
              <a:t> against Budget</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W"/>
        </a:p>
      </c:txPr>
    </c:title>
    <c:autoTitleDeleted val="0"/>
    <c:plotArea>
      <c:layout/>
      <c:lineChart>
        <c:grouping val="standard"/>
        <c:varyColors val="0"/>
        <c:ser>
          <c:idx val="0"/>
          <c:order val="0"/>
          <c:tx>
            <c:strRef>
              <c:f>'LH Pigs to Colcom '!$A$21</c:f>
              <c:strCache>
                <c:ptCount val="1"/>
                <c:pt idx="0">
                  <c:v>FY26</c:v>
                </c:pt>
              </c:strCache>
            </c:strRef>
          </c:tx>
          <c:spPr>
            <a:ln w="28575" cap="rnd">
              <a:solidFill>
                <a:schemeClr val="accent1"/>
              </a:solidFill>
              <a:round/>
            </a:ln>
            <a:effectLst/>
          </c:spPr>
          <c:marker>
            <c:symbol val="none"/>
          </c:marker>
          <c:cat>
            <c:numRef>
              <c:f>'LH Pigs to Colcom '!$B$20:$M$20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Pigs to Colcom '!$B$21:$M$21</c:f>
              <c:numCache>
                <c:formatCode>_-* #,##0_-;\-* #,##0_-;_-* "-"??_-;_-@_-</c:formatCode>
                <c:ptCount val="12"/>
                <c:pt idx="0">
                  <c:v>2292</c:v>
                </c:pt>
                <c:pt idx="1">
                  <c:v>2171</c:v>
                </c:pt>
                <c:pt idx="2">
                  <c:v>2741</c:v>
                </c:pt>
                <c:pt idx="3">
                  <c:v>2394</c:v>
                </c:pt>
                <c:pt idx="4">
                  <c:v>2150</c:v>
                </c:pt>
                <c:pt idx="5">
                  <c:v>2679</c:v>
                </c:pt>
                <c:pt idx="6">
                  <c:v>2353</c:v>
                </c:pt>
                <c:pt idx="7">
                  <c:v>2322</c:v>
                </c:pt>
                <c:pt idx="8">
                  <c:v>3018</c:v>
                </c:pt>
                <c:pt idx="9">
                  <c:v>2382</c:v>
                </c:pt>
                <c:pt idx="10">
                  <c:v>2312</c:v>
                </c:pt>
                <c:pt idx="11">
                  <c:v>3010</c:v>
                </c:pt>
              </c:numCache>
            </c:numRef>
          </c:val>
          <c:smooth val="0"/>
          <c:extLst>
            <c:ext xmlns:c16="http://schemas.microsoft.com/office/drawing/2014/chart" uri="{C3380CC4-5D6E-409C-BE32-E72D297353CC}">
              <c16:uniqueId val="{00000000-6B73-4981-90EE-675BC8101F7A}"/>
            </c:ext>
          </c:extLst>
        </c:ser>
        <c:ser>
          <c:idx val="1"/>
          <c:order val="1"/>
          <c:tx>
            <c:strRef>
              <c:f>'LH Pigs to Colcom '!$A$22</c:f>
              <c:strCache>
                <c:ptCount val="1"/>
                <c:pt idx="0">
                  <c:v>Budget</c:v>
                </c:pt>
              </c:strCache>
            </c:strRef>
          </c:tx>
          <c:spPr>
            <a:ln w="28575" cap="rnd">
              <a:solidFill>
                <a:schemeClr val="accent2"/>
              </a:solidFill>
              <a:round/>
            </a:ln>
            <a:effectLst/>
          </c:spPr>
          <c:marker>
            <c:symbol val="none"/>
          </c:marker>
          <c:cat>
            <c:numRef>
              <c:f>'LH Pigs to Colcom '!$B$20:$M$20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'LH Pigs to Colcom '!$B$22:$M$22</c:f>
              <c:numCache>
                <c:formatCode>_-* #,##0_-;\-* #,##0_-;_-* "-"??_-;_-@_-</c:formatCode>
                <c:ptCount val="12"/>
                <c:pt idx="0">
                  <c:v>2328.5769669671708</c:v>
                </c:pt>
                <c:pt idx="1">
                  <c:v>2196.5623482960227</c:v>
                </c:pt>
                <c:pt idx="2">
                  <c:v>2761.8713179154292</c:v>
                </c:pt>
                <c:pt idx="3">
                  <c:v>2244.8068149846558</c:v>
                </c:pt>
                <c:pt idx="4">
                  <c:v>2244.8097145274191</c:v>
                </c:pt>
                <c:pt idx="5">
                  <c:v>2806.434475839917</c:v>
                </c:pt>
                <c:pt idx="6">
                  <c:v>2244.416825255078</c:v>
                </c:pt>
                <c:pt idx="7">
                  <c:v>2244.7805128862356</c:v>
                </c:pt>
                <c:pt idx="8">
                  <c:v>2806.7509480116641</c:v>
                </c:pt>
                <c:pt idx="9">
                  <c:v>2245.4007584093315</c:v>
                </c:pt>
                <c:pt idx="10">
                  <c:v>2245.4007584093315</c:v>
                </c:pt>
                <c:pt idx="11">
                  <c:v>2807.849843331685</c:v>
                </c:pt>
              </c:numCache>
            </c:numRef>
          </c:val>
          <c:smooth val="0"/>
          <c:extLst>
            <c:ext xmlns:c16="http://schemas.microsoft.com/office/drawing/2014/chart" uri="{C3380CC4-5D6E-409C-BE32-E72D297353CC}">
              <c16:uniqueId val="{00000001-6B73-4981-90EE-675BC8101F7A}"/>
            </c:ext>
          </c:extLst>
        </c:ser>
        <c:dLbls>
          <c:showLegendKey val="0"/>
          <c:showVal val="0"/>
          <c:showCatName val="0"/>
          <c:showSerName val="0"/>
          <c:showPercent val="0"/>
          <c:showBubbleSize val="0"/>
        </c:dLbls>
        <c:smooth val="0"/>
        <c:axId val="1677517632"/>
        <c:axId val="1677518048"/>
      </c:lineChart>
      <c:dateAx>
        <c:axId val="16775176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18048"/>
        <c:crosses val="autoZero"/>
        <c:auto val="1"/>
        <c:lblOffset val="100"/>
        <c:baseTimeUnit val="months"/>
      </c:dateAx>
      <c:valAx>
        <c:axId val="1677518048"/>
        <c:scaling>
          <c:orientation val="minMax"/>
          <c:min val="21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51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LH Kgs sold / sow /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'LH Kgs sold per sow per yea '!$AC$22:$AX$22</c:f>
              <c:numCache>
                <c:formatCode>mmm\-yy</c:formatCode>
                <c:ptCount val="22"/>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pt idx="18">
                  <c:v>46082</c:v>
                </c:pt>
                <c:pt idx="19">
                  <c:v>46113</c:v>
                </c:pt>
                <c:pt idx="20">
                  <c:v>46143</c:v>
                </c:pt>
                <c:pt idx="21">
                  <c:v>46174</c:v>
                </c:pt>
              </c:numCache>
            </c:numRef>
          </c:cat>
          <c:val>
            <c:numRef>
              <c:f>'LH Kgs sold per sow per yea '!$AC$23:$AX$23</c:f>
              <c:numCache>
                <c:formatCode>General</c:formatCode>
                <c:ptCount val="22"/>
                <c:pt idx="0">
                  <c:v>2422.6574309262978</c:v>
                </c:pt>
                <c:pt idx="1">
                  <c:v>2443.4361225669077</c:v>
                </c:pt>
                <c:pt idx="2">
                  <c:v>2473.6884087342582</c:v>
                </c:pt>
                <c:pt idx="3">
                  <c:v>2463.5649814423932</c:v>
                </c:pt>
                <c:pt idx="4">
                  <c:v>2501.7833712503229</c:v>
                </c:pt>
                <c:pt idx="5">
                  <c:v>2517.7179299529539</c:v>
                </c:pt>
                <c:pt idx="6">
                  <c:v>2559.4434819287462</c:v>
                </c:pt>
                <c:pt idx="7">
                  <c:v>2580.9017896934306</c:v>
                </c:pt>
                <c:pt idx="8">
                  <c:v>2614.8148525322154</c:v>
                </c:pt>
                <c:pt idx="9">
                  <c:v>2674.913436312273</c:v>
                </c:pt>
                <c:pt idx="10" formatCode="0.0">
                  <c:v>2718.9956842030465</c:v>
                </c:pt>
                <c:pt idx="11" formatCode="0.0">
                  <c:v>2763.4860811805779</c:v>
                </c:pt>
                <c:pt idx="12" formatCode="0.0">
                  <c:v>2740.6729993411182</c:v>
                </c:pt>
                <c:pt idx="13" formatCode="0.0">
                  <c:v>2751.3913809943547</c:v>
                </c:pt>
                <c:pt idx="14" formatCode="0.0">
                  <c:v>2743.9913610341355</c:v>
                </c:pt>
                <c:pt idx="15" formatCode="0.0">
                  <c:v>2776.6369341637442</c:v>
                </c:pt>
                <c:pt idx="16" formatCode="0.0">
                  <c:v>2759.6976620151095</c:v>
                </c:pt>
                <c:pt idx="17" formatCode="0.0">
                  <c:v>2750.2749938286843</c:v>
                </c:pt>
                <c:pt idx="18" formatCode="0.0">
                  <c:v>2765.948618269591</c:v>
                </c:pt>
                <c:pt idx="19" formatCode="0.0">
                  <c:v>2774.3819107488594</c:v>
                </c:pt>
                <c:pt idx="20" formatCode="0.0">
                  <c:v>2777.0749264413521</c:v>
                </c:pt>
                <c:pt idx="21" formatCode="0.0">
                  <c:v>2782.0330289797544</c:v>
                </c:pt>
              </c:numCache>
            </c:numRef>
          </c:val>
          <c:smooth val="0"/>
          <c:extLst>
            <c:ext xmlns:c16="http://schemas.microsoft.com/office/drawing/2014/chart" uri="{C3380CC4-5D6E-409C-BE32-E72D297353CC}">
              <c16:uniqueId val="{00000000-2788-4288-AE1C-C05DFD67D58E}"/>
            </c:ext>
          </c:extLst>
        </c:ser>
        <c:ser>
          <c:idx val="1"/>
          <c:order val="1"/>
          <c:spPr>
            <a:ln w="28575" cap="rnd">
              <a:solidFill>
                <a:schemeClr val="accent2"/>
              </a:solidFill>
              <a:round/>
            </a:ln>
            <a:effectLst/>
          </c:spPr>
          <c:marker>
            <c:symbol val="none"/>
          </c:marker>
          <c:cat>
            <c:numRef>
              <c:f>'LH Kgs sold per sow per yea '!$AC$22:$AX$22</c:f>
              <c:numCache>
                <c:formatCode>mmm\-yy</c:formatCode>
                <c:ptCount val="22"/>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pt idx="18">
                  <c:v>46082</c:v>
                </c:pt>
                <c:pt idx="19">
                  <c:v>46113</c:v>
                </c:pt>
                <c:pt idx="20">
                  <c:v>46143</c:v>
                </c:pt>
                <c:pt idx="21">
                  <c:v>46174</c:v>
                </c:pt>
              </c:numCache>
            </c:numRef>
          </c:cat>
          <c:val>
            <c:numRef>
              <c:f>'LH Kgs sold per sow per yea '!$AC$24:$AX$24</c:f>
              <c:numCache>
                <c:formatCode>General</c:formatCode>
                <c:ptCount val="22"/>
                <c:pt idx="0">
                  <c:v>2600</c:v>
                </c:pt>
                <c:pt idx="1">
                  <c:v>2600</c:v>
                </c:pt>
                <c:pt idx="2">
                  <c:v>2600</c:v>
                </c:pt>
                <c:pt idx="3">
                  <c:v>2600</c:v>
                </c:pt>
                <c:pt idx="4">
                  <c:v>2842</c:v>
                </c:pt>
                <c:pt idx="5">
                  <c:v>2842</c:v>
                </c:pt>
                <c:pt idx="6">
                  <c:v>2842</c:v>
                </c:pt>
                <c:pt idx="7">
                  <c:v>2842</c:v>
                </c:pt>
                <c:pt idx="8">
                  <c:v>2842</c:v>
                </c:pt>
                <c:pt idx="9">
                  <c:v>2842</c:v>
                </c:pt>
                <c:pt idx="10">
                  <c:v>3000</c:v>
                </c:pt>
                <c:pt idx="11">
                  <c:v>3000</c:v>
                </c:pt>
                <c:pt idx="12">
                  <c:v>3000</c:v>
                </c:pt>
                <c:pt idx="13">
                  <c:v>3000</c:v>
                </c:pt>
                <c:pt idx="14">
                  <c:v>3000</c:v>
                </c:pt>
                <c:pt idx="15">
                  <c:v>3000</c:v>
                </c:pt>
                <c:pt idx="16">
                  <c:v>3000</c:v>
                </c:pt>
                <c:pt idx="17">
                  <c:v>3000</c:v>
                </c:pt>
                <c:pt idx="18">
                  <c:v>3000</c:v>
                </c:pt>
                <c:pt idx="19">
                  <c:v>3000</c:v>
                </c:pt>
                <c:pt idx="20">
                  <c:v>3000</c:v>
                </c:pt>
                <c:pt idx="21">
                  <c:v>3000</c:v>
                </c:pt>
              </c:numCache>
            </c:numRef>
          </c:val>
          <c:smooth val="0"/>
          <c:extLst>
            <c:ext xmlns:c16="http://schemas.microsoft.com/office/drawing/2014/chart" uri="{C3380CC4-5D6E-409C-BE32-E72D297353CC}">
              <c16:uniqueId val="{00000001-2788-4288-AE1C-C05DFD67D58E}"/>
            </c:ext>
          </c:extLst>
        </c:ser>
        <c:dLbls>
          <c:showLegendKey val="0"/>
          <c:showVal val="0"/>
          <c:showCatName val="0"/>
          <c:showSerName val="0"/>
          <c:showPercent val="0"/>
          <c:showBubbleSize val="0"/>
        </c:dLbls>
        <c:smooth val="0"/>
        <c:axId val="991177392"/>
        <c:axId val="884476688"/>
      </c:lineChart>
      <c:dateAx>
        <c:axId val="99117739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476688"/>
        <c:crosses val="autoZero"/>
        <c:auto val="1"/>
        <c:lblOffset val="100"/>
        <c:baseTimeUnit val="months"/>
      </c:dateAx>
      <c:valAx>
        <c:axId val="884476688"/>
        <c:scaling>
          <c:orientation val="minMax"/>
          <c:min val="2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17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Lions Head Farrow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'LH Farrow Rate (5)'!$A$20</c:f>
              <c:strCache>
                <c:ptCount val="1"/>
                <c:pt idx="0">
                  <c:v>FY26</c:v>
                </c:pt>
              </c:strCache>
            </c:strRef>
          </c:tx>
          <c:spPr>
            <a:ln w="28575" cap="rnd">
              <a:solidFill>
                <a:schemeClr val="accent1"/>
              </a:solidFill>
              <a:round/>
            </a:ln>
            <a:effectLst/>
          </c:spPr>
          <c:marker>
            <c:symbol val="none"/>
          </c:marker>
          <c:cat>
            <c:numRef>
              <c:f>'LH Farrow Rate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Farrow Rate (5)'!$B$20:$M$20</c:f>
              <c:numCache>
                <c:formatCode>General</c:formatCode>
                <c:ptCount val="12"/>
                <c:pt idx="0">
                  <c:v>88</c:v>
                </c:pt>
                <c:pt idx="1">
                  <c:v>88</c:v>
                </c:pt>
                <c:pt idx="2">
                  <c:v>92</c:v>
                </c:pt>
                <c:pt idx="3">
                  <c:v>94</c:v>
                </c:pt>
                <c:pt idx="4">
                  <c:v>96</c:v>
                </c:pt>
                <c:pt idx="5">
                  <c:v>91</c:v>
                </c:pt>
                <c:pt idx="6">
                  <c:v>94</c:v>
                </c:pt>
                <c:pt idx="7">
                  <c:v>94</c:v>
                </c:pt>
                <c:pt idx="8">
                  <c:v>92</c:v>
                </c:pt>
                <c:pt idx="9">
                  <c:v>93</c:v>
                </c:pt>
                <c:pt idx="10">
                  <c:v>90</c:v>
                </c:pt>
                <c:pt idx="11">
                  <c:v>91</c:v>
                </c:pt>
              </c:numCache>
            </c:numRef>
          </c:val>
          <c:smooth val="0"/>
          <c:extLst>
            <c:ext xmlns:c16="http://schemas.microsoft.com/office/drawing/2014/chart" uri="{C3380CC4-5D6E-409C-BE32-E72D297353CC}">
              <c16:uniqueId val="{00000000-BD22-4A30-8C83-10B2BC0DA83C}"/>
            </c:ext>
          </c:extLst>
        </c:ser>
        <c:ser>
          <c:idx val="1"/>
          <c:order val="1"/>
          <c:tx>
            <c:strRef>
              <c:f>'LH Farrow Rate (5)'!$A$21</c:f>
              <c:strCache>
                <c:ptCount val="1"/>
                <c:pt idx="0">
                  <c:v>prior</c:v>
                </c:pt>
              </c:strCache>
            </c:strRef>
          </c:tx>
          <c:spPr>
            <a:ln w="28575" cap="rnd">
              <a:solidFill>
                <a:schemeClr val="accent2"/>
              </a:solidFill>
              <a:round/>
            </a:ln>
            <a:effectLst/>
          </c:spPr>
          <c:marker>
            <c:symbol val="none"/>
          </c:marker>
          <c:cat>
            <c:numRef>
              <c:f>'LH Farrow Rate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Farrow Rate (5)'!$B$21:$M$21</c:f>
              <c:numCache>
                <c:formatCode>General</c:formatCode>
                <c:ptCount val="12"/>
                <c:pt idx="0">
                  <c:v>89.1</c:v>
                </c:pt>
                <c:pt idx="1">
                  <c:v>91</c:v>
                </c:pt>
                <c:pt idx="2">
                  <c:v>94</c:v>
                </c:pt>
                <c:pt idx="3">
                  <c:v>94</c:v>
                </c:pt>
                <c:pt idx="4">
                  <c:v>96</c:v>
                </c:pt>
                <c:pt idx="5">
                  <c:v>94</c:v>
                </c:pt>
                <c:pt idx="6">
                  <c:v>92</c:v>
                </c:pt>
                <c:pt idx="7">
                  <c:v>90</c:v>
                </c:pt>
                <c:pt idx="8">
                  <c:v>88</c:v>
                </c:pt>
                <c:pt idx="9">
                  <c:v>88</c:v>
                </c:pt>
                <c:pt idx="10">
                  <c:v>91</c:v>
                </c:pt>
                <c:pt idx="11">
                  <c:v>88</c:v>
                </c:pt>
              </c:numCache>
            </c:numRef>
          </c:val>
          <c:smooth val="0"/>
          <c:extLst>
            <c:ext xmlns:c16="http://schemas.microsoft.com/office/drawing/2014/chart" uri="{C3380CC4-5D6E-409C-BE32-E72D297353CC}">
              <c16:uniqueId val="{00000001-BD22-4A30-8C83-10B2BC0DA83C}"/>
            </c:ext>
          </c:extLst>
        </c:ser>
        <c:ser>
          <c:idx val="2"/>
          <c:order val="2"/>
          <c:tx>
            <c:strRef>
              <c:f>'LH Farrow Rate (5)'!$A$22</c:f>
              <c:strCache>
                <c:ptCount val="1"/>
                <c:pt idx="0">
                  <c:v>target</c:v>
                </c:pt>
              </c:strCache>
            </c:strRef>
          </c:tx>
          <c:spPr>
            <a:ln w="28575" cap="rnd">
              <a:solidFill>
                <a:schemeClr val="accent3"/>
              </a:solidFill>
              <a:round/>
            </a:ln>
            <a:effectLst/>
          </c:spPr>
          <c:marker>
            <c:symbol val="none"/>
          </c:marker>
          <c:cat>
            <c:numRef>
              <c:f>'LH Farrow Rate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Farrow Rate (5)'!$B$22:$M$22</c:f>
              <c:numCache>
                <c:formatCode>General</c:formatCode>
                <c:ptCount val="12"/>
                <c:pt idx="0">
                  <c:v>90.4</c:v>
                </c:pt>
                <c:pt idx="1">
                  <c:v>90.4</c:v>
                </c:pt>
                <c:pt idx="2">
                  <c:v>90.4</c:v>
                </c:pt>
                <c:pt idx="3">
                  <c:v>90.4</c:v>
                </c:pt>
                <c:pt idx="4">
                  <c:v>90.4</c:v>
                </c:pt>
                <c:pt idx="5">
                  <c:v>90.4</c:v>
                </c:pt>
                <c:pt idx="6">
                  <c:v>90.4</c:v>
                </c:pt>
                <c:pt idx="7">
                  <c:v>90.4</c:v>
                </c:pt>
                <c:pt idx="8">
                  <c:v>90.4</c:v>
                </c:pt>
                <c:pt idx="9">
                  <c:v>90.4</c:v>
                </c:pt>
                <c:pt idx="10">
                  <c:v>90.4</c:v>
                </c:pt>
                <c:pt idx="11">
                  <c:v>90.4</c:v>
                </c:pt>
              </c:numCache>
            </c:numRef>
          </c:val>
          <c:smooth val="0"/>
          <c:extLst>
            <c:ext xmlns:c16="http://schemas.microsoft.com/office/drawing/2014/chart" uri="{C3380CC4-5D6E-409C-BE32-E72D297353CC}">
              <c16:uniqueId val="{00000002-BD22-4A30-8C83-10B2BC0DA83C}"/>
            </c:ext>
          </c:extLst>
        </c:ser>
        <c:dLbls>
          <c:showLegendKey val="0"/>
          <c:showVal val="0"/>
          <c:showCatName val="0"/>
          <c:showSerName val="0"/>
          <c:showPercent val="0"/>
          <c:showBubbleSize val="0"/>
        </c:dLbls>
        <c:smooth val="0"/>
        <c:axId val="1443424736"/>
        <c:axId val="1437968416"/>
      </c:lineChart>
      <c:dateAx>
        <c:axId val="14434247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7968416"/>
        <c:crosses val="autoZero"/>
        <c:auto val="1"/>
        <c:lblOffset val="100"/>
        <c:baseTimeUnit val="months"/>
      </c:dateAx>
      <c:valAx>
        <c:axId val="1437968416"/>
        <c:scaling>
          <c:orientation val="minMax"/>
          <c:max val="100"/>
          <c:min val="7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3424736"/>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Lions Head Avg Born Alive </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'LH Born Alive (5)'!$A$19</c:f>
              <c:strCache>
                <c:ptCount val="1"/>
                <c:pt idx="0">
                  <c:v>FY26</c:v>
                </c:pt>
              </c:strCache>
            </c:strRef>
          </c:tx>
          <c:spPr>
            <a:ln w="28575" cap="rnd">
              <a:solidFill>
                <a:schemeClr val="accent1"/>
              </a:solidFill>
              <a:round/>
            </a:ln>
            <a:effectLst/>
          </c:spPr>
          <c:marker>
            <c:symbol val="none"/>
          </c:marker>
          <c:cat>
            <c:numRef>
              <c:f>'LH Born Alive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Born Alive (5)'!$B$19:$M$19</c:f>
              <c:numCache>
                <c:formatCode>General</c:formatCode>
                <c:ptCount val="12"/>
                <c:pt idx="0">
                  <c:v>14.6</c:v>
                </c:pt>
                <c:pt idx="1">
                  <c:v>14.7</c:v>
                </c:pt>
                <c:pt idx="2">
                  <c:v>15.3</c:v>
                </c:pt>
                <c:pt idx="3">
                  <c:v>15.7</c:v>
                </c:pt>
                <c:pt idx="4">
                  <c:v>15.3</c:v>
                </c:pt>
                <c:pt idx="5">
                  <c:v>15.2</c:v>
                </c:pt>
                <c:pt idx="6">
                  <c:v>15.3</c:v>
                </c:pt>
                <c:pt idx="7">
                  <c:v>15.2</c:v>
                </c:pt>
                <c:pt idx="8">
                  <c:v>15.5</c:v>
                </c:pt>
                <c:pt idx="9">
                  <c:v>15.7</c:v>
                </c:pt>
                <c:pt idx="10">
                  <c:v>15.3</c:v>
                </c:pt>
                <c:pt idx="11">
                  <c:v>15.5</c:v>
                </c:pt>
              </c:numCache>
            </c:numRef>
          </c:val>
          <c:smooth val="0"/>
          <c:extLst>
            <c:ext xmlns:c16="http://schemas.microsoft.com/office/drawing/2014/chart" uri="{C3380CC4-5D6E-409C-BE32-E72D297353CC}">
              <c16:uniqueId val="{00000000-FF17-4950-84DC-AB4ADE4BA4AE}"/>
            </c:ext>
          </c:extLst>
        </c:ser>
        <c:ser>
          <c:idx val="1"/>
          <c:order val="1"/>
          <c:tx>
            <c:strRef>
              <c:f>'LH Born Alive (5)'!$A$20</c:f>
              <c:strCache>
                <c:ptCount val="1"/>
                <c:pt idx="0">
                  <c:v>prior</c:v>
                </c:pt>
              </c:strCache>
            </c:strRef>
          </c:tx>
          <c:spPr>
            <a:ln w="28575" cap="rnd">
              <a:solidFill>
                <a:schemeClr val="accent2"/>
              </a:solidFill>
              <a:round/>
            </a:ln>
            <a:effectLst/>
          </c:spPr>
          <c:marker>
            <c:symbol val="none"/>
          </c:marker>
          <c:cat>
            <c:numRef>
              <c:f>'LH Born Alive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Born Alive (5)'!$B$20:$M$20</c:f>
              <c:numCache>
                <c:formatCode>0.0</c:formatCode>
                <c:ptCount val="12"/>
                <c:pt idx="0">
                  <c:v>14.3</c:v>
                </c:pt>
                <c:pt idx="1">
                  <c:v>14.2</c:v>
                </c:pt>
                <c:pt idx="2">
                  <c:v>14.9</c:v>
                </c:pt>
                <c:pt idx="3">
                  <c:v>14.7</c:v>
                </c:pt>
                <c:pt idx="4">
                  <c:v>15.3</c:v>
                </c:pt>
                <c:pt idx="5">
                  <c:v>14.8</c:v>
                </c:pt>
                <c:pt idx="6">
                  <c:v>14.4</c:v>
                </c:pt>
                <c:pt idx="7">
                  <c:v>15</c:v>
                </c:pt>
                <c:pt idx="8">
                  <c:v>13.8</c:v>
                </c:pt>
                <c:pt idx="9">
                  <c:v>14.4</c:v>
                </c:pt>
                <c:pt idx="10">
                  <c:v>14.7</c:v>
                </c:pt>
                <c:pt idx="11">
                  <c:v>14.7</c:v>
                </c:pt>
              </c:numCache>
            </c:numRef>
          </c:val>
          <c:smooth val="0"/>
          <c:extLst>
            <c:ext xmlns:c16="http://schemas.microsoft.com/office/drawing/2014/chart" uri="{C3380CC4-5D6E-409C-BE32-E72D297353CC}">
              <c16:uniqueId val="{00000001-FF17-4950-84DC-AB4ADE4BA4AE}"/>
            </c:ext>
          </c:extLst>
        </c:ser>
        <c:ser>
          <c:idx val="2"/>
          <c:order val="2"/>
          <c:tx>
            <c:strRef>
              <c:f>'LH Born Alive (5)'!$A$21</c:f>
              <c:strCache>
                <c:ptCount val="1"/>
                <c:pt idx="0">
                  <c:v>target</c:v>
                </c:pt>
              </c:strCache>
            </c:strRef>
          </c:tx>
          <c:spPr>
            <a:ln w="28575" cap="rnd">
              <a:solidFill>
                <a:schemeClr val="accent3"/>
              </a:solidFill>
              <a:round/>
            </a:ln>
            <a:effectLst/>
          </c:spPr>
          <c:marker>
            <c:symbol val="none"/>
          </c:marker>
          <c:cat>
            <c:numRef>
              <c:f>'LH Born Alive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Born Alive (5)'!$B$21:$M$21</c:f>
              <c:numCache>
                <c:formatCode>General</c:formatCode>
                <c:ptCount val="12"/>
                <c:pt idx="0">
                  <c:v>14.5</c:v>
                </c:pt>
                <c:pt idx="1">
                  <c:v>14.5</c:v>
                </c:pt>
                <c:pt idx="2">
                  <c:v>14.5</c:v>
                </c:pt>
                <c:pt idx="3">
                  <c:v>14.5</c:v>
                </c:pt>
                <c:pt idx="4">
                  <c:v>14.5</c:v>
                </c:pt>
                <c:pt idx="5">
                  <c:v>14.5</c:v>
                </c:pt>
                <c:pt idx="6">
                  <c:v>14.5</c:v>
                </c:pt>
                <c:pt idx="7">
                  <c:v>14.5</c:v>
                </c:pt>
                <c:pt idx="8">
                  <c:v>14.5</c:v>
                </c:pt>
                <c:pt idx="9">
                  <c:v>14.5</c:v>
                </c:pt>
                <c:pt idx="10">
                  <c:v>14.5</c:v>
                </c:pt>
                <c:pt idx="11">
                  <c:v>14.5</c:v>
                </c:pt>
              </c:numCache>
            </c:numRef>
          </c:val>
          <c:smooth val="0"/>
          <c:extLst>
            <c:ext xmlns:c16="http://schemas.microsoft.com/office/drawing/2014/chart" uri="{C3380CC4-5D6E-409C-BE32-E72D297353CC}">
              <c16:uniqueId val="{00000002-FF17-4950-84DC-AB4ADE4BA4AE}"/>
            </c:ext>
          </c:extLst>
        </c:ser>
        <c:dLbls>
          <c:showLegendKey val="0"/>
          <c:showVal val="0"/>
          <c:showCatName val="0"/>
          <c:showSerName val="0"/>
          <c:showPercent val="0"/>
          <c:showBubbleSize val="0"/>
        </c:dLbls>
        <c:smooth val="0"/>
        <c:axId val="1466578432"/>
        <c:axId val="1490401264"/>
      </c:lineChart>
      <c:dateAx>
        <c:axId val="14665784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90401264"/>
        <c:crosses val="autoZero"/>
        <c:auto val="1"/>
        <c:lblOffset val="100"/>
        <c:baseTimeUnit val="months"/>
      </c:dateAx>
      <c:valAx>
        <c:axId val="1490401264"/>
        <c:scaling>
          <c:orientation val="minMax"/>
          <c:min val="13.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665784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Lions Head Wean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'LH Wean Weight  (5)'!$A$20</c:f>
              <c:strCache>
                <c:ptCount val="1"/>
                <c:pt idx="0">
                  <c:v>FY26</c:v>
                </c:pt>
              </c:strCache>
            </c:strRef>
          </c:tx>
          <c:spPr>
            <a:ln w="28575" cap="rnd">
              <a:solidFill>
                <a:schemeClr val="accent1"/>
              </a:solidFill>
              <a:round/>
            </a:ln>
            <a:effectLst/>
          </c:spPr>
          <c:marker>
            <c:symbol val="none"/>
          </c:marker>
          <c:cat>
            <c:numRef>
              <c:f>'LH Wean Weight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Wean Weight  (5)'!$B$20:$M$20</c:f>
              <c:numCache>
                <c:formatCode>0.0</c:formatCode>
                <c:ptCount val="12"/>
                <c:pt idx="0">
                  <c:v>7.4</c:v>
                </c:pt>
                <c:pt idx="1">
                  <c:v>7.3</c:v>
                </c:pt>
                <c:pt idx="2">
                  <c:v>7.18</c:v>
                </c:pt>
                <c:pt idx="3">
                  <c:v>6.78</c:v>
                </c:pt>
                <c:pt idx="4">
                  <c:v>6.7</c:v>
                </c:pt>
                <c:pt idx="5">
                  <c:v>6.76</c:v>
                </c:pt>
                <c:pt idx="6">
                  <c:v>6.93</c:v>
                </c:pt>
                <c:pt idx="7">
                  <c:v>7.03</c:v>
                </c:pt>
                <c:pt idx="8">
                  <c:v>6.7</c:v>
                </c:pt>
                <c:pt idx="9">
                  <c:v>6.6</c:v>
                </c:pt>
                <c:pt idx="10">
                  <c:v>6.66</c:v>
                </c:pt>
                <c:pt idx="11">
                  <c:v>7.1</c:v>
                </c:pt>
              </c:numCache>
            </c:numRef>
          </c:val>
          <c:smooth val="0"/>
          <c:extLst>
            <c:ext xmlns:c16="http://schemas.microsoft.com/office/drawing/2014/chart" uri="{C3380CC4-5D6E-409C-BE32-E72D297353CC}">
              <c16:uniqueId val="{00000000-5C7D-4057-87A0-656A1DD1DCF2}"/>
            </c:ext>
          </c:extLst>
        </c:ser>
        <c:ser>
          <c:idx val="1"/>
          <c:order val="1"/>
          <c:tx>
            <c:strRef>
              <c:f>'LH Wean Weight  (5)'!$A$21</c:f>
              <c:strCache>
                <c:ptCount val="1"/>
                <c:pt idx="0">
                  <c:v>prior</c:v>
                </c:pt>
              </c:strCache>
            </c:strRef>
          </c:tx>
          <c:spPr>
            <a:ln w="28575" cap="rnd">
              <a:solidFill>
                <a:schemeClr val="accent2"/>
              </a:solidFill>
              <a:round/>
            </a:ln>
            <a:effectLst/>
          </c:spPr>
          <c:marker>
            <c:symbol val="none"/>
          </c:marker>
          <c:cat>
            <c:numRef>
              <c:f>'LH Wean Weight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Wean Weight  (5)'!$B$21:$M$21</c:f>
              <c:numCache>
                <c:formatCode>General</c:formatCode>
                <c:ptCount val="12"/>
                <c:pt idx="0">
                  <c:v>7.5</c:v>
                </c:pt>
                <c:pt idx="1">
                  <c:v>7.5</c:v>
                </c:pt>
                <c:pt idx="2">
                  <c:v>7.28</c:v>
                </c:pt>
                <c:pt idx="3">
                  <c:v>6.95</c:v>
                </c:pt>
                <c:pt idx="4">
                  <c:v>6.9</c:v>
                </c:pt>
                <c:pt idx="5">
                  <c:v>6.44</c:v>
                </c:pt>
                <c:pt idx="6">
                  <c:v>6.6</c:v>
                </c:pt>
                <c:pt idx="7">
                  <c:v>6.7</c:v>
                </c:pt>
                <c:pt idx="8">
                  <c:v>6.88</c:v>
                </c:pt>
                <c:pt idx="9">
                  <c:v>6.65</c:v>
                </c:pt>
                <c:pt idx="10">
                  <c:v>7.05</c:v>
                </c:pt>
                <c:pt idx="11">
                  <c:v>7.04</c:v>
                </c:pt>
              </c:numCache>
            </c:numRef>
          </c:val>
          <c:smooth val="0"/>
          <c:extLst>
            <c:ext xmlns:c16="http://schemas.microsoft.com/office/drawing/2014/chart" uri="{C3380CC4-5D6E-409C-BE32-E72D297353CC}">
              <c16:uniqueId val="{00000001-5C7D-4057-87A0-656A1DD1DCF2}"/>
            </c:ext>
          </c:extLst>
        </c:ser>
        <c:ser>
          <c:idx val="2"/>
          <c:order val="2"/>
          <c:tx>
            <c:strRef>
              <c:f>'LH Wean Weight  (5)'!$A$22</c:f>
              <c:strCache>
                <c:ptCount val="1"/>
                <c:pt idx="0">
                  <c:v>target</c:v>
                </c:pt>
              </c:strCache>
            </c:strRef>
          </c:tx>
          <c:spPr>
            <a:ln w="28575" cap="rnd">
              <a:solidFill>
                <a:schemeClr val="accent3"/>
              </a:solidFill>
              <a:round/>
            </a:ln>
            <a:effectLst/>
          </c:spPr>
          <c:marker>
            <c:symbol val="none"/>
          </c:marker>
          <c:cat>
            <c:numRef>
              <c:f>'LH Wean Weight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Wean Weight  (5)'!$B$22:$M$22</c:f>
              <c:numCache>
                <c:formatCode>General</c:formatCode>
                <c:ptCount val="12"/>
                <c:pt idx="0">
                  <c:v>7.2</c:v>
                </c:pt>
                <c:pt idx="1">
                  <c:v>7.2</c:v>
                </c:pt>
                <c:pt idx="2">
                  <c:v>7.2</c:v>
                </c:pt>
                <c:pt idx="3">
                  <c:v>7.2</c:v>
                </c:pt>
                <c:pt idx="4">
                  <c:v>7.2</c:v>
                </c:pt>
                <c:pt idx="5">
                  <c:v>7.2</c:v>
                </c:pt>
                <c:pt idx="6">
                  <c:v>7.2</c:v>
                </c:pt>
                <c:pt idx="7">
                  <c:v>7.2</c:v>
                </c:pt>
                <c:pt idx="8">
                  <c:v>7.2</c:v>
                </c:pt>
                <c:pt idx="9">
                  <c:v>7.2</c:v>
                </c:pt>
                <c:pt idx="10">
                  <c:v>7.2</c:v>
                </c:pt>
                <c:pt idx="11">
                  <c:v>7.2</c:v>
                </c:pt>
              </c:numCache>
            </c:numRef>
          </c:val>
          <c:smooth val="0"/>
          <c:extLst>
            <c:ext xmlns:c16="http://schemas.microsoft.com/office/drawing/2014/chart" uri="{C3380CC4-5D6E-409C-BE32-E72D297353CC}">
              <c16:uniqueId val="{00000002-5C7D-4057-87A0-656A1DD1DCF2}"/>
            </c:ext>
          </c:extLst>
        </c:ser>
        <c:dLbls>
          <c:showLegendKey val="0"/>
          <c:showVal val="0"/>
          <c:showCatName val="0"/>
          <c:showSerName val="0"/>
          <c:showPercent val="0"/>
          <c:showBubbleSize val="0"/>
        </c:dLbls>
        <c:smooth val="0"/>
        <c:axId val="1496575856"/>
        <c:axId val="1490392528"/>
      </c:lineChart>
      <c:dateAx>
        <c:axId val="149657585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90392528"/>
        <c:crosses val="autoZero"/>
        <c:auto val="1"/>
        <c:lblOffset val="100"/>
        <c:baseTimeUnit val="months"/>
      </c:dateAx>
      <c:valAx>
        <c:axId val="1490392528"/>
        <c:scaling>
          <c:orientation val="minMax"/>
          <c:max val="9"/>
          <c:min val="6"/>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96575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Lions Head Total Litter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'LH total litter mass  (5)'!$A$22</c:f>
              <c:strCache>
                <c:ptCount val="1"/>
                <c:pt idx="0">
                  <c:v>FY26</c:v>
                </c:pt>
              </c:strCache>
            </c:strRef>
          </c:tx>
          <c:spPr>
            <a:ln w="28575" cap="rnd">
              <a:solidFill>
                <a:schemeClr val="accent1"/>
              </a:solidFill>
              <a:round/>
            </a:ln>
            <a:effectLst/>
          </c:spPr>
          <c:marker>
            <c:symbol val="none"/>
          </c:marker>
          <c:cat>
            <c:numRef>
              <c:f>'LH total litter mass  (5)'!$B$21:$N$21</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pt idx="12">
                  <c:v>46228</c:v>
                </c:pt>
              </c:numCache>
            </c:numRef>
          </c:cat>
          <c:val>
            <c:numRef>
              <c:f>'LH total litter mass  (5)'!$B$22:$N$22</c:f>
              <c:numCache>
                <c:formatCode>0.00</c:formatCode>
                <c:ptCount val="13"/>
                <c:pt idx="0">
                  <c:v>99.3</c:v>
                </c:pt>
                <c:pt idx="1">
                  <c:v>93.71</c:v>
                </c:pt>
                <c:pt idx="2">
                  <c:v>97.44</c:v>
                </c:pt>
                <c:pt idx="3">
                  <c:v>92.06</c:v>
                </c:pt>
                <c:pt idx="4">
                  <c:v>96.73</c:v>
                </c:pt>
                <c:pt idx="5">
                  <c:v>95.93</c:v>
                </c:pt>
                <c:pt idx="6">
                  <c:v>94.76</c:v>
                </c:pt>
                <c:pt idx="7">
                  <c:v>104.83</c:v>
                </c:pt>
                <c:pt idx="8">
                  <c:v>94.92</c:v>
                </c:pt>
                <c:pt idx="9">
                  <c:v>93.28</c:v>
                </c:pt>
                <c:pt idx="10">
                  <c:v>91.47</c:v>
                </c:pt>
                <c:pt idx="11">
                  <c:v>100.52</c:v>
                </c:pt>
                <c:pt idx="12">
                  <c:v>96.245833333333337</c:v>
                </c:pt>
              </c:numCache>
            </c:numRef>
          </c:val>
          <c:smooth val="0"/>
          <c:extLst>
            <c:ext xmlns:c16="http://schemas.microsoft.com/office/drawing/2014/chart" uri="{C3380CC4-5D6E-409C-BE32-E72D297353CC}">
              <c16:uniqueId val="{00000000-DA2E-41DA-BB7B-6550A39801AF}"/>
            </c:ext>
          </c:extLst>
        </c:ser>
        <c:ser>
          <c:idx val="1"/>
          <c:order val="1"/>
          <c:tx>
            <c:strRef>
              <c:f>'LH total litter mass  (5)'!$A$23</c:f>
              <c:strCache>
                <c:ptCount val="1"/>
                <c:pt idx="0">
                  <c:v>prior</c:v>
                </c:pt>
              </c:strCache>
            </c:strRef>
          </c:tx>
          <c:spPr>
            <a:ln w="28575" cap="rnd">
              <a:solidFill>
                <a:schemeClr val="accent2"/>
              </a:solidFill>
              <a:round/>
            </a:ln>
            <a:effectLst/>
          </c:spPr>
          <c:marker>
            <c:symbol val="none"/>
          </c:marker>
          <c:cat>
            <c:numRef>
              <c:f>'LH total litter mass  (5)'!$B$21:$N$21</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pt idx="12">
                  <c:v>46228</c:v>
                </c:pt>
              </c:numCache>
            </c:numRef>
          </c:cat>
          <c:val>
            <c:numRef>
              <c:f>'LH total litter mass  (5)'!$B$23:$N$23</c:f>
              <c:numCache>
                <c:formatCode>General</c:formatCode>
                <c:ptCount val="13"/>
                <c:pt idx="0">
                  <c:v>95.94</c:v>
                </c:pt>
                <c:pt idx="1">
                  <c:v>95.68</c:v>
                </c:pt>
                <c:pt idx="2">
                  <c:v>96.16</c:v>
                </c:pt>
                <c:pt idx="3">
                  <c:v>92.7</c:v>
                </c:pt>
                <c:pt idx="4">
                  <c:v>92.35</c:v>
                </c:pt>
                <c:pt idx="5">
                  <c:v>88.03</c:v>
                </c:pt>
                <c:pt idx="6">
                  <c:v>85.802641402714926</c:v>
                </c:pt>
                <c:pt idx="7">
                  <c:v>88.81</c:v>
                </c:pt>
                <c:pt idx="8">
                  <c:v>93.593000000000004</c:v>
                </c:pt>
                <c:pt idx="9">
                  <c:v>85.43</c:v>
                </c:pt>
                <c:pt idx="10">
                  <c:v>91.69</c:v>
                </c:pt>
                <c:pt idx="11">
                  <c:v>94.16</c:v>
                </c:pt>
                <c:pt idx="12">
                  <c:v>88.275000000000006</c:v>
                </c:pt>
              </c:numCache>
            </c:numRef>
          </c:val>
          <c:smooth val="0"/>
          <c:extLst>
            <c:ext xmlns:c16="http://schemas.microsoft.com/office/drawing/2014/chart" uri="{C3380CC4-5D6E-409C-BE32-E72D297353CC}">
              <c16:uniqueId val="{00000001-DA2E-41DA-BB7B-6550A39801AF}"/>
            </c:ext>
          </c:extLst>
        </c:ser>
        <c:ser>
          <c:idx val="2"/>
          <c:order val="2"/>
          <c:tx>
            <c:strRef>
              <c:f>'LH total litter mass  (5)'!$A$24</c:f>
              <c:strCache>
                <c:ptCount val="1"/>
                <c:pt idx="0">
                  <c:v>target</c:v>
                </c:pt>
              </c:strCache>
            </c:strRef>
          </c:tx>
          <c:spPr>
            <a:ln w="28575" cap="rnd">
              <a:solidFill>
                <a:schemeClr val="accent3"/>
              </a:solidFill>
              <a:round/>
            </a:ln>
            <a:effectLst/>
          </c:spPr>
          <c:marker>
            <c:symbol val="none"/>
          </c:marker>
          <c:cat>
            <c:numRef>
              <c:f>'LH total litter mass  (5)'!$B$21:$N$21</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pt idx="12">
                  <c:v>46228</c:v>
                </c:pt>
              </c:numCache>
            </c:numRef>
          </c:cat>
          <c:val>
            <c:numRef>
              <c:f>'LH total litter mass  (5)'!$B$24:$N$24</c:f>
              <c:numCache>
                <c:formatCode>General</c:formatCode>
                <c:ptCount val="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numCache>
            </c:numRef>
          </c:val>
          <c:smooth val="0"/>
          <c:extLst>
            <c:ext xmlns:c16="http://schemas.microsoft.com/office/drawing/2014/chart" uri="{C3380CC4-5D6E-409C-BE32-E72D297353CC}">
              <c16:uniqueId val="{00000002-DA2E-41DA-BB7B-6550A39801AF}"/>
            </c:ext>
          </c:extLst>
        </c:ser>
        <c:dLbls>
          <c:showLegendKey val="0"/>
          <c:showVal val="0"/>
          <c:showCatName val="0"/>
          <c:showSerName val="0"/>
          <c:showPercent val="0"/>
          <c:showBubbleSize val="0"/>
        </c:dLbls>
        <c:smooth val="0"/>
        <c:axId val="1501563488"/>
        <c:axId val="1490400848"/>
      </c:lineChart>
      <c:dateAx>
        <c:axId val="150156348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90400848"/>
        <c:crosses val="autoZero"/>
        <c:auto val="1"/>
        <c:lblOffset val="100"/>
        <c:baseTimeUnit val="months"/>
      </c:dateAx>
      <c:valAx>
        <c:axId val="1490400848"/>
        <c:scaling>
          <c:orientation val="minMax"/>
          <c:max val="130"/>
          <c:min val="8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01563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Lions Head 70 Day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'LH 70 day weight  (5)'!$A$21</c:f>
              <c:strCache>
                <c:ptCount val="1"/>
                <c:pt idx="0">
                  <c:v>Fy26</c:v>
                </c:pt>
              </c:strCache>
            </c:strRef>
          </c:tx>
          <c:spPr>
            <a:ln w="28575" cap="rnd">
              <a:solidFill>
                <a:schemeClr val="accent1"/>
              </a:solidFill>
              <a:round/>
            </a:ln>
            <a:effectLst/>
          </c:spPr>
          <c:marker>
            <c:symbol val="none"/>
          </c:marker>
          <c:cat>
            <c:numRef>
              <c:f>'LH 70 day weight  (5)'!$B$20:$M$20</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70 day weight  (5)'!$B$21:$M$21</c:f>
              <c:numCache>
                <c:formatCode>General</c:formatCode>
                <c:ptCount val="12"/>
                <c:pt idx="0">
                  <c:v>25.9</c:v>
                </c:pt>
                <c:pt idx="1">
                  <c:v>27.66</c:v>
                </c:pt>
                <c:pt idx="2">
                  <c:v>26.797999999999998</c:v>
                </c:pt>
                <c:pt idx="3">
                  <c:v>25.67</c:v>
                </c:pt>
                <c:pt idx="4">
                  <c:v>25.1</c:v>
                </c:pt>
                <c:pt idx="5">
                  <c:v>24.82</c:v>
                </c:pt>
                <c:pt idx="6">
                  <c:v>25.28</c:v>
                </c:pt>
                <c:pt idx="7">
                  <c:v>25.73</c:v>
                </c:pt>
                <c:pt idx="8">
                  <c:v>25.01</c:v>
                </c:pt>
                <c:pt idx="9">
                  <c:v>25.54</c:v>
                </c:pt>
                <c:pt idx="10">
                  <c:v>24.84</c:v>
                </c:pt>
                <c:pt idx="11">
                  <c:v>24.91</c:v>
                </c:pt>
              </c:numCache>
            </c:numRef>
          </c:val>
          <c:smooth val="0"/>
          <c:extLst>
            <c:ext xmlns:c16="http://schemas.microsoft.com/office/drawing/2014/chart" uri="{C3380CC4-5D6E-409C-BE32-E72D297353CC}">
              <c16:uniqueId val="{00000000-7387-478C-B808-AB92B1A95428}"/>
            </c:ext>
          </c:extLst>
        </c:ser>
        <c:ser>
          <c:idx val="1"/>
          <c:order val="1"/>
          <c:tx>
            <c:strRef>
              <c:f>'LH 70 day weight  (5)'!$A$22</c:f>
              <c:strCache>
                <c:ptCount val="1"/>
                <c:pt idx="0">
                  <c:v>PRIOR YEAR</c:v>
                </c:pt>
              </c:strCache>
            </c:strRef>
          </c:tx>
          <c:spPr>
            <a:ln w="28575" cap="rnd">
              <a:solidFill>
                <a:schemeClr val="accent2"/>
              </a:solidFill>
              <a:round/>
            </a:ln>
            <a:effectLst/>
          </c:spPr>
          <c:marker>
            <c:symbol val="none"/>
          </c:marker>
          <c:cat>
            <c:numRef>
              <c:f>'LH 70 day weight  (5)'!$B$20:$M$20</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70 day weight  (5)'!$B$22:$M$22</c:f>
              <c:numCache>
                <c:formatCode>0.0</c:formatCode>
                <c:ptCount val="12"/>
                <c:pt idx="0">
                  <c:v>26.3</c:v>
                </c:pt>
                <c:pt idx="1">
                  <c:v>27.63</c:v>
                </c:pt>
                <c:pt idx="2">
                  <c:v>28.72</c:v>
                </c:pt>
                <c:pt idx="3">
                  <c:v>28.52</c:v>
                </c:pt>
                <c:pt idx="4">
                  <c:v>27.7</c:v>
                </c:pt>
                <c:pt idx="5">
                  <c:v>26.617999999999999</c:v>
                </c:pt>
                <c:pt idx="6">
                  <c:v>24.252500000000001</c:v>
                </c:pt>
                <c:pt idx="7">
                  <c:v>24.68</c:v>
                </c:pt>
                <c:pt idx="8">
                  <c:v>25.873999999999999</c:v>
                </c:pt>
                <c:pt idx="9">
                  <c:v>26.06</c:v>
                </c:pt>
                <c:pt idx="10">
                  <c:v>26.26</c:v>
                </c:pt>
                <c:pt idx="11">
                  <c:v>26.5</c:v>
                </c:pt>
              </c:numCache>
            </c:numRef>
          </c:val>
          <c:smooth val="0"/>
          <c:extLst>
            <c:ext xmlns:c16="http://schemas.microsoft.com/office/drawing/2014/chart" uri="{C3380CC4-5D6E-409C-BE32-E72D297353CC}">
              <c16:uniqueId val="{00000001-7387-478C-B808-AB92B1A95428}"/>
            </c:ext>
          </c:extLst>
        </c:ser>
        <c:ser>
          <c:idx val="2"/>
          <c:order val="2"/>
          <c:tx>
            <c:strRef>
              <c:f>'LH 70 day weight  (5)'!$A$23</c:f>
              <c:strCache>
                <c:ptCount val="1"/>
                <c:pt idx="0">
                  <c:v>TARGET</c:v>
                </c:pt>
              </c:strCache>
            </c:strRef>
          </c:tx>
          <c:spPr>
            <a:ln w="28575" cap="rnd">
              <a:solidFill>
                <a:schemeClr val="accent3"/>
              </a:solidFill>
              <a:round/>
            </a:ln>
            <a:effectLst/>
          </c:spPr>
          <c:marker>
            <c:symbol val="none"/>
          </c:marker>
          <c:cat>
            <c:numRef>
              <c:f>'LH 70 day weight  (5)'!$B$20:$M$20</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70 day weight  (5)'!$B$23:$M$23</c:f>
              <c:numCache>
                <c:formatCode>General</c:formatCode>
                <c:ptCount val="12"/>
                <c:pt idx="0">
                  <c:v>27</c:v>
                </c:pt>
                <c:pt idx="1">
                  <c:v>27</c:v>
                </c:pt>
                <c:pt idx="2">
                  <c:v>27</c:v>
                </c:pt>
                <c:pt idx="3">
                  <c:v>27</c:v>
                </c:pt>
                <c:pt idx="4">
                  <c:v>27</c:v>
                </c:pt>
                <c:pt idx="5">
                  <c:v>27</c:v>
                </c:pt>
                <c:pt idx="6">
                  <c:v>27</c:v>
                </c:pt>
                <c:pt idx="7">
                  <c:v>27</c:v>
                </c:pt>
                <c:pt idx="8">
                  <c:v>27</c:v>
                </c:pt>
                <c:pt idx="9">
                  <c:v>27</c:v>
                </c:pt>
                <c:pt idx="10">
                  <c:v>27</c:v>
                </c:pt>
                <c:pt idx="11">
                  <c:v>27</c:v>
                </c:pt>
              </c:numCache>
            </c:numRef>
          </c:val>
          <c:smooth val="0"/>
          <c:extLst>
            <c:ext xmlns:c16="http://schemas.microsoft.com/office/drawing/2014/chart" uri="{C3380CC4-5D6E-409C-BE32-E72D297353CC}">
              <c16:uniqueId val="{00000002-7387-478C-B808-AB92B1A95428}"/>
            </c:ext>
          </c:extLst>
        </c:ser>
        <c:dLbls>
          <c:showLegendKey val="0"/>
          <c:showVal val="0"/>
          <c:showCatName val="0"/>
          <c:showSerName val="0"/>
          <c:showPercent val="0"/>
          <c:showBubbleSize val="0"/>
        </c:dLbls>
        <c:smooth val="0"/>
        <c:axId val="1496241968"/>
        <c:axId val="1490409584"/>
      </c:lineChart>
      <c:dateAx>
        <c:axId val="14962419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409584"/>
        <c:crosses val="autoZero"/>
        <c:auto val="1"/>
        <c:lblOffset val="100"/>
        <c:baseTimeUnit val="months"/>
      </c:dateAx>
      <c:valAx>
        <c:axId val="1490409584"/>
        <c:scaling>
          <c:orientation val="minMax"/>
          <c:max val="31"/>
          <c:min val="2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241968"/>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Lions Head 70 Day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'LH 70 day gain  (5)'!$A$21</c:f>
              <c:strCache>
                <c:ptCount val="1"/>
                <c:pt idx="0">
                  <c:v>FY26</c:v>
                </c:pt>
              </c:strCache>
            </c:strRef>
          </c:tx>
          <c:spPr>
            <a:ln w="28575" cap="rnd">
              <a:solidFill>
                <a:schemeClr val="accent1"/>
              </a:solidFill>
              <a:round/>
            </a:ln>
            <a:effectLst/>
          </c:spPr>
          <c:marker>
            <c:symbol val="none"/>
          </c:marker>
          <c:cat>
            <c:numRef>
              <c:f>'LH 70 day gain  (5)'!$B$20:$M$20</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70 day gain  (5)'!$B$21:$M$21</c:f>
              <c:numCache>
                <c:formatCode>General</c:formatCode>
                <c:ptCount val="12"/>
                <c:pt idx="0">
                  <c:v>19</c:v>
                </c:pt>
                <c:pt idx="1">
                  <c:v>20.47</c:v>
                </c:pt>
                <c:pt idx="2">
                  <c:v>19.39</c:v>
                </c:pt>
                <c:pt idx="3">
                  <c:v>18.239999999999998</c:v>
                </c:pt>
                <c:pt idx="4">
                  <c:v>17.91</c:v>
                </c:pt>
                <c:pt idx="5">
                  <c:v>18.100000000000001</c:v>
                </c:pt>
                <c:pt idx="6">
                  <c:v>18.510000000000002</c:v>
                </c:pt>
                <c:pt idx="7">
                  <c:v>18.64</c:v>
                </c:pt>
                <c:pt idx="8">
                  <c:v>18.329999999999998</c:v>
                </c:pt>
                <c:pt idx="9">
                  <c:v>18.95</c:v>
                </c:pt>
                <c:pt idx="10">
                  <c:v>18.29</c:v>
                </c:pt>
                <c:pt idx="11">
                  <c:v>18.2</c:v>
                </c:pt>
              </c:numCache>
            </c:numRef>
          </c:val>
          <c:smooth val="0"/>
          <c:extLst>
            <c:ext xmlns:c16="http://schemas.microsoft.com/office/drawing/2014/chart" uri="{C3380CC4-5D6E-409C-BE32-E72D297353CC}">
              <c16:uniqueId val="{00000000-EF74-44A3-B71E-04FFA79779FA}"/>
            </c:ext>
          </c:extLst>
        </c:ser>
        <c:ser>
          <c:idx val="1"/>
          <c:order val="1"/>
          <c:tx>
            <c:strRef>
              <c:f>'LH 70 day gain  (5)'!$A$22</c:f>
              <c:strCache>
                <c:ptCount val="1"/>
                <c:pt idx="0">
                  <c:v>PRIOR YEAR</c:v>
                </c:pt>
              </c:strCache>
            </c:strRef>
          </c:tx>
          <c:spPr>
            <a:ln w="28575" cap="rnd">
              <a:solidFill>
                <a:schemeClr val="accent2"/>
              </a:solidFill>
              <a:round/>
            </a:ln>
            <a:effectLst/>
          </c:spPr>
          <c:marker>
            <c:symbol val="none"/>
          </c:marker>
          <c:cat>
            <c:numRef>
              <c:f>'LH 70 day gain  (5)'!$B$20:$M$20</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70 day gain  (5)'!$B$22:$M$22</c:f>
              <c:numCache>
                <c:formatCode>0.0</c:formatCode>
                <c:ptCount val="12"/>
                <c:pt idx="0">
                  <c:v>19.59</c:v>
                </c:pt>
                <c:pt idx="1">
                  <c:v>20.68</c:v>
                </c:pt>
                <c:pt idx="2">
                  <c:v>21.31</c:v>
                </c:pt>
                <c:pt idx="3">
                  <c:v>21.02</c:v>
                </c:pt>
                <c:pt idx="4">
                  <c:v>20.83</c:v>
                </c:pt>
                <c:pt idx="5">
                  <c:v>19.866</c:v>
                </c:pt>
                <c:pt idx="6">
                  <c:v>17.790000000000003</c:v>
                </c:pt>
                <c:pt idx="7">
                  <c:v>18.239999999999998</c:v>
                </c:pt>
                <c:pt idx="8">
                  <c:v>19.463999999999999</c:v>
                </c:pt>
                <c:pt idx="9">
                  <c:v>19.172999999999998</c:v>
                </c:pt>
                <c:pt idx="10">
                  <c:v>19.559999999999999</c:v>
                </c:pt>
                <c:pt idx="11">
                  <c:v>19.829999999999998</c:v>
                </c:pt>
              </c:numCache>
            </c:numRef>
          </c:val>
          <c:smooth val="0"/>
          <c:extLst>
            <c:ext xmlns:c16="http://schemas.microsoft.com/office/drawing/2014/chart" uri="{C3380CC4-5D6E-409C-BE32-E72D297353CC}">
              <c16:uniqueId val="{00000001-EF74-44A3-B71E-04FFA79779FA}"/>
            </c:ext>
          </c:extLst>
        </c:ser>
        <c:ser>
          <c:idx val="2"/>
          <c:order val="2"/>
          <c:tx>
            <c:strRef>
              <c:f>'LH 70 day gain  (5)'!$A$23</c:f>
              <c:strCache>
                <c:ptCount val="1"/>
                <c:pt idx="0">
                  <c:v>TARGET</c:v>
                </c:pt>
              </c:strCache>
            </c:strRef>
          </c:tx>
          <c:spPr>
            <a:ln w="28575" cap="rnd">
              <a:solidFill>
                <a:schemeClr val="accent3"/>
              </a:solidFill>
              <a:round/>
            </a:ln>
            <a:effectLst/>
          </c:spPr>
          <c:marker>
            <c:symbol val="none"/>
          </c:marker>
          <c:cat>
            <c:numRef>
              <c:f>'LH 70 day gain  (5)'!$B$20:$M$20</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70 day gain  (5)'!$B$23:$M$23</c:f>
              <c:numCache>
                <c:formatCode>General</c:formatCode>
                <c:ptCount val="12"/>
                <c:pt idx="0">
                  <c:v>19.8</c:v>
                </c:pt>
                <c:pt idx="1">
                  <c:v>19.8</c:v>
                </c:pt>
                <c:pt idx="2">
                  <c:v>19.8</c:v>
                </c:pt>
                <c:pt idx="3">
                  <c:v>19.8</c:v>
                </c:pt>
                <c:pt idx="4">
                  <c:v>19.8</c:v>
                </c:pt>
                <c:pt idx="5">
                  <c:v>19.8</c:v>
                </c:pt>
                <c:pt idx="6">
                  <c:v>19.8</c:v>
                </c:pt>
                <c:pt idx="7">
                  <c:v>19.8</c:v>
                </c:pt>
                <c:pt idx="8">
                  <c:v>19.8</c:v>
                </c:pt>
                <c:pt idx="9">
                  <c:v>19.8</c:v>
                </c:pt>
                <c:pt idx="10">
                  <c:v>19.8</c:v>
                </c:pt>
                <c:pt idx="11">
                  <c:v>19.8</c:v>
                </c:pt>
              </c:numCache>
            </c:numRef>
          </c:val>
          <c:smooth val="0"/>
          <c:extLst>
            <c:ext xmlns:c16="http://schemas.microsoft.com/office/drawing/2014/chart" uri="{C3380CC4-5D6E-409C-BE32-E72D297353CC}">
              <c16:uniqueId val="{00000002-EF74-44A3-B71E-04FFA79779FA}"/>
            </c:ext>
          </c:extLst>
        </c:ser>
        <c:dLbls>
          <c:showLegendKey val="0"/>
          <c:showVal val="0"/>
          <c:showCatName val="0"/>
          <c:showSerName val="0"/>
          <c:showPercent val="0"/>
          <c:showBubbleSize val="0"/>
        </c:dLbls>
        <c:smooth val="0"/>
        <c:axId val="1505305568"/>
        <c:axId val="1490343440"/>
      </c:lineChart>
      <c:dateAx>
        <c:axId val="15053055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343440"/>
        <c:crosses val="autoZero"/>
        <c:auto val="1"/>
        <c:lblOffset val="100"/>
        <c:baseTimeUnit val="months"/>
      </c:dateAx>
      <c:valAx>
        <c:axId val="1490343440"/>
        <c:scaling>
          <c:orientation val="minMax"/>
          <c:max val="23"/>
          <c:min val="1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05568"/>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Lions Head Weaned Per Sow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'LH WSY  (5)'!$A$19</c:f>
              <c:strCache>
                <c:ptCount val="1"/>
                <c:pt idx="0">
                  <c:v>FY26</c:v>
                </c:pt>
              </c:strCache>
            </c:strRef>
          </c:tx>
          <c:spPr>
            <a:ln w="28575" cap="rnd">
              <a:solidFill>
                <a:schemeClr val="accent1"/>
              </a:solidFill>
              <a:round/>
            </a:ln>
            <a:effectLst/>
          </c:spPr>
          <c:marker>
            <c:symbol val="none"/>
          </c:marker>
          <c:cat>
            <c:numRef>
              <c:f>'LH WSY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WSY  (5)'!$B$19:$M$19</c:f>
              <c:numCache>
                <c:formatCode>General</c:formatCode>
                <c:ptCount val="12"/>
                <c:pt idx="0">
                  <c:v>32.1</c:v>
                </c:pt>
                <c:pt idx="1">
                  <c:v>32.200000000000003</c:v>
                </c:pt>
                <c:pt idx="2">
                  <c:v>32.700000000000003</c:v>
                </c:pt>
                <c:pt idx="3">
                  <c:v>33.700000000000003</c:v>
                </c:pt>
                <c:pt idx="4">
                  <c:v>34</c:v>
                </c:pt>
                <c:pt idx="5">
                  <c:v>33.299999999999997</c:v>
                </c:pt>
                <c:pt idx="6">
                  <c:v>33.200000000000003</c:v>
                </c:pt>
                <c:pt idx="7">
                  <c:v>32.799999999999997</c:v>
                </c:pt>
                <c:pt idx="8">
                  <c:v>33.200000000000003</c:v>
                </c:pt>
                <c:pt idx="9">
                  <c:v>33.700000000000003</c:v>
                </c:pt>
                <c:pt idx="10">
                  <c:v>33.4</c:v>
                </c:pt>
                <c:pt idx="11">
                  <c:v>34.200000000000003</c:v>
                </c:pt>
              </c:numCache>
            </c:numRef>
          </c:val>
          <c:smooth val="0"/>
          <c:extLst>
            <c:ext xmlns:c16="http://schemas.microsoft.com/office/drawing/2014/chart" uri="{C3380CC4-5D6E-409C-BE32-E72D297353CC}">
              <c16:uniqueId val="{00000000-5216-41B0-ACC0-4B46A4730D23}"/>
            </c:ext>
          </c:extLst>
        </c:ser>
        <c:ser>
          <c:idx val="1"/>
          <c:order val="1"/>
          <c:tx>
            <c:strRef>
              <c:f>'LH WSY  (5)'!$A$20</c:f>
              <c:strCache>
                <c:ptCount val="1"/>
                <c:pt idx="0">
                  <c:v>prior</c:v>
                </c:pt>
              </c:strCache>
            </c:strRef>
          </c:tx>
          <c:spPr>
            <a:ln w="28575" cap="rnd">
              <a:solidFill>
                <a:schemeClr val="accent2"/>
              </a:solidFill>
              <a:round/>
            </a:ln>
            <a:effectLst/>
          </c:spPr>
          <c:marker>
            <c:symbol val="none"/>
          </c:marker>
          <c:cat>
            <c:numRef>
              <c:f>'LH WSY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WSY  (5)'!$B$20:$M$20</c:f>
              <c:numCache>
                <c:formatCode>General</c:formatCode>
                <c:ptCount val="12"/>
                <c:pt idx="0">
                  <c:v>31.1</c:v>
                </c:pt>
                <c:pt idx="1">
                  <c:v>30</c:v>
                </c:pt>
                <c:pt idx="2">
                  <c:v>32</c:v>
                </c:pt>
                <c:pt idx="3">
                  <c:v>32.4</c:v>
                </c:pt>
                <c:pt idx="4">
                  <c:v>31.8</c:v>
                </c:pt>
                <c:pt idx="5">
                  <c:v>32.9</c:v>
                </c:pt>
                <c:pt idx="6">
                  <c:v>30.6</c:v>
                </c:pt>
                <c:pt idx="7">
                  <c:v>31.9</c:v>
                </c:pt>
                <c:pt idx="8">
                  <c:v>32.5</c:v>
                </c:pt>
                <c:pt idx="9">
                  <c:v>30.9</c:v>
                </c:pt>
                <c:pt idx="10">
                  <c:v>30.7</c:v>
                </c:pt>
                <c:pt idx="11">
                  <c:v>32</c:v>
                </c:pt>
              </c:numCache>
            </c:numRef>
          </c:val>
          <c:smooth val="0"/>
          <c:extLst>
            <c:ext xmlns:c16="http://schemas.microsoft.com/office/drawing/2014/chart" uri="{C3380CC4-5D6E-409C-BE32-E72D297353CC}">
              <c16:uniqueId val="{00000001-5216-41B0-ACC0-4B46A4730D23}"/>
            </c:ext>
          </c:extLst>
        </c:ser>
        <c:ser>
          <c:idx val="2"/>
          <c:order val="2"/>
          <c:tx>
            <c:strRef>
              <c:f>'LH WSY  (5)'!$A$21</c:f>
              <c:strCache>
                <c:ptCount val="1"/>
                <c:pt idx="0">
                  <c:v>target</c:v>
                </c:pt>
              </c:strCache>
            </c:strRef>
          </c:tx>
          <c:spPr>
            <a:ln w="28575" cap="rnd">
              <a:solidFill>
                <a:schemeClr val="accent3"/>
              </a:solidFill>
              <a:round/>
            </a:ln>
            <a:effectLst/>
          </c:spPr>
          <c:marker>
            <c:symbol val="none"/>
          </c:marker>
          <c:cat>
            <c:numRef>
              <c:f>'LH WSY  (5)'!$B$18:$M$18</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'LH WSY  (5)'!$B$21:$M$21</c:f>
              <c:numCache>
                <c:formatCode>General</c:formatCode>
                <c:ptCount val="12"/>
                <c:pt idx="0">
                  <c:v>31.9</c:v>
                </c:pt>
                <c:pt idx="1">
                  <c:v>31.9</c:v>
                </c:pt>
                <c:pt idx="2">
                  <c:v>31.9</c:v>
                </c:pt>
                <c:pt idx="3">
                  <c:v>31.9</c:v>
                </c:pt>
                <c:pt idx="4">
                  <c:v>31.9</c:v>
                </c:pt>
                <c:pt idx="5">
                  <c:v>31.9</c:v>
                </c:pt>
                <c:pt idx="6">
                  <c:v>31.9</c:v>
                </c:pt>
                <c:pt idx="7">
                  <c:v>31.9</c:v>
                </c:pt>
                <c:pt idx="8">
                  <c:v>31.9</c:v>
                </c:pt>
                <c:pt idx="9">
                  <c:v>31.9</c:v>
                </c:pt>
                <c:pt idx="10">
                  <c:v>31.9</c:v>
                </c:pt>
                <c:pt idx="11">
                  <c:v>31.9</c:v>
                </c:pt>
              </c:numCache>
            </c:numRef>
          </c:val>
          <c:smooth val="0"/>
          <c:extLst>
            <c:ext xmlns:c16="http://schemas.microsoft.com/office/drawing/2014/chart" uri="{C3380CC4-5D6E-409C-BE32-E72D297353CC}">
              <c16:uniqueId val="{00000002-5216-41B0-ACC0-4B46A4730D23}"/>
            </c:ext>
          </c:extLst>
        </c:ser>
        <c:dLbls>
          <c:showLegendKey val="0"/>
          <c:showVal val="0"/>
          <c:showCatName val="0"/>
          <c:showSerName val="0"/>
          <c:showPercent val="0"/>
          <c:showBubbleSize val="0"/>
        </c:dLbls>
        <c:smooth val="0"/>
        <c:axId val="1644644848"/>
        <c:axId val="1490393360"/>
      </c:lineChart>
      <c:dateAx>
        <c:axId val="16446448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90393360"/>
        <c:crosses val="autoZero"/>
        <c:auto val="1"/>
        <c:lblOffset val="100"/>
        <c:baseTimeUnit val="months"/>
      </c:dateAx>
      <c:valAx>
        <c:axId val="1490393360"/>
        <c:scaling>
          <c:orientation val="minMax"/>
          <c:max val="38"/>
          <c:min val="2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446448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'Villa Avg CDM over Budget '!$A$19</c:f>
              <c:strCache>
                <c:ptCount val="1"/>
                <c:pt idx="0">
                  <c:v>FY26</c:v>
                </c:pt>
              </c:strCache>
            </c:strRef>
          </c:tx>
          <c:spPr>
            <a:ln w="28575" cap="rnd">
              <a:solidFill>
                <a:schemeClr val="accent1"/>
              </a:solidFill>
              <a:round/>
            </a:ln>
            <a:effectLst/>
          </c:spPr>
          <c:marker>
            <c:symbol val="none"/>
          </c:marker>
          <c:cat>
            <c:numRef>
              <c:f>'Villa Avg CDM over Budget '!$B$18:$M$18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Avg CDM over Budget '!$B$19:$M$19</c:f>
              <c:numCache>
                <c:formatCode>_-* #,##0.00_-;\-* #,##0.00_-;_-* "-"??_-;_-@_-</c:formatCode>
                <c:ptCount val="12"/>
                <c:pt idx="0">
                  <c:v>98.018344827586205</c:v>
                </c:pt>
                <c:pt idx="1">
                  <c:v>99.64142259414227</c:v>
                </c:pt>
                <c:pt idx="2">
                  <c:v>96.051869158878517</c:v>
                </c:pt>
                <c:pt idx="3">
                  <c:v>97.542328042328037</c:v>
                </c:pt>
                <c:pt idx="4">
                  <c:v>97.131366906474824</c:v>
                </c:pt>
                <c:pt idx="5">
                  <c:v>95.034864104967198</c:v>
                </c:pt>
                <c:pt idx="6">
                  <c:v>98.692160611854689</c:v>
                </c:pt>
                <c:pt idx="7">
                  <c:v>96.28098739495799</c:v>
                </c:pt>
                <c:pt idx="8">
                  <c:v>90.857563025210084</c:v>
                </c:pt>
                <c:pt idx="9">
                  <c:v>92.395952023988002</c:v>
                </c:pt>
                <c:pt idx="10">
                  <c:v>92.10091603053435</c:v>
                </c:pt>
                <c:pt idx="11">
                  <c:v>96.092409240924098</c:v>
                </c:pt>
              </c:numCache>
            </c:numRef>
          </c:val>
          <c:smooth val="0"/>
          <c:extLst>
            <c:ext xmlns:c16="http://schemas.microsoft.com/office/drawing/2014/chart" uri="{C3380CC4-5D6E-409C-BE32-E72D297353CC}">
              <c16:uniqueId val="{00000000-A9E9-46F7-9912-D62D8E0C6581}"/>
            </c:ext>
          </c:extLst>
        </c:ser>
        <c:ser>
          <c:idx val="1"/>
          <c:order val="1"/>
          <c:tx>
            <c:strRef>
              <c:f>'Villa Avg CDM over Budget '!$A$20</c:f>
              <c:strCache>
                <c:ptCount val="1"/>
                <c:pt idx="0">
                  <c:v>PRIOR YEAR</c:v>
                </c:pt>
              </c:strCache>
            </c:strRef>
          </c:tx>
          <c:spPr>
            <a:ln w="28575" cap="rnd">
              <a:solidFill>
                <a:schemeClr val="accent2"/>
              </a:solidFill>
              <a:round/>
            </a:ln>
            <a:effectLst/>
          </c:spPr>
          <c:marker>
            <c:symbol val="none"/>
          </c:marker>
          <c:cat>
            <c:numRef>
              <c:f>'Villa Avg CDM over Budget '!$B$18:$M$18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Avg CDM over Budget '!$B$20:$M$20</c:f>
              <c:numCache>
                <c:formatCode>_-* #,##0.00_-;\-* #,##0.00_-;_-* "-"??_-;_-@_-</c:formatCode>
                <c:ptCount val="12"/>
                <c:pt idx="0">
                  <c:v>90.602071005917153</c:v>
                </c:pt>
                <c:pt idx="1">
                  <c:v>95.01195335276968</c:v>
                </c:pt>
                <c:pt idx="2">
                  <c:v>95.033719582850523</c:v>
                </c:pt>
                <c:pt idx="3">
                  <c:v>99.601895043731773</c:v>
                </c:pt>
                <c:pt idx="4">
                  <c:v>99.056748911465903</c:v>
                </c:pt>
                <c:pt idx="5">
                  <c:v>99.427171215880904</c:v>
                </c:pt>
                <c:pt idx="6">
                  <c:v>100.37276478679505</c:v>
                </c:pt>
                <c:pt idx="7">
                  <c:v>98.982708933717575</c:v>
                </c:pt>
                <c:pt idx="8">
                  <c:v>97.338547486033519</c:v>
                </c:pt>
                <c:pt idx="9">
                  <c:v>85.958295964125568</c:v>
                </c:pt>
                <c:pt idx="10">
                  <c:v>84.628591160220992</c:v>
                </c:pt>
                <c:pt idx="11">
                  <c:v>90.310697674418606</c:v>
                </c:pt>
              </c:numCache>
            </c:numRef>
          </c:val>
          <c:smooth val="0"/>
          <c:extLst>
            <c:ext xmlns:c16="http://schemas.microsoft.com/office/drawing/2014/chart" uri="{C3380CC4-5D6E-409C-BE32-E72D297353CC}">
              <c16:uniqueId val="{00000001-A9E9-46F7-9912-D62D8E0C6581}"/>
            </c:ext>
          </c:extLst>
        </c:ser>
        <c:ser>
          <c:idx val="2"/>
          <c:order val="2"/>
          <c:tx>
            <c:strRef>
              <c:f>'Villa Avg CDM over Budget '!$A$21</c:f>
              <c:strCache>
                <c:ptCount val="1"/>
                <c:pt idx="0">
                  <c:v>TARGET</c:v>
                </c:pt>
              </c:strCache>
            </c:strRef>
          </c:tx>
          <c:spPr>
            <a:ln w="28575" cap="rnd">
              <a:solidFill>
                <a:schemeClr val="accent3"/>
              </a:solidFill>
              <a:round/>
            </a:ln>
            <a:effectLst/>
          </c:spPr>
          <c:marker>
            <c:symbol val="none"/>
          </c:marker>
          <c:cat>
            <c:numRef>
              <c:f>'Villa Avg CDM over Budget '!$B$18:$M$18</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Avg CDM over Budget '!$B$21:$M$21</c:f>
              <c:numCache>
                <c:formatCode>_-* #,##0.00_-;\-* #,##0.00_-;_-* "-"??_-;_-@_-</c:formatCode>
                <c:ptCount val="12"/>
                <c:pt idx="0">
                  <c:v>95.089756446385323</c:v>
                </c:pt>
                <c:pt idx="1">
                  <c:v>95.331506275723982</c:v>
                </c:pt>
                <c:pt idx="2">
                  <c:v>92.969153507071582</c:v>
                </c:pt>
                <c:pt idx="3">
                  <c:v>92.946491875522582</c:v>
                </c:pt>
                <c:pt idx="4">
                  <c:v>92.94648939228064</c:v>
                </c:pt>
                <c:pt idx="5">
                  <c:v>92.946200078523844</c:v>
                </c:pt>
                <c:pt idx="6">
                  <c:v>92.946825930363104</c:v>
                </c:pt>
                <c:pt idx="7">
                  <c:v>92.94651440159609</c:v>
                </c:pt>
                <c:pt idx="8">
                  <c:v>92.945983339556648</c:v>
                </c:pt>
                <c:pt idx="9">
                  <c:v>95.384401588304854</c:v>
                </c:pt>
                <c:pt idx="10">
                  <c:v>95.384401588304854</c:v>
                </c:pt>
                <c:pt idx="11">
                  <c:v>95.383673178363935</c:v>
                </c:pt>
              </c:numCache>
            </c:numRef>
          </c:val>
          <c:smooth val="0"/>
          <c:extLst>
            <c:ext xmlns:c16="http://schemas.microsoft.com/office/drawing/2014/chart" uri="{C3380CC4-5D6E-409C-BE32-E72D297353CC}">
              <c16:uniqueId val="{00000002-A9E9-46F7-9912-D62D8E0C6581}"/>
            </c:ext>
          </c:extLst>
        </c:ser>
        <c:dLbls>
          <c:showLegendKey val="0"/>
          <c:showVal val="0"/>
          <c:showCatName val="0"/>
          <c:showSerName val="0"/>
          <c:showPercent val="0"/>
          <c:showBubbleSize val="0"/>
        </c:dLbls>
        <c:smooth val="0"/>
        <c:axId val="1280902832"/>
        <c:axId val="1198849456"/>
      </c:lineChart>
      <c:dateAx>
        <c:axId val="12809028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849456"/>
        <c:crosses val="autoZero"/>
        <c:auto val="1"/>
        <c:lblOffset val="100"/>
        <c:baseTimeUnit val="months"/>
      </c:dateAx>
      <c:valAx>
        <c:axId val="1198849456"/>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02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Villa total CDM to Colcom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'Villa total CDM to Colcom a '!$A$21</c:f>
              <c:strCache>
                <c:ptCount val="1"/>
                <c:pt idx="0">
                  <c:v>FY26</c:v>
                </c:pt>
              </c:strCache>
            </c:strRef>
          </c:tx>
          <c:spPr>
            <a:ln w="28575" cap="rnd">
              <a:solidFill>
                <a:schemeClr val="accent1"/>
              </a:solidFill>
              <a:round/>
            </a:ln>
            <a:effectLst/>
          </c:spPr>
          <c:marker>
            <c:symbol val="none"/>
          </c:marker>
          <c:cat>
            <c:numRef>
              <c:f>'Villa total CDM to Colcom a '!$B$20:$M$20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total CDM to Colcom a '!$B$21:$M$21</c:f>
              <c:numCache>
                <c:formatCode>_-* #,##0_-;\-* #,##0_-;_-* "-"??_-;_-@_-</c:formatCode>
                <c:ptCount val="12"/>
                <c:pt idx="0">
                  <c:v>71063.3</c:v>
                </c:pt>
                <c:pt idx="1">
                  <c:v>71442.900000000009</c:v>
                </c:pt>
                <c:pt idx="2">
                  <c:v>82220.400000000009</c:v>
                </c:pt>
                <c:pt idx="3">
                  <c:v>73742</c:v>
                </c:pt>
                <c:pt idx="4">
                  <c:v>67506.3</c:v>
                </c:pt>
                <c:pt idx="5">
                  <c:v>101402.2</c:v>
                </c:pt>
                <c:pt idx="6">
                  <c:v>51616</c:v>
                </c:pt>
                <c:pt idx="7">
                  <c:v>91659.5</c:v>
                </c:pt>
                <c:pt idx="8">
                  <c:v>64872.3</c:v>
                </c:pt>
                <c:pt idx="9">
                  <c:v>61628.1</c:v>
                </c:pt>
                <c:pt idx="10">
                  <c:v>60326.1</c:v>
                </c:pt>
                <c:pt idx="11">
                  <c:v>87348</c:v>
                </c:pt>
              </c:numCache>
            </c:numRef>
          </c:val>
          <c:smooth val="0"/>
          <c:extLst>
            <c:ext xmlns:c16="http://schemas.microsoft.com/office/drawing/2014/chart" uri="{C3380CC4-5D6E-409C-BE32-E72D297353CC}">
              <c16:uniqueId val="{00000000-6BD8-458D-8F91-21D1DD197F3A}"/>
            </c:ext>
          </c:extLst>
        </c:ser>
        <c:ser>
          <c:idx val="1"/>
          <c:order val="1"/>
          <c:tx>
            <c:strRef>
              <c:f>'Villa total CDM to Colcom a '!$A$22</c:f>
              <c:strCache>
                <c:ptCount val="1"/>
                <c:pt idx="0">
                  <c:v>Budget</c:v>
                </c:pt>
              </c:strCache>
            </c:strRef>
          </c:tx>
          <c:spPr>
            <a:ln w="28575" cap="rnd">
              <a:solidFill>
                <a:schemeClr val="accent2"/>
              </a:solidFill>
              <a:round/>
            </a:ln>
            <a:effectLst/>
          </c:spPr>
          <c:marker>
            <c:symbol val="none"/>
          </c:marker>
          <c:cat>
            <c:numRef>
              <c:f>'Villa total CDM to Colcom a '!$B$20:$M$20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total CDM to Colcom a '!$B$22:$M$22</c:f>
              <c:numCache>
                <c:formatCode>_-* #,##0_-;\-* #,##0_-;_-* "-"??_-;_-@_-</c:formatCode>
                <c:ptCount val="12"/>
                <c:pt idx="0">
                  <c:v>73212.385554412918</c:v>
                </c:pt>
                <c:pt idx="1">
                  <c:v>63710.272374229957</c:v>
                </c:pt>
                <c:pt idx="2">
                  <c:v>74596.146015869439</c:v>
                </c:pt>
                <c:pt idx="3">
                  <c:v>60356.97718960105</c:v>
                </c:pt>
                <c:pt idx="4">
                  <c:v>60357.052577712886</c:v>
                </c:pt>
                <c:pt idx="5">
                  <c:v>75457.296371837845</c:v>
                </c:pt>
                <c:pt idx="6">
                  <c:v>60346.83745663202</c:v>
                </c:pt>
                <c:pt idx="7">
                  <c:v>60356.293335042123</c:v>
                </c:pt>
                <c:pt idx="8">
                  <c:v>75465.524648303268</c:v>
                </c:pt>
                <c:pt idx="9">
                  <c:v>61956.277403220694</c:v>
                </c:pt>
                <c:pt idx="10">
                  <c:v>61956.277403220694</c:v>
                </c:pt>
                <c:pt idx="11">
                  <c:v>77474.70295757502</c:v>
                </c:pt>
              </c:numCache>
            </c:numRef>
          </c:val>
          <c:smooth val="0"/>
          <c:extLst>
            <c:ext xmlns:c16="http://schemas.microsoft.com/office/drawing/2014/chart" uri="{C3380CC4-5D6E-409C-BE32-E72D297353CC}">
              <c16:uniqueId val="{00000001-6BD8-458D-8F91-21D1DD197F3A}"/>
            </c:ext>
          </c:extLst>
        </c:ser>
        <c:dLbls>
          <c:showLegendKey val="0"/>
          <c:showVal val="0"/>
          <c:showCatName val="0"/>
          <c:showSerName val="0"/>
          <c:showPercent val="0"/>
          <c:showBubbleSize val="0"/>
        </c:dLbls>
        <c:smooth val="0"/>
        <c:axId val="1066542288"/>
        <c:axId val="1066554768"/>
      </c:lineChart>
      <c:dateAx>
        <c:axId val="106654228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54768"/>
        <c:crosses val="autoZero"/>
        <c:auto val="1"/>
        <c:lblOffset val="100"/>
        <c:baseTimeUnit val="months"/>
      </c:dateAx>
      <c:valAx>
        <c:axId val="1066554768"/>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42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'[65]Villa Pigs to Colcom '!$X$1</c:f>
              <c:strCache>
                <c:ptCount val="1"/>
                <c:pt idx="0">
                  <c:v>CDM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10026356080489938"/>
                  <c:y val="-0.4382349081364829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'[65]Villa Pigs to Colcom '!$W$2:$W$11</c:f>
              <c:strCache>
                <c:ptCount val="10"/>
                <c:pt idx="0">
                  <c:v>676</c:v>
                </c:pt>
                <c:pt idx="1">
                  <c:v>686</c:v>
                </c:pt>
                <c:pt idx="2">
                  <c:v>863</c:v>
                </c:pt>
                <c:pt idx="3">
                  <c:v>686</c:v>
                </c:pt>
                <c:pt idx="4">
                  <c:v>689</c:v>
                </c:pt>
                <c:pt idx="5">
                  <c:v>806</c:v>
                </c:pt>
                <c:pt idx="6">
                  <c:v>727</c:v>
                </c:pt>
                <c:pt idx="7">
                  <c:v>694</c:v>
                </c:pt>
                <c:pt idx="8">
                  <c:v>895</c:v>
                </c:pt>
                <c:pt idx="9">
                  <c:v>892</c:v>
                </c:pt>
              </c:strCache>
            </c:strRef>
          </c:xVal>
          <c:yVal>
            <c:numRef>
              <c:f>'[65]Villa Pigs to Colcom '!$X$2:$X$11</c:f>
              <c:numCache>
                <c:formatCode>General</c:formatCode>
                <c:ptCount val="10"/>
                <c:pt idx="0">
                  <c:v>90.602071005917153</c:v>
                </c:pt>
                <c:pt idx="1">
                  <c:v>95.01195335276968</c:v>
                </c:pt>
                <c:pt idx="2">
                  <c:v>95.033719582850523</c:v>
                </c:pt>
                <c:pt idx="3">
                  <c:v>99.601895043731773</c:v>
                </c:pt>
                <c:pt idx="4">
                  <c:v>99.056748911465903</c:v>
                </c:pt>
                <c:pt idx="5">
                  <c:v>99.427171215880904</c:v>
                </c:pt>
                <c:pt idx="6">
                  <c:v>100.37276478679505</c:v>
                </c:pt>
                <c:pt idx="7">
                  <c:v>98.982708933717575</c:v>
                </c:pt>
                <c:pt idx="8">
                  <c:v>97.338547486033519</c:v>
                </c:pt>
                <c:pt idx="9">
                  <c:v>85.958295964125568</c:v>
                </c:pt>
              </c:numCache>
            </c:numRef>
          </c:yVal>
          <c:smooth val="0"/>
          <c:extLst>
            <c:ext xmlns:c16="http://schemas.microsoft.com/office/drawing/2014/chart" uri="{C3380CC4-5D6E-409C-BE32-E72D297353CC}">
              <c16:uniqueId val="{00000001-5136-4854-9169-BBF83D4BCB5F}"/>
            </c:ext>
          </c:extLst>
        </c:ser>
        <c:dLbls>
          <c:showLegendKey val="0"/>
          <c:showVal val="0"/>
          <c:showCatName val="0"/>
          <c:showSerName val="0"/>
          <c:showPercent val="0"/>
          <c:showBubbleSize val="0"/>
        </c:dLbls>
        <c:axId val="1306763791"/>
        <c:axId val="1257913999"/>
      </c:scatterChart>
      <c:valAx>
        <c:axId val="1306763791"/>
        <c:scaling>
          <c:orientation val="minMax"/>
          <c:min val="6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13999"/>
        <c:crosses val="autoZero"/>
        <c:crossBetween val="midCat"/>
      </c:valAx>
      <c:valAx>
        <c:axId val="125791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7637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Villa Pigsto Colcom Agains</a:t>
            </a:r>
            <a:r>
              <a:rPr lang="en-ZW" baseline="0"/>
              <a:t> budget</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W"/>
        </a:p>
      </c:txPr>
    </c:title>
    <c:autoTitleDeleted val="0"/>
    <c:plotArea>
      <c:layout>
        <c:manualLayout>
          <c:layoutTarget val="inner"/>
          <c:xMode val="edge"/>
          <c:yMode val="edge"/>
          <c:x val="5.7172180563987735E-2"/>
          <c:y val="2.3606823456630521E-2"/>
          <c:w val="0.92516186728987737"/>
          <c:h val="0.78869600178146826"/>
        </c:manualLayout>
      </c:layout>
      <c:lineChart>
        <c:grouping val="standard"/>
        <c:varyColors val="0"/>
        <c:ser>
          <c:idx val="0"/>
          <c:order val="0"/>
          <c:tx>
            <c:strRef>
              <c:f>'Villa Pigs to Colcom '!$A$20</c:f>
              <c:strCache>
                <c:ptCount val="1"/>
                <c:pt idx="0">
                  <c:v>FY26</c:v>
                </c:pt>
              </c:strCache>
            </c:strRef>
          </c:tx>
          <c:spPr>
            <a:ln w="28575" cap="rnd">
              <a:solidFill>
                <a:schemeClr val="accent1"/>
              </a:solidFill>
              <a:round/>
            </a:ln>
            <a:effectLst/>
          </c:spPr>
          <c:marker>
            <c:symbol val="none"/>
          </c:marker>
          <c:cat>
            <c:numRef>
              <c:f>'Villa Pigs to Colcom '!$B$19:$M$19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Pigs to Colcom '!$B$20:$M$20</c:f>
              <c:numCache>
                <c:formatCode>_-* #,##0_-;\-* #,##0_-;_-* "-"??_-;_-@_-</c:formatCode>
                <c:ptCount val="12"/>
                <c:pt idx="0">
                  <c:v>725</c:v>
                </c:pt>
                <c:pt idx="1">
                  <c:v>717</c:v>
                </c:pt>
                <c:pt idx="2">
                  <c:v>856</c:v>
                </c:pt>
                <c:pt idx="3">
                  <c:v>756</c:v>
                </c:pt>
                <c:pt idx="4">
                  <c:v>695</c:v>
                </c:pt>
                <c:pt idx="5">
                  <c:v>1067</c:v>
                </c:pt>
                <c:pt idx="6">
                  <c:v>523</c:v>
                </c:pt>
                <c:pt idx="7">
                  <c:v>952</c:v>
                </c:pt>
                <c:pt idx="8">
                  <c:v>714</c:v>
                </c:pt>
                <c:pt idx="9">
                  <c:v>667</c:v>
                </c:pt>
                <c:pt idx="10">
                  <c:v>655</c:v>
                </c:pt>
                <c:pt idx="11">
                  <c:v>909</c:v>
                </c:pt>
              </c:numCache>
            </c:numRef>
          </c:val>
          <c:smooth val="0"/>
          <c:extLst>
            <c:ext xmlns:c16="http://schemas.microsoft.com/office/drawing/2014/chart" uri="{C3380CC4-5D6E-409C-BE32-E72D297353CC}">
              <c16:uniqueId val="{00000000-E0D3-4CE7-9305-29426C6BA989}"/>
            </c:ext>
          </c:extLst>
        </c:ser>
        <c:ser>
          <c:idx val="1"/>
          <c:order val="1"/>
          <c:tx>
            <c:strRef>
              <c:f>'Villa Pigs to Colcom '!$A$21</c:f>
              <c:strCache>
                <c:ptCount val="1"/>
                <c:pt idx="0">
                  <c:v>Budget</c:v>
                </c:pt>
              </c:strCache>
            </c:strRef>
          </c:tx>
          <c:spPr>
            <a:ln w="28575" cap="rnd">
              <a:solidFill>
                <a:schemeClr val="accent2"/>
              </a:solidFill>
              <a:round/>
            </a:ln>
            <a:effectLst/>
          </c:spPr>
          <c:marker>
            <c:symbol val="none"/>
          </c:marker>
          <c:cat>
            <c:numRef>
              <c:f>'Villa Pigs to Colcom '!$B$19:$M$19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Pigs to Colcom '!$B$21:$M$21</c:f>
              <c:numCache>
                <c:formatCode>_-* #,##0_-;\-* #,##0_-;_-* "-"??_-;_-@_-</c:formatCode>
                <c:ptCount val="12"/>
                <c:pt idx="0">
                  <c:v>769.9292572664483</c:v>
                </c:pt>
                <c:pt idx="1">
                  <c:v>668.3023783340102</c:v>
                </c:pt>
                <c:pt idx="2">
                  <c:v>802.37523094362018</c:v>
                </c:pt>
                <c:pt idx="3">
                  <c:v>649.37337570990167</c:v>
                </c:pt>
                <c:pt idx="4">
                  <c:v>649.37420415069107</c:v>
                </c:pt>
                <c:pt idx="5">
                  <c:v>811.83842166854777</c:v>
                </c:pt>
                <c:pt idx="6">
                  <c:v>649.26195007287936</c:v>
                </c:pt>
                <c:pt idx="7">
                  <c:v>649.36586082463873</c:v>
                </c:pt>
                <c:pt idx="8">
                  <c:v>811.92884228904688</c:v>
                </c:pt>
                <c:pt idx="9">
                  <c:v>649.54307383123739</c:v>
                </c:pt>
                <c:pt idx="10">
                  <c:v>649.54307383123739</c:v>
                </c:pt>
                <c:pt idx="11">
                  <c:v>812.2428123804815</c:v>
                </c:pt>
              </c:numCache>
            </c:numRef>
          </c:val>
          <c:smooth val="0"/>
          <c:extLst>
            <c:ext xmlns:c16="http://schemas.microsoft.com/office/drawing/2014/chart" uri="{C3380CC4-5D6E-409C-BE32-E72D297353CC}">
              <c16:uniqueId val="{00000001-E0D3-4CE7-9305-29426C6BA989}"/>
            </c:ext>
          </c:extLst>
        </c:ser>
        <c:dLbls>
          <c:showLegendKey val="0"/>
          <c:showVal val="0"/>
          <c:showCatName val="0"/>
          <c:showSerName val="0"/>
          <c:showPercent val="0"/>
          <c:showBubbleSize val="0"/>
        </c:dLbls>
        <c:smooth val="0"/>
        <c:axId val="1066582224"/>
        <c:axId val="1066583472"/>
      </c:lineChart>
      <c:dateAx>
        <c:axId val="10665822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83472"/>
        <c:crosses val="autoZero"/>
        <c:auto val="1"/>
        <c:lblOffset val="100"/>
        <c:baseTimeUnit val="months"/>
      </c:dateAx>
      <c:valAx>
        <c:axId val="1066583472"/>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82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Villa kgs sold / sow /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'Villa Kgs sold per sow per '!$AC$23:$AW$23</c:f>
              <c:numCache>
                <c:formatCode>mmm\-yy</c:formatCode>
                <c:ptCount val="21"/>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pt idx="18">
                  <c:v>46082</c:v>
                </c:pt>
                <c:pt idx="19">
                  <c:v>46113</c:v>
                </c:pt>
                <c:pt idx="20">
                  <c:v>46143</c:v>
                </c:pt>
              </c:numCache>
            </c:numRef>
          </c:cat>
          <c:val>
            <c:numRef>
              <c:f>'Villa Kgs sold per sow per '!$AC$24:$AW$24</c:f>
              <c:numCache>
                <c:formatCode>General</c:formatCode>
                <c:ptCount val="21"/>
                <c:pt idx="0">
                  <c:v>2682.2078450514477</c:v>
                </c:pt>
                <c:pt idx="1">
                  <c:v>2710.3900110858267</c:v>
                </c:pt>
                <c:pt idx="2">
                  <c:v>2761.5201846428367</c:v>
                </c:pt>
                <c:pt idx="3">
                  <c:v>2776.8718618577882</c:v>
                </c:pt>
                <c:pt idx="4">
                  <c:v>2776.7837111442927</c:v>
                </c:pt>
                <c:pt idx="5">
                  <c:v>2798.5368329162548</c:v>
                </c:pt>
                <c:pt idx="6">
                  <c:v>2893.6148145266393</c:v>
                </c:pt>
                <c:pt idx="7">
                  <c:v>2931.7464338607838</c:v>
                </c:pt>
                <c:pt idx="8">
                  <c:v>2964.7416401507021</c:v>
                </c:pt>
                <c:pt idx="9">
                  <c:v>2986.7670654468684</c:v>
                </c:pt>
                <c:pt idx="10" formatCode="0.0">
                  <c:v>3015.7992005643073</c:v>
                </c:pt>
                <c:pt idx="11" formatCode="0.0">
                  <c:v>3028.702925908447</c:v>
                </c:pt>
                <c:pt idx="12" formatCode="0.0">
                  <c:v>3083.9779211015712</c:v>
                </c:pt>
                <c:pt idx="13" formatCode="0.0">
                  <c:v>3118.3623124975129</c:v>
                </c:pt>
                <c:pt idx="14" formatCode="0.0">
                  <c:v>3128.7549403952316</c:v>
                </c:pt>
                <c:pt idx="15" formatCode="0.0">
                  <c:v>3196.9672190346264</c:v>
                </c:pt>
                <c:pt idx="16" formatCode="0.0">
                  <c:v>3165.676034254011</c:v>
                </c:pt>
                <c:pt idx="17" formatCode="0.0">
                  <c:v>3181.5783487274634</c:v>
                </c:pt>
                <c:pt idx="18" formatCode="0.0">
                  <c:v>3153.3964000322867</c:v>
                </c:pt>
                <c:pt idx="19" formatCode="0.0">
                  <c:v>3089.8269999596178</c:v>
                </c:pt>
                <c:pt idx="20" formatCode="0.0">
                  <c:v>3104.151607034567</c:v>
                </c:pt>
              </c:numCache>
            </c:numRef>
          </c:val>
          <c:smooth val="0"/>
          <c:extLst>
            <c:ext xmlns:c16="http://schemas.microsoft.com/office/drawing/2014/chart" uri="{C3380CC4-5D6E-409C-BE32-E72D297353CC}">
              <c16:uniqueId val="{00000000-BC86-4188-8DF4-FD2C698EB473}"/>
            </c:ext>
          </c:extLst>
        </c:ser>
        <c:ser>
          <c:idx val="1"/>
          <c:order val="1"/>
          <c:spPr>
            <a:ln w="28575" cap="rnd">
              <a:solidFill>
                <a:schemeClr val="accent2"/>
              </a:solidFill>
              <a:round/>
            </a:ln>
            <a:effectLst/>
          </c:spPr>
          <c:marker>
            <c:symbol val="none"/>
          </c:marker>
          <c:cat>
            <c:numRef>
              <c:f>'Villa Kgs sold per sow per '!$AC$23:$AW$23</c:f>
              <c:numCache>
                <c:formatCode>mmm\-yy</c:formatCode>
                <c:ptCount val="21"/>
                <c:pt idx="0">
                  <c:v>45536</c:v>
                </c:pt>
                <c:pt idx="1">
                  <c:v>45566</c:v>
                </c:pt>
                <c:pt idx="2">
                  <c:v>45597</c:v>
                </c:pt>
                <c:pt idx="3">
                  <c:v>45627</c:v>
                </c:pt>
                <c:pt idx="4">
                  <c:v>45658</c:v>
                </c:pt>
                <c:pt idx="5">
                  <c:v>45689</c:v>
                </c:pt>
                <c:pt idx="6">
                  <c:v>45717</c:v>
                </c:pt>
                <c:pt idx="7">
                  <c:v>45748</c:v>
                </c:pt>
                <c:pt idx="8">
                  <c:v>45778</c:v>
                </c:pt>
                <c:pt idx="9">
                  <c:v>45809</c:v>
                </c:pt>
                <c:pt idx="10">
                  <c:v>45839</c:v>
                </c:pt>
                <c:pt idx="11">
                  <c:v>45870</c:v>
                </c:pt>
                <c:pt idx="12">
                  <c:v>45901</c:v>
                </c:pt>
                <c:pt idx="13">
                  <c:v>45931</c:v>
                </c:pt>
                <c:pt idx="14">
                  <c:v>45962</c:v>
                </c:pt>
                <c:pt idx="15">
                  <c:v>45992</c:v>
                </c:pt>
                <c:pt idx="16">
                  <c:v>46023</c:v>
                </c:pt>
                <c:pt idx="17">
                  <c:v>46054</c:v>
                </c:pt>
                <c:pt idx="18">
                  <c:v>46082</c:v>
                </c:pt>
                <c:pt idx="19">
                  <c:v>46113</c:v>
                </c:pt>
                <c:pt idx="20">
                  <c:v>46143</c:v>
                </c:pt>
              </c:numCache>
            </c:numRef>
          </c:cat>
          <c:val>
            <c:numRef>
              <c:f>'Villa Kgs sold per sow per '!$AC$25:$AW$25</c:f>
              <c:numCache>
                <c:formatCode>General</c:formatCode>
                <c:ptCount val="21"/>
                <c:pt idx="0">
                  <c:v>2600</c:v>
                </c:pt>
                <c:pt idx="1">
                  <c:v>2600</c:v>
                </c:pt>
                <c:pt idx="2">
                  <c:v>2600</c:v>
                </c:pt>
                <c:pt idx="3">
                  <c:v>2601</c:v>
                </c:pt>
                <c:pt idx="4">
                  <c:v>3190</c:v>
                </c:pt>
                <c:pt idx="5">
                  <c:v>3190</c:v>
                </c:pt>
                <c:pt idx="6">
                  <c:v>3190</c:v>
                </c:pt>
                <c:pt idx="7">
                  <c:v>3190</c:v>
                </c:pt>
                <c:pt idx="8">
                  <c:v>3190</c:v>
                </c:pt>
                <c:pt idx="9">
                  <c:v>3190</c:v>
                </c:pt>
                <c:pt idx="10">
                  <c:v>3190</c:v>
                </c:pt>
                <c:pt idx="11">
                  <c:v>3190</c:v>
                </c:pt>
                <c:pt idx="12">
                  <c:v>3191</c:v>
                </c:pt>
                <c:pt idx="13">
                  <c:v>3190</c:v>
                </c:pt>
                <c:pt idx="14">
                  <c:v>3190</c:v>
                </c:pt>
                <c:pt idx="15">
                  <c:v>3190</c:v>
                </c:pt>
                <c:pt idx="16">
                  <c:v>3190</c:v>
                </c:pt>
                <c:pt idx="17">
                  <c:v>3190</c:v>
                </c:pt>
                <c:pt idx="18">
                  <c:v>3190</c:v>
                </c:pt>
                <c:pt idx="19">
                  <c:v>3190</c:v>
                </c:pt>
                <c:pt idx="20">
                  <c:v>3190</c:v>
                </c:pt>
              </c:numCache>
            </c:numRef>
          </c:val>
          <c:smooth val="0"/>
          <c:extLst>
            <c:ext xmlns:c16="http://schemas.microsoft.com/office/drawing/2014/chart" uri="{C3380CC4-5D6E-409C-BE32-E72D297353CC}">
              <c16:uniqueId val="{00000000-8B87-4437-AF7B-954FA2DF0D4E}"/>
            </c:ext>
          </c:extLst>
        </c:ser>
        <c:dLbls>
          <c:showLegendKey val="0"/>
          <c:showVal val="0"/>
          <c:showCatName val="0"/>
          <c:showSerName val="0"/>
          <c:showPercent val="0"/>
          <c:showBubbleSize val="0"/>
        </c:dLbls>
        <c:smooth val="0"/>
        <c:axId val="890118720"/>
        <c:axId val="1003003728"/>
      </c:lineChart>
      <c:dateAx>
        <c:axId val="89011872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003728"/>
        <c:crosses val="autoZero"/>
        <c:auto val="1"/>
        <c:lblOffset val="100"/>
        <c:baseTimeUnit val="months"/>
      </c:dateAx>
      <c:valAx>
        <c:axId val="1003003728"/>
        <c:scaling>
          <c:orientation val="minMax"/>
          <c:min val="2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18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Villa Farrowing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'Villa Farrowing rate (5)'!$A$20</c:f>
              <c:strCache>
                <c:ptCount val="1"/>
                <c:pt idx="0">
                  <c:v>FY26</c:v>
                </c:pt>
              </c:strCache>
            </c:strRef>
          </c:tx>
          <c:spPr>
            <a:ln w="28575" cap="rnd">
              <a:solidFill>
                <a:schemeClr val="accent1"/>
              </a:solidFill>
              <a:round/>
            </a:ln>
            <a:effectLst/>
          </c:spPr>
          <c:marker>
            <c:symbol val="none"/>
          </c:marker>
          <c:cat>
            <c:numRef>
              <c:f>'Villa Farrowing rate (5)'!$B$19:$N$19</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Farrowing rate (5)'!$B$20:$N$20</c:f>
              <c:numCache>
                <c:formatCode>General</c:formatCode>
                <c:ptCount val="13"/>
                <c:pt idx="0">
                  <c:v>94</c:v>
                </c:pt>
                <c:pt idx="1">
                  <c:v>94</c:v>
                </c:pt>
                <c:pt idx="2">
                  <c:v>89</c:v>
                </c:pt>
                <c:pt idx="3">
                  <c:v>100</c:v>
                </c:pt>
                <c:pt idx="4">
                  <c:v>92</c:v>
                </c:pt>
                <c:pt idx="5">
                  <c:v>96</c:v>
                </c:pt>
                <c:pt idx="6">
                  <c:v>98</c:v>
                </c:pt>
                <c:pt idx="7">
                  <c:v>93</c:v>
                </c:pt>
                <c:pt idx="8">
                  <c:v>94</c:v>
                </c:pt>
                <c:pt idx="9">
                  <c:v>97</c:v>
                </c:pt>
                <c:pt idx="10">
                  <c:v>95</c:v>
                </c:pt>
                <c:pt idx="11">
                  <c:v>95</c:v>
                </c:pt>
                <c:pt idx="12" formatCode="0.0">
                  <c:v>94.75</c:v>
                </c:pt>
              </c:numCache>
            </c:numRef>
          </c:val>
          <c:smooth val="0"/>
          <c:extLst>
            <c:ext xmlns:c16="http://schemas.microsoft.com/office/drawing/2014/chart" uri="{C3380CC4-5D6E-409C-BE32-E72D297353CC}">
              <c16:uniqueId val="{00000000-D318-4A2A-A752-A50E33688B41}"/>
            </c:ext>
          </c:extLst>
        </c:ser>
        <c:ser>
          <c:idx val="1"/>
          <c:order val="1"/>
          <c:tx>
            <c:strRef>
              <c:f>'Villa Farrowing rate (5)'!$A$21</c:f>
              <c:strCache>
                <c:ptCount val="1"/>
                <c:pt idx="0">
                  <c:v>prior</c:v>
                </c:pt>
              </c:strCache>
            </c:strRef>
          </c:tx>
          <c:spPr>
            <a:ln w="28575" cap="rnd">
              <a:solidFill>
                <a:schemeClr val="accent2"/>
              </a:solidFill>
              <a:round/>
            </a:ln>
            <a:effectLst/>
          </c:spPr>
          <c:marker>
            <c:symbol val="none"/>
          </c:marker>
          <c:cat>
            <c:numRef>
              <c:f>'Villa Farrowing rate (5)'!$B$19:$N$19</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Farrowing rate (5)'!$B$21:$N$21</c:f>
              <c:numCache>
                <c:formatCode>0.0</c:formatCode>
                <c:ptCount val="13"/>
                <c:pt idx="0">
                  <c:v>95.6</c:v>
                </c:pt>
                <c:pt idx="1">
                  <c:v>90</c:v>
                </c:pt>
                <c:pt idx="2">
                  <c:v>99</c:v>
                </c:pt>
                <c:pt idx="3">
                  <c:v>95</c:v>
                </c:pt>
                <c:pt idx="4">
                  <c:v>98</c:v>
                </c:pt>
                <c:pt idx="5">
                  <c:v>97</c:v>
                </c:pt>
                <c:pt idx="6">
                  <c:v>94</c:v>
                </c:pt>
                <c:pt idx="7">
                  <c:v>91.4</c:v>
                </c:pt>
                <c:pt idx="8">
                  <c:v>93</c:v>
                </c:pt>
                <c:pt idx="9">
                  <c:v>92</c:v>
                </c:pt>
                <c:pt idx="10">
                  <c:v>96</c:v>
                </c:pt>
                <c:pt idx="11">
                  <c:v>92</c:v>
                </c:pt>
                <c:pt idx="12">
                  <c:v>94.416666666666671</c:v>
                </c:pt>
              </c:numCache>
            </c:numRef>
          </c:val>
          <c:smooth val="0"/>
          <c:extLst>
            <c:ext xmlns:c16="http://schemas.microsoft.com/office/drawing/2014/chart" uri="{C3380CC4-5D6E-409C-BE32-E72D297353CC}">
              <c16:uniqueId val="{00000001-D318-4A2A-A752-A50E33688B41}"/>
            </c:ext>
          </c:extLst>
        </c:ser>
        <c:ser>
          <c:idx val="2"/>
          <c:order val="2"/>
          <c:tx>
            <c:strRef>
              <c:f>'Villa Farrowing rate (5)'!$A$22</c:f>
              <c:strCache>
                <c:ptCount val="1"/>
                <c:pt idx="0">
                  <c:v>target</c:v>
                </c:pt>
              </c:strCache>
            </c:strRef>
          </c:tx>
          <c:spPr>
            <a:ln w="28575" cap="rnd">
              <a:solidFill>
                <a:schemeClr val="accent3"/>
              </a:solidFill>
              <a:round/>
            </a:ln>
            <a:effectLst/>
          </c:spPr>
          <c:marker>
            <c:symbol val="none"/>
          </c:marker>
          <c:cat>
            <c:numRef>
              <c:f>'Villa Farrowing rate (5)'!$B$19:$N$19</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Farrowing rate (5)'!$B$22:$N$22</c:f>
              <c:numCache>
                <c:formatCode>General</c:formatCode>
                <c:ptCount val="13"/>
                <c:pt idx="0">
                  <c:v>95</c:v>
                </c:pt>
                <c:pt idx="1">
                  <c:v>95</c:v>
                </c:pt>
                <c:pt idx="2">
                  <c:v>95</c:v>
                </c:pt>
                <c:pt idx="3">
                  <c:v>95</c:v>
                </c:pt>
                <c:pt idx="4">
                  <c:v>95</c:v>
                </c:pt>
                <c:pt idx="5">
                  <c:v>95</c:v>
                </c:pt>
                <c:pt idx="6">
                  <c:v>95</c:v>
                </c:pt>
                <c:pt idx="7">
                  <c:v>95</c:v>
                </c:pt>
                <c:pt idx="8">
                  <c:v>95</c:v>
                </c:pt>
                <c:pt idx="9">
                  <c:v>95</c:v>
                </c:pt>
                <c:pt idx="10">
                  <c:v>95</c:v>
                </c:pt>
                <c:pt idx="11">
                  <c:v>95</c:v>
                </c:pt>
                <c:pt idx="12" formatCode="0.0">
                  <c:v>95</c:v>
                </c:pt>
              </c:numCache>
            </c:numRef>
          </c:val>
          <c:smooth val="0"/>
          <c:extLst>
            <c:ext xmlns:c16="http://schemas.microsoft.com/office/drawing/2014/chart" uri="{C3380CC4-5D6E-409C-BE32-E72D297353CC}">
              <c16:uniqueId val="{00000002-D318-4A2A-A752-A50E33688B41}"/>
            </c:ext>
          </c:extLst>
        </c:ser>
        <c:dLbls>
          <c:showLegendKey val="0"/>
          <c:showVal val="0"/>
          <c:showCatName val="0"/>
          <c:showSerName val="0"/>
          <c:showPercent val="0"/>
          <c:showBubbleSize val="0"/>
        </c:dLbls>
        <c:smooth val="0"/>
        <c:axId val="525486568"/>
        <c:axId val="525486928"/>
      </c:lineChart>
      <c:dateAx>
        <c:axId val="5254865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5486928"/>
        <c:crosses val="autoZero"/>
        <c:auto val="1"/>
        <c:lblOffset val="100"/>
        <c:baseTimeUnit val="months"/>
      </c:dateAx>
      <c:valAx>
        <c:axId val="525486928"/>
        <c:scaling>
          <c:orientation val="minMax"/>
          <c:max val="100"/>
          <c:min val="7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5486568"/>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Villa Franca BA</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'Villa Born Alive  (5)'!$A$20</c:f>
              <c:strCache>
                <c:ptCount val="1"/>
                <c:pt idx="0">
                  <c:v>FY26</c:v>
                </c:pt>
              </c:strCache>
            </c:strRef>
          </c:tx>
          <c:spPr>
            <a:ln w="28575" cap="rnd">
              <a:solidFill>
                <a:schemeClr val="accent1"/>
              </a:solidFill>
              <a:round/>
            </a:ln>
            <a:effectLst/>
          </c:spPr>
          <c:marker>
            <c:symbol val="none"/>
          </c:marker>
          <c:cat>
            <c:numRef>
              <c:f>'Villa Born Alive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Born Alive  (5)'!$B$20:$M$20</c:f>
              <c:numCache>
                <c:formatCode>General</c:formatCode>
                <c:ptCount val="12"/>
                <c:pt idx="0">
                  <c:v>14.5</c:v>
                </c:pt>
                <c:pt idx="1">
                  <c:v>15.2</c:v>
                </c:pt>
                <c:pt idx="2">
                  <c:v>15.1</c:v>
                </c:pt>
                <c:pt idx="3">
                  <c:v>16.100000000000001</c:v>
                </c:pt>
                <c:pt idx="4">
                  <c:v>15.5</c:v>
                </c:pt>
                <c:pt idx="5">
                  <c:v>15.5</c:v>
                </c:pt>
                <c:pt idx="6">
                  <c:v>15.9</c:v>
                </c:pt>
                <c:pt idx="7">
                  <c:v>16</c:v>
                </c:pt>
                <c:pt idx="8">
                  <c:v>15.3</c:v>
                </c:pt>
                <c:pt idx="9">
                  <c:v>15.2</c:v>
                </c:pt>
                <c:pt idx="10">
                  <c:v>15.5</c:v>
                </c:pt>
                <c:pt idx="11">
                  <c:v>15.5</c:v>
                </c:pt>
              </c:numCache>
            </c:numRef>
          </c:val>
          <c:smooth val="0"/>
          <c:extLst>
            <c:ext xmlns:c16="http://schemas.microsoft.com/office/drawing/2014/chart" uri="{C3380CC4-5D6E-409C-BE32-E72D297353CC}">
              <c16:uniqueId val="{00000000-2508-47DF-9762-840CAF086C6C}"/>
            </c:ext>
          </c:extLst>
        </c:ser>
        <c:ser>
          <c:idx val="1"/>
          <c:order val="1"/>
          <c:tx>
            <c:strRef>
              <c:f>'Villa Born Alive  (5)'!$A$21</c:f>
              <c:strCache>
                <c:ptCount val="1"/>
                <c:pt idx="0">
                  <c:v>prior</c:v>
                </c:pt>
              </c:strCache>
            </c:strRef>
          </c:tx>
          <c:spPr>
            <a:ln w="28575" cap="rnd">
              <a:solidFill>
                <a:schemeClr val="accent2"/>
              </a:solidFill>
              <a:round/>
            </a:ln>
            <a:effectLst/>
          </c:spPr>
          <c:marker>
            <c:symbol val="none"/>
          </c:marker>
          <c:cat>
            <c:numRef>
              <c:f>'Villa Born Alive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Born Alive  (5)'!$B$21:$M$21</c:f>
              <c:numCache>
                <c:formatCode>0.00</c:formatCode>
                <c:ptCount val="12"/>
                <c:pt idx="0">
                  <c:v>13.7</c:v>
                </c:pt>
                <c:pt idx="1">
                  <c:v>14.4</c:v>
                </c:pt>
                <c:pt idx="2">
                  <c:v>15.1</c:v>
                </c:pt>
                <c:pt idx="3" formatCode="General">
                  <c:v>14.7</c:v>
                </c:pt>
                <c:pt idx="4" formatCode="General">
                  <c:v>15.4</c:v>
                </c:pt>
                <c:pt idx="5">
                  <c:v>15.4</c:v>
                </c:pt>
                <c:pt idx="6">
                  <c:v>15.1</c:v>
                </c:pt>
                <c:pt idx="7">
                  <c:v>14.9</c:v>
                </c:pt>
                <c:pt idx="8">
                  <c:v>14.6</c:v>
                </c:pt>
                <c:pt idx="9">
                  <c:v>14.6</c:v>
                </c:pt>
                <c:pt idx="10">
                  <c:v>15</c:v>
                </c:pt>
                <c:pt idx="11">
                  <c:v>14.8</c:v>
                </c:pt>
              </c:numCache>
            </c:numRef>
          </c:val>
          <c:smooth val="0"/>
          <c:extLst>
            <c:ext xmlns:c16="http://schemas.microsoft.com/office/drawing/2014/chart" uri="{C3380CC4-5D6E-409C-BE32-E72D297353CC}">
              <c16:uniqueId val="{00000001-2508-47DF-9762-840CAF086C6C}"/>
            </c:ext>
          </c:extLst>
        </c:ser>
        <c:ser>
          <c:idx val="2"/>
          <c:order val="2"/>
          <c:tx>
            <c:strRef>
              <c:f>'Villa Born Alive  (5)'!$A$22</c:f>
              <c:strCache>
                <c:ptCount val="1"/>
                <c:pt idx="0">
                  <c:v>target</c:v>
                </c:pt>
              </c:strCache>
            </c:strRef>
          </c:tx>
          <c:spPr>
            <a:ln w="28575" cap="rnd">
              <a:solidFill>
                <a:schemeClr val="accent3"/>
              </a:solidFill>
              <a:round/>
            </a:ln>
            <a:effectLst/>
          </c:spPr>
          <c:marker>
            <c:symbol val="none"/>
          </c:marker>
          <c:cat>
            <c:numRef>
              <c:f>'Villa Born Alive  (5)'!$B$19:$M$19</c:f>
              <c:numCache>
                <c:formatCode>mmm\-yy</c:formatCode>
                <c:ptCount val="12"/>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Born Alive  (5)'!$B$22:$M$22</c:f>
              <c:numCache>
                <c:formatCode>General</c:formatCode>
                <c:ptCount val="12"/>
                <c:pt idx="0">
                  <c:v>15</c:v>
                </c:pt>
                <c:pt idx="1">
                  <c:v>15</c:v>
                </c:pt>
                <c:pt idx="2">
                  <c:v>15</c:v>
                </c:pt>
                <c:pt idx="3">
                  <c:v>15</c:v>
                </c:pt>
                <c:pt idx="4">
                  <c:v>15</c:v>
                </c:pt>
                <c:pt idx="5">
                  <c:v>15</c:v>
                </c:pt>
                <c:pt idx="6">
                  <c:v>15</c:v>
                </c:pt>
                <c:pt idx="7">
                  <c:v>15</c:v>
                </c:pt>
                <c:pt idx="8">
                  <c:v>15</c:v>
                </c:pt>
                <c:pt idx="9">
                  <c:v>15</c:v>
                </c:pt>
                <c:pt idx="10">
                  <c:v>15</c:v>
                </c:pt>
                <c:pt idx="11">
                  <c:v>15</c:v>
                </c:pt>
              </c:numCache>
            </c:numRef>
          </c:val>
          <c:smooth val="0"/>
          <c:extLst>
            <c:ext xmlns:c16="http://schemas.microsoft.com/office/drawing/2014/chart" uri="{C3380CC4-5D6E-409C-BE32-E72D297353CC}">
              <c16:uniqueId val="{00000002-2508-47DF-9762-840CAF086C6C}"/>
            </c:ext>
          </c:extLst>
        </c:ser>
        <c:dLbls>
          <c:showLegendKey val="0"/>
          <c:showVal val="0"/>
          <c:showCatName val="0"/>
          <c:showSerName val="0"/>
          <c:showPercent val="0"/>
          <c:showBubbleSize val="0"/>
        </c:dLbls>
        <c:smooth val="0"/>
        <c:axId val="1417864319"/>
        <c:axId val="1358316431"/>
      </c:lineChart>
      <c:dateAx>
        <c:axId val="141786431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58316431"/>
        <c:crosses val="autoZero"/>
        <c:auto val="1"/>
        <c:lblOffset val="100"/>
        <c:baseTimeUnit val="months"/>
      </c:dateAx>
      <c:valAx>
        <c:axId val="1358316431"/>
        <c:scaling>
          <c:orientation val="minMax"/>
          <c:max val="17"/>
          <c:min val="1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178643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Villa Wean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'Villa Wean weight (5)'!$A$19</c:f>
              <c:strCache>
                <c:ptCount val="1"/>
                <c:pt idx="0">
                  <c:v>FY26</c:v>
                </c:pt>
              </c:strCache>
            </c:strRef>
          </c:tx>
          <c:spPr>
            <a:ln w="28575" cap="rnd">
              <a:solidFill>
                <a:schemeClr val="accent1"/>
              </a:solidFill>
              <a:round/>
            </a:ln>
            <a:effectLst/>
          </c:spPr>
          <c:marker>
            <c:symbol val="none"/>
          </c:marker>
          <c:cat>
            <c:numRef>
              <c:f>'Villa Wean weight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Wean weight (5)'!$B$19:$N$19</c:f>
              <c:numCache>
                <c:formatCode>General</c:formatCode>
                <c:ptCount val="13"/>
                <c:pt idx="0">
                  <c:v>7.3</c:v>
                </c:pt>
                <c:pt idx="1">
                  <c:v>7.3</c:v>
                </c:pt>
                <c:pt idx="2">
                  <c:v>7</c:v>
                </c:pt>
                <c:pt idx="3">
                  <c:v>7.1</c:v>
                </c:pt>
                <c:pt idx="4">
                  <c:v>6.94</c:v>
                </c:pt>
                <c:pt idx="5">
                  <c:v>6.9</c:v>
                </c:pt>
                <c:pt idx="6">
                  <c:v>7</c:v>
                </c:pt>
                <c:pt idx="7">
                  <c:v>7.03</c:v>
                </c:pt>
                <c:pt idx="8">
                  <c:v>7.16</c:v>
                </c:pt>
                <c:pt idx="9">
                  <c:v>7.18</c:v>
                </c:pt>
                <c:pt idx="10">
                  <c:v>7.15</c:v>
                </c:pt>
                <c:pt idx="11">
                  <c:v>7.38</c:v>
                </c:pt>
                <c:pt idx="12" formatCode="0.0">
                  <c:v>7.12</c:v>
                </c:pt>
              </c:numCache>
            </c:numRef>
          </c:val>
          <c:smooth val="0"/>
          <c:extLst>
            <c:ext xmlns:c16="http://schemas.microsoft.com/office/drawing/2014/chart" uri="{C3380CC4-5D6E-409C-BE32-E72D297353CC}">
              <c16:uniqueId val="{00000000-D4BD-4B89-98E9-A3B9E8F7DF66}"/>
            </c:ext>
          </c:extLst>
        </c:ser>
        <c:ser>
          <c:idx val="1"/>
          <c:order val="1"/>
          <c:tx>
            <c:strRef>
              <c:f>'Villa Wean weight (5)'!$A$20</c:f>
              <c:strCache>
                <c:ptCount val="1"/>
                <c:pt idx="0">
                  <c:v>prior</c:v>
                </c:pt>
              </c:strCache>
            </c:strRef>
          </c:tx>
          <c:spPr>
            <a:ln w="28575" cap="rnd">
              <a:solidFill>
                <a:schemeClr val="accent2"/>
              </a:solidFill>
              <a:round/>
            </a:ln>
            <a:effectLst/>
          </c:spPr>
          <c:marker>
            <c:symbol val="none"/>
          </c:marker>
          <c:cat>
            <c:numRef>
              <c:f>'Villa Wean weight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Wean weight (5)'!$B$20:$N$20</c:f>
              <c:numCache>
                <c:formatCode>0.0</c:formatCode>
                <c:ptCount val="13"/>
                <c:pt idx="0">
                  <c:v>7.1</c:v>
                </c:pt>
                <c:pt idx="1">
                  <c:v>7.28</c:v>
                </c:pt>
                <c:pt idx="2">
                  <c:v>7.1</c:v>
                </c:pt>
                <c:pt idx="3">
                  <c:v>7</c:v>
                </c:pt>
                <c:pt idx="4">
                  <c:v>6.5</c:v>
                </c:pt>
                <c:pt idx="5">
                  <c:v>6.3</c:v>
                </c:pt>
                <c:pt idx="6">
                  <c:v>5.32</c:v>
                </c:pt>
                <c:pt idx="7">
                  <c:v>6.2</c:v>
                </c:pt>
                <c:pt idx="8">
                  <c:v>6.8</c:v>
                </c:pt>
                <c:pt idx="9">
                  <c:v>6.9</c:v>
                </c:pt>
                <c:pt idx="10">
                  <c:v>7.2</c:v>
                </c:pt>
                <c:pt idx="11">
                  <c:v>7.3</c:v>
                </c:pt>
                <c:pt idx="12">
                  <c:v>6.75</c:v>
                </c:pt>
              </c:numCache>
            </c:numRef>
          </c:val>
          <c:smooth val="0"/>
          <c:extLst>
            <c:ext xmlns:c16="http://schemas.microsoft.com/office/drawing/2014/chart" uri="{C3380CC4-5D6E-409C-BE32-E72D297353CC}">
              <c16:uniqueId val="{00000001-D4BD-4B89-98E9-A3B9E8F7DF66}"/>
            </c:ext>
          </c:extLst>
        </c:ser>
        <c:ser>
          <c:idx val="2"/>
          <c:order val="2"/>
          <c:tx>
            <c:strRef>
              <c:f>'Villa Wean weight (5)'!$A$21</c:f>
              <c:strCache>
                <c:ptCount val="1"/>
                <c:pt idx="0">
                  <c:v>target</c:v>
                </c:pt>
              </c:strCache>
            </c:strRef>
          </c:tx>
          <c:spPr>
            <a:ln w="28575" cap="rnd">
              <a:solidFill>
                <a:schemeClr val="accent3"/>
              </a:solidFill>
              <a:round/>
            </a:ln>
            <a:effectLst/>
          </c:spPr>
          <c:marker>
            <c:symbol val="none"/>
          </c:marker>
          <c:cat>
            <c:numRef>
              <c:f>'Villa Wean weight (5)'!$B$18:$N$18</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Wean weight (5)'!$B$21:$N$21</c:f>
              <c:numCache>
                <c:formatCode>General</c:formatCode>
                <c:ptCount val="13"/>
                <c:pt idx="0">
                  <c:v>7.2</c:v>
                </c:pt>
                <c:pt idx="1">
                  <c:v>7.2</c:v>
                </c:pt>
                <c:pt idx="2">
                  <c:v>7.2</c:v>
                </c:pt>
                <c:pt idx="3">
                  <c:v>7.2</c:v>
                </c:pt>
                <c:pt idx="4">
                  <c:v>7.2</c:v>
                </c:pt>
                <c:pt idx="5">
                  <c:v>7.2</c:v>
                </c:pt>
                <c:pt idx="6">
                  <c:v>7.2</c:v>
                </c:pt>
                <c:pt idx="7">
                  <c:v>7.2</c:v>
                </c:pt>
                <c:pt idx="8">
                  <c:v>7.2</c:v>
                </c:pt>
                <c:pt idx="9">
                  <c:v>7.2</c:v>
                </c:pt>
                <c:pt idx="10">
                  <c:v>7.2</c:v>
                </c:pt>
                <c:pt idx="11">
                  <c:v>7.2</c:v>
                </c:pt>
                <c:pt idx="12" formatCode="0.0">
                  <c:v>7.200000000000002</c:v>
                </c:pt>
              </c:numCache>
            </c:numRef>
          </c:val>
          <c:smooth val="0"/>
          <c:extLst>
            <c:ext xmlns:c16="http://schemas.microsoft.com/office/drawing/2014/chart" uri="{C3380CC4-5D6E-409C-BE32-E72D297353CC}">
              <c16:uniqueId val="{00000002-D4BD-4B89-98E9-A3B9E8F7DF66}"/>
            </c:ext>
          </c:extLst>
        </c:ser>
        <c:dLbls>
          <c:showLegendKey val="0"/>
          <c:showVal val="0"/>
          <c:showCatName val="0"/>
          <c:showSerName val="0"/>
          <c:showPercent val="0"/>
          <c:showBubbleSize val="0"/>
        </c:dLbls>
        <c:smooth val="0"/>
        <c:axId val="525499888"/>
        <c:axId val="525441208"/>
      </c:lineChart>
      <c:dateAx>
        <c:axId val="52549988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5441208"/>
        <c:crosses val="autoZero"/>
        <c:auto val="1"/>
        <c:lblOffset val="100"/>
        <c:baseTimeUnit val="months"/>
      </c:dateAx>
      <c:valAx>
        <c:axId val="525441208"/>
        <c:scaling>
          <c:orientation val="minMax"/>
          <c:max val="9"/>
          <c:min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54998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Villa total litter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'Villa total litter mass  (5)'!$A$21</c:f>
              <c:strCache>
                <c:ptCount val="1"/>
                <c:pt idx="0">
                  <c:v>FY26</c:v>
                </c:pt>
              </c:strCache>
            </c:strRef>
          </c:tx>
          <c:spPr>
            <a:ln w="28575" cap="rnd">
              <a:solidFill>
                <a:schemeClr val="accent1"/>
              </a:solidFill>
              <a:round/>
            </a:ln>
            <a:effectLst/>
          </c:spPr>
          <c:marker>
            <c:symbol val="none"/>
          </c:marker>
          <c:cat>
            <c:numRef>
              <c:f>'Villa total litter mass  (5)'!$B$20:$M$20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total litter mass  (5)'!$B$21:$M$21</c:f>
              <c:numCache>
                <c:formatCode>0.0</c:formatCode>
                <c:ptCount val="12"/>
                <c:pt idx="0">
                  <c:v>103.7</c:v>
                </c:pt>
                <c:pt idx="1">
                  <c:v>105.8</c:v>
                </c:pt>
                <c:pt idx="2">
                  <c:v>102.9</c:v>
                </c:pt>
                <c:pt idx="3">
                  <c:v>101.4</c:v>
                </c:pt>
                <c:pt idx="4">
                  <c:v>105.62</c:v>
                </c:pt>
                <c:pt idx="5">
                  <c:v>99.3</c:v>
                </c:pt>
                <c:pt idx="6">
                  <c:v>104.3</c:v>
                </c:pt>
                <c:pt idx="7">
                  <c:v>104.83</c:v>
                </c:pt>
                <c:pt idx="8">
                  <c:v>107.78</c:v>
                </c:pt>
                <c:pt idx="9">
                  <c:v>109.23</c:v>
                </c:pt>
                <c:pt idx="10">
                  <c:v>104.52</c:v>
                </c:pt>
                <c:pt idx="11">
                  <c:v>108.58</c:v>
                </c:pt>
              </c:numCache>
            </c:numRef>
          </c:val>
          <c:smooth val="0"/>
          <c:extLst>
            <c:ext xmlns:c16="http://schemas.microsoft.com/office/drawing/2014/chart" uri="{C3380CC4-5D6E-409C-BE32-E72D297353CC}">
              <c16:uniqueId val="{00000000-EEC2-4F4F-BF3D-8F0D642CC077}"/>
            </c:ext>
          </c:extLst>
        </c:ser>
        <c:ser>
          <c:idx val="1"/>
          <c:order val="1"/>
          <c:tx>
            <c:strRef>
              <c:f>'Villa total litter mass  (5)'!$A$22</c:f>
              <c:strCache>
                <c:ptCount val="1"/>
                <c:pt idx="0">
                  <c:v>prior</c:v>
                </c:pt>
              </c:strCache>
            </c:strRef>
          </c:tx>
          <c:spPr>
            <a:ln w="28575" cap="rnd">
              <a:solidFill>
                <a:schemeClr val="accent2"/>
              </a:solidFill>
              <a:round/>
            </a:ln>
            <a:effectLst/>
          </c:spPr>
          <c:marker>
            <c:symbol val="none"/>
          </c:marker>
          <c:cat>
            <c:numRef>
              <c:f>'Villa total litter mass  (5)'!$B$20:$M$20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total litter mass  (5)'!$B$22:$M$22</c:f>
              <c:numCache>
                <c:formatCode>0.0</c:formatCode>
                <c:ptCount val="12"/>
                <c:pt idx="0">
                  <c:v>92.5</c:v>
                </c:pt>
                <c:pt idx="1">
                  <c:v>96.15</c:v>
                </c:pt>
                <c:pt idx="2">
                  <c:v>97.7</c:v>
                </c:pt>
                <c:pt idx="3">
                  <c:v>97.4</c:v>
                </c:pt>
                <c:pt idx="4">
                  <c:v>96.4</c:v>
                </c:pt>
                <c:pt idx="5">
                  <c:v>89.5</c:v>
                </c:pt>
                <c:pt idx="6">
                  <c:v>77.47657287157287</c:v>
                </c:pt>
                <c:pt idx="7">
                  <c:v>89.2</c:v>
                </c:pt>
                <c:pt idx="8">
                  <c:v>96.1</c:v>
                </c:pt>
                <c:pt idx="9" formatCode="General">
                  <c:v>96.7</c:v>
                </c:pt>
                <c:pt idx="10" formatCode="General">
                  <c:v>102.1</c:v>
                </c:pt>
                <c:pt idx="11" formatCode="General">
                  <c:v>104.3</c:v>
                </c:pt>
              </c:numCache>
            </c:numRef>
          </c:val>
          <c:smooth val="0"/>
          <c:extLst>
            <c:ext xmlns:c16="http://schemas.microsoft.com/office/drawing/2014/chart" uri="{C3380CC4-5D6E-409C-BE32-E72D297353CC}">
              <c16:uniqueId val="{00000001-EEC2-4F4F-BF3D-8F0D642CC077}"/>
            </c:ext>
          </c:extLst>
        </c:ser>
        <c:ser>
          <c:idx val="2"/>
          <c:order val="2"/>
          <c:tx>
            <c:strRef>
              <c:f>'Villa total litter mass  (5)'!$A$23</c:f>
              <c:strCache>
                <c:ptCount val="1"/>
                <c:pt idx="0">
                  <c:v>target</c:v>
                </c:pt>
              </c:strCache>
            </c:strRef>
          </c:tx>
          <c:spPr>
            <a:ln w="28575" cap="rnd">
              <a:solidFill>
                <a:schemeClr val="accent3"/>
              </a:solidFill>
              <a:round/>
            </a:ln>
            <a:effectLst/>
          </c:spPr>
          <c:marker>
            <c:symbol val="none"/>
          </c:marker>
          <c:cat>
            <c:numRef>
              <c:f>'Villa total litter mass  (5)'!$B$20:$M$20</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total litter mass  (5)'!$B$23:$M$23</c:f>
              <c:numCache>
                <c:formatCode>General</c:formatCode>
                <c:ptCount val="12"/>
                <c:pt idx="0">
                  <c:v>102</c:v>
                </c:pt>
                <c:pt idx="1">
                  <c:v>102</c:v>
                </c:pt>
                <c:pt idx="2">
                  <c:v>102</c:v>
                </c:pt>
                <c:pt idx="3">
                  <c:v>102</c:v>
                </c:pt>
                <c:pt idx="4">
                  <c:v>102</c:v>
                </c:pt>
                <c:pt idx="5">
                  <c:v>102</c:v>
                </c:pt>
                <c:pt idx="6">
                  <c:v>102</c:v>
                </c:pt>
                <c:pt idx="7">
                  <c:v>102</c:v>
                </c:pt>
                <c:pt idx="8">
                  <c:v>102</c:v>
                </c:pt>
                <c:pt idx="9">
                  <c:v>102</c:v>
                </c:pt>
                <c:pt idx="10">
                  <c:v>102</c:v>
                </c:pt>
                <c:pt idx="11">
                  <c:v>102</c:v>
                </c:pt>
              </c:numCache>
            </c:numRef>
          </c:val>
          <c:smooth val="0"/>
          <c:extLst>
            <c:ext xmlns:c16="http://schemas.microsoft.com/office/drawing/2014/chart" uri="{C3380CC4-5D6E-409C-BE32-E72D297353CC}">
              <c16:uniqueId val="{00000002-EEC2-4F4F-BF3D-8F0D642CC077}"/>
            </c:ext>
          </c:extLst>
        </c:ser>
        <c:dLbls>
          <c:showLegendKey val="0"/>
          <c:showVal val="0"/>
          <c:showCatName val="0"/>
          <c:showSerName val="0"/>
          <c:showPercent val="0"/>
          <c:showBubbleSize val="0"/>
        </c:dLbls>
        <c:smooth val="0"/>
        <c:axId val="1865350639"/>
        <c:axId val="2054866143"/>
      </c:lineChart>
      <c:dateAx>
        <c:axId val="186535063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54866143"/>
        <c:crosses val="autoZero"/>
        <c:auto val="1"/>
        <c:lblOffset val="100"/>
        <c:baseTimeUnit val="months"/>
      </c:dateAx>
      <c:valAx>
        <c:axId val="2054866143"/>
        <c:scaling>
          <c:orientation val="minMax"/>
          <c:max val="130"/>
          <c:min val="8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53506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Villa 70 Day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'Villa 70 day weight  (5)'!$A$18</c:f>
              <c:strCache>
                <c:ptCount val="1"/>
                <c:pt idx="0">
                  <c:v>FY26</c:v>
                </c:pt>
              </c:strCache>
            </c:strRef>
          </c:tx>
          <c:spPr>
            <a:ln w="28575" cap="rnd">
              <a:solidFill>
                <a:schemeClr val="accent1"/>
              </a:solidFill>
              <a:round/>
            </a:ln>
            <a:effectLst/>
          </c:spPr>
          <c:marker>
            <c:symbol val="none"/>
          </c:marker>
          <c:cat>
            <c:numRef>
              <c:f>'Villa 70 day weight  (5)'!$B$17:$N$17</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70 day weight  (5)'!$B$18:$N$18</c:f>
              <c:numCache>
                <c:formatCode>General</c:formatCode>
                <c:ptCount val="13"/>
                <c:pt idx="0">
                  <c:v>28.3</c:v>
                </c:pt>
                <c:pt idx="1">
                  <c:v>28.7</c:v>
                </c:pt>
                <c:pt idx="2">
                  <c:v>28.3</c:v>
                </c:pt>
                <c:pt idx="3">
                  <c:v>28.2</c:v>
                </c:pt>
                <c:pt idx="4">
                  <c:v>28.48</c:v>
                </c:pt>
                <c:pt idx="5">
                  <c:v>28.1</c:v>
                </c:pt>
                <c:pt idx="6">
                  <c:v>28.1</c:v>
                </c:pt>
                <c:pt idx="7">
                  <c:v>28.29</c:v>
                </c:pt>
                <c:pt idx="8">
                  <c:v>28.27</c:v>
                </c:pt>
                <c:pt idx="9">
                  <c:v>28.24</c:v>
                </c:pt>
                <c:pt idx="10">
                  <c:v>28.46</c:v>
                </c:pt>
                <c:pt idx="11">
                  <c:v>28.42</c:v>
                </c:pt>
                <c:pt idx="12" formatCode="0.0">
                  <c:v>28.321666666666662</c:v>
                </c:pt>
              </c:numCache>
            </c:numRef>
          </c:val>
          <c:smooth val="0"/>
          <c:extLst>
            <c:ext xmlns:c16="http://schemas.microsoft.com/office/drawing/2014/chart" uri="{C3380CC4-5D6E-409C-BE32-E72D297353CC}">
              <c16:uniqueId val="{00000000-E46A-43D3-95FA-3C57057208E1}"/>
            </c:ext>
          </c:extLst>
        </c:ser>
        <c:ser>
          <c:idx val="1"/>
          <c:order val="1"/>
          <c:tx>
            <c:strRef>
              <c:f>'Villa 70 day weight  (5)'!$A$19</c:f>
              <c:strCache>
                <c:ptCount val="1"/>
                <c:pt idx="0">
                  <c:v>PRIOR YEAR</c:v>
                </c:pt>
              </c:strCache>
            </c:strRef>
          </c:tx>
          <c:spPr>
            <a:ln w="28575" cap="rnd">
              <a:solidFill>
                <a:schemeClr val="accent2"/>
              </a:solidFill>
              <a:round/>
            </a:ln>
            <a:effectLst/>
          </c:spPr>
          <c:marker>
            <c:symbol val="none"/>
          </c:marker>
          <c:cat>
            <c:numRef>
              <c:f>'Villa 70 day weight  (5)'!$B$17:$N$17</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70 day weight  (5)'!$B$19:$N$19</c:f>
              <c:numCache>
                <c:formatCode>General</c:formatCode>
                <c:ptCount val="13"/>
                <c:pt idx="0">
                  <c:v>28.3</c:v>
                </c:pt>
                <c:pt idx="1">
                  <c:v>27.34</c:v>
                </c:pt>
                <c:pt idx="2">
                  <c:v>27.7</c:v>
                </c:pt>
                <c:pt idx="3">
                  <c:v>28.3</c:v>
                </c:pt>
                <c:pt idx="4">
                  <c:v>27.6</c:v>
                </c:pt>
                <c:pt idx="5">
                  <c:v>28.4</c:v>
                </c:pt>
                <c:pt idx="6">
                  <c:v>26.392499999999998</c:v>
                </c:pt>
                <c:pt idx="7">
                  <c:v>24.4</c:v>
                </c:pt>
                <c:pt idx="8">
                  <c:v>27.21104166666667</c:v>
                </c:pt>
                <c:pt idx="9">
                  <c:v>27.3</c:v>
                </c:pt>
                <c:pt idx="10">
                  <c:v>28</c:v>
                </c:pt>
                <c:pt idx="11">
                  <c:v>28</c:v>
                </c:pt>
                <c:pt idx="12" formatCode="0.0">
                  <c:v>27.41196180555556</c:v>
                </c:pt>
              </c:numCache>
            </c:numRef>
          </c:val>
          <c:smooth val="0"/>
          <c:extLst>
            <c:ext xmlns:c16="http://schemas.microsoft.com/office/drawing/2014/chart" uri="{C3380CC4-5D6E-409C-BE32-E72D297353CC}">
              <c16:uniqueId val="{00000001-E46A-43D3-95FA-3C57057208E1}"/>
            </c:ext>
          </c:extLst>
        </c:ser>
        <c:ser>
          <c:idx val="2"/>
          <c:order val="2"/>
          <c:tx>
            <c:strRef>
              <c:f>'Villa 70 day weight  (5)'!$A$20</c:f>
              <c:strCache>
                <c:ptCount val="1"/>
                <c:pt idx="0">
                  <c:v>TARGET</c:v>
                </c:pt>
              </c:strCache>
            </c:strRef>
          </c:tx>
          <c:spPr>
            <a:ln w="28575" cap="rnd">
              <a:solidFill>
                <a:schemeClr val="accent3"/>
              </a:solidFill>
              <a:round/>
            </a:ln>
            <a:effectLst/>
          </c:spPr>
          <c:marker>
            <c:symbol val="none"/>
          </c:marker>
          <c:cat>
            <c:numRef>
              <c:f>'Villa 70 day weight  (5)'!$B$17:$N$17</c:f>
              <c:numCache>
                <c:formatCode>mmm\-yy</c:formatCode>
                <c:ptCount val="13"/>
                <c:pt idx="0">
                  <c:v>45863</c:v>
                </c:pt>
                <c:pt idx="1">
                  <c:v>45894</c:v>
                </c:pt>
                <c:pt idx="2">
                  <c:v>45925</c:v>
                </c:pt>
                <c:pt idx="3">
                  <c:v>45955</c:v>
                </c:pt>
                <c:pt idx="4">
                  <c:v>45986</c:v>
                </c:pt>
                <c:pt idx="5">
                  <c:v>46016</c:v>
                </c:pt>
                <c:pt idx="6">
                  <c:v>46047</c:v>
                </c:pt>
                <c:pt idx="7">
                  <c:v>46078</c:v>
                </c:pt>
                <c:pt idx="8">
                  <c:v>46106</c:v>
                </c:pt>
                <c:pt idx="9">
                  <c:v>46137</c:v>
                </c:pt>
                <c:pt idx="10">
                  <c:v>46167</c:v>
                </c:pt>
                <c:pt idx="11">
                  <c:v>46198</c:v>
                </c:pt>
              </c:numCache>
            </c:numRef>
          </c:cat>
          <c:val>
            <c:numRef>
              <c:f>'Villa 70 day weight  (5)'!$B$20:$N$20</c:f>
              <c:numCache>
                <c:formatCode>General</c:formatCode>
                <c:ptCount val="13"/>
                <c:pt idx="0">
                  <c:v>27.2</c:v>
                </c:pt>
                <c:pt idx="1">
                  <c:v>27.2</c:v>
                </c:pt>
                <c:pt idx="2">
                  <c:v>27.2</c:v>
                </c:pt>
                <c:pt idx="3">
                  <c:v>27.2</c:v>
                </c:pt>
                <c:pt idx="4">
                  <c:v>27.2</c:v>
                </c:pt>
                <c:pt idx="5">
                  <c:v>27.2</c:v>
                </c:pt>
                <c:pt idx="6">
                  <c:v>27.2</c:v>
                </c:pt>
                <c:pt idx="7">
                  <c:v>27.2</c:v>
                </c:pt>
                <c:pt idx="8">
                  <c:v>27.2</c:v>
                </c:pt>
                <c:pt idx="9">
                  <c:v>27.2</c:v>
                </c:pt>
                <c:pt idx="10">
                  <c:v>27.2</c:v>
                </c:pt>
                <c:pt idx="11">
                  <c:v>27.2</c:v>
                </c:pt>
                <c:pt idx="12" formatCode="0.0">
                  <c:v>27.199999999999992</c:v>
                </c:pt>
              </c:numCache>
            </c:numRef>
          </c:val>
          <c:smooth val="0"/>
          <c:extLst>
            <c:ext xmlns:c16="http://schemas.microsoft.com/office/drawing/2014/chart" uri="{C3380CC4-5D6E-409C-BE32-E72D297353CC}">
              <c16:uniqueId val="{00000002-E46A-43D3-95FA-3C57057208E1}"/>
            </c:ext>
          </c:extLst>
        </c:ser>
        <c:dLbls>
          <c:showLegendKey val="0"/>
          <c:showVal val="0"/>
          <c:showCatName val="0"/>
          <c:showSerName val="0"/>
          <c:showPercent val="0"/>
          <c:showBubbleSize val="0"/>
        </c:dLbls>
        <c:smooth val="0"/>
        <c:axId val="498263736"/>
        <c:axId val="498264096"/>
      </c:lineChart>
      <c:dateAx>
        <c:axId val="4982637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8264096"/>
        <c:crosses val="autoZero"/>
        <c:auto val="1"/>
        <c:lblOffset val="100"/>
        <c:baseTimeUnit val="months"/>
      </c:dateAx>
      <c:valAx>
        <c:axId val="498264096"/>
        <c:scaling>
          <c:orientation val="minMax"/>
          <c:max val="31"/>
          <c:min val="2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8263736"/>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Villa 70 day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'Villa 70 day gain  (5)'!$A$20</c:f>
              <c:strCache>
                <c:ptCount val="1"/>
                <c:pt idx="0">
                  <c:v>FY26</c:v>
                </c:pt>
              </c:strCache>
            </c:strRef>
          </c:tx>
          <c:spPr>
            <a:ln w="28575" cap="rnd">
              <a:solidFill>
                <a:schemeClr val="accent1"/>
              </a:solidFill>
              <a:round/>
            </a:ln>
            <a:effectLst/>
          </c:spPr>
          <c:marker>
            <c:symbol val="none"/>
          </c:marker>
          <c:cat>
            <c:numRef>
              <c:f>'Villa 70 day gain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70 day gain  (5)'!$B$20:$N$20</c:f>
              <c:numCache>
                <c:formatCode>General</c:formatCode>
                <c:ptCount val="13"/>
                <c:pt idx="0">
                  <c:v>20.9</c:v>
                </c:pt>
                <c:pt idx="1">
                  <c:v>21.2</c:v>
                </c:pt>
                <c:pt idx="2">
                  <c:v>20.9</c:v>
                </c:pt>
                <c:pt idx="3">
                  <c:v>21</c:v>
                </c:pt>
                <c:pt idx="4">
                  <c:v>21.31</c:v>
                </c:pt>
                <c:pt idx="5">
                  <c:v>21.1</c:v>
                </c:pt>
                <c:pt idx="6">
                  <c:v>21.2</c:v>
                </c:pt>
                <c:pt idx="7">
                  <c:v>20.91</c:v>
                </c:pt>
                <c:pt idx="8">
                  <c:v>21.18</c:v>
                </c:pt>
                <c:pt idx="9">
                  <c:v>20.95</c:v>
                </c:pt>
                <c:pt idx="10">
                  <c:v>21.26</c:v>
                </c:pt>
                <c:pt idx="11">
                  <c:v>21.27</c:v>
                </c:pt>
                <c:pt idx="12" formatCode="0.0">
                  <c:v>21.098333333333333</c:v>
                </c:pt>
              </c:numCache>
            </c:numRef>
          </c:val>
          <c:smooth val="0"/>
          <c:extLst>
            <c:ext xmlns:c16="http://schemas.microsoft.com/office/drawing/2014/chart" uri="{C3380CC4-5D6E-409C-BE32-E72D297353CC}">
              <c16:uniqueId val="{00000000-315F-4232-90E2-C1126F8757D0}"/>
            </c:ext>
          </c:extLst>
        </c:ser>
        <c:ser>
          <c:idx val="1"/>
          <c:order val="1"/>
          <c:tx>
            <c:strRef>
              <c:f>'Villa 70 day gain  (5)'!$A$21</c:f>
              <c:strCache>
                <c:ptCount val="1"/>
                <c:pt idx="0">
                  <c:v>PRIOR YEAR</c:v>
                </c:pt>
              </c:strCache>
            </c:strRef>
          </c:tx>
          <c:spPr>
            <a:ln w="28575" cap="rnd">
              <a:solidFill>
                <a:schemeClr val="accent2"/>
              </a:solidFill>
              <a:round/>
            </a:ln>
            <a:effectLst/>
          </c:spPr>
          <c:marker>
            <c:symbol val="none"/>
          </c:marker>
          <c:cat>
            <c:numRef>
              <c:f>'Villa 70 day gain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70 day gain  (5)'!$B$21:$N$21</c:f>
              <c:numCache>
                <c:formatCode>General</c:formatCode>
                <c:ptCount val="13"/>
                <c:pt idx="0">
                  <c:v>21.4</c:v>
                </c:pt>
                <c:pt idx="1">
                  <c:v>20.38</c:v>
                </c:pt>
                <c:pt idx="2">
                  <c:v>20.6</c:v>
                </c:pt>
                <c:pt idx="3">
                  <c:v>21</c:v>
                </c:pt>
                <c:pt idx="4">
                  <c:v>20.9</c:v>
                </c:pt>
                <c:pt idx="5">
                  <c:v>21.1</c:v>
                </c:pt>
                <c:pt idx="6">
                  <c:v>20.155000000000001</c:v>
                </c:pt>
                <c:pt idx="7">
                  <c:v>19</c:v>
                </c:pt>
                <c:pt idx="8">
                  <c:v>19.399999999999999</c:v>
                </c:pt>
                <c:pt idx="9">
                  <c:v>20.7</c:v>
                </c:pt>
                <c:pt idx="10">
                  <c:v>21.2</c:v>
                </c:pt>
                <c:pt idx="11">
                  <c:v>21</c:v>
                </c:pt>
                <c:pt idx="12" formatCode="0.0">
                  <c:v>20.56958333333333</c:v>
                </c:pt>
              </c:numCache>
            </c:numRef>
          </c:val>
          <c:smooth val="0"/>
          <c:extLst>
            <c:ext xmlns:c16="http://schemas.microsoft.com/office/drawing/2014/chart" uri="{C3380CC4-5D6E-409C-BE32-E72D297353CC}">
              <c16:uniqueId val="{00000001-315F-4232-90E2-C1126F8757D0}"/>
            </c:ext>
          </c:extLst>
        </c:ser>
        <c:ser>
          <c:idx val="2"/>
          <c:order val="2"/>
          <c:tx>
            <c:strRef>
              <c:f>'Villa 70 day gain  (5)'!$A$22</c:f>
              <c:strCache>
                <c:ptCount val="1"/>
                <c:pt idx="0">
                  <c:v>TARGET</c:v>
                </c:pt>
              </c:strCache>
            </c:strRef>
          </c:tx>
          <c:spPr>
            <a:ln w="28575" cap="rnd">
              <a:solidFill>
                <a:schemeClr val="accent3"/>
              </a:solidFill>
              <a:round/>
            </a:ln>
            <a:effectLst/>
          </c:spPr>
          <c:marker>
            <c:symbol val="none"/>
          </c:marker>
          <c:cat>
            <c:numRef>
              <c:f>'Villa 70 day gain  (5)'!$B$19:$N$19</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70 day gain  (5)'!$B$22:$N$22</c:f>
              <c:numCache>
                <c:formatCode>General</c:formatCode>
                <c:ptCount val="13"/>
                <c:pt idx="0">
                  <c:v>20</c:v>
                </c:pt>
                <c:pt idx="1">
                  <c:v>20</c:v>
                </c:pt>
                <c:pt idx="2">
                  <c:v>20</c:v>
                </c:pt>
                <c:pt idx="3">
                  <c:v>20</c:v>
                </c:pt>
                <c:pt idx="4">
                  <c:v>20</c:v>
                </c:pt>
                <c:pt idx="5">
                  <c:v>20</c:v>
                </c:pt>
                <c:pt idx="6">
                  <c:v>20</c:v>
                </c:pt>
                <c:pt idx="7">
                  <c:v>20</c:v>
                </c:pt>
                <c:pt idx="8">
                  <c:v>20</c:v>
                </c:pt>
                <c:pt idx="9">
                  <c:v>20</c:v>
                </c:pt>
                <c:pt idx="10">
                  <c:v>20</c:v>
                </c:pt>
                <c:pt idx="11">
                  <c:v>20</c:v>
                </c:pt>
                <c:pt idx="12" formatCode="0.0">
                  <c:v>20</c:v>
                </c:pt>
              </c:numCache>
            </c:numRef>
          </c:val>
          <c:smooth val="0"/>
          <c:extLst>
            <c:ext xmlns:c16="http://schemas.microsoft.com/office/drawing/2014/chart" uri="{C3380CC4-5D6E-409C-BE32-E72D297353CC}">
              <c16:uniqueId val="{00000002-315F-4232-90E2-C1126F8757D0}"/>
            </c:ext>
          </c:extLst>
        </c:ser>
        <c:dLbls>
          <c:showLegendKey val="0"/>
          <c:showVal val="0"/>
          <c:showCatName val="0"/>
          <c:showSerName val="0"/>
          <c:showPercent val="0"/>
          <c:showBubbleSize val="0"/>
        </c:dLbls>
        <c:smooth val="0"/>
        <c:axId val="2111730495"/>
        <c:axId val="1943075183"/>
      </c:lineChart>
      <c:dateAx>
        <c:axId val="211173049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3075183"/>
        <c:crosses val="autoZero"/>
        <c:auto val="1"/>
        <c:lblOffset val="100"/>
        <c:baseTimeUnit val="months"/>
      </c:dateAx>
      <c:valAx>
        <c:axId val="1943075183"/>
        <c:scaling>
          <c:orientation val="minMax"/>
          <c:max val="23"/>
          <c:min val="1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1730495"/>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Villa Weaned per sow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'Villa WSY  (5)'!$A$19</c:f>
              <c:strCache>
                <c:ptCount val="1"/>
                <c:pt idx="0">
                  <c:v>FY26</c:v>
                </c:pt>
              </c:strCache>
            </c:strRef>
          </c:tx>
          <c:spPr>
            <a:ln w="28575" cap="rnd">
              <a:solidFill>
                <a:schemeClr val="accent1"/>
              </a:solidFill>
              <a:round/>
            </a:ln>
            <a:effectLst/>
          </c:spPr>
          <c:marker>
            <c:symbol val="none"/>
          </c:marker>
          <c:cat>
            <c:numRef>
              <c:f>'Villa WSY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WSY  (5)'!$B$19:$N$19</c:f>
              <c:numCache>
                <c:formatCode>General</c:formatCode>
                <c:ptCount val="13"/>
                <c:pt idx="0">
                  <c:v>33.700000000000003</c:v>
                </c:pt>
                <c:pt idx="1">
                  <c:v>33.5</c:v>
                </c:pt>
                <c:pt idx="2">
                  <c:v>35.799999999999997</c:v>
                </c:pt>
                <c:pt idx="3">
                  <c:v>35.4</c:v>
                </c:pt>
                <c:pt idx="4">
                  <c:v>37.200000000000003</c:v>
                </c:pt>
                <c:pt idx="5">
                  <c:v>34.200000000000003</c:v>
                </c:pt>
                <c:pt idx="6">
                  <c:v>35.4</c:v>
                </c:pt>
                <c:pt idx="7">
                  <c:v>36.700000000000003</c:v>
                </c:pt>
                <c:pt idx="8">
                  <c:v>34.9</c:v>
                </c:pt>
                <c:pt idx="9">
                  <c:v>37</c:v>
                </c:pt>
                <c:pt idx="10">
                  <c:v>36.200000000000003</c:v>
                </c:pt>
                <c:pt idx="11">
                  <c:v>35.4</c:v>
                </c:pt>
                <c:pt idx="12" formatCode="0.0">
                  <c:v>35.449999999999996</c:v>
                </c:pt>
              </c:numCache>
            </c:numRef>
          </c:val>
          <c:smooth val="0"/>
          <c:extLst>
            <c:ext xmlns:c16="http://schemas.microsoft.com/office/drawing/2014/chart" uri="{C3380CC4-5D6E-409C-BE32-E72D297353CC}">
              <c16:uniqueId val="{00000000-F39D-461F-B520-21131E3EA036}"/>
            </c:ext>
          </c:extLst>
        </c:ser>
        <c:ser>
          <c:idx val="1"/>
          <c:order val="1"/>
          <c:tx>
            <c:strRef>
              <c:f>'Villa WSY  (5)'!$A$20</c:f>
              <c:strCache>
                <c:ptCount val="1"/>
                <c:pt idx="0">
                  <c:v>prior</c:v>
                </c:pt>
              </c:strCache>
            </c:strRef>
          </c:tx>
          <c:spPr>
            <a:ln w="28575" cap="rnd">
              <a:solidFill>
                <a:schemeClr val="accent2"/>
              </a:solidFill>
              <a:round/>
            </a:ln>
            <a:effectLst/>
          </c:spPr>
          <c:marker>
            <c:symbol val="none"/>
          </c:marker>
          <c:cat>
            <c:numRef>
              <c:f>'Villa WSY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WSY  (5)'!$B$20:$N$20</c:f>
              <c:numCache>
                <c:formatCode>General</c:formatCode>
                <c:ptCount val="13"/>
                <c:pt idx="0">
                  <c:v>32.1</c:v>
                </c:pt>
                <c:pt idx="1">
                  <c:v>31.9</c:v>
                </c:pt>
                <c:pt idx="2">
                  <c:v>33.799999999999997</c:v>
                </c:pt>
                <c:pt idx="3">
                  <c:v>34.1</c:v>
                </c:pt>
                <c:pt idx="4">
                  <c:v>34.1</c:v>
                </c:pt>
                <c:pt idx="5">
                  <c:v>36</c:v>
                </c:pt>
                <c:pt idx="6">
                  <c:v>36.700000000000003</c:v>
                </c:pt>
                <c:pt idx="7">
                  <c:v>34.700000000000003</c:v>
                </c:pt>
                <c:pt idx="8">
                  <c:v>34.4</c:v>
                </c:pt>
                <c:pt idx="9">
                  <c:v>33.9</c:v>
                </c:pt>
                <c:pt idx="10">
                  <c:v>34.6</c:v>
                </c:pt>
                <c:pt idx="11">
                  <c:v>34.1</c:v>
                </c:pt>
                <c:pt idx="12" formatCode="0.0">
                  <c:v>34.199999999999996</c:v>
                </c:pt>
              </c:numCache>
            </c:numRef>
          </c:val>
          <c:smooth val="0"/>
          <c:extLst>
            <c:ext xmlns:c16="http://schemas.microsoft.com/office/drawing/2014/chart" uri="{C3380CC4-5D6E-409C-BE32-E72D297353CC}">
              <c16:uniqueId val="{00000001-F39D-461F-B520-21131E3EA036}"/>
            </c:ext>
          </c:extLst>
        </c:ser>
        <c:ser>
          <c:idx val="2"/>
          <c:order val="2"/>
          <c:tx>
            <c:strRef>
              <c:f>'Villa WSY  (5)'!$A$21</c:f>
              <c:strCache>
                <c:ptCount val="1"/>
                <c:pt idx="0">
                  <c:v>target</c:v>
                </c:pt>
              </c:strCache>
            </c:strRef>
          </c:tx>
          <c:spPr>
            <a:ln w="28575" cap="rnd">
              <a:solidFill>
                <a:schemeClr val="accent3"/>
              </a:solidFill>
              <a:round/>
            </a:ln>
            <a:effectLst/>
          </c:spPr>
          <c:marker>
            <c:symbol val="none"/>
          </c:marker>
          <c:cat>
            <c:numRef>
              <c:f>'Villa WSY  (5)'!$B$18:$N$18</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'Villa WSY  (5)'!$B$21:$N$21</c:f>
              <c:numCache>
                <c:formatCode>General</c:formatCode>
                <c:ptCount val="13"/>
                <c:pt idx="0">
                  <c:v>34</c:v>
                </c:pt>
                <c:pt idx="1">
                  <c:v>34</c:v>
                </c:pt>
                <c:pt idx="2">
                  <c:v>34</c:v>
                </c:pt>
                <c:pt idx="3">
                  <c:v>34</c:v>
                </c:pt>
                <c:pt idx="4">
                  <c:v>34</c:v>
                </c:pt>
                <c:pt idx="5">
                  <c:v>34</c:v>
                </c:pt>
                <c:pt idx="6">
                  <c:v>34</c:v>
                </c:pt>
                <c:pt idx="7">
                  <c:v>34</c:v>
                </c:pt>
                <c:pt idx="8">
                  <c:v>34</c:v>
                </c:pt>
                <c:pt idx="9">
                  <c:v>34</c:v>
                </c:pt>
                <c:pt idx="10">
                  <c:v>34</c:v>
                </c:pt>
                <c:pt idx="11">
                  <c:v>34</c:v>
                </c:pt>
                <c:pt idx="12" formatCode="0.0">
                  <c:v>34</c:v>
                </c:pt>
              </c:numCache>
            </c:numRef>
          </c:val>
          <c:smooth val="0"/>
          <c:extLst>
            <c:ext xmlns:c16="http://schemas.microsoft.com/office/drawing/2014/chart" uri="{C3380CC4-5D6E-409C-BE32-E72D297353CC}">
              <c16:uniqueId val="{00000002-F39D-461F-B520-21131E3EA036}"/>
            </c:ext>
          </c:extLst>
        </c:ser>
        <c:dLbls>
          <c:showLegendKey val="0"/>
          <c:showVal val="0"/>
          <c:showCatName val="0"/>
          <c:showSerName val="0"/>
          <c:showPercent val="0"/>
          <c:showBubbleSize val="0"/>
        </c:dLbls>
        <c:smooth val="0"/>
        <c:axId val="323339920"/>
        <c:axId val="323340280"/>
      </c:lineChart>
      <c:dateAx>
        <c:axId val="32333992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3340280"/>
        <c:crosses val="autoZero"/>
        <c:auto val="1"/>
        <c:lblOffset val="100"/>
        <c:baseTimeUnit val="months"/>
      </c:dateAx>
      <c:valAx>
        <c:axId val="323340280"/>
        <c:scaling>
          <c:orientation val="minMax"/>
          <c:max val="38"/>
          <c:min val="2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33399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Learig Avg CDM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'Learig Avg CDM against budg (4)'!$A$20</c:f>
              <c:strCache>
                <c:ptCount val="1"/>
                <c:pt idx="0">
                  <c:v>FY26</c:v>
                </c:pt>
              </c:strCache>
            </c:strRef>
          </c:tx>
          <c:spPr>
            <a:ln w="28575" cap="rnd">
              <a:solidFill>
                <a:schemeClr val="accent1"/>
              </a:solidFill>
              <a:round/>
            </a:ln>
            <a:effectLst/>
          </c:spPr>
          <c:marker>
            <c:symbol val="none"/>
          </c:marker>
          <c:cat>
            <c:numRef>
              <c:f>'Learig Avg CDM against budg (4)'!$B$19:$M$19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'Learig Avg CDM against budg (4)'!$B$20:$M$20</c:f>
              <c:numCache>
                <c:formatCode>_-* #,##0.00_-;\-* #,##0.00_-;_-* "-"??_-;_-@_-</c:formatCode>
                <c:ptCount val="12"/>
                <c:pt idx="0">
                  <c:v>97.610502958579872</c:v>
                </c:pt>
                <c:pt idx="1">
                  <c:v>99.472742336371169</c:v>
                </c:pt>
                <c:pt idx="2">
                  <c:v>97.121529745042494</c:v>
                </c:pt>
                <c:pt idx="3">
                  <c:v>97.59374550682962</c:v>
                </c:pt>
                <c:pt idx="4">
                  <c:v>96.983666933546843</c:v>
                </c:pt>
                <c:pt idx="5">
                  <c:v>94.891309987029828</c:v>
                </c:pt>
                <c:pt idx="6">
                  <c:v>95.531928181108498</c:v>
                </c:pt>
                <c:pt idx="7">
                  <c:v>97.550263752825927</c:v>
                </c:pt>
                <c:pt idx="8">
                  <c:v>98.794126506024099</c:v>
                </c:pt>
                <c:pt idx="9">
                  <c:v>97.475618374558309</c:v>
                </c:pt>
                <c:pt idx="10">
                  <c:v>99.562111352133059</c:v>
                </c:pt>
                <c:pt idx="11">
                  <c:v>98.272418952618466</c:v>
                </c:pt>
              </c:numCache>
            </c:numRef>
          </c:val>
          <c:smooth val="0"/>
          <c:extLst>
            <c:ext xmlns:c16="http://schemas.microsoft.com/office/drawing/2014/chart" uri="{C3380CC4-5D6E-409C-BE32-E72D297353CC}">
              <c16:uniqueId val="{00000000-F7EC-4767-82A0-441A3D8937B2}"/>
            </c:ext>
          </c:extLst>
        </c:ser>
        <c:ser>
          <c:idx val="1"/>
          <c:order val="1"/>
          <c:tx>
            <c:strRef>
              <c:f>'Learig Avg CDM against budg (4)'!$A$21</c:f>
              <c:strCache>
                <c:ptCount val="1"/>
                <c:pt idx="0">
                  <c:v>Budget</c:v>
                </c:pt>
              </c:strCache>
            </c:strRef>
          </c:tx>
          <c:spPr>
            <a:ln w="28575" cap="rnd">
              <a:solidFill>
                <a:schemeClr val="accent2"/>
              </a:solidFill>
              <a:round/>
            </a:ln>
            <a:effectLst/>
          </c:spPr>
          <c:marker>
            <c:symbol val="none"/>
          </c:marker>
          <c:cat>
            <c:numRef>
              <c:f>'Learig Avg CDM against budg (4)'!$B$19:$M$19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'Learig Avg CDM against budg (4)'!$B$21:$M$21</c:f>
              <c:numCache>
                <c:formatCode>_-* #,##0.00_-;\-* #,##0.00_-;_-* "-"??_-;_-@_-</c:formatCode>
                <c:ptCount val="12"/>
                <c:pt idx="0">
                  <c:v>92</c:v>
                </c:pt>
                <c:pt idx="1">
                  <c:v>92</c:v>
                </c:pt>
                <c:pt idx="2">
                  <c:v>90</c:v>
                </c:pt>
                <c:pt idx="3">
                  <c:v>90</c:v>
                </c:pt>
                <c:pt idx="4">
                  <c:v>90</c:v>
                </c:pt>
                <c:pt idx="5">
                  <c:v>90</c:v>
                </c:pt>
                <c:pt idx="6">
                  <c:v>90</c:v>
                </c:pt>
                <c:pt idx="7">
                  <c:v>90</c:v>
                </c:pt>
                <c:pt idx="8">
                  <c:v>89.999999999999986</c:v>
                </c:pt>
                <c:pt idx="9">
                  <c:v>92</c:v>
                </c:pt>
                <c:pt idx="10">
                  <c:v>92</c:v>
                </c:pt>
                <c:pt idx="11">
                  <c:v>92</c:v>
                </c:pt>
              </c:numCache>
            </c:numRef>
          </c:val>
          <c:smooth val="0"/>
          <c:extLst>
            <c:ext xmlns:c16="http://schemas.microsoft.com/office/drawing/2014/chart" uri="{C3380CC4-5D6E-409C-BE32-E72D297353CC}">
              <c16:uniqueId val="{00000001-F7EC-4767-82A0-441A3D8937B2}"/>
            </c:ext>
          </c:extLst>
        </c:ser>
        <c:dLbls>
          <c:showLegendKey val="0"/>
          <c:showVal val="0"/>
          <c:showCatName val="0"/>
          <c:showSerName val="0"/>
          <c:showPercent val="0"/>
          <c:showBubbleSize val="0"/>
        </c:dLbls>
        <c:smooth val="0"/>
        <c:axId val="696483528"/>
        <c:axId val="696484608"/>
      </c:lineChart>
      <c:dateAx>
        <c:axId val="69648352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84608"/>
        <c:crosses val="autoZero"/>
        <c:auto val="1"/>
        <c:lblOffset val="100"/>
        <c:baseTimeUnit val="months"/>
      </c:dateAx>
      <c:valAx>
        <c:axId val="696484608"/>
        <c:scaling>
          <c:orientation val="minMax"/>
          <c:max val="105"/>
          <c:min val="84"/>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83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Learig CDM to Colcom against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'Learig total CDM to Colcom (4)'!$A$20</c:f>
              <c:strCache>
                <c:ptCount val="1"/>
                <c:pt idx="0">
                  <c:v>FY26</c:v>
                </c:pt>
              </c:strCache>
            </c:strRef>
          </c:tx>
          <c:spPr>
            <a:ln w="28575" cap="rnd">
              <a:solidFill>
                <a:schemeClr val="accent1"/>
              </a:solidFill>
              <a:round/>
            </a:ln>
            <a:effectLst/>
          </c:spPr>
          <c:marker>
            <c:symbol val="none"/>
          </c:marker>
          <c:cat>
            <c:numRef>
              <c:f>'Learig total CDM to Colcom (4)'!$B$19:$M$19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'Learig total CDM to Colcom (4)'!$B$20:$M$20</c:f>
              <c:numCache>
                <c:formatCode>_-* #,##0_-;\-* #,##0_-;_-* "-"??_-;_-@_-</c:formatCode>
                <c:ptCount val="12"/>
                <c:pt idx="0">
                  <c:v>131969.4</c:v>
                </c:pt>
                <c:pt idx="1">
                  <c:v>120063.6</c:v>
                </c:pt>
                <c:pt idx="2">
                  <c:v>171419.5</c:v>
                </c:pt>
                <c:pt idx="3">
                  <c:v>135752.9</c:v>
                </c:pt>
                <c:pt idx="4">
                  <c:v>121132.6</c:v>
                </c:pt>
                <c:pt idx="5">
                  <c:v>146322.4</c:v>
                </c:pt>
                <c:pt idx="6">
                  <c:v>122376.4</c:v>
                </c:pt>
                <c:pt idx="7">
                  <c:v>129449.20000000001</c:v>
                </c:pt>
                <c:pt idx="8">
                  <c:v>196797.9</c:v>
                </c:pt>
                <c:pt idx="9">
                  <c:v>137928</c:v>
                </c:pt>
                <c:pt idx="10">
                  <c:v>137694.40000000002</c:v>
                </c:pt>
                <c:pt idx="11">
                  <c:v>197036.2</c:v>
                </c:pt>
              </c:numCache>
            </c:numRef>
          </c:val>
          <c:smooth val="0"/>
          <c:extLst>
            <c:ext xmlns:c16="http://schemas.microsoft.com/office/drawing/2014/chart" uri="{C3380CC4-5D6E-409C-BE32-E72D297353CC}">
              <c16:uniqueId val="{00000000-6C12-4332-A973-83F1249AF0EB}"/>
            </c:ext>
          </c:extLst>
        </c:ser>
        <c:ser>
          <c:idx val="1"/>
          <c:order val="1"/>
          <c:tx>
            <c:strRef>
              <c:f>'Learig total CDM to Colcom (4)'!$A$21</c:f>
              <c:strCache>
                <c:ptCount val="1"/>
                <c:pt idx="0">
                  <c:v>Budget</c:v>
                </c:pt>
              </c:strCache>
            </c:strRef>
          </c:tx>
          <c:spPr>
            <a:ln w="28575" cap="rnd">
              <a:solidFill>
                <a:schemeClr val="accent2"/>
              </a:solidFill>
              <a:round/>
            </a:ln>
            <a:effectLst/>
          </c:spPr>
          <c:marker>
            <c:symbol val="none"/>
          </c:marker>
          <c:cat>
            <c:numRef>
              <c:f>'Learig total CDM to Colcom (4)'!$B$19:$M$19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'Learig total CDM to Colcom (4)'!$B$21:$M$21</c:f>
              <c:numCache>
                <c:formatCode>_-* #,##0_-;\-* #,##0_-;_-* "-"??_-;_-@_-</c:formatCode>
                <c:ptCount val="12"/>
                <c:pt idx="0">
                  <c:v>119188.85327286333</c:v>
                </c:pt>
                <c:pt idx="1">
                  <c:v>132930.08338308224</c:v>
                </c:pt>
                <c:pt idx="2">
                  <c:v>126594.41993523622</c:v>
                </c:pt>
                <c:pt idx="3">
                  <c:v>114286.46759239292</c:v>
                </c:pt>
                <c:pt idx="4">
                  <c:v>125010.97544980761</c:v>
                </c:pt>
                <c:pt idx="5">
                  <c:v>152176.7949848366</c:v>
                </c:pt>
                <c:pt idx="6">
                  <c:v>127429.84962776456</c:v>
                </c:pt>
                <c:pt idx="7">
                  <c:v>127982.17500899728</c:v>
                </c:pt>
                <c:pt idx="8">
                  <c:v>156239.8045795034</c:v>
                </c:pt>
                <c:pt idx="9">
                  <c:v>127769.44018946057</c:v>
                </c:pt>
                <c:pt idx="10">
                  <c:v>127769.44018946057</c:v>
                </c:pt>
                <c:pt idx="11">
                  <c:v>137984.05887679479</c:v>
                </c:pt>
              </c:numCache>
            </c:numRef>
          </c:val>
          <c:smooth val="0"/>
          <c:extLst>
            <c:ext xmlns:c16="http://schemas.microsoft.com/office/drawing/2014/chart" uri="{C3380CC4-5D6E-409C-BE32-E72D297353CC}">
              <c16:uniqueId val="{00000001-6C12-4332-A973-83F1249AF0EB}"/>
            </c:ext>
          </c:extLst>
        </c:ser>
        <c:dLbls>
          <c:showLegendKey val="0"/>
          <c:showVal val="0"/>
          <c:showCatName val="0"/>
          <c:showSerName val="0"/>
          <c:showPercent val="0"/>
          <c:showBubbleSize val="0"/>
        </c:dLbls>
        <c:smooth val="0"/>
        <c:axId val="323332360"/>
        <c:axId val="322910000"/>
      </c:lineChart>
      <c:dateAx>
        <c:axId val="3233323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10000"/>
        <c:crosses val="autoZero"/>
        <c:auto val="1"/>
        <c:lblOffset val="100"/>
        <c:baseTimeUnit val="months"/>
      </c:dateAx>
      <c:valAx>
        <c:axId val="322910000"/>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32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Learig Pigs to Colcom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'Learig Pigs to Colcom (4)'!$A$20</c:f>
              <c:strCache>
                <c:ptCount val="1"/>
                <c:pt idx="0">
                  <c:v>FY26</c:v>
                </c:pt>
              </c:strCache>
            </c:strRef>
          </c:tx>
          <c:spPr>
            <a:ln w="28575" cap="rnd">
              <a:solidFill>
                <a:schemeClr val="accent1"/>
              </a:solidFill>
              <a:round/>
            </a:ln>
            <a:effectLst/>
          </c:spPr>
          <c:marker>
            <c:symbol val="none"/>
          </c:marker>
          <c:cat>
            <c:numRef>
              <c:f>'Learig Pigs to Colcom (4)'!$B$19:$M$19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'Learig Pigs to Colcom (4)'!$B$20:$M$20</c:f>
              <c:numCache>
                <c:formatCode>_-* #,##0_-;\-* #,##0_-;_-* "-"??_-;_-@_-</c:formatCode>
                <c:ptCount val="12"/>
                <c:pt idx="0">
                  <c:v>1352</c:v>
                </c:pt>
                <c:pt idx="1">
                  <c:v>1207</c:v>
                </c:pt>
                <c:pt idx="2">
                  <c:v>1765</c:v>
                </c:pt>
                <c:pt idx="3">
                  <c:v>1391</c:v>
                </c:pt>
                <c:pt idx="4">
                  <c:v>1249</c:v>
                </c:pt>
                <c:pt idx="5">
                  <c:v>1542</c:v>
                </c:pt>
                <c:pt idx="6">
                  <c:v>1281</c:v>
                </c:pt>
                <c:pt idx="7">
                  <c:v>1327</c:v>
                </c:pt>
                <c:pt idx="8">
                  <c:v>1992</c:v>
                </c:pt>
                <c:pt idx="9">
                  <c:v>1415</c:v>
                </c:pt>
                <c:pt idx="10">
                  <c:v>1383</c:v>
                </c:pt>
                <c:pt idx="11">
                  <c:v>2005</c:v>
                </c:pt>
              </c:numCache>
            </c:numRef>
          </c:val>
          <c:smooth val="0"/>
          <c:extLst>
            <c:ext xmlns:c16="http://schemas.microsoft.com/office/drawing/2014/chart" uri="{C3380CC4-5D6E-409C-BE32-E72D297353CC}">
              <c16:uniqueId val="{00000000-9A11-4154-948E-8EBF034528E5}"/>
            </c:ext>
          </c:extLst>
        </c:ser>
        <c:ser>
          <c:idx val="1"/>
          <c:order val="1"/>
          <c:tx>
            <c:strRef>
              <c:f>'Learig Pigs to Colcom (4)'!$A$21</c:f>
              <c:strCache>
                <c:ptCount val="1"/>
                <c:pt idx="0">
                  <c:v>Budget</c:v>
                </c:pt>
              </c:strCache>
            </c:strRef>
          </c:tx>
          <c:spPr>
            <a:ln w="28575" cap="rnd">
              <a:solidFill>
                <a:schemeClr val="accent2"/>
              </a:solidFill>
              <a:round/>
            </a:ln>
            <a:effectLst/>
          </c:spPr>
          <c:marker>
            <c:symbol val="none"/>
          </c:marker>
          <c:cat>
            <c:numRef>
              <c:f>'Learig Pigs to Colcom (4)'!$B$19:$M$19</c:f>
              <c:numCache>
                <c:formatCode>mmm\-yy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'Learig Pigs to Colcom (4)'!$B$21:$M$21</c:f>
              <c:numCache>
                <c:formatCode>_-* #,##0_-;\-* #,##0_-;_-* "-"??_-;_-@_-</c:formatCode>
                <c:ptCount val="12"/>
                <c:pt idx="0">
                  <c:v>1295.531013835471</c:v>
                </c:pt>
                <c:pt idx="1">
                  <c:v>1209.3499999999999</c:v>
                </c:pt>
                <c:pt idx="2">
                  <c:v>1713.69</c:v>
                </c:pt>
                <c:pt idx="3">
                  <c:v>1217.1099999999999</c:v>
                </c:pt>
                <c:pt idx="4">
                  <c:v>1218.08</c:v>
                </c:pt>
                <c:pt idx="5">
                  <c:v>1713.69</c:v>
                </c:pt>
                <c:pt idx="6">
                  <c:v>1217.1099999999999</c:v>
                </c:pt>
                <c:pt idx="7">
                  <c:v>1218.08</c:v>
                </c:pt>
                <c:pt idx="8">
                  <c:v>1713.69</c:v>
                </c:pt>
                <c:pt idx="9">
                  <c:v>1217.1099999999999</c:v>
                </c:pt>
                <c:pt idx="10">
                  <c:v>1218.08</c:v>
                </c:pt>
                <c:pt idx="11">
                  <c:v>1713.69</c:v>
                </c:pt>
              </c:numCache>
            </c:numRef>
          </c:val>
          <c:smooth val="0"/>
          <c:extLst>
            <c:ext xmlns:c16="http://schemas.microsoft.com/office/drawing/2014/chart" uri="{C3380CC4-5D6E-409C-BE32-E72D297353CC}">
              <c16:uniqueId val="{00000001-9A11-4154-948E-8EBF034528E5}"/>
            </c:ext>
          </c:extLst>
        </c:ser>
        <c:dLbls>
          <c:showLegendKey val="0"/>
          <c:showVal val="0"/>
          <c:showCatName val="0"/>
          <c:showSerName val="0"/>
          <c:showPercent val="0"/>
          <c:showBubbleSize val="0"/>
        </c:dLbls>
        <c:smooth val="0"/>
        <c:axId val="718232456"/>
        <c:axId val="718234616"/>
      </c:lineChart>
      <c:dateAx>
        <c:axId val="71823245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34616"/>
        <c:crosses val="autoZero"/>
        <c:auto val="1"/>
        <c:lblOffset val="100"/>
        <c:baseTimeUnit val="months"/>
      </c:dateAx>
      <c:valAx>
        <c:axId val="718234616"/>
        <c:scaling>
          <c:orientation val="minMax"/>
          <c:min val="11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32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8.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39.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61.xml.rels><?xml version="1.0" encoding="UTF-8" standalone="yes"?>
<Relationships xmlns="http://schemas.openxmlformats.org/package/2006/relationships"><Relationship Id="rId2" Type="http://schemas.openxmlformats.org/officeDocument/2006/relationships/chart" Target="../charts/chart64.xml"/><Relationship Id="rId1" Type="http://schemas.openxmlformats.org/officeDocument/2006/relationships/chart" Target="../charts/chart63.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72.xml.rels><?xml version="1.0" encoding="UTF-8" standalone="yes"?>
<Relationships xmlns="http://schemas.openxmlformats.org/package/2006/relationships"><Relationship Id="rId2" Type="http://schemas.openxmlformats.org/officeDocument/2006/relationships/chart" Target="../charts/chart76.xml"/><Relationship Id="rId1" Type="http://schemas.openxmlformats.org/officeDocument/2006/relationships/chart" Target="../charts/chart75.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76.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78.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80.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82.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87.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0</xdr:rowOff>
    </xdr:from>
    <xdr:to>
      <xdr:col>12</xdr:col>
      <xdr:colOff>773906</xdr:colOff>
      <xdr:row>18</xdr:row>
      <xdr:rowOff>142874</xdr:rowOff>
    </xdr:to>
    <xdr:graphicFrame macro="">
      <xdr:nvGraphicFramePr>
        <xdr:cNvPr id="2" name="Chart 1">
          <a:extLst>
            <a:ext uri="{FF2B5EF4-FFF2-40B4-BE49-F238E27FC236}">
              <a16:creationId xmlns:a16="http://schemas.microsoft.com/office/drawing/2014/main" id="{AC03B3B0-87B6-45E8-8DFD-7CFB7DC0A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613834</xdr:colOff>
      <xdr:row>16</xdr:row>
      <xdr:rowOff>95250</xdr:rowOff>
    </xdr:to>
    <xdr:graphicFrame macro="">
      <xdr:nvGraphicFramePr>
        <xdr:cNvPr id="2" name="Chart 1">
          <a:extLst>
            <a:ext uri="{FF2B5EF4-FFF2-40B4-BE49-F238E27FC236}">
              <a16:creationId xmlns:a16="http://schemas.microsoft.com/office/drawing/2014/main" id="{86442727-E5C9-4267-AEFE-114665F81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693965</xdr:colOff>
      <xdr:row>14</xdr:row>
      <xdr:rowOff>176893</xdr:rowOff>
    </xdr:to>
    <xdr:graphicFrame macro="">
      <xdr:nvGraphicFramePr>
        <xdr:cNvPr id="2" name="Chart 1">
          <a:extLst>
            <a:ext uri="{FF2B5EF4-FFF2-40B4-BE49-F238E27FC236}">
              <a16:creationId xmlns:a16="http://schemas.microsoft.com/office/drawing/2014/main" id="{D6EB8E06-F4EE-408F-ADFF-AAB182EEB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36</xdr:col>
      <xdr:colOff>464343</xdr:colOff>
      <xdr:row>0</xdr:row>
      <xdr:rowOff>122635</xdr:rowOff>
    </xdr:from>
    <xdr:to>
      <xdr:col>48</xdr:col>
      <xdr:colOff>988218</xdr:colOff>
      <xdr:row>14</xdr:row>
      <xdr:rowOff>1</xdr:rowOff>
    </xdr:to>
    <xdr:graphicFrame macro="">
      <xdr:nvGraphicFramePr>
        <xdr:cNvPr id="2" name="Chart 1">
          <a:extLst>
            <a:ext uri="{FF2B5EF4-FFF2-40B4-BE49-F238E27FC236}">
              <a16:creationId xmlns:a16="http://schemas.microsoft.com/office/drawing/2014/main" id="{F79B1617-D246-5985-1B57-34E40F7D0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10583</xdr:colOff>
      <xdr:row>16</xdr:row>
      <xdr:rowOff>158749</xdr:rowOff>
    </xdr:to>
    <xdr:graphicFrame macro="">
      <xdr:nvGraphicFramePr>
        <xdr:cNvPr id="2" name="Chart 1">
          <a:extLst>
            <a:ext uri="{FF2B5EF4-FFF2-40B4-BE49-F238E27FC236}">
              <a16:creationId xmlns:a16="http://schemas.microsoft.com/office/drawing/2014/main" id="{7D293B0F-2B32-4D08-A8A9-610685A58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687917</xdr:colOff>
      <xdr:row>16</xdr:row>
      <xdr:rowOff>169334</xdr:rowOff>
    </xdr:to>
    <xdr:graphicFrame macro="">
      <xdr:nvGraphicFramePr>
        <xdr:cNvPr id="2" name="Chart 1">
          <a:extLst>
            <a:ext uri="{FF2B5EF4-FFF2-40B4-BE49-F238E27FC236}">
              <a16:creationId xmlns:a16="http://schemas.microsoft.com/office/drawing/2014/main" id="{A8010827-613E-4F7C-B3D2-9FCAB7EA9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444500</xdr:colOff>
      <xdr:row>16</xdr:row>
      <xdr:rowOff>148167</xdr:rowOff>
    </xdr:to>
    <xdr:graphicFrame macro="">
      <xdr:nvGraphicFramePr>
        <xdr:cNvPr id="2" name="Chart 1">
          <a:extLst>
            <a:ext uri="{FF2B5EF4-FFF2-40B4-BE49-F238E27FC236}">
              <a16:creationId xmlns:a16="http://schemas.microsoft.com/office/drawing/2014/main" id="{90B6D789-62CF-49DE-B98F-49742F082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592667</xdr:colOff>
      <xdr:row>17</xdr:row>
      <xdr:rowOff>116416</xdr:rowOff>
    </xdr:to>
    <xdr:graphicFrame macro="">
      <xdr:nvGraphicFramePr>
        <xdr:cNvPr id="2" name="Chart 1">
          <a:extLst>
            <a:ext uri="{FF2B5EF4-FFF2-40B4-BE49-F238E27FC236}">
              <a16:creationId xmlns:a16="http://schemas.microsoft.com/office/drawing/2014/main" id="{CD91E080-2936-4B6F-99DC-077629173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21166</xdr:rowOff>
    </xdr:from>
    <xdr:to>
      <xdr:col>12</xdr:col>
      <xdr:colOff>592667</xdr:colOff>
      <xdr:row>16</xdr:row>
      <xdr:rowOff>105834</xdr:rowOff>
    </xdr:to>
    <xdr:graphicFrame macro="">
      <xdr:nvGraphicFramePr>
        <xdr:cNvPr id="2" name="Chart 1">
          <a:extLst>
            <a:ext uri="{FF2B5EF4-FFF2-40B4-BE49-F238E27FC236}">
              <a16:creationId xmlns:a16="http://schemas.microsoft.com/office/drawing/2014/main" id="{4DFD056E-46C0-42AC-AAA3-1E4AF0319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581024</xdr:colOff>
      <xdr:row>14</xdr:row>
      <xdr:rowOff>144778</xdr:rowOff>
    </xdr:to>
    <xdr:graphicFrame macro="">
      <xdr:nvGraphicFramePr>
        <xdr:cNvPr id="2" name="Chart 1">
          <a:extLst>
            <a:ext uri="{FF2B5EF4-FFF2-40B4-BE49-F238E27FC236}">
              <a16:creationId xmlns:a16="http://schemas.microsoft.com/office/drawing/2014/main" id="{2E1559B1-0092-4A5B-BE52-C8418AAAF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10584</xdr:colOff>
      <xdr:row>16</xdr:row>
      <xdr:rowOff>137583</xdr:rowOff>
    </xdr:to>
    <xdr:graphicFrame macro="">
      <xdr:nvGraphicFramePr>
        <xdr:cNvPr id="2" name="Chart 1">
          <a:extLst>
            <a:ext uri="{FF2B5EF4-FFF2-40B4-BE49-F238E27FC236}">
              <a16:creationId xmlns:a16="http://schemas.microsoft.com/office/drawing/2014/main" id="{AD4CF02E-9663-4CB5-A2D8-181EB1B03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17</xdr:row>
      <xdr:rowOff>0</xdr:rowOff>
    </xdr:to>
    <xdr:graphicFrame macro="">
      <xdr:nvGraphicFramePr>
        <xdr:cNvPr id="2" name="Chart 1">
          <a:extLst>
            <a:ext uri="{FF2B5EF4-FFF2-40B4-BE49-F238E27FC236}">
              <a16:creationId xmlns:a16="http://schemas.microsoft.com/office/drawing/2014/main" id="{63F12A1F-17F6-4FCC-9AC1-DCF15DE71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638174</xdr:colOff>
      <xdr:row>14</xdr:row>
      <xdr:rowOff>114300</xdr:rowOff>
    </xdr:to>
    <xdr:graphicFrame macro="">
      <xdr:nvGraphicFramePr>
        <xdr:cNvPr id="2" name="Chart 1">
          <a:extLst>
            <a:ext uri="{FF2B5EF4-FFF2-40B4-BE49-F238E27FC236}">
              <a16:creationId xmlns:a16="http://schemas.microsoft.com/office/drawing/2014/main" id="{B0F582A0-A9A3-8F4B-8F2E-911542B64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523874</xdr:colOff>
      <xdr:row>15</xdr:row>
      <xdr:rowOff>85725</xdr:rowOff>
    </xdr:to>
    <xdr:graphicFrame macro="">
      <xdr:nvGraphicFramePr>
        <xdr:cNvPr id="2" name="Chart 1">
          <a:extLst>
            <a:ext uri="{FF2B5EF4-FFF2-40B4-BE49-F238E27FC236}">
              <a16:creationId xmlns:a16="http://schemas.microsoft.com/office/drawing/2014/main" id="{B02019E3-A0A0-124B-B66C-BA008A4F7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15</xdr:row>
      <xdr:rowOff>114300</xdr:rowOff>
    </xdr:to>
    <xdr:graphicFrame macro="">
      <xdr:nvGraphicFramePr>
        <xdr:cNvPr id="2" name="Chart 1">
          <a:extLst>
            <a:ext uri="{FF2B5EF4-FFF2-40B4-BE49-F238E27FC236}">
              <a16:creationId xmlns:a16="http://schemas.microsoft.com/office/drawing/2014/main" id="{452CA924-2663-447D-83A8-7ABC6AA0E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9525</xdr:colOff>
      <xdr:row>15</xdr:row>
      <xdr:rowOff>95250</xdr:rowOff>
    </xdr:to>
    <xdr:graphicFrame macro="">
      <xdr:nvGraphicFramePr>
        <xdr:cNvPr id="2" name="Chart 1">
          <a:extLst>
            <a:ext uri="{FF2B5EF4-FFF2-40B4-BE49-F238E27FC236}">
              <a16:creationId xmlns:a16="http://schemas.microsoft.com/office/drawing/2014/main" id="{24AE9011-A696-4F2F-B2DC-DFE888F0D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571499</xdr:colOff>
      <xdr:row>14</xdr:row>
      <xdr:rowOff>57150</xdr:rowOff>
    </xdr:to>
    <xdr:graphicFrame macro="">
      <xdr:nvGraphicFramePr>
        <xdr:cNvPr id="2" name="Chart 1">
          <a:extLst>
            <a:ext uri="{FF2B5EF4-FFF2-40B4-BE49-F238E27FC236}">
              <a16:creationId xmlns:a16="http://schemas.microsoft.com/office/drawing/2014/main" id="{AEA7911D-8364-4FA3-94FB-A0FB87C08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14</xdr:row>
      <xdr:rowOff>66675</xdr:rowOff>
    </xdr:to>
    <xdr:graphicFrame macro="">
      <xdr:nvGraphicFramePr>
        <xdr:cNvPr id="2" name="Chart 1">
          <a:extLst>
            <a:ext uri="{FF2B5EF4-FFF2-40B4-BE49-F238E27FC236}">
              <a16:creationId xmlns:a16="http://schemas.microsoft.com/office/drawing/2014/main" id="{51B8E616-A00D-411C-BF28-90AE755D8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33337</xdr:rowOff>
    </xdr:from>
    <xdr:to>
      <xdr:col>12</xdr:col>
      <xdr:colOff>504824</xdr:colOff>
      <xdr:row>14</xdr:row>
      <xdr:rowOff>104775</xdr:rowOff>
    </xdr:to>
    <xdr:graphicFrame macro="">
      <xdr:nvGraphicFramePr>
        <xdr:cNvPr id="2" name="Chart 1">
          <a:extLst>
            <a:ext uri="{FF2B5EF4-FFF2-40B4-BE49-F238E27FC236}">
              <a16:creationId xmlns:a16="http://schemas.microsoft.com/office/drawing/2014/main" id="{5EFF4021-17E1-4E27-9402-C651493FE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30480</xdr:rowOff>
    </xdr:from>
    <xdr:to>
      <xdr:col>12</xdr:col>
      <xdr:colOff>495300</xdr:colOff>
      <xdr:row>14</xdr:row>
      <xdr:rowOff>106680</xdr:rowOff>
    </xdr:to>
    <xdr:graphicFrame macro="">
      <xdr:nvGraphicFramePr>
        <xdr:cNvPr id="2" name="Chart 1">
          <a:extLst>
            <a:ext uri="{FF2B5EF4-FFF2-40B4-BE49-F238E27FC236}">
              <a16:creationId xmlns:a16="http://schemas.microsoft.com/office/drawing/2014/main" id="{56894C29-E9B5-439D-93FF-D8C24B721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xdr:colOff>
      <xdr:row>0</xdr:row>
      <xdr:rowOff>1</xdr:rowOff>
    </xdr:from>
    <xdr:to>
      <xdr:col>12</xdr:col>
      <xdr:colOff>266701</xdr:colOff>
      <xdr:row>14</xdr:row>
      <xdr:rowOff>95251</xdr:rowOff>
    </xdr:to>
    <xdr:graphicFrame macro="">
      <xdr:nvGraphicFramePr>
        <xdr:cNvPr id="2" name="Chart 1">
          <a:extLst>
            <a:ext uri="{FF2B5EF4-FFF2-40B4-BE49-F238E27FC236}">
              <a16:creationId xmlns:a16="http://schemas.microsoft.com/office/drawing/2014/main" id="{8AC981AC-6692-4800-B268-7357EF266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76200</xdr:colOff>
      <xdr:row>0</xdr:row>
      <xdr:rowOff>0</xdr:rowOff>
    </xdr:from>
    <xdr:to>
      <xdr:col>12</xdr:col>
      <xdr:colOff>800100</xdr:colOff>
      <xdr:row>15</xdr:row>
      <xdr:rowOff>200024</xdr:rowOff>
    </xdr:to>
    <xdr:graphicFrame macro="">
      <xdr:nvGraphicFramePr>
        <xdr:cNvPr id="3" name="Chart 2">
          <a:extLst>
            <a:ext uri="{FF2B5EF4-FFF2-40B4-BE49-F238E27FC236}">
              <a16:creationId xmlns:a16="http://schemas.microsoft.com/office/drawing/2014/main" id="{C090E7A3-80F9-9C22-9CB8-80E925C48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17</xdr:row>
      <xdr:rowOff>0</xdr:rowOff>
    </xdr:to>
    <xdr:graphicFrame macro="">
      <xdr:nvGraphicFramePr>
        <xdr:cNvPr id="2" name="Chart 1">
          <a:extLst>
            <a:ext uri="{FF2B5EF4-FFF2-40B4-BE49-F238E27FC236}">
              <a16:creationId xmlns:a16="http://schemas.microsoft.com/office/drawing/2014/main" id="{330E105A-5927-4811-AD4C-50E1451B8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10584</xdr:colOff>
      <xdr:row>0</xdr:row>
      <xdr:rowOff>52917</xdr:rowOff>
    </xdr:from>
    <xdr:to>
      <xdr:col>11</xdr:col>
      <xdr:colOff>444500</xdr:colOff>
      <xdr:row>17</xdr:row>
      <xdr:rowOff>42332</xdr:rowOff>
    </xdr:to>
    <xdr:graphicFrame macro="">
      <xdr:nvGraphicFramePr>
        <xdr:cNvPr id="2" name="Chart 1">
          <a:extLst>
            <a:ext uri="{FF2B5EF4-FFF2-40B4-BE49-F238E27FC236}">
              <a16:creationId xmlns:a16="http://schemas.microsoft.com/office/drawing/2014/main" id="{9F798D38-8B45-4ECC-8F14-AB22D1A0B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624416</xdr:colOff>
      <xdr:row>17</xdr:row>
      <xdr:rowOff>52916</xdr:rowOff>
    </xdr:to>
    <xdr:graphicFrame macro="">
      <xdr:nvGraphicFramePr>
        <xdr:cNvPr id="2" name="Chart 1">
          <a:extLst>
            <a:ext uri="{FF2B5EF4-FFF2-40B4-BE49-F238E27FC236}">
              <a16:creationId xmlns:a16="http://schemas.microsoft.com/office/drawing/2014/main" id="{B18D2BEA-8462-4513-89CA-3861AB4FC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28574</xdr:colOff>
      <xdr:row>0</xdr:row>
      <xdr:rowOff>0</xdr:rowOff>
    </xdr:from>
    <xdr:to>
      <xdr:col>16</xdr:col>
      <xdr:colOff>533399</xdr:colOff>
      <xdr:row>16</xdr:row>
      <xdr:rowOff>133350</xdr:rowOff>
    </xdr:to>
    <xdr:graphicFrame macro="">
      <xdr:nvGraphicFramePr>
        <xdr:cNvPr id="2" name="Chart 1">
          <a:extLst>
            <a:ext uri="{FF2B5EF4-FFF2-40B4-BE49-F238E27FC236}">
              <a16:creationId xmlns:a16="http://schemas.microsoft.com/office/drawing/2014/main" id="{303823ED-88BB-FA47-CF6D-4230D965E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601980</xdr:colOff>
      <xdr:row>15</xdr:row>
      <xdr:rowOff>123824</xdr:rowOff>
    </xdr:to>
    <xdr:graphicFrame macro="">
      <xdr:nvGraphicFramePr>
        <xdr:cNvPr id="2" name="Chart 1">
          <a:extLst>
            <a:ext uri="{FF2B5EF4-FFF2-40B4-BE49-F238E27FC236}">
              <a16:creationId xmlns:a16="http://schemas.microsoft.com/office/drawing/2014/main" id="{ECEFAB72-A13D-47A0-B366-809B78287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441960</xdr:colOff>
      <xdr:row>15</xdr:row>
      <xdr:rowOff>95250</xdr:rowOff>
    </xdr:to>
    <xdr:graphicFrame macro="">
      <xdr:nvGraphicFramePr>
        <xdr:cNvPr id="2" name="Chart 1">
          <a:extLst>
            <a:ext uri="{FF2B5EF4-FFF2-40B4-BE49-F238E27FC236}">
              <a16:creationId xmlns:a16="http://schemas.microsoft.com/office/drawing/2014/main" id="{A8C29BC6-7701-4A6C-8A8A-DA076A442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0</xdr:col>
      <xdr:colOff>85724</xdr:colOff>
      <xdr:row>0</xdr:row>
      <xdr:rowOff>14287</xdr:rowOff>
    </xdr:from>
    <xdr:to>
      <xdr:col>12</xdr:col>
      <xdr:colOff>447674</xdr:colOff>
      <xdr:row>14</xdr:row>
      <xdr:rowOff>38100</xdr:rowOff>
    </xdr:to>
    <xdr:graphicFrame macro="">
      <xdr:nvGraphicFramePr>
        <xdr:cNvPr id="2" name="Chart 1">
          <a:extLst>
            <a:ext uri="{FF2B5EF4-FFF2-40B4-BE49-F238E27FC236}">
              <a16:creationId xmlns:a16="http://schemas.microsoft.com/office/drawing/2014/main" id="{171E638B-C98B-4E35-AF9F-EE8BE8310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438150</xdr:colOff>
      <xdr:row>14</xdr:row>
      <xdr:rowOff>38100</xdr:rowOff>
    </xdr:to>
    <xdr:graphicFrame macro="">
      <xdr:nvGraphicFramePr>
        <xdr:cNvPr id="2" name="Chart 1">
          <a:extLst>
            <a:ext uri="{FF2B5EF4-FFF2-40B4-BE49-F238E27FC236}">
              <a16:creationId xmlns:a16="http://schemas.microsoft.com/office/drawing/2014/main" id="{597D2783-0B6C-4C08-9CA4-6E8A96C94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33337</xdr:rowOff>
    </xdr:from>
    <xdr:to>
      <xdr:col>12</xdr:col>
      <xdr:colOff>504824</xdr:colOff>
      <xdr:row>14</xdr:row>
      <xdr:rowOff>104775</xdr:rowOff>
    </xdr:to>
    <xdr:graphicFrame macro="">
      <xdr:nvGraphicFramePr>
        <xdr:cNvPr id="2" name="Chart 1">
          <a:extLst>
            <a:ext uri="{FF2B5EF4-FFF2-40B4-BE49-F238E27FC236}">
              <a16:creationId xmlns:a16="http://schemas.microsoft.com/office/drawing/2014/main" id="{F9C6D4A1-DA16-4536-AA69-7D1574CE7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495300</xdr:colOff>
      <xdr:row>14</xdr:row>
      <xdr:rowOff>76200</xdr:rowOff>
    </xdr:to>
    <xdr:graphicFrame macro="">
      <xdr:nvGraphicFramePr>
        <xdr:cNvPr id="2" name="Chart 1">
          <a:extLst>
            <a:ext uri="{FF2B5EF4-FFF2-40B4-BE49-F238E27FC236}">
              <a16:creationId xmlns:a16="http://schemas.microsoft.com/office/drawing/2014/main" id="{77212A02-6724-4355-9B5C-58FD70F44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38099</xdr:colOff>
      <xdr:row>0</xdr:row>
      <xdr:rowOff>0</xdr:rowOff>
    </xdr:from>
    <xdr:to>
      <xdr:col>12</xdr:col>
      <xdr:colOff>276224</xdr:colOff>
      <xdr:row>15</xdr:row>
      <xdr:rowOff>171450</xdr:rowOff>
    </xdr:to>
    <xdr:graphicFrame macro="">
      <xdr:nvGraphicFramePr>
        <xdr:cNvPr id="2" name="Chart 1">
          <a:extLst>
            <a:ext uri="{FF2B5EF4-FFF2-40B4-BE49-F238E27FC236}">
              <a16:creationId xmlns:a16="http://schemas.microsoft.com/office/drawing/2014/main" id="{E43DFA8C-694A-4D2C-91D1-1536FFFDC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17</xdr:row>
      <xdr:rowOff>0</xdr:rowOff>
    </xdr:to>
    <xdr:graphicFrame macro="">
      <xdr:nvGraphicFramePr>
        <xdr:cNvPr id="2" name="Chart 1">
          <a:extLst>
            <a:ext uri="{FF2B5EF4-FFF2-40B4-BE49-F238E27FC236}">
              <a16:creationId xmlns:a16="http://schemas.microsoft.com/office/drawing/2014/main" id="{CB5F63A8-46CF-4CF5-A294-E96433237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0</xdr:col>
      <xdr:colOff>1</xdr:colOff>
      <xdr:row>0</xdr:row>
      <xdr:rowOff>0</xdr:rowOff>
    </xdr:from>
    <xdr:to>
      <xdr:col>11</xdr:col>
      <xdr:colOff>0</xdr:colOff>
      <xdr:row>16</xdr:row>
      <xdr:rowOff>177800</xdr:rowOff>
    </xdr:to>
    <xdr:graphicFrame macro="">
      <xdr:nvGraphicFramePr>
        <xdr:cNvPr id="2" name="Chart 1">
          <a:extLst>
            <a:ext uri="{FF2B5EF4-FFF2-40B4-BE49-F238E27FC236}">
              <a16:creationId xmlns:a16="http://schemas.microsoft.com/office/drawing/2014/main" id="{895221B2-63AE-45A3-8CA3-35AA83906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15</xdr:row>
      <xdr:rowOff>95250</xdr:rowOff>
    </xdr:to>
    <xdr:graphicFrame macro="">
      <xdr:nvGraphicFramePr>
        <xdr:cNvPr id="2" name="Chart 1">
          <a:extLst>
            <a:ext uri="{FF2B5EF4-FFF2-40B4-BE49-F238E27FC236}">
              <a16:creationId xmlns:a16="http://schemas.microsoft.com/office/drawing/2014/main" id="{26F70DEF-6BDE-4883-BA78-A3EDD0469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36</xdr:col>
      <xdr:colOff>412750</xdr:colOff>
      <xdr:row>0</xdr:row>
      <xdr:rowOff>74083</xdr:rowOff>
    </xdr:from>
    <xdr:to>
      <xdr:col>48</xdr:col>
      <xdr:colOff>42333</xdr:colOff>
      <xdr:row>16</xdr:row>
      <xdr:rowOff>158749</xdr:rowOff>
    </xdr:to>
    <xdr:graphicFrame macro="">
      <xdr:nvGraphicFramePr>
        <xdr:cNvPr id="4" name="Chart 3">
          <a:extLst>
            <a:ext uri="{FF2B5EF4-FFF2-40B4-BE49-F238E27FC236}">
              <a16:creationId xmlns:a16="http://schemas.microsoft.com/office/drawing/2014/main" id="{B34F819E-394B-4F88-BA3D-9DECC3024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21165</xdr:colOff>
      <xdr:row>15</xdr:row>
      <xdr:rowOff>177800</xdr:rowOff>
    </xdr:to>
    <xdr:graphicFrame macro="">
      <xdr:nvGraphicFramePr>
        <xdr:cNvPr id="2" name="Chart 1">
          <a:extLst>
            <a:ext uri="{FF2B5EF4-FFF2-40B4-BE49-F238E27FC236}">
              <a16:creationId xmlns:a16="http://schemas.microsoft.com/office/drawing/2014/main" id="{320489C1-0962-40AB-B003-7E2DFE622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12</xdr:col>
      <xdr:colOff>660400</xdr:colOff>
      <xdr:row>22</xdr:row>
      <xdr:rowOff>12700</xdr:rowOff>
    </xdr:to>
    <xdr:graphicFrame macro="">
      <xdr:nvGraphicFramePr>
        <xdr:cNvPr id="3" name="Chart 2">
          <a:extLst>
            <a:ext uri="{FF2B5EF4-FFF2-40B4-BE49-F238E27FC236}">
              <a16:creationId xmlns:a16="http://schemas.microsoft.com/office/drawing/2014/main" id="{F01D46A3-6274-4C6A-896A-AE66DED68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15</xdr:row>
      <xdr:rowOff>186266</xdr:rowOff>
    </xdr:to>
    <xdr:graphicFrame macro="">
      <xdr:nvGraphicFramePr>
        <xdr:cNvPr id="2" name="Chart 1">
          <a:extLst>
            <a:ext uri="{FF2B5EF4-FFF2-40B4-BE49-F238E27FC236}">
              <a16:creationId xmlns:a16="http://schemas.microsoft.com/office/drawing/2014/main" id="{4DD67A83-72CE-40C3-9EA7-A8855DAE4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14815</xdr:rowOff>
    </xdr:from>
    <xdr:to>
      <xdr:col>13</xdr:col>
      <xdr:colOff>10584</xdr:colOff>
      <xdr:row>15</xdr:row>
      <xdr:rowOff>177800</xdr:rowOff>
    </xdr:to>
    <xdr:graphicFrame macro="">
      <xdr:nvGraphicFramePr>
        <xdr:cNvPr id="3" name="Chart 2">
          <a:extLst>
            <a:ext uri="{FF2B5EF4-FFF2-40B4-BE49-F238E27FC236}">
              <a16:creationId xmlns:a16="http://schemas.microsoft.com/office/drawing/2014/main" id="{5C6BCEE8-E150-4EDE-BFF0-8E6CE0ACF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542925</xdr:colOff>
      <xdr:row>14</xdr:row>
      <xdr:rowOff>38100</xdr:rowOff>
    </xdr:to>
    <xdr:graphicFrame macro="">
      <xdr:nvGraphicFramePr>
        <xdr:cNvPr id="2" name="Chart 1">
          <a:extLst>
            <a:ext uri="{FF2B5EF4-FFF2-40B4-BE49-F238E27FC236}">
              <a16:creationId xmlns:a16="http://schemas.microsoft.com/office/drawing/2014/main" id="{315F216C-26B1-4902-A510-451120969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4762</xdr:rowOff>
    </xdr:from>
    <xdr:to>
      <xdr:col>12</xdr:col>
      <xdr:colOff>523874</xdr:colOff>
      <xdr:row>18</xdr:row>
      <xdr:rowOff>171450</xdr:rowOff>
    </xdr:to>
    <xdr:graphicFrame macro="">
      <xdr:nvGraphicFramePr>
        <xdr:cNvPr id="2" name="Chart 1">
          <a:extLst>
            <a:ext uri="{FF2B5EF4-FFF2-40B4-BE49-F238E27FC236}">
              <a16:creationId xmlns:a16="http://schemas.microsoft.com/office/drawing/2014/main" id="{9DAC4AC5-80FC-4457-A915-B1E5B324F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590549</xdr:colOff>
      <xdr:row>16</xdr:row>
      <xdr:rowOff>85724</xdr:rowOff>
    </xdr:to>
    <xdr:graphicFrame macro="">
      <xdr:nvGraphicFramePr>
        <xdr:cNvPr id="2" name="Chart 1">
          <a:extLst>
            <a:ext uri="{FF2B5EF4-FFF2-40B4-BE49-F238E27FC236}">
              <a16:creationId xmlns:a16="http://schemas.microsoft.com/office/drawing/2014/main" id="{9EE99AC5-81A0-4131-8E21-0AC1B6B8B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590549</xdr:colOff>
      <xdr:row>17</xdr:row>
      <xdr:rowOff>0</xdr:rowOff>
    </xdr:to>
    <xdr:graphicFrame macro="">
      <xdr:nvGraphicFramePr>
        <xdr:cNvPr id="2" name="Chart 1">
          <a:extLst>
            <a:ext uri="{FF2B5EF4-FFF2-40B4-BE49-F238E27FC236}">
              <a16:creationId xmlns:a16="http://schemas.microsoft.com/office/drawing/2014/main" id="{2FB06DEE-AF92-494D-992F-4C6FBE24D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0</xdr:col>
      <xdr:colOff>10584</xdr:colOff>
      <xdr:row>0</xdr:row>
      <xdr:rowOff>0</xdr:rowOff>
    </xdr:from>
    <xdr:to>
      <xdr:col>13</xdr:col>
      <xdr:colOff>10584</xdr:colOff>
      <xdr:row>16</xdr:row>
      <xdr:rowOff>127000</xdr:rowOff>
    </xdr:to>
    <xdr:graphicFrame macro="">
      <xdr:nvGraphicFramePr>
        <xdr:cNvPr id="2" name="Chart 1">
          <a:extLst>
            <a:ext uri="{FF2B5EF4-FFF2-40B4-BE49-F238E27FC236}">
              <a16:creationId xmlns:a16="http://schemas.microsoft.com/office/drawing/2014/main" id="{093D8051-5EF7-4C3F-A6CA-63FE0B7C0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600076</xdr:colOff>
      <xdr:row>15</xdr:row>
      <xdr:rowOff>28575</xdr:rowOff>
    </xdr:to>
    <xdr:graphicFrame macro="">
      <xdr:nvGraphicFramePr>
        <xdr:cNvPr id="2" name="Chart 1">
          <a:extLst>
            <a:ext uri="{FF2B5EF4-FFF2-40B4-BE49-F238E27FC236}">
              <a16:creationId xmlns:a16="http://schemas.microsoft.com/office/drawing/2014/main" id="{7284D6D6-70BE-4FF8-9FE9-F67AB2C84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542925</xdr:colOff>
      <xdr:row>18</xdr:row>
      <xdr:rowOff>25400</xdr:rowOff>
    </xdr:to>
    <xdr:graphicFrame macro="">
      <xdr:nvGraphicFramePr>
        <xdr:cNvPr id="2" name="Chart 1">
          <a:extLst>
            <a:ext uri="{FF2B5EF4-FFF2-40B4-BE49-F238E27FC236}">
              <a16:creationId xmlns:a16="http://schemas.microsoft.com/office/drawing/2014/main" id="{AF3C4AD9-E70B-409E-870D-523DC1427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9524</xdr:colOff>
      <xdr:row>17</xdr:row>
      <xdr:rowOff>0</xdr:rowOff>
    </xdr:to>
    <xdr:graphicFrame macro="">
      <xdr:nvGraphicFramePr>
        <xdr:cNvPr id="2" name="Chart 1">
          <a:extLst>
            <a:ext uri="{FF2B5EF4-FFF2-40B4-BE49-F238E27FC236}">
              <a16:creationId xmlns:a16="http://schemas.microsoft.com/office/drawing/2014/main" id="{F5808CF7-875F-4B9A-B875-A32167775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36</xdr:col>
      <xdr:colOff>920751</xdr:colOff>
      <xdr:row>0</xdr:row>
      <xdr:rowOff>88900</xdr:rowOff>
    </xdr:from>
    <xdr:to>
      <xdr:col>48</xdr:col>
      <xdr:colOff>603251</xdr:colOff>
      <xdr:row>17</xdr:row>
      <xdr:rowOff>127000</xdr:rowOff>
    </xdr:to>
    <xdr:graphicFrame macro="">
      <xdr:nvGraphicFramePr>
        <xdr:cNvPr id="4" name="Chart 3">
          <a:extLst>
            <a:ext uri="{FF2B5EF4-FFF2-40B4-BE49-F238E27FC236}">
              <a16:creationId xmlns:a16="http://schemas.microsoft.com/office/drawing/2014/main" id="{321AE7D3-A852-442D-9D8B-66C92F329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601132</xdr:colOff>
      <xdr:row>16</xdr:row>
      <xdr:rowOff>8465</xdr:rowOff>
    </xdr:to>
    <xdr:graphicFrame macro="">
      <xdr:nvGraphicFramePr>
        <xdr:cNvPr id="2" name="Chart 1">
          <a:extLst>
            <a:ext uri="{FF2B5EF4-FFF2-40B4-BE49-F238E27FC236}">
              <a16:creationId xmlns:a16="http://schemas.microsoft.com/office/drawing/2014/main" id="{DC5F74A1-858D-422A-9195-895698FE8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581024</xdr:colOff>
      <xdr:row>15</xdr:row>
      <xdr:rowOff>85724</xdr:rowOff>
    </xdr:to>
    <xdr:graphicFrame macro="">
      <xdr:nvGraphicFramePr>
        <xdr:cNvPr id="2" name="Chart 1">
          <a:extLst>
            <a:ext uri="{FF2B5EF4-FFF2-40B4-BE49-F238E27FC236}">
              <a16:creationId xmlns:a16="http://schemas.microsoft.com/office/drawing/2014/main" id="{D91534B4-055E-4046-AE59-7B39EF351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552450</xdr:colOff>
      <xdr:row>15</xdr:row>
      <xdr:rowOff>186266</xdr:rowOff>
    </xdr:to>
    <xdr:graphicFrame macro="">
      <xdr:nvGraphicFramePr>
        <xdr:cNvPr id="2" name="Chart 1">
          <a:extLst>
            <a:ext uri="{FF2B5EF4-FFF2-40B4-BE49-F238E27FC236}">
              <a16:creationId xmlns:a16="http://schemas.microsoft.com/office/drawing/2014/main" id="{6E959EA1-2E15-49DB-B25B-B4257D70C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581024</xdr:colOff>
      <xdr:row>19</xdr:row>
      <xdr:rowOff>9525</xdr:rowOff>
    </xdr:to>
    <xdr:graphicFrame macro="">
      <xdr:nvGraphicFramePr>
        <xdr:cNvPr id="2" name="Chart 1">
          <a:extLst>
            <a:ext uri="{FF2B5EF4-FFF2-40B4-BE49-F238E27FC236}">
              <a16:creationId xmlns:a16="http://schemas.microsoft.com/office/drawing/2014/main" id="{EB2E756A-C57A-48EF-AB37-73F153D4F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550333</xdr:colOff>
      <xdr:row>17</xdr:row>
      <xdr:rowOff>63500</xdr:rowOff>
    </xdr:to>
    <xdr:graphicFrame macro="">
      <xdr:nvGraphicFramePr>
        <xdr:cNvPr id="2" name="Chart 1">
          <a:extLst>
            <a:ext uri="{FF2B5EF4-FFF2-40B4-BE49-F238E27FC236}">
              <a16:creationId xmlns:a16="http://schemas.microsoft.com/office/drawing/2014/main" id="{6D295589-8DC2-44C4-8EEB-89F4F1C80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23810</xdr:rowOff>
    </xdr:from>
    <xdr:to>
      <xdr:col>12</xdr:col>
      <xdr:colOff>609599</xdr:colOff>
      <xdr:row>17</xdr:row>
      <xdr:rowOff>186266</xdr:rowOff>
    </xdr:to>
    <xdr:graphicFrame macro="">
      <xdr:nvGraphicFramePr>
        <xdr:cNvPr id="2" name="Chart 1">
          <a:extLst>
            <a:ext uri="{FF2B5EF4-FFF2-40B4-BE49-F238E27FC236}">
              <a16:creationId xmlns:a16="http://schemas.microsoft.com/office/drawing/2014/main" id="{4561F7E3-4CAB-4B1B-91BE-4ED423DEF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600074</xdr:colOff>
      <xdr:row>15</xdr:row>
      <xdr:rowOff>177800</xdr:rowOff>
    </xdr:to>
    <xdr:graphicFrame macro="">
      <xdr:nvGraphicFramePr>
        <xdr:cNvPr id="2" name="Chart 1">
          <a:extLst>
            <a:ext uri="{FF2B5EF4-FFF2-40B4-BE49-F238E27FC236}">
              <a16:creationId xmlns:a16="http://schemas.microsoft.com/office/drawing/2014/main" id="{D52AC698-DDB4-46CD-81B6-0094C0177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0</xdr:row>
      <xdr:rowOff>50800</xdr:rowOff>
    </xdr:from>
    <xdr:to>
      <xdr:col>13</xdr:col>
      <xdr:colOff>8467</xdr:colOff>
      <xdr:row>16</xdr:row>
      <xdr:rowOff>50800</xdr:rowOff>
    </xdr:to>
    <xdr:graphicFrame macro="">
      <xdr:nvGraphicFramePr>
        <xdr:cNvPr id="2" name="Chart 1">
          <a:extLst>
            <a:ext uri="{FF2B5EF4-FFF2-40B4-BE49-F238E27FC236}">
              <a16:creationId xmlns:a16="http://schemas.microsoft.com/office/drawing/2014/main" id="{EEBB529C-846F-484E-BDD7-5B175827C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7.xml><?xml version="1.0" encoding="utf-8"?>
<xdr:wsDr xmlns:xdr="http://schemas.openxmlformats.org/drawingml/2006/spreadsheetDrawing" xmlns:a="http://schemas.openxmlformats.org/drawingml/2006/main">
  <xdr:twoCellAnchor>
    <xdr:from>
      <xdr:col>0</xdr:col>
      <xdr:colOff>0</xdr:colOff>
      <xdr:row>0</xdr:row>
      <xdr:rowOff>33867</xdr:rowOff>
    </xdr:from>
    <xdr:to>
      <xdr:col>13</xdr:col>
      <xdr:colOff>25399</xdr:colOff>
      <xdr:row>18</xdr:row>
      <xdr:rowOff>59266</xdr:rowOff>
    </xdr:to>
    <xdr:graphicFrame macro="">
      <xdr:nvGraphicFramePr>
        <xdr:cNvPr id="2" name="Chart 1">
          <a:extLst>
            <a:ext uri="{FF2B5EF4-FFF2-40B4-BE49-F238E27FC236}">
              <a16:creationId xmlns:a16="http://schemas.microsoft.com/office/drawing/2014/main" id="{9EFC556C-075B-4679-8312-63D056AA6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8.xml><?xml version="1.0" encoding="utf-8"?>
<xdr:wsDr xmlns:xdr="http://schemas.openxmlformats.org/drawingml/2006/spreadsheetDrawing" xmlns:a="http://schemas.openxmlformats.org/drawingml/2006/main">
  <xdr:twoCellAnchor>
    <xdr:from>
      <xdr:col>0</xdr:col>
      <xdr:colOff>0</xdr:colOff>
      <xdr:row>0</xdr:row>
      <xdr:rowOff>57150</xdr:rowOff>
    </xdr:from>
    <xdr:to>
      <xdr:col>13</xdr:col>
      <xdr:colOff>76200</xdr:colOff>
      <xdr:row>18</xdr:row>
      <xdr:rowOff>4763</xdr:rowOff>
    </xdr:to>
    <xdr:graphicFrame macro="">
      <xdr:nvGraphicFramePr>
        <xdr:cNvPr id="2" name="Chart 1">
          <a:extLst>
            <a:ext uri="{FF2B5EF4-FFF2-40B4-BE49-F238E27FC236}">
              <a16:creationId xmlns:a16="http://schemas.microsoft.com/office/drawing/2014/main" id="{09EAC88B-0A2D-43B4-A2EA-C82F6CB5A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9.xml><?xml version="1.0" encoding="utf-8"?>
<xdr:wsDr xmlns:xdr="http://schemas.openxmlformats.org/drawingml/2006/spreadsheetDrawing" xmlns:a="http://schemas.openxmlformats.org/drawingml/2006/main">
  <xdr:twoCellAnchor>
    <xdr:from>
      <xdr:col>0</xdr:col>
      <xdr:colOff>0</xdr:colOff>
      <xdr:row>0</xdr:row>
      <xdr:rowOff>50800</xdr:rowOff>
    </xdr:from>
    <xdr:to>
      <xdr:col>12</xdr:col>
      <xdr:colOff>601132</xdr:colOff>
      <xdr:row>18</xdr:row>
      <xdr:rowOff>101600</xdr:rowOff>
    </xdr:to>
    <xdr:graphicFrame macro="">
      <xdr:nvGraphicFramePr>
        <xdr:cNvPr id="2" name="Chart 1">
          <a:extLst>
            <a:ext uri="{FF2B5EF4-FFF2-40B4-BE49-F238E27FC236}">
              <a16:creationId xmlns:a16="http://schemas.microsoft.com/office/drawing/2014/main" id="{2CEDB18F-73F5-4EA2-B1EE-1BE1D2033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0.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9524</xdr:colOff>
      <xdr:row>18</xdr:row>
      <xdr:rowOff>119063</xdr:rowOff>
    </xdr:to>
    <xdr:graphicFrame macro="">
      <xdr:nvGraphicFramePr>
        <xdr:cNvPr id="2" name="Chart 1">
          <a:extLst>
            <a:ext uri="{FF2B5EF4-FFF2-40B4-BE49-F238E27FC236}">
              <a16:creationId xmlns:a16="http://schemas.microsoft.com/office/drawing/2014/main" id="{A07342D2-E925-40FA-B364-74AC591F5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1.xml><?xml version="1.0" encoding="utf-8"?>
<xdr:wsDr xmlns:xdr="http://schemas.openxmlformats.org/drawingml/2006/spreadsheetDrawing" xmlns:a="http://schemas.openxmlformats.org/drawingml/2006/main">
  <xdr:twoCellAnchor>
    <xdr:from>
      <xdr:col>23</xdr:col>
      <xdr:colOff>402167</xdr:colOff>
      <xdr:row>0</xdr:row>
      <xdr:rowOff>25399</xdr:rowOff>
    </xdr:from>
    <xdr:to>
      <xdr:col>31</xdr:col>
      <xdr:colOff>63501</xdr:colOff>
      <xdr:row>14</xdr:row>
      <xdr:rowOff>101599</xdr:rowOff>
    </xdr:to>
    <xdr:graphicFrame macro="">
      <xdr:nvGraphicFramePr>
        <xdr:cNvPr id="5" name="Chart 4">
          <a:extLst>
            <a:ext uri="{FF2B5EF4-FFF2-40B4-BE49-F238E27FC236}">
              <a16:creationId xmlns:a16="http://schemas.microsoft.com/office/drawing/2014/main" id="{0ACC07D3-8FAB-4BBD-93E1-BFDDF2780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25400</xdr:rowOff>
    </xdr:from>
    <xdr:to>
      <xdr:col>12</xdr:col>
      <xdr:colOff>614890</xdr:colOff>
      <xdr:row>18</xdr:row>
      <xdr:rowOff>105833</xdr:rowOff>
    </xdr:to>
    <xdr:graphicFrame macro="">
      <xdr:nvGraphicFramePr>
        <xdr:cNvPr id="2" name="Chart 1">
          <a:extLst>
            <a:ext uri="{FF2B5EF4-FFF2-40B4-BE49-F238E27FC236}">
              <a16:creationId xmlns:a16="http://schemas.microsoft.com/office/drawing/2014/main" id="{2F96053B-DFEF-49E8-B5D7-AFEE1B9B0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2.xml><?xml version="1.0" encoding="utf-8"?>
<xdr:wsDr xmlns:xdr="http://schemas.openxmlformats.org/drawingml/2006/spreadsheetDrawing" xmlns:a="http://schemas.openxmlformats.org/drawingml/2006/main">
  <xdr:twoCellAnchor>
    <xdr:from>
      <xdr:col>37</xdr:col>
      <xdr:colOff>603248</xdr:colOff>
      <xdr:row>0</xdr:row>
      <xdr:rowOff>99484</xdr:rowOff>
    </xdr:from>
    <xdr:to>
      <xdr:col>48</xdr:col>
      <xdr:colOff>582081</xdr:colOff>
      <xdr:row>15</xdr:row>
      <xdr:rowOff>148168</xdr:rowOff>
    </xdr:to>
    <xdr:graphicFrame macro="">
      <xdr:nvGraphicFramePr>
        <xdr:cNvPr id="2" name="Chart 1">
          <a:extLst>
            <a:ext uri="{FF2B5EF4-FFF2-40B4-BE49-F238E27FC236}">
              <a16:creationId xmlns:a16="http://schemas.microsoft.com/office/drawing/2014/main" id="{3E430679-3281-4C36-B226-5CBDCA4FB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xdr:from>
      <xdr:col>0</xdr:col>
      <xdr:colOff>8466</xdr:colOff>
      <xdr:row>0</xdr:row>
      <xdr:rowOff>12700</xdr:rowOff>
    </xdr:from>
    <xdr:to>
      <xdr:col>13</xdr:col>
      <xdr:colOff>3666</xdr:colOff>
      <xdr:row>17</xdr:row>
      <xdr:rowOff>110067</xdr:rowOff>
    </xdr:to>
    <xdr:graphicFrame macro="">
      <xdr:nvGraphicFramePr>
        <xdr:cNvPr id="2" name="Chart 1">
          <a:extLst>
            <a:ext uri="{FF2B5EF4-FFF2-40B4-BE49-F238E27FC236}">
              <a16:creationId xmlns:a16="http://schemas.microsoft.com/office/drawing/2014/main" id="{5BB757DA-D9D3-41B8-AD6B-919698DBA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604800</xdr:colOff>
      <xdr:row>16</xdr:row>
      <xdr:rowOff>122933</xdr:rowOff>
    </xdr:to>
    <xdr:graphicFrame macro="">
      <xdr:nvGraphicFramePr>
        <xdr:cNvPr id="2" name="Chart 1">
          <a:extLst>
            <a:ext uri="{FF2B5EF4-FFF2-40B4-BE49-F238E27FC236}">
              <a16:creationId xmlns:a16="http://schemas.microsoft.com/office/drawing/2014/main" id="{B23D4D58-903E-40EB-88F6-9721C16F0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5.xml><?xml version="1.0" encoding="utf-8"?>
<xdr:wsDr xmlns:xdr="http://schemas.openxmlformats.org/drawingml/2006/spreadsheetDrawing" xmlns:a="http://schemas.openxmlformats.org/drawingml/2006/main">
  <xdr:twoCellAnchor>
    <xdr:from>
      <xdr:col>0</xdr:col>
      <xdr:colOff>0</xdr:colOff>
      <xdr:row>0</xdr:row>
      <xdr:rowOff>12700</xdr:rowOff>
    </xdr:from>
    <xdr:to>
      <xdr:col>13</xdr:col>
      <xdr:colOff>8466</xdr:colOff>
      <xdr:row>17</xdr:row>
      <xdr:rowOff>135467</xdr:rowOff>
    </xdr:to>
    <xdr:graphicFrame macro="">
      <xdr:nvGraphicFramePr>
        <xdr:cNvPr id="2" name="Chart 1">
          <a:extLst>
            <a:ext uri="{FF2B5EF4-FFF2-40B4-BE49-F238E27FC236}">
              <a16:creationId xmlns:a16="http://schemas.microsoft.com/office/drawing/2014/main" id="{B2A2BC45-9B79-472B-B0AF-886F11533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6.xml><?xml version="1.0" encoding="utf-8"?>
<xdr:wsDr xmlns:xdr="http://schemas.openxmlformats.org/drawingml/2006/spreadsheetDrawing" xmlns:a="http://schemas.openxmlformats.org/drawingml/2006/main">
  <xdr:twoCellAnchor>
    <xdr:from>
      <xdr:col>0</xdr:col>
      <xdr:colOff>9525</xdr:colOff>
      <xdr:row>0</xdr:row>
      <xdr:rowOff>0</xdr:rowOff>
    </xdr:from>
    <xdr:to>
      <xdr:col>13</xdr:col>
      <xdr:colOff>600075</xdr:colOff>
      <xdr:row>19</xdr:row>
      <xdr:rowOff>114299</xdr:rowOff>
    </xdr:to>
    <xdr:graphicFrame macro="">
      <xdr:nvGraphicFramePr>
        <xdr:cNvPr id="2" name="Chart 1">
          <a:extLst>
            <a:ext uri="{FF2B5EF4-FFF2-40B4-BE49-F238E27FC236}">
              <a16:creationId xmlns:a16="http://schemas.microsoft.com/office/drawing/2014/main" id="{88BE89CF-1305-4E9B-A160-9AF041EF3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7.xml><?xml version="1.0" encoding="utf-8"?>
<xdr:wsDr xmlns:xdr="http://schemas.openxmlformats.org/drawingml/2006/spreadsheetDrawing" xmlns:a="http://schemas.openxmlformats.org/drawingml/2006/main">
  <xdr:twoCellAnchor>
    <xdr:from>
      <xdr:col>0</xdr:col>
      <xdr:colOff>0</xdr:colOff>
      <xdr:row>0</xdr:row>
      <xdr:rowOff>182033</xdr:rowOff>
    </xdr:from>
    <xdr:to>
      <xdr:col>13</xdr:col>
      <xdr:colOff>8467</xdr:colOff>
      <xdr:row>18</xdr:row>
      <xdr:rowOff>110067</xdr:rowOff>
    </xdr:to>
    <xdr:graphicFrame macro="">
      <xdr:nvGraphicFramePr>
        <xdr:cNvPr id="2" name="Chart 1">
          <a:extLst>
            <a:ext uri="{FF2B5EF4-FFF2-40B4-BE49-F238E27FC236}">
              <a16:creationId xmlns:a16="http://schemas.microsoft.com/office/drawing/2014/main" id="{D8C3D522-BFD6-4BF7-86C3-981498790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8.xml><?xml version="1.0" encoding="utf-8"?>
<xdr:wsDr xmlns:xdr="http://schemas.openxmlformats.org/drawingml/2006/spreadsheetDrawing" xmlns:a="http://schemas.openxmlformats.org/drawingml/2006/main">
  <xdr:twoCellAnchor>
    <xdr:from>
      <xdr:col>0</xdr:col>
      <xdr:colOff>1</xdr:colOff>
      <xdr:row>0</xdr:row>
      <xdr:rowOff>12699</xdr:rowOff>
    </xdr:from>
    <xdr:to>
      <xdr:col>13</xdr:col>
      <xdr:colOff>16934</xdr:colOff>
      <xdr:row>18</xdr:row>
      <xdr:rowOff>143933</xdr:rowOff>
    </xdr:to>
    <xdr:graphicFrame macro="">
      <xdr:nvGraphicFramePr>
        <xdr:cNvPr id="2" name="Chart 1">
          <a:extLst>
            <a:ext uri="{FF2B5EF4-FFF2-40B4-BE49-F238E27FC236}">
              <a16:creationId xmlns:a16="http://schemas.microsoft.com/office/drawing/2014/main" id="{A1192A93-69BA-4CD0-B7A7-ECA301F2D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9.xml><?xml version="1.0" encoding="utf-8"?>
<xdr:wsDr xmlns:xdr="http://schemas.openxmlformats.org/drawingml/2006/spreadsheetDrawing" xmlns:a="http://schemas.openxmlformats.org/drawingml/2006/main">
  <xdr:twoCellAnchor>
    <xdr:from>
      <xdr:col>0</xdr:col>
      <xdr:colOff>8466</xdr:colOff>
      <xdr:row>0</xdr:row>
      <xdr:rowOff>4233</xdr:rowOff>
    </xdr:from>
    <xdr:to>
      <xdr:col>12</xdr:col>
      <xdr:colOff>609599</xdr:colOff>
      <xdr:row>16</xdr:row>
      <xdr:rowOff>160866</xdr:rowOff>
    </xdr:to>
    <xdr:graphicFrame macro="">
      <xdr:nvGraphicFramePr>
        <xdr:cNvPr id="2" name="Chart 1">
          <a:extLst>
            <a:ext uri="{FF2B5EF4-FFF2-40B4-BE49-F238E27FC236}">
              <a16:creationId xmlns:a16="http://schemas.microsoft.com/office/drawing/2014/main" id="{20931638-0192-4E4C-8F01-EA00F271F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433917</xdr:colOff>
      <xdr:row>15</xdr:row>
      <xdr:rowOff>158750</xdr:rowOff>
    </xdr:to>
    <xdr:graphicFrame macro="">
      <xdr:nvGraphicFramePr>
        <xdr:cNvPr id="2" name="Chart 1">
          <a:extLst>
            <a:ext uri="{FF2B5EF4-FFF2-40B4-BE49-F238E27FC236}">
              <a16:creationId xmlns:a16="http://schemas.microsoft.com/office/drawing/2014/main" id="{4CB3020E-9273-B614-BB45-430612641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1.xml><?xml version="1.0" encoding="utf-8"?>
<xdr:wsDr xmlns:xdr="http://schemas.openxmlformats.org/drawingml/2006/spreadsheetDrawing" xmlns:a="http://schemas.openxmlformats.org/drawingml/2006/main">
  <xdr:twoCellAnchor>
    <xdr:from>
      <xdr:col>0</xdr:col>
      <xdr:colOff>8466</xdr:colOff>
      <xdr:row>0</xdr:row>
      <xdr:rowOff>8467</xdr:rowOff>
    </xdr:from>
    <xdr:to>
      <xdr:col>13</xdr:col>
      <xdr:colOff>25399</xdr:colOff>
      <xdr:row>18</xdr:row>
      <xdr:rowOff>67733</xdr:rowOff>
    </xdr:to>
    <xdr:graphicFrame macro="">
      <xdr:nvGraphicFramePr>
        <xdr:cNvPr id="2" name="Chart 1">
          <a:extLst>
            <a:ext uri="{FF2B5EF4-FFF2-40B4-BE49-F238E27FC236}">
              <a16:creationId xmlns:a16="http://schemas.microsoft.com/office/drawing/2014/main" id="{C6A565A0-FE87-48DA-BB90-BFF65FDEC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2.xml><?xml version="1.0" encoding="utf-8"?>
<xdr:wsDr xmlns:xdr="http://schemas.openxmlformats.org/drawingml/2006/spreadsheetDrawing" xmlns:a="http://schemas.openxmlformats.org/drawingml/2006/main">
  <xdr:twoCellAnchor>
    <xdr:from>
      <xdr:col>20</xdr:col>
      <xdr:colOff>582083</xdr:colOff>
      <xdr:row>0</xdr:row>
      <xdr:rowOff>0</xdr:rowOff>
    </xdr:from>
    <xdr:to>
      <xdr:col>28</xdr:col>
      <xdr:colOff>243417</xdr:colOff>
      <xdr:row>14</xdr:row>
      <xdr:rowOff>76200</xdr:rowOff>
    </xdr:to>
    <xdr:graphicFrame macro="">
      <xdr:nvGraphicFramePr>
        <xdr:cNvPr id="2" name="Chart 1">
          <a:extLst>
            <a:ext uri="{FF2B5EF4-FFF2-40B4-BE49-F238E27FC236}">
              <a16:creationId xmlns:a16="http://schemas.microsoft.com/office/drawing/2014/main" id="{2A843FDF-8D32-4E63-AF27-66F5732F7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33865</xdr:colOff>
      <xdr:row>0</xdr:row>
      <xdr:rowOff>110067</xdr:rowOff>
    </xdr:from>
    <xdr:to>
      <xdr:col>13</xdr:col>
      <xdr:colOff>16932</xdr:colOff>
      <xdr:row>16</xdr:row>
      <xdr:rowOff>84666</xdr:rowOff>
    </xdr:to>
    <xdr:graphicFrame macro="">
      <xdr:nvGraphicFramePr>
        <xdr:cNvPr id="3" name="Chart 2">
          <a:extLst>
            <a:ext uri="{FF2B5EF4-FFF2-40B4-BE49-F238E27FC236}">
              <a16:creationId xmlns:a16="http://schemas.microsoft.com/office/drawing/2014/main" id="{B15E6F65-F440-47D0-B996-1D3BACC84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3.xml><?xml version="1.0" encoding="utf-8"?>
<xdr:wsDr xmlns:xdr="http://schemas.openxmlformats.org/drawingml/2006/spreadsheetDrawing" xmlns:a="http://schemas.openxmlformats.org/drawingml/2006/main">
  <xdr:twoCellAnchor>
    <xdr:from>
      <xdr:col>38</xdr:col>
      <xdr:colOff>476250</xdr:colOff>
      <xdr:row>0</xdr:row>
      <xdr:rowOff>0</xdr:rowOff>
    </xdr:from>
    <xdr:to>
      <xdr:col>49</xdr:col>
      <xdr:colOff>560916</xdr:colOff>
      <xdr:row>16</xdr:row>
      <xdr:rowOff>105832</xdr:rowOff>
    </xdr:to>
    <xdr:graphicFrame macro="">
      <xdr:nvGraphicFramePr>
        <xdr:cNvPr id="2" name="Chart 1">
          <a:extLst>
            <a:ext uri="{FF2B5EF4-FFF2-40B4-BE49-F238E27FC236}">
              <a16:creationId xmlns:a16="http://schemas.microsoft.com/office/drawing/2014/main" id="{6C4E69AE-A366-4F66-B08F-2535BCC5E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4.xml><?xml version="1.0" encoding="utf-8"?>
<xdr:wsDr xmlns:xdr="http://schemas.openxmlformats.org/drawingml/2006/spreadsheetDrawing" xmlns:a="http://schemas.openxmlformats.org/drawingml/2006/main">
  <xdr:twoCellAnchor>
    <xdr:from>
      <xdr:col>0</xdr:col>
      <xdr:colOff>8467</xdr:colOff>
      <xdr:row>0</xdr:row>
      <xdr:rowOff>0</xdr:rowOff>
    </xdr:from>
    <xdr:to>
      <xdr:col>12</xdr:col>
      <xdr:colOff>605367</xdr:colOff>
      <xdr:row>17</xdr:row>
      <xdr:rowOff>0</xdr:rowOff>
    </xdr:to>
    <xdr:graphicFrame macro="">
      <xdr:nvGraphicFramePr>
        <xdr:cNvPr id="2" name="Chart 1">
          <a:extLst>
            <a:ext uri="{FF2B5EF4-FFF2-40B4-BE49-F238E27FC236}">
              <a16:creationId xmlns:a16="http://schemas.microsoft.com/office/drawing/2014/main" id="{7DD1D731-9188-4650-8B6D-2F812F762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560916</xdr:colOff>
      <xdr:row>17</xdr:row>
      <xdr:rowOff>105832</xdr:rowOff>
    </xdr:to>
    <xdr:graphicFrame macro="">
      <xdr:nvGraphicFramePr>
        <xdr:cNvPr id="2" name="Chart 1">
          <a:extLst>
            <a:ext uri="{FF2B5EF4-FFF2-40B4-BE49-F238E27FC236}">
              <a16:creationId xmlns:a16="http://schemas.microsoft.com/office/drawing/2014/main" id="{81B86C06-A7FD-498A-A9A8-2848249AE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592666</xdr:colOff>
      <xdr:row>15</xdr:row>
      <xdr:rowOff>186266</xdr:rowOff>
    </xdr:to>
    <xdr:graphicFrame macro="">
      <xdr:nvGraphicFramePr>
        <xdr:cNvPr id="2" name="Chart 1">
          <a:extLst>
            <a:ext uri="{FF2B5EF4-FFF2-40B4-BE49-F238E27FC236}">
              <a16:creationId xmlns:a16="http://schemas.microsoft.com/office/drawing/2014/main" id="{BA789851-D9AC-45A1-A10B-58588640D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7.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8467</xdr:colOff>
      <xdr:row>17</xdr:row>
      <xdr:rowOff>158750</xdr:rowOff>
    </xdr:to>
    <xdr:graphicFrame macro="">
      <xdr:nvGraphicFramePr>
        <xdr:cNvPr id="2" name="Chart 1">
          <a:extLst>
            <a:ext uri="{FF2B5EF4-FFF2-40B4-BE49-F238E27FC236}">
              <a16:creationId xmlns:a16="http://schemas.microsoft.com/office/drawing/2014/main" id="{A363F6BB-7EE8-4C22-9693-92F922B3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8.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600076</xdr:colOff>
      <xdr:row>15</xdr:row>
      <xdr:rowOff>0</xdr:rowOff>
    </xdr:to>
    <xdr:graphicFrame macro="">
      <xdr:nvGraphicFramePr>
        <xdr:cNvPr id="2" name="Chart 1">
          <a:extLst>
            <a:ext uri="{FF2B5EF4-FFF2-40B4-BE49-F238E27FC236}">
              <a16:creationId xmlns:a16="http://schemas.microsoft.com/office/drawing/2014/main" id="{248E9DFD-7BB9-476C-AD18-D95297CAA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9.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552449</xdr:colOff>
      <xdr:row>17</xdr:row>
      <xdr:rowOff>0</xdr:rowOff>
    </xdr:to>
    <xdr:graphicFrame macro="">
      <xdr:nvGraphicFramePr>
        <xdr:cNvPr id="2" name="Chart 1">
          <a:extLst>
            <a:ext uri="{FF2B5EF4-FFF2-40B4-BE49-F238E27FC236}">
              <a16:creationId xmlns:a16="http://schemas.microsoft.com/office/drawing/2014/main" id="{7F44B5CB-2660-4E09-8688-17C52A610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601980</xdr:colOff>
      <xdr:row>16</xdr:row>
      <xdr:rowOff>7620</xdr:rowOff>
    </xdr:to>
    <xdr:graphicFrame macro="">
      <xdr:nvGraphicFramePr>
        <xdr:cNvPr id="2" name="Chart 1">
          <a:extLst>
            <a:ext uri="{FF2B5EF4-FFF2-40B4-BE49-F238E27FC236}">
              <a16:creationId xmlns:a16="http://schemas.microsoft.com/office/drawing/2014/main" id="{6EBB538D-0041-4F2C-99BE-562BE6C31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600074</xdr:colOff>
      <xdr:row>17</xdr:row>
      <xdr:rowOff>0</xdr:rowOff>
    </xdr:to>
    <xdr:graphicFrame macro="">
      <xdr:nvGraphicFramePr>
        <xdr:cNvPr id="2" name="Chart 1">
          <a:extLst>
            <a:ext uri="{FF2B5EF4-FFF2-40B4-BE49-F238E27FC236}">
              <a16:creationId xmlns:a16="http://schemas.microsoft.com/office/drawing/2014/main" id="{54F39250-2B80-4EBE-B6F3-66C46E425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2.xml><?xml version="1.0" encoding="utf-8"?>
<xdr:wsDr xmlns:xdr="http://schemas.openxmlformats.org/drawingml/2006/spreadsheetDrawing" xmlns:a="http://schemas.openxmlformats.org/drawingml/2006/main">
  <xdr:twoCellAnchor>
    <xdr:from>
      <xdr:col>0</xdr:col>
      <xdr:colOff>0</xdr:colOff>
      <xdr:row>0</xdr:row>
      <xdr:rowOff>16933</xdr:rowOff>
    </xdr:from>
    <xdr:to>
      <xdr:col>13</xdr:col>
      <xdr:colOff>0</xdr:colOff>
      <xdr:row>17</xdr:row>
      <xdr:rowOff>16934</xdr:rowOff>
    </xdr:to>
    <xdr:graphicFrame macro="">
      <xdr:nvGraphicFramePr>
        <xdr:cNvPr id="2" name="Chart 1">
          <a:extLst>
            <a:ext uri="{FF2B5EF4-FFF2-40B4-BE49-F238E27FC236}">
              <a16:creationId xmlns:a16="http://schemas.microsoft.com/office/drawing/2014/main" id="{4474B737-AC82-463C-873C-45A3B73DF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635000</xdr:colOff>
      <xdr:row>16</xdr:row>
      <xdr:rowOff>177800</xdr:rowOff>
    </xdr:to>
    <xdr:graphicFrame macro="">
      <xdr:nvGraphicFramePr>
        <xdr:cNvPr id="2" name="Chart 1">
          <a:extLst>
            <a:ext uri="{FF2B5EF4-FFF2-40B4-BE49-F238E27FC236}">
              <a16:creationId xmlns:a16="http://schemas.microsoft.com/office/drawing/2014/main" id="{124F3807-8DEE-4006-B41D-C5B3C5C5F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Ops%20reports\FY24\June%202024%20operations%20repor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ownloads\JUNE%202025%20OPERATIONS%20REPORT%20(1)%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July%202025\July%202025%20OPERATIONS%20REPOR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5\Management%20Reports\June%202025\JUNE%202025%20OPERATIONS%20REPOR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sus\Downloads\MAY%20OPERATIONS%20REPORT%2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user\Documents\Mill%20Triple%20C%20Reports\Livestock%20Reports\FY%202022\June%2022\TOP%2020%20COS\ABC%20%20New%20Pack%20FY2021%20June%202022%2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July%202025\Slaughter%20Summary\Pig%20Kill%20%20July%20202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August%202025\Slaughter%20Summary\Pig%20Kill%20%20August%20%20202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September%202025\Slaughter%20Summary\Pig%20Kill%20%20September%20202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October%202025\Slaughter%20Summary\Pig%20Kill%20%20October%20202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NOVEMBER%202025\Slaughter%20Summary\Pig%20Kill%20%20November%20202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December%202025\Slaughter%20Summary\Pig%20Kill%20%20December%20202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January%202026\Slaughter%20Summary\Pig%20Kill%20%20January%20202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February%202026\Slaughter%20Summary\Pig%20Kill%20%20February%20202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March%202026\Slaughter%20Summary\Pig%20Kill%20%20March%20202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tgonamombe\Desktop\Obey%2012052026\mr%20mhenyu\Livestock%20Reports\FY%202026\April%202026\Slaughter%20Summary\Pig%20Kill%20%20April%20%202026.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tgonamombe\Desktop\Obey%2012052026\mr%20mhenyu\Livestock%20Reports\FY%202026\May%202026\Slaughter%20Summary\Pig%20Kill%20%20May%20%202026.xls" TargetMode="External"/><Relationship Id="rId1" Type="http://schemas.openxmlformats.org/officeDocument/2006/relationships/externalLinkPath" Target="file:///C:\Users\tgonamombe\Desktop\Obey%2012052026\mr%20mhenyu\Livestock%20Reports\FY%202026\May%202026\Slaughter%20Summary\Pig%20Kill%20%20May%20%20202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tgonamombe\Desktop\Obey%2012052026\mr%20mhenyu\Livestock%20Reports\FY%202026\June%202026\Slaughter%20Summary\Pig%20Kill%20%20June%20%20202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July%202025\July%202025%20LIVESTOCK%20ANALYSIS.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August%202025\August%202025%20LIVESTOCK%20ANALYSI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September%202025\september%202025%20LIVESTOCK%20ANALYSI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October%202025\October%202025%20LIVESTOCK%20ANALYSIS.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NOVEMBER%202025\November%202025%20LIVESTOCK%20ANALYSIS.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December%202025\december%202025%20LIVESTOCK%20ANALYSIS.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January%202026\January%202026%20LIVESTOCK%20ANALYSIS.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February%202026\february%202026%20LIVESTOCK%20ANALYSI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tgonamombe\Grasmere\mr%20mhenyu\Livestock%20Reports\FY%202026\March%202026\March%202026%20LIVESTOCK%20ANALYSIS.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tgonamombe\Desktop\Obey%2012052026\mr%20mhenyu\Livestock%20Reports\FY%202026\April%202026\April%202026%20LIVESTOCK%20ANALYSI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Users\tgonamombe\Desktop\Obey%2012052026\mr%20mhenyu\Livestock%20Reports\FY%202026\May%202026\May%202026%20LIVESTOCK%20ANALYSIS.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tgonamombe\Desktop\Obey%2012052026\mr%20mhenyu\Livestock%20Reports\FY%202026\June%202026\June%202026%20LIVESTOCK%20ANALYSI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november%202025\November%202025%20LIVESTOCK%20ANALYSIS.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december%202025\december%202025%20LIVESTOCK%20ANALYSIS.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Users\tgonamombe\Grasmere\mr%20mhenyu\Livestock%20Reports\FY%202026\November%202025\November%202025%20LIVESTOCK%20ANALYSIS.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tgonamombe\Grasmere\mr%20mhenyu\Livestock%20Reports\FY%202026\December%202025\December%202025%20LIVESTOCK%20ANALYSIS.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tgonamombe\Grasmere\mr%20mhenyu\Livestock%20Reports\FY%202026\January%202026\January%202026%20LIVESTOCK%20ANALYSIS.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Users\tgonamombe\Grasmere\mr%20mhenyu\Livestock%20Reports\FY%202026\February%202026\February%202026%20LIVESTOCK%20ANALYSIS.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4\June%202024\June%202024%20LIVESTOCK%20ANALYSIS.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5\July%202024\July%202024%20LIVESTOCK%20ANALYSIS.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5\August%202024\August%202024%20LIVESTOCK%20ANALYSIS.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5\September%202024\September%202024%20LIVESTOCK%20ANALYSIS.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5\october%202024\october%202024%20LIVESTOCK%20ANALYSIS.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July%202025\Slaughter%20Summary\July%202025%20Slaughter%20Summary%20ABC%20Pack.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August%202025\Slaughter%20Summary\August%202025%20Slaughter%20Summary%20ABC%20Pack.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September%202025\Slaughter%20Summary\September%202025%20Slaughter%20Summary%20ABC%20Pack.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October%202025\Slaughter%20Summary\October%202025%20Slaughter%20Summary%20ABC%20Pack.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NOVEMBER%202025\Slaughter%20Summary\november%202025%20Slaughter%20Summary%20ABC%20Pack.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December%202025\Slaughter%20Summary\december%202025%20Slaughter%20Summary%20ABC%20Pack.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January%202026\Slaughter%20Summary\January%202026%20Slaughter%20Summary%20ABC%20Pack.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February%202026\Slaughter%20Summary\February%202026%20Slaughter%20Summary%20ABC%20Pack.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Users\tgonamombe\Grasmere\mr%20mhenyu\Livestock%20Reports\FY%202026\March%202026\Slaughter%20Summary\March%202026%20Slaughter%20Summary%20ABC%20Pack.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Users\tgonamombe\Desktop\Obey%2012052026\mr%20mhenyu\Livestock%20Reports\FY%202026\April%202026\Slaughter%20Summary\April%202026%20Slaughter%20Summary%20ABC%20Pack.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Users\tgonamombe\Desktop\Obey%2012052026\mr%20mhenyu\Livestock%20Reports\FY%202026\May%202026\Slaughter%20Summary\May%202026%20Slaughter%20Summary%20ABC%20Pack.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Users\tgonamombe\Desktop\Obey%2012052026\mr%20mhenyu\Livestock%20Reports\FY%202026\June%202026\Slaughter%20Summary\June%202026%20Slaughter%20Summary%20ABC%20Pack.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4\July%202023\July%20Ops%20Report%202023.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Users\omhenyu\Documents\Mill%20Triple%20C%20Reports\Livestock%20Reports\FY%202026\FY2026%20Budgets%20Final\COS%20FY2026%20Budget\COS%20Calc%20FY2026%20Budget%20Final.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Users\archibald.GRASMERE\Desktop\REPORTS\MONTHLY%20OPERATIONS%20REPORTS\April%202026%20Prod%20Ops%20Report.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Users\archibald.GRASMERE\Desktop\REPORTS\MONTHLY%20OPERATIONS%20REPORTS\December%202025%20Ops%20Report%20m.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Users\obey\Documents\Mill%20Triple%20C%20Reports\Livestock%20Reports\FY%202026\FY2026%20Budgets%20Final\COS%20FY2026%20Budget\COS%20Calc%20FY2026%20Budget%20Final.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Grasmere%20Farrow%20rate%20(2)"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Grasmere%20Born%20Alive%20(2)"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Users\tendai\Documents\RICHLANDS%202025%20JANUARY%20AVAERAGES\Copy%20of%20Monthly%20perfomance%20(007).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Users\tendai\Documents\RICHLANDS%202025%20JANUARY%20AVAERAGES\Copy%20of%20Richlands%20%20monthly%20mortality%20(00E).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Users\user\Downloads\JULY%202025%20OPS%20REPORT%20(1).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Users\tendai\Documents\Copy%20of%20MONTHLY%20AVERAGES%202025.xlsx"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Users/user/Downloads/JULY%202025%20OPS%20REPORT%20(1).xlsx" TargetMode="External"/><Relationship Id="rId1" Type="http://schemas.openxmlformats.org/officeDocument/2006/relationships/externalLinkPath" Target="/Users/user/Downloads/JULY%202025%20OPS%20REPORT%20(1).xlsx"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Users/obey/Documents/Mill%20Triple%20C%20Reports/Livestock%20Reports/FY%202026/July%202025/July%202025%20OPERATIONS%20REPORT.xlsx" TargetMode="External"/><Relationship Id="rId1" Type="http://schemas.openxmlformats.org/officeDocument/2006/relationships/externalLinkPath" Target="/Users/obey/Documents/Mill%20Triple%20C%20Reports/Livestock%20Reports/FY%202026/July%202025/July%202025%20OPERATIONS%20REPORT.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Users\tendai\Desktop\Copy%20of%20WEEKLY%20PRODUCTION%20RESULTS%20(002).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Users\tendai\Desktop\VILLA%20FRANCA%20JANUARY-25%20MONTHLY%20FIGU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margin over feed c (2)"/>
      <sheetName val="Combined Avg CDM actual vs  (2)"/>
      <sheetName val="Combined total CDM to Colco (2)"/>
      <sheetName val="Combined pigs sold to colco (2)"/>
      <sheetName val="Combined kgs sold per sow p (2)"/>
      <sheetName val="Combined farrow rate"/>
      <sheetName val="Combined Born alive"/>
      <sheetName val="Combined Wean weight"/>
      <sheetName val="Combined Litter mass"/>
      <sheetName val="Combined 70 day weight"/>
      <sheetName val="Combined 70 day gain"/>
      <sheetName val="Combined WSY"/>
      <sheetName val="Combined WHDWFCR"/>
      <sheetName val="Grasmere Margin over feed c (2)"/>
      <sheetName val="Grasmere Avg CDM vs Budget (2)"/>
      <sheetName val="Grasmere Total CDM to Colco (2)"/>
      <sheetName val="Grasmere Pigs to Colcom (2)"/>
      <sheetName val="Grasmere Kgs sold per sow p (2)"/>
      <sheetName val="Grasmere Farrow rate"/>
      <sheetName val="Grasmere Born Alive"/>
      <sheetName val="Grasmere Wean weight"/>
      <sheetName val="Grasmere total litter mass"/>
      <sheetName val="Grasmere 70 day weight"/>
      <sheetName val="Grasmere 70 day gain"/>
      <sheetName val="Grasmere WSY"/>
      <sheetName val="Grasmere WHDWFCR"/>
      <sheetName val="Grasmere ops (other)"/>
      <sheetName val="Richlands margin over feed  (2)"/>
      <sheetName val="Richlands Avg CDM over budg (2)"/>
      <sheetName val="Richlands total CDM to Colc (2)"/>
      <sheetName val="Richlands Pigs to Colcom (2)"/>
      <sheetName val="Richlands kgs sold per sow  (2)"/>
      <sheetName val="Richlands Farrow rate"/>
      <sheetName val="Richlands Born Alive"/>
      <sheetName val="Richlands Wean weight"/>
      <sheetName val="Richlands total litter mass"/>
      <sheetName val="Richlands 70 day weight"/>
      <sheetName val="Richlands 70 day gain"/>
      <sheetName val="Richlands WHDWFCR"/>
      <sheetName val="Richlands WSY"/>
      <sheetName val="Richlands ops (other)"/>
      <sheetName val="LH and LH ext margin over feed "/>
      <sheetName val="LH avg CDM over budget"/>
      <sheetName val="LH total CDM to Colcom"/>
      <sheetName val="LH Pigs to Colcom"/>
      <sheetName val="LH Kgs sold per sow per year"/>
      <sheetName val="LH Farrow Rate"/>
      <sheetName val="LH Born Alive"/>
      <sheetName val="LH Wean Weight"/>
      <sheetName val="LH total litter mass"/>
      <sheetName val="LH 70 day weight"/>
      <sheetName val="LH 70 day gain"/>
      <sheetName val="LH WSY"/>
      <sheetName val="LH and LH Ext WHDWFCR"/>
      <sheetName val="Lions Head ops (other)"/>
      <sheetName val="LH ext avg Cdm against budg (2)"/>
      <sheetName val="LH Ext total CDM to colcom  (2)"/>
      <sheetName val="LH extension pigs to Colcom (2)"/>
      <sheetName val="LH extesnion ops (other)"/>
      <sheetName val="Villa Margin over feed cost"/>
      <sheetName val="Villa Avg CDM over Budget"/>
      <sheetName val="Villa total CDM to Colcom again"/>
      <sheetName val="Villa Pigs to Colcom"/>
      <sheetName val="Villa Kgs sold per sow per year"/>
      <sheetName val="Villa Farrowing rate"/>
      <sheetName val="Villa Born Alive"/>
      <sheetName val="Villa Wean weight"/>
      <sheetName val="Villa total litter mass"/>
      <sheetName val="Villa 70 day weight"/>
      <sheetName val="Villa 70 day gain"/>
      <sheetName val="Villa WSY"/>
      <sheetName val="Villa WHDWFCR"/>
      <sheetName val="Villa ops (other)"/>
      <sheetName val="Learig Avg CDM against budget"/>
      <sheetName val="Learig total CDM to Colcom"/>
      <sheetName val="Learig Pigs to Colcom"/>
      <sheetName val="Learig ops (other)"/>
    </sheetNames>
    <sheetDataSet>
      <sheetData sheetId="0"/>
      <sheetData sheetId="1"/>
      <sheetData sheetId="2">
        <row r="25">
          <cell r="B25">
            <v>326091.2</v>
          </cell>
          <cell r="C25">
            <v>343223.60000000003</v>
          </cell>
        </row>
        <row r="26">
          <cell r="B26">
            <v>0</v>
          </cell>
          <cell r="C26">
            <v>0</v>
          </cell>
        </row>
        <row r="27">
          <cell r="B27">
            <v>61439</v>
          </cell>
          <cell r="C27">
            <v>73180</v>
          </cell>
        </row>
        <row r="35">
          <cell r="B35">
            <v>169439.9</v>
          </cell>
          <cell r="C35">
            <v>170036.7</v>
          </cell>
        </row>
        <row r="36">
          <cell r="B36">
            <v>26080.100000000002</v>
          </cell>
          <cell r="C36">
            <v>8790.2000000000007</v>
          </cell>
        </row>
        <row r="37">
          <cell r="B37">
            <v>3685.4</v>
          </cell>
          <cell r="C37">
            <v>2798.1</v>
          </cell>
        </row>
        <row r="45">
          <cell r="B45">
            <v>152645.6</v>
          </cell>
          <cell r="C45">
            <v>154690.29999999999</v>
          </cell>
        </row>
        <row r="46">
          <cell r="B46">
            <v>48164.1</v>
          </cell>
          <cell r="C46">
            <v>37643.5</v>
          </cell>
        </row>
        <row r="47">
          <cell r="B47">
            <v>0</v>
          </cell>
          <cell r="C47">
            <v>6112.9000000000005</v>
          </cell>
        </row>
        <row r="55">
          <cell r="B55">
            <v>59693.1</v>
          </cell>
          <cell r="C55">
            <v>59848.800000000003</v>
          </cell>
        </row>
        <row r="56">
          <cell r="B56">
            <v>16224.5</v>
          </cell>
          <cell r="C56">
            <v>5154.3</v>
          </cell>
        </row>
        <row r="57">
          <cell r="B57">
            <v>1318.4</v>
          </cell>
          <cell r="C57">
            <v>23825.100000000002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9">
          <cell r="W19">
            <v>2077.9</v>
          </cell>
          <cell r="X19">
            <v>2091.9</v>
          </cell>
          <cell r="Y19">
            <v>2090.4</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20">
          <cell r="X20">
            <v>1009.3</v>
          </cell>
          <cell r="Y20">
            <v>1011.1</v>
          </cell>
          <cell r="Z20">
            <v>1017.4</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8">
          <cell r="X18">
            <v>1051.2</v>
          </cell>
          <cell r="Y18">
            <v>1035.5</v>
          </cell>
          <cell r="Z18">
            <v>1077.4000000000001</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19">
          <cell r="X19">
            <v>423.3</v>
          </cell>
          <cell r="Y19">
            <v>423.5</v>
          </cell>
          <cell r="Z19">
            <v>423.1</v>
          </cell>
        </row>
      </sheetData>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margin over feed c (7)"/>
      <sheetName val="Combined Avg CDM actual vs  (7)"/>
      <sheetName val="Combined pigs sold to colco (7)"/>
      <sheetName val="Combined total CDM to Colco (7)"/>
      <sheetName val="Combined kgs sold per sow p (7)"/>
      <sheetName val="Combined farrow rate (2)"/>
      <sheetName val="Combined Born alive (2)"/>
      <sheetName val="Combined Wean weight (2)"/>
      <sheetName val="Combined Litter mass (2)"/>
      <sheetName val="Combined 70 day weight (2)"/>
      <sheetName val="Combined 70 day gain (2)"/>
      <sheetName val="Combined WSY (2)"/>
      <sheetName val="Porta Farrow rates"/>
      <sheetName val="Porta BA"/>
      <sheetName val="Porta average wean weight"/>
      <sheetName val="Porta Combined litter mass"/>
      <sheetName val="Porta 70 day weight"/>
      <sheetName val="Porta 70 day gain"/>
      <sheetName val="Porta WSY"/>
      <sheetName val="Porta ops (other)"/>
      <sheetName val="Grasmere Margin over feed c (7)"/>
      <sheetName val="Grasmere Avg CDM vs Budget (7)"/>
      <sheetName val="Grasmere Total CDM to Colco (7)"/>
      <sheetName val="Grasmere Pigs to Colcom (7)"/>
      <sheetName val="Grasmere Kgs sold per sow p (7)"/>
      <sheetName val="Grasmere Farrow rate"/>
      <sheetName val="Grasmere Born Alive"/>
      <sheetName val="Grasmere Wean weight"/>
      <sheetName val="Grasmere total litter mass"/>
      <sheetName val="Grasmere 70 day weight"/>
      <sheetName val="Grasmere 70 day gain"/>
      <sheetName val="Grasmere WSY"/>
      <sheetName val="Grasmere ops (other) (2)"/>
      <sheetName val="Richlands margin over feed  (7)"/>
      <sheetName val="Richlands Avg CDM over budg (7)"/>
      <sheetName val="Richlands total CDM to Colc (7)"/>
      <sheetName val="Richlands Pigs to Colcom (7)"/>
      <sheetName val="Richlands kgs sold per sow  (7)"/>
      <sheetName val="Richlands Farrow rate"/>
      <sheetName val="Richlands Born Alive"/>
      <sheetName val="Richlands Wean weight"/>
      <sheetName val="Richlands total litter mass"/>
      <sheetName val="Richlands 70 day weight"/>
      <sheetName val="Richlands 70 day gain"/>
      <sheetName val="Richlands WSY"/>
      <sheetName val="Richlands ops (other) (2)"/>
      <sheetName val="LH ext avg Cdm against budg (7)"/>
      <sheetName val="LH Ext total CDM to colcom  (7)"/>
      <sheetName val="LH extension pigs to Colcom (7)"/>
      <sheetName val="LH extesnion ops (other) (3)"/>
      <sheetName val="LH and LH ext margin over f (6)"/>
      <sheetName val="LH avg CDM over budget (6)"/>
      <sheetName val="LH total CDM to Colcom (6)"/>
      <sheetName val="LH Pigs to Colcom (6)"/>
      <sheetName val="LH Kgs sold per sow per yea (6)"/>
      <sheetName val="LH Farrow Rate"/>
      <sheetName val="LH Born Alive"/>
      <sheetName val="LH Wean Weight"/>
      <sheetName val="LH total litter mass"/>
      <sheetName val="LH 70 day weight"/>
      <sheetName val="LH 70 day gain"/>
      <sheetName val="LH WSY"/>
      <sheetName val="Lions Head ops (other) (2)"/>
      <sheetName val="Villa Margin over feed cost (6)"/>
      <sheetName val="Villa Avg CDM over Budget (6)"/>
      <sheetName val="Villa total CDM to Colcom a (6)"/>
      <sheetName val="Villa Pigs to Colcom (6)"/>
      <sheetName val="Villa Kgs sold per sow per  (6)"/>
      <sheetName val="Villa Farrowing rate"/>
      <sheetName val="Villa Born Alive"/>
      <sheetName val="Villa Wean weight"/>
      <sheetName val="Villa total litter mass"/>
      <sheetName val="Villa 70 day weight"/>
      <sheetName val="Villa 70 day gain"/>
      <sheetName val="Villa WSY"/>
      <sheetName val="Villa ops (other) (2)"/>
      <sheetName val="Learig Avg CDM against budg (4)"/>
      <sheetName val="Learig total CDM to Colcom (4)"/>
      <sheetName val="Learig Pigs to Colcom (4)"/>
      <sheetName val="Learig ops (other)"/>
    </sheetNames>
    <sheetDataSet>
      <sheetData sheetId="0"/>
      <sheetData sheetId="1"/>
      <sheetData sheetId="2">
        <row r="30">
          <cell r="D30">
            <v>317</v>
          </cell>
        </row>
        <row r="31">
          <cell r="D31">
            <v>10</v>
          </cell>
        </row>
        <row r="32">
          <cell r="D32">
            <v>17</v>
          </cell>
        </row>
      </sheetData>
      <sheetData sheetId="3">
        <row r="25">
          <cell r="B25">
            <v>882440.2</v>
          </cell>
          <cell r="C25">
            <v>900931.20000000007</v>
          </cell>
          <cell r="D25">
            <v>1151251.4000000001</v>
          </cell>
          <cell r="E25">
            <v>855802.60000000021</v>
          </cell>
          <cell r="F25">
            <v>822535.39999999979</v>
          </cell>
          <cell r="G25">
            <v>1072706.3999999999</v>
          </cell>
          <cell r="H25">
            <v>870671.79999999993</v>
          </cell>
          <cell r="I25">
            <v>903322.40600000008</v>
          </cell>
          <cell r="J25">
            <v>1079465.7400000002</v>
          </cell>
        </row>
        <row r="29">
          <cell r="B29">
            <v>349606.8</v>
          </cell>
          <cell r="C29">
            <v>345370.10000000003</v>
          </cell>
          <cell r="D29">
            <v>453920.10000000003</v>
          </cell>
          <cell r="E29">
            <v>362321.1</v>
          </cell>
          <cell r="F29">
            <v>347853.10000000003</v>
          </cell>
          <cell r="G29">
            <v>434434.34</v>
          </cell>
          <cell r="H29">
            <v>337591.39999999997</v>
          </cell>
          <cell r="I29">
            <v>357388.6</v>
          </cell>
          <cell r="J29">
            <v>459888.7</v>
          </cell>
          <cell r="K29">
            <v>356255.2</v>
          </cell>
          <cell r="L29">
            <v>365440.4</v>
          </cell>
          <cell r="M29">
            <v>447703.1</v>
          </cell>
        </row>
        <row r="30">
          <cell r="B30">
            <v>0</v>
          </cell>
          <cell r="C30">
            <v>0</v>
          </cell>
          <cell r="D30">
            <v>0</v>
          </cell>
          <cell r="E30">
            <v>0</v>
          </cell>
          <cell r="F30">
            <v>0</v>
          </cell>
          <cell r="G30">
            <v>0</v>
          </cell>
          <cell r="H30">
            <v>0</v>
          </cell>
          <cell r="I30">
            <v>0</v>
          </cell>
          <cell r="J30">
            <v>0</v>
          </cell>
          <cell r="K30">
            <v>0</v>
          </cell>
          <cell r="L30">
            <v>0</v>
          </cell>
          <cell r="M30">
            <v>0</v>
          </cell>
        </row>
        <row r="31">
          <cell r="B31">
            <v>47353.4</v>
          </cell>
          <cell r="C31">
            <v>52524.200000000004</v>
          </cell>
          <cell r="D31">
            <v>82988</v>
          </cell>
          <cell r="E31">
            <v>81278</v>
          </cell>
          <cell r="F31">
            <v>94426.7</v>
          </cell>
          <cell r="G31">
            <v>109420.5</v>
          </cell>
          <cell r="H31">
            <v>77443.600000000006</v>
          </cell>
          <cell r="I31">
            <v>74570.600000000006</v>
          </cell>
          <cell r="J31">
            <v>98566.5</v>
          </cell>
          <cell r="K31">
            <v>93858.400000000009</v>
          </cell>
          <cell r="L31">
            <v>93176.5</v>
          </cell>
          <cell r="M31">
            <v>92548.6</v>
          </cell>
        </row>
        <row r="39">
          <cell r="B39">
            <v>170279.40000000002</v>
          </cell>
          <cell r="C39">
            <v>156319.20000000001</v>
          </cell>
          <cell r="D39">
            <v>250376.7</v>
          </cell>
          <cell r="E39">
            <v>188521.50000000003</v>
          </cell>
          <cell r="F39">
            <v>184328.8</v>
          </cell>
          <cell r="G39">
            <v>171492.40000000002</v>
          </cell>
          <cell r="H39">
            <v>231774.9</v>
          </cell>
          <cell r="I39">
            <v>188968.39999999997</v>
          </cell>
          <cell r="J39">
            <v>236846.2</v>
          </cell>
          <cell r="K39">
            <v>139555.27368421052</v>
          </cell>
          <cell r="L39">
            <v>215529.30000000002</v>
          </cell>
          <cell r="M39">
            <v>232958.4</v>
          </cell>
        </row>
        <row r="40">
          <cell r="B40">
            <v>0</v>
          </cell>
          <cell r="C40">
            <v>0</v>
          </cell>
          <cell r="D40">
            <v>0</v>
          </cell>
          <cell r="E40">
            <v>10826.9</v>
          </cell>
          <cell r="F40">
            <v>11766.4</v>
          </cell>
          <cell r="G40">
            <v>9258.7000000000007</v>
          </cell>
          <cell r="H40">
            <v>9469.6</v>
          </cell>
          <cell r="I40">
            <v>4666.6000000000004</v>
          </cell>
          <cell r="J40">
            <v>6894.7</v>
          </cell>
          <cell r="K40">
            <v>19659.3</v>
          </cell>
          <cell r="L40">
            <v>2692.9</v>
          </cell>
          <cell r="M40">
            <v>0</v>
          </cell>
        </row>
        <row r="41">
          <cell r="B41">
            <v>50671.3</v>
          </cell>
          <cell r="C41">
            <v>48734.8</v>
          </cell>
          <cell r="D41">
            <v>47518.400000000001</v>
          </cell>
          <cell r="E41">
            <v>28565.3</v>
          </cell>
          <cell r="F41">
            <v>21848.600000000002</v>
          </cell>
          <cell r="G41">
            <v>30567.8</v>
          </cell>
          <cell r="H41">
            <v>25368.3</v>
          </cell>
          <cell r="I41">
            <v>28752.9</v>
          </cell>
          <cell r="J41">
            <v>32422.799999999999</v>
          </cell>
          <cell r="K41">
            <v>13864.4</v>
          </cell>
          <cell r="L41">
            <v>28330.2</v>
          </cell>
          <cell r="M41">
            <v>49353</v>
          </cell>
        </row>
        <row r="49">
          <cell r="B49">
            <v>193684.8</v>
          </cell>
          <cell r="C49">
            <v>163395.30000000002</v>
          </cell>
          <cell r="D49">
            <v>283845.80000000005</v>
          </cell>
          <cell r="E49">
            <v>199601.02000000002</v>
          </cell>
          <cell r="F49">
            <v>196697.19999999998</v>
          </cell>
          <cell r="G49">
            <v>211704.10000000003</v>
          </cell>
          <cell r="H49">
            <v>224769.40000000002</v>
          </cell>
          <cell r="I49">
            <v>194867.6</v>
          </cell>
          <cell r="J49">
            <v>240921.40000000002</v>
          </cell>
          <cell r="K49">
            <v>198989.6</v>
          </cell>
          <cell r="L49">
            <v>205970.5</v>
          </cell>
          <cell r="M49">
            <v>246498.8</v>
          </cell>
        </row>
        <row r="50">
          <cell r="B50">
            <v>14046.9</v>
          </cell>
          <cell r="C50">
            <v>8419.7999999999993</v>
          </cell>
          <cell r="D50">
            <v>21756</v>
          </cell>
          <cell r="E50">
            <v>14411</v>
          </cell>
          <cell r="F50">
            <v>24963.5</v>
          </cell>
          <cell r="G50">
            <v>22475.8</v>
          </cell>
          <cell r="H50">
            <v>20526.7</v>
          </cell>
          <cell r="I50">
            <v>31368.600000000002</v>
          </cell>
          <cell r="J50">
            <v>35259.9</v>
          </cell>
          <cell r="K50">
            <v>23952.5</v>
          </cell>
          <cell r="L50">
            <v>11164.4</v>
          </cell>
          <cell r="M50">
            <v>43465</v>
          </cell>
        </row>
        <row r="51">
          <cell r="B51">
            <v>0</v>
          </cell>
          <cell r="C51">
            <v>0</v>
          </cell>
          <cell r="D51">
            <v>0</v>
          </cell>
          <cell r="E51">
            <v>0</v>
          </cell>
          <cell r="F51">
            <v>0</v>
          </cell>
          <cell r="G51">
            <v>0</v>
          </cell>
          <cell r="H51">
            <v>0</v>
          </cell>
          <cell r="I51">
            <v>0</v>
          </cell>
          <cell r="J51">
            <v>0</v>
          </cell>
          <cell r="K51">
            <v>0</v>
          </cell>
          <cell r="L51">
            <v>0</v>
          </cell>
          <cell r="M51">
            <v>0</v>
          </cell>
        </row>
        <row r="59">
          <cell r="B59">
            <v>59858.1</v>
          </cell>
          <cell r="C59">
            <v>64498.000000000007</v>
          </cell>
          <cell r="D59">
            <v>80500.100000000006</v>
          </cell>
          <cell r="E59">
            <v>66885.799999999988</v>
          </cell>
          <cell r="F59">
            <v>66814.100000000006</v>
          </cell>
          <cell r="G59">
            <v>73970.7</v>
          </cell>
          <cell r="H59">
            <v>67174.7</v>
          </cell>
          <cell r="I59">
            <v>65074.6</v>
          </cell>
          <cell r="J59">
            <v>83288.2</v>
          </cell>
          <cell r="K59">
            <v>74828.100000000006</v>
          </cell>
          <cell r="L59">
            <v>59040.7</v>
          </cell>
          <cell r="M59">
            <v>72598.5</v>
          </cell>
        </row>
        <row r="60">
          <cell r="B60">
            <v>17472.099999999999</v>
          </cell>
          <cell r="C60">
            <v>22329.600000000002</v>
          </cell>
          <cell r="D60">
            <v>3106.6</v>
          </cell>
          <cell r="E60">
            <v>28120.9</v>
          </cell>
          <cell r="F60">
            <v>15941.7</v>
          </cell>
          <cell r="G60">
            <v>14031.1</v>
          </cell>
          <cell r="H60">
            <v>10982.800000000001</v>
          </cell>
          <cell r="I60">
            <v>21870.7</v>
          </cell>
          <cell r="J60">
            <v>12634.9</v>
          </cell>
          <cell r="K60">
            <v>12229.7</v>
          </cell>
          <cell r="L60">
            <v>33075.599999999999</v>
          </cell>
          <cell r="M60">
            <v>7462.5</v>
          </cell>
        </row>
        <row r="61">
          <cell r="B61">
            <v>10140.1</v>
          </cell>
          <cell r="C61">
            <v>7482.4000000000005</v>
          </cell>
          <cell r="D61">
            <v>27437</v>
          </cell>
          <cell r="E61">
            <v>13709.2</v>
          </cell>
          <cell r="F61">
            <v>11477.300000000001</v>
          </cell>
          <cell r="G61">
            <v>25199</v>
          </cell>
          <cell r="H61">
            <v>16093.6</v>
          </cell>
          <cell r="I61">
            <v>19753.7</v>
          </cell>
          <cell r="J61">
            <v>35115.1</v>
          </cell>
          <cell r="K61">
            <v>21353.8</v>
          </cell>
          <cell r="L61">
            <v>6244</v>
          </cell>
          <cell r="M61">
            <v>45463.8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0">
          <cell r="D20">
            <v>98.935605898696309</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margin over feed c (7)"/>
      <sheetName val="Combined Avg CDM actual vs  (7)"/>
      <sheetName val="Combined pigs sold to colco (7)"/>
      <sheetName val="Combined total CDM to Colco (7)"/>
      <sheetName val="Combined kgs sold per sow p (7)"/>
      <sheetName val="Combined farrow rate (2)"/>
      <sheetName val="Combined Born alive (2)"/>
      <sheetName val="Combined Wean weight (2)"/>
      <sheetName val="Combined Litter mass (2)"/>
      <sheetName val="Combined 70 day weight (2)"/>
      <sheetName val="Combined 70 day gain (2)"/>
      <sheetName val="Combined WSY (2)"/>
      <sheetName val="Porta Farrow rates"/>
      <sheetName val="Porta BA"/>
      <sheetName val="Porta average wean weight"/>
      <sheetName val="Porta Combined litter mass"/>
      <sheetName val="Porta 70 day weight"/>
      <sheetName val="Porta 70 day gain"/>
      <sheetName val="Porta WSY"/>
      <sheetName val="Porta ops (other)"/>
      <sheetName val="Grasmere Margin over feed c (7)"/>
      <sheetName val="Grasmere Avg CDM vs Budget (7)"/>
      <sheetName val="Grasmere Total CDM to Colco (7)"/>
      <sheetName val="Grasmere Pigs to Colcom (7)"/>
      <sheetName val="Grasmere Kgs sold per sow p (7)"/>
      <sheetName val="Grasmere Farrow rate"/>
      <sheetName val="Grasmere Born Alive"/>
      <sheetName val="Grasmere Wean weight"/>
      <sheetName val="Grasmere total litter mass"/>
      <sheetName val="Grasmere 70 day weight"/>
      <sheetName val="Grasmere 70 day gain"/>
      <sheetName val="Grasmere WSY"/>
      <sheetName val="Grasmere ops (other) (2)"/>
      <sheetName val="Richlands margin over feed  (7)"/>
      <sheetName val="Richlands Avg CDM over budg (7)"/>
      <sheetName val="Richlands total CDM to Colc (7)"/>
      <sheetName val="Richlands Pigs to Colcom (7)"/>
      <sheetName val="Richlands kgs sold per sow  (7)"/>
      <sheetName val="Richlands Farrow rate"/>
      <sheetName val="Richlands Born Alive"/>
      <sheetName val="Richlands Wean weight"/>
      <sheetName val="Richlands total litter mass"/>
      <sheetName val="Richlands 70 day weight"/>
      <sheetName val="Richlands 70 day gain"/>
      <sheetName val="Richlands WSY"/>
      <sheetName val="Richlands ops (other) (2)"/>
      <sheetName val="LH ext avg Cdm against budg (7)"/>
      <sheetName val="LH Ext total CDM to colcom  (7)"/>
      <sheetName val="LH extension pigs to Colcom (7)"/>
      <sheetName val="LH extesnion ops (other) (3)"/>
      <sheetName val="LH and LH ext margin over f (6)"/>
      <sheetName val="LH avg CDM over budget (6)"/>
      <sheetName val="LH total CDM to Colcom (6)"/>
      <sheetName val="LH Pigs to Colcom (6)"/>
      <sheetName val="LH Kgs sold per sow per yea (6)"/>
      <sheetName val="LH Farrow Rate"/>
      <sheetName val="LH Born Alive"/>
      <sheetName val="LH Wean Weight"/>
      <sheetName val="LH total litter mass"/>
      <sheetName val="LH 70 day weight"/>
      <sheetName val="LH 70 day gain"/>
      <sheetName val="LH WSY"/>
      <sheetName val="Lions Head ops (other) (2)"/>
      <sheetName val="Villa Margin over feed cost (6)"/>
      <sheetName val="Villa Avg CDM over Budget (6)"/>
      <sheetName val="Villa total CDM to Colcom a (6)"/>
      <sheetName val="Villa Pigs to Colcom (6)"/>
      <sheetName val="Villa Kgs sold per sow per  (6)"/>
      <sheetName val="Villa Farrowing rate"/>
      <sheetName val="Villa Born Alive"/>
      <sheetName val="Villa Wean weight"/>
      <sheetName val="Villa total litter mass"/>
      <sheetName val="Villa 70 day weight"/>
      <sheetName val="Villa 70 day gain"/>
      <sheetName val="Villa WSY"/>
      <sheetName val="Villa ops (other) (2)"/>
      <sheetName val="Learig Avg CDM against budg (4)"/>
      <sheetName val="Learig total CDM to Colcom (4)"/>
      <sheetName val="Learig Pigs to Colcom (4)"/>
      <sheetName val="Learig ops (other)"/>
    </sheetNames>
    <sheetDataSet>
      <sheetData sheetId="0" refreshError="1"/>
      <sheetData sheetId="1" refreshError="1">
        <row r="22">
          <cell r="B22">
            <v>92.897181623604013</v>
          </cell>
          <cell r="C22">
            <v>92.925316321950049</v>
          </cell>
          <cell r="D22">
            <v>90.603960164036309</v>
          </cell>
          <cell r="E22">
            <v>90.596891963561703</v>
          </cell>
          <cell r="F22">
            <v>90.613819771250121</v>
          </cell>
          <cell r="G22">
            <v>90.62354036964345</v>
          </cell>
          <cell r="H22">
            <v>90.597443335374564</v>
          </cell>
          <cell r="I22">
            <v>90.568708477912281</v>
          </cell>
          <cell r="J22">
            <v>90.493989378209207</v>
          </cell>
          <cell r="K22">
            <v>92.766565530291388</v>
          </cell>
          <cell r="L22">
            <v>92.766565530291388</v>
          </cell>
          <cell r="M22">
            <v>92.776936096261167</v>
          </cell>
        </row>
      </sheetData>
      <sheetData sheetId="2" refreshError="1">
        <row r="19">
          <cell r="B19">
            <v>10100</v>
          </cell>
        </row>
        <row r="21">
          <cell r="B21">
            <v>12656.394999999999</v>
          </cell>
          <cell r="C21">
            <v>13012.060000000001</v>
          </cell>
          <cell r="D21">
            <v>16042.489</v>
          </cell>
          <cell r="E21">
            <v>13241.776000000002</v>
          </cell>
          <cell r="F21">
            <v>13202.782000000001</v>
          </cell>
          <cell r="G21">
            <v>16360.742</v>
          </cell>
          <cell r="H21">
            <v>13231.300000000001</v>
          </cell>
          <cell r="I21">
            <v>13356.296</v>
          </cell>
          <cell r="J21">
            <v>17291.66</v>
          </cell>
          <cell r="K21">
            <v>13833.328000000003</v>
          </cell>
          <cell r="L21">
            <v>13833.328000000003</v>
          </cell>
          <cell r="M21">
            <v>17060.024000000001</v>
          </cell>
        </row>
      </sheetData>
      <sheetData sheetId="3" refreshError="1">
        <row r="24">
          <cell r="B24">
            <v>1175743.4250150735</v>
          </cell>
          <cell r="C24">
            <v>1209149.7915001935</v>
          </cell>
          <cell r="D24">
            <v>1453513.0342879905</v>
          </cell>
          <cell r="E24">
            <v>1199663.7496776844</v>
          </cell>
          <cell r="F24">
            <v>1196354.5086271053</v>
          </cell>
          <cell r="G24">
            <v>1482668.3631143211</v>
          </cell>
          <cell r="H24">
            <v>1198721.9520033416</v>
          </cell>
          <cell r="I24">
            <v>1209662.4787687059</v>
          </cell>
          <cell r="J24">
            <v>1564791.296371605</v>
          </cell>
          <cell r="K24">
            <v>1283270.328414015</v>
          </cell>
          <cell r="L24">
            <v>1283270.328414015</v>
          </cell>
          <cell r="M24">
            <v>1582776.7564486819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20">
          <cell r="B20">
            <v>94.462793839502837</v>
          </cell>
          <cell r="C20">
            <v>95.656871780970462</v>
          </cell>
          <cell r="D20">
            <v>98.935605898696309</v>
          </cell>
          <cell r="E20">
            <v>98.296455223880599</v>
          </cell>
          <cell r="F20">
            <v>94.922449521785339</v>
          </cell>
          <cell r="G20">
            <v>92.729746467165427</v>
          </cell>
          <cell r="H20">
            <v>94.117688743526841</v>
          </cell>
          <cell r="I20">
            <v>94.956693121693121</v>
          </cell>
          <cell r="J20">
            <v>92.276740035693052</v>
          </cell>
          <cell r="K20">
            <v>93.204591836734693</v>
          </cell>
          <cell r="L20">
            <v>93.11850462615655</v>
          </cell>
          <cell r="M20">
            <v>97.856760804450147</v>
          </cell>
        </row>
        <row r="22">
          <cell r="B22">
            <v>94.300112844714477</v>
          </cell>
          <cell r="C22">
            <v>94.304306124562913</v>
          </cell>
          <cell r="D22">
            <v>91.837946087282987</v>
          </cell>
          <cell r="E22">
            <v>91.814469495926161</v>
          </cell>
          <cell r="F22">
            <v>91.814468441599402</v>
          </cell>
          <cell r="G22">
            <v>91.81434560598025</v>
          </cell>
          <cell r="H22">
            <v>91.814611328199277</v>
          </cell>
          <cell r="I22">
            <v>91.83145168765607</v>
          </cell>
          <cell r="J22">
            <v>91.848898916547313</v>
          </cell>
          <cell r="K22">
            <v>94.322035026783155</v>
          </cell>
          <cell r="L22">
            <v>94.322035026783155</v>
          </cell>
          <cell r="M22">
            <v>94.321712749158308</v>
          </cell>
        </row>
      </sheetData>
      <sheetData sheetId="22" refreshError="1">
        <row r="20">
          <cell r="B20">
            <v>349606.8</v>
          </cell>
          <cell r="C20">
            <v>352878.2</v>
          </cell>
          <cell r="D20">
            <v>462919.7</v>
          </cell>
          <cell r="E20">
            <v>368808.3</v>
          </cell>
          <cell r="F20">
            <v>357288.10000000003</v>
          </cell>
          <cell r="G20">
            <v>446215.54000000004</v>
          </cell>
          <cell r="H20">
            <v>345317.8</v>
          </cell>
          <cell r="I20">
            <v>358936.3</v>
          </cell>
          <cell r="J20">
            <v>465351.60000000003</v>
          </cell>
          <cell r="K20">
            <v>365362</v>
          </cell>
          <cell r="L20">
            <v>372380.9</v>
          </cell>
          <cell r="M20">
            <v>457382.5</v>
          </cell>
        </row>
        <row r="21">
          <cell r="B21">
            <v>360647.06023785693</v>
          </cell>
          <cell r="C21">
            <v>358782.76682026515</v>
          </cell>
          <cell r="D21">
            <v>432915.54498572025</v>
          </cell>
          <cell r="E21">
            <v>356224.17421195633</v>
          </cell>
          <cell r="F21">
            <v>356224.63125238434</v>
          </cell>
          <cell r="G21">
            <v>445347.35925426689</v>
          </cell>
          <cell r="H21">
            <v>356162.70208083163</v>
          </cell>
          <cell r="I21">
            <v>349012.92719852371</v>
          </cell>
          <cell r="J21">
            <v>427380.86201826273</v>
          </cell>
          <cell r="K21">
            <v>351110.86240622035</v>
          </cell>
          <cell r="L21">
            <v>351110.86240622035</v>
          </cell>
          <cell r="M21">
            <v>439059.2109409048</v>
          </cell>
        </row>
      </sheetData>
      <sheetData sheetId="23" refreshError="1">
        <row r="18">
          <cell r="B18">
            <v>3701</v>
          </cell>
          <cell r="C18">
            <v>3689</v>
          </cell>
          <cell r="D18">
            <v>4679</v>
          </cell>
          <cell r="E18">
            <v>3752</v>
          </cell>
          <cell r="F18">
            <v>3764</v>
          </cell>
          <cell r="G18">
            <v>4812</v>
          </cell>
          <cell r="H18">
            <v>3669</v>
          </cell>
          <cell r="I18">
            <v>3780</v>
          </cell>
          <cell r="J18">
            <v>5043</v>
          </cell>
          <cell r="K18">
            <v>3920</v>
          </cell>
          <cell r="L18">
            <v>3999</v>
          </cell>
          <cell r="M18">
            <v>4674</v>
          </cell>
        </row>
        <row r="19">
          <cell r="B19">
            <v>3824.4605373032828</v>
          </cell>
          <cell r="C19">
            <v>3804.5215702702153</v>
          </cell>
          <cell r="D19">
            <v>4713.9070877551676</v>
          </cell>
          <cell r="E19">
            <v>3879.8260902412785</v>
          </cell>
          <cell r="F19">
            <v>3879.8311126635645</v>
          </cell>
          <cell r="G19">
            <v>4850.5204313655704</v>
          </cell>
          <cell r="H19">
            <v>3879.1505723168311</v>
          </cell>
          <cell r="I19">
            <v>3800.5816175661944</v>
          </cell>
          <cell r="J19">
            <v>4653.086395805085</v>
          </cell>
          <cell r="K19">
            <v>3722.469116644068</v>
          </cell>
          <cell r="L19">
            <v>3722.469116644068</v>
          </cell>
          <cell r="M19">
            <v>4654.9113469615486</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18">
          <cell r="B18">
            <v>90.99419619928095</v>
          </cell>
          <cell r="C18">
            <v>95.463095238095235</v>
          </cell>
          <cell r="D18">
            <v>93.946836363636365</v>
          </cell>
          <cell r="E18">
            <v>95.789555880917533</v>
          </cell>
          <cell r="F18">
            <v>92.643467702768334</v>
          </cell>
          <cell r="G18">
            <v>89.455454545454558</v>
          </cell>
          <cell r="H18">
            <v>96.641706349206345</v>
          </cell>
          <cell r="I18">
            <v>93.94070208728651</v>
          </cell>
          <cell r="J18">
            <v>89.452394881170022</v>
          </cell>
          <cell r="K18">
            <v>89.748077296562442</v>
          </cell>
          <cell r="L18">
            <v>89.168285939968413</v>
          </cell>
          <cell r="M18">
            <v>91.447388486465883</v>
          </cell>
        </row>
        <row r="20">
          <cell r="B20">
            <v>92.185536062502891</v>
          </cell>
          <cell r="C20">
            <v>92.308026024756202</v>
          </cell>
          <cell r="D20">
            <v>89.30387903184851</v>
          </cell>
          <cell r="E20">
            <v>89.304634166550443</v>
          </cell>
          <cell r="F20">
            <v>89.304632487264684</v>
          </cell>
          <cell r="G20">
            <v>89.30443683987086</v>
          </cell>
          <cell r="H20">
            <v>89.304860070594813</v>
          </cell>
          <cell r="I20">
            <v>89.33085228233935</v>
          </cell>
          <cell r="J20">
            <v>89.357735860980057</v>
          </cell>
          <cell r="K20">
            <v>92.308062597773471</v>
          </cell>
          <cell r="L20">
            <v>92.308062597773471</v>
          </cell>
          <cell r="M20">
            <v>92.307552785590474</v>
          </cell>
        </row>
      </sheetData>
      <sheetData sheetId="35" refreshError="1">
        <row r="21">
          <cell r="B21">
            <v>177165.7</v>
          </cell>
          <cell r="C21">
            <v>160378</v>
          </cell>
          <cell r="D21">
            <v>258353.80000000002</v>
          </cell>
          <cell r="E21">
            <v>196272.80000000002</v>
          </cell>
          <cell r="F21">
            <v>190752.9</v>
          </cell>
          <cell r="G21">
            <v>177121.80000000002</v>
          </cell>
          <cell r="H21">
            <v>243537.1</v>
          </cell>
          <cell r="I21">
            <v>198026.99999999997</v>
          </cell>
          <cell r="J21">
            <v>244652.30000000002</v>
          </cell>
          <cell r="K21">
            <v>145930.37368421053</v>
          </cell>
          <cell r="L21">
            <v>225774.1</v>
          </cell>
          <cell r="M21">
            <v>239866.5</v>
          </cell>
        </row>
        <row r="22">
          <cell r="B22">
            <v>196573.55228318018</v>
          </cell>
          <cell r="C22">
            <v>178402.17654237946</v>
          </cell>
          <cell r="D22">
            <v>224650.22910077398</v>
          </cell>
          <cell r="E22">
            <v>179617.67832022297</v>
          </cell>
          <cell r="F22">
            <v>179617.90614144003</v>
          </cell>
          <cell r="G22">
            <v>224555.56595885061</v>
          </cell>
          <cell r="H22">
            <v>179587.03627004183</v>
          </cell>
          <cell r="I22">
            <v>176130.85952471581</v>
          </cell>
          <cell r="J22">
            <v>215869.21436430834</v>
          </cell>
          <cell r="K22">
            <v>178397.25915592784</v>
          </cell>
          <cell r="L22">
            <v>178397.25915592784</v>
          </cell>
          <cell r="M22">
            <v>223082.28777987143</v>
          </cell>
        </row>
      </sheetData>
      <sheetData sheetId="36" refreshError="1">
        <row r="21">
          <cell r="B21">
            <v>2132.3687064085734</v>
          </cell>
          <cell r="C21">
            <v>1932.6832587074666</v>
          </cell>
          <cell r="D21">
            <v>2515.5707852360679</v>
          </cell>
          <cell r="E21">
            <v>2011.2917990934427</v>
          </cell>
          <cell r="F21">
            <v>2011.2943879709096</v>
          </cell>
          <cell r="G21">
            <v>2514.4950677142115</v>
          </cell>
          <cell r="H21">
            <v>2010.9435939777482</v>
          </cell>
          <cell r="I21">
            <v>1971.6688582354068</v>
          </cell>
          <cell r="J21">
            <v>2415.7865268671403</v>
          </cell>
          <cell r="K21">
            <v>1932.6292214937125</v>
          </cell>
          <cell r="L21">
            <v>1932.6292214937125</v>
          </cell>
          <cell r="M21">
            <v>2416.7284371414444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row r="19">
          <cell r="B19">
            <v>87.069060773480658</v>
          </cell>
        </row>
        <row r="21">
          <cell r="B21">
            <v>90</v>
          </cell>
          <cell r="C21">
            <v>90</v>
          </cell>
          <cell r="D21">
            <v>88</v>
          </cell>
          <cell r="E21">
            <v>88</v>
          </cell>
          <cell r="F21">
            <v>88</v>
          </cell>
          <cell r="G21">
            <v>88</v>
          </cell>
          <cell r="H21">
            <v>88</v>
          </cell>
          <cell r="I21">
            <v>88</v>
          </cell>
          <cell r="J21">
            <v>88</v>
          </cell>
          <cell r="K21">
            <v>90</v>
          </cell>
          <cell r="L21">
            <v>90</v>
          </cell>
          <cell r="M21">
            <v>90</v>
          </cell>
        </row>
      </sheetData>
      <sheetData sheetId="47" refreshError="1">
        <row r="21">
          <cell r="B21">
            <v>31519</v>
          </cell>
        </row>
        <row r="22">
          <cell r="B22">
            <v>49335.166639714749</v>
          </cell>
          <cell r="C22">
            <v>57007.641033594773</v>
          </cell>
          <cell r="D22">
            <v>81239.656273832778</v>
          </cell>
          <cell r="E22">
            <v>65229.144644861517</v>
          </cell>
          <cell r="F22">
            <v>54716.35332734741</v>
          </cell>
          <cell r="G22">
            <v>63375.164670616279</v>
          </cell>
          <cell r="H22">
            <v>60672.465945624768</v>
          </cell>
          <cell r="I22">
            <v>63086.406567438156</v>
          </cell>
          <cell r="J22">
            <v>78880.072336200523</v>
          </cell>
          <cell r="K22">
            <v>64538.241002345887</v>
          </cell>
          <cell r="L22">
            <v>64538.241002345887</v>
          </cell>
          <cell r="M22">
            <v>80704.784993684181</v>
          </cell>
        </row>
      </sheetData>
      <sheetData sheetId="48" refreshError="1">
        <row r="21">
          <cell r="B21">
            <v>362</v>
          </cell>
        </row>
        <row r="22">
          <cell r="B22">
            <v>548.16851821905277</v>
          </cell>
          <cell r="C22">
            <v>633.41823370660859</v>
          </cell>
          <cell r="D22">
            <v>923.17791220264519</v>
          </cell>
          <cell r="E22">
            <v>741.24028005524451</v>
          </cell>
          <cell r="F22">
            <v>621.77674235622055</v>
          </cell>
          <cell r="G22">
            <v>720.17232580245775</v>
          </cell>
          <cell r="H22">
            <v>689.45984029119052</v>
          </cell>
          <cell r="I22">
            <v>716.89098372088813</v>
          </cell>
          <cell r="J22">
            <v>896.36445836591508</v>
          </cell>
          <cell r="K22">
            <v>717.09156669273204</v>
          </cell>
          <cell r="L22">
            <v>717.09156669273204</v>
          </cell>
          <cell r="M22">
            <v>896.71983326315762</v>
          </cell>
        </row>
      </sheetData>
      <sheetData sheetId="49" refreshError="1"/>
      <sheetData sheetId="50" refreshError="1"/>
      <sheetData sheetId="51" refreshError="1">
        <row r="21">
          <cell r="B21">
            <v>89.83081847279378</v>
          </cell>
        </row>
        <row r="23">
          <cell r="B23">
            <v>90.961960902206059</v>
          </cell>
          <cell r="C23">
            <v>91.019775287388356</v>
          </cell>
          <cell r="D23">
            <v>89.039150514139877</v>
          </cell>
          <cell r="E23">
            <v>89.022805162864628</v>
          </cell>
          <cell r="F23">
            <v>89.0228038417427</v>
          </cell>
          <cell r="G23">
            <v>89.022649922778285</v>
          </cell>
          <cell r="H23">
            <v>89.022982885426842</v>
          </cell>
          <cell r="I23">
            <v>89.022817147075074</v>
          </cell>
          <cell r="J23">
            <v>89.022534614990732</v>
          </cell>
          <cell r="K23">
            <v>90.997594746332439</v>
          </cell>
          <cell r="L23">
            <v>90.997594746332439</v>
          </cell>
          <cell r="M23">
            <v>90.997204322250241</v>
          </cell>
        </row>
      </sheetData>
      <sheetData sheetId="52" refreshError="1">
        <row r="21">
          <cell r="B21">
            <v>196460</v>
          </cell>
        </row>
        <row r="22">
          <cell r="B22">
            <v>211811.92702704537</v>
          </cell>
          <cell r="C22">
            <v>199930.61134664205</v>
          </cell>
          <cell r="D22">
            <v>245914.67597655777</v>
          </cell>
          <cell r="E22">
            <v>199838.99971864972</v>
          </cell>
          <cell r="F22">
            <v>199839.25487841287</v>
          </cell>
          <cell r="G22">
            <v>249836.23387391269</v>
          </cell>
          <cell r="H22">
            <v>199804.68062244687</v>
          </cell>
          <cell r="I22">
            <v>199836.68513398874</v>
          </cell>
          <cell r="J22">
            <v>249864.08342502645</v>
          </cell>
          <cell r="K22">
            <v>204326.06825683985</v>
          </cell>
          <cell r="L22">
            <v>204326.06825683985</v>
          </cell>
          <cell r="M22">
            <v>255506.48589985166</v>
          </cell>
        </row>
      </sheetData>
      <sheetData sheetId="53" refreshError="1">
        <row r="21">
          <cell r="B21">
            <v>2187</v>
          </cell>
        </row>
        <row r="22">
          <cell r="B22">
            <v>2328.5769669671708</v>
          </cell>
          <cell r="C22">
            <v>2196.5623482960227</v>
          </cell>
          <cell r="D22">
            <v>2761.8713179154292</v>
          </cell>
          <cell r="E22">
            <v>2244.8068149846558</v>
          </cell>
          <cell r="F22">
            <v>2244.8097145274191</v>
          </cell>
          <cell r="G22">
            <v>2806.434475839917</v>
          </cell>
          <cell r="H22">
            <v>2244.416825255078</v>
          </cell>
          <cell r="I22">
            <v>2244.7805128862356</v>
          </cell>
          <cell r="J22">
            <v>2806.7509480116641</v>
          </cell>
          <cell r="K22">
            <v>2245.4007584093315</v>
          </cell>
          <cell r="L22">
            <v>2245.4007584093315</v>
          </cell>
          <cell r="M22">
            <v>2807.849843331685</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row r="19">
          <cell r="B19">
            <v>90.602071005917153</v>
          </cell>
          <cell r="C19">
            <v>95.01195335276968</v>
          </cell>
          <cell r="D19">
            <v>95.033719582850523</v>
          </cell>
          <cell r="E19">
            <v>99.601895043731773</v>
          </cell>
          <cell r="F19">
            <v>99.056748911465903</v>
          </cell>
          <cell r="G19">
            <v>99.427171215880904</v>
          </cell>
          <cell r="H19">
            <v>100.37276478679505</v>
          </cell>
          <cell r="I19">
            <v>98.982708933717575</v>
          </cell>
          <cell r="J19">
            <v>97.338547486033519</v>
          </cell>
          <cell r="K19">
            <v>85.958295964125568</v>
          </cell>
          <cell r="L19">
            <v>84.628591160220992</v>
          </cell>
          <cell r="M19">
            <v>90.310697674418606</v>
          </cell>
        </row>
        <row r="21">
          <cell r="B21">
            <v>95.089756446385323</v>
          </cell>
          <cell r="C21">
            <v>95.331506275723982</v>
          </cell>
          <cell r="D21">
            <v>92.969153507071582</v>
          </cell>
          <cell r="E21">
            <v>92.946491875522582</v>
          </cell>
          <cell r="F21">
            <v>92.94648939228064</v>
          </cell>
          <cell r="G21">
            <v>92.946200078523844</v>
          </cell>
          <cell r="H21">
            <v>92.946825930363104</v>
          </cell>
          <cell r="I21">
            <v>92.94651440159609</v>
          </cell>
          <cell r="J21">
            <v>92.945983339556648</v>
          </cell>
          <cell r="K21">
            <v>95.384401588304854</v>
          </cell>
          <cell r="L21">
            <v>95.384401588304854</v>
          </cell>
          <cell r="M21">
            <v>95.383673178363935</v>
          </cell>
        </row>
      </sheetData>
      <sheetData sheetId="65" refreshError="1">
        <row r="21">
          <cell r="B21">
            <v>61247</v>
          </cell>
        </row>
        <row r="22">
          <cell r="B22">
            <v>73212.385554412918</v>
          </cell>
          <cell r="C22">
            <v>63710.272374229957</v>
          </cell>
          <cell r="D22">
            <v>74596.146015869439</v>
          </cell>
          <cell r="E22">
            <v>60356.97718960105</v>
          </cell>
          <cell r="F22">
            <v>60357.052577712886</v>
          </cell>
          <cell r="G22">
            <v>75457.296371837845</v>
          </cell>
          <cell r="H22">
            <v>60346.83745663202</v>
          </cell>
          <cell r="I22">
            <v>60356.293335042123</v>
          </cell>
          <cell r="J22">
            <v>75465.524648303268</v>
          </cell>
          <cell r="K22">
            <v>61956.277403220694</v>
          </cell>
          <cell r="L22">
            <v>61956.277403220694</v>
          </cell>
          <cell r="M22">
            <v>77474.70295757502</v>
          </cell>
        </row>
      </sheetData>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row r="20">
          <cell r="B20">
            <v>88.153871230643858</v>
          </cell>
        </row>
        <row r="21">
          <cell r="B21">
            <v>92</v>
          </cell>
          <cell r="C21">
            <v>92</v>
          </cell>
          <cell r="D21">
            <v>90</v>
          </cell>
          <cell r="E21">
            <v>90</v>
          </cell>
          <cell r="F21">
            <v>90</v>
          </cell>
          <cell r="G21">
            <v>90</v>
          </cell>
          <cell r="H21">
            <v>90</v>
          </cell>
          <cell r="I21">
            <v>90</v>
          </cell>
          <cell r="J21">
            <v>89.999999999999986</v>
          </cell>
          <cell r="K21">
            <v>92</v>
          </cell>
          <cell r="L21">
            <v>92</v>
          </cell>
          <cell r="M21">
            <v>92</v>
          </cell>
        </row>
      </sheetData>
      <sheetData sheetId="77" refreshError="1">
        <row r="20">
          <cell r="B20">
            <v>108164.80000000002</v>
          </cell>
        </row>
        <row r="21">
          <cell r="B21">
            <v>119188.85327286333</v>
          </cell>
          <cell r="C21">
            <v>132930.08338308224</v>
          </cell>
          <cell r="D21">
            <v>126594.41993523622</v>
          </cell>
          <cell r="E21">
            <v>114286.46759239292</v>
          </cell>
          <cell r="F21">
            <v>125010.97544980761</v>
          </cell>
          <cell r="G21">
            <v>152176.7949848366</v>
          </cell>
          <cell r="H21">
            <v>127429.84962776456</v>
          </cell>
          <cell r="I21">
            <v>127982.17500899728</v>
          </cell>
          <cell r="J21">
            <v>156239.8045795034</v>
          </cell>
          <cell r="K21">
            <v>127769.44018946057</v>
          </cell>
          <cell r="L21">
            <v>127769.44018946057</v>
          </cell>
          <cell r="M21">
            <v>137984.05887679479</v>
          </cell>
        </row>
      </sheetData>
      <sheetData sheetId="78" refreshError="1">
        <row r="20">
          <cell r="B20">
            <v>1227</v>
          </cell>
        </row>
        <row r="21">
          <cell r="B21">
            <v>1295.531013835471</v>
          </cell>
          <cell r="C21">
            <v>1209.3499999999999</v>
          </cell>
          <cell r="D21">
            <v>1713.69</v>
          </cell>
          <cell r="E21">
            <v>1217.1099999999999</v>
          </cell>
          <cell r="F21">
            <v>1218.08</v>
          </cell>
          <cell r="G21">
            <v>1713.69</v>
          </cell>
          <cell r="H21">
            <v>1217.1099999999999</v>
          </cell>
          <cell r="I21">
            <v>1218.08</v>
          </cell>
          <cell r="J21">
            <v>1713.69</v>
          </cell>
          <cell r="K21">
            <v>1217.1099999999999</v>
          </cell>
          <cell r="L21">
            <v>1218.08</v>
          </cell>
          <cell r="M21">
            <v>1713.69</v>
          </cell>
        </row>
      </sheetData>
      <sheetData sheetId="7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margin over feed c (7)"/>
      <sheetName val="Combined Avg CDM actual vs  (7)"/>
      <sheetName val="Combined pigs sold to colco (7)"/>
      <sheetName val="Combined total CDM to Colco (7)"/>
      <sheetName val="Combined kgs sold per sow p (7)"/>
      <sheetName val="Combined farrow rate (2)"/>
      <sheetName val="Combined Born alive (2)"/>
      <sheetName val="Combined Wean weight (2)"/>
      <sheetName val="Combined Litter mass (2)"/>
      <sheetName val="Combined 70 day weight (2)"/>
      <sheetName val="Combined 70 day gain (2)"/>
      <sheetName val="Combined WSY (2)"/>
      <sheetName val="Porta Farrow rates"/>
      <sheetName val="Porta BA"/>
      <sheetName val="Porta average wean weight"/>
      <sheetName val="Porta Combined litter mass"/>
      <sheetName val="Porta 70 day weight"/>
      <sheetName val="Porta 70 day gain"/>
      <sheetName val="Porta WSY"/>
      <sheetName val="Porta ops (other)"/>
      <sheetName val="Grasmere Margin over feed c (7)"/>
      <sheetName val="Grasmere Avg CDM vs Budget (7)"/>
      <sheetName val="Grasmere Total CDM to Colco (7)"/>
      <sheetName val="Grasmere Pigs to Colcom (7)"/>
      <sheetName val="Grasmere Kgs sold per sow p (7)"/>
      <sheetName val="Grasmere Farrow rate"/>
      <sheetName val="Grasmere Born Alive"/>
      <sheetName val="Grasmere Wean weight"/>
      <sheetName val="Grasmere total litter mass"/>
      <sheetName val="Grasmere 70 day weight"/>
      <sheetName val="Grasmere 70 day gain"/>
      <sheetName val="Grasmere WSY"/>
      <sheetName val="Grasmere ops (other) (2)"/>
      <sheetName val="Richlands margin over feed  (7)"/>
      <sheetName val="Richlands Avg CDM over budg (7)"/>
      <sheetName val="Richlands total CDM to Colc (7)"/>
      <sheetName val="Richlands Pigs to Colcom (7)"/>
      <sheetName val="Richlands kgs sold per sow  (7)"/>
      <sheetName val="Richlands Farrow rate"/>
      <sheetName val="Richlands Born Alive"/>
      <sheetName val="Richlands Wean weight"/>
      <sheetName val="Richlands total litter mass"/>
      <sheetName val="Richlands 70 day weight"/>
      <sheetName val="Richlands 70 day gain"/>
      <sheetName val="Richlands WSY"/>
      <sheetName val="Richlands ops (other) (2)"/>
      <sheetName val="LH ext avg Cdm against budg (7)"/>
      <sheetName val="LH Ext total CDM to colcom  (7)"/>
      <sheetName val="LH extension pigs to Colcom (7)"/>
      <sheetName val="LH extesnion ops (other) (3)"/>
      <sheetName val="LH and LH ext margin over f (6)"/>
      <sheetName val="LH avg CDM over budget (6)"/>
      <sheetName val="LH total CDM to Colcom (6)"/>
      <sheetName val="LH Pigs to Colcom (6)"/>
      <sheetName val="LH Kgs sold per sow per yea (6)"/>
      <sheetName val="LH Farrow Rate"/>
      <sheetName val="LH Born Alive"/>
      <sheetName val="LH Wean Weight"/>
      <sheetName val="LH total litter mass"/>
      <sheetName val="LH 70 day weight"/>
      <sheetName val="LH 70 day gain"/>
      <sheetName val="LH WSY"/>
      <sheetName val="Lions Head ops (other) (2)"/>
      <sheetName val="Villa Margin over feed cost (6)"/>
      <sheetName val="Villa Avg CDM over Budget (6)"/>
      <sheetName val="Villa total CDM to Colcom a (6)"/>
      <sheetName val="Villa Pigs to Colcom (6)"/>
      <sheetName val="Villa Kgs sold per sow per  (6)"/>
      <sheetName val="Villa Farrowing rate"/>
      <sheetName val="Villa Born Alive"/>
      <sheetName val="Villa Wean weight"/>
      <sheetName val="Villa total litter mass"/>
      <sheetName val="Villa 70 day weight"/>
      <sheetName val="Villa 70 day gain"/>
      <sheetName val="Villa WSY"/>
      <sheetName val="Villa ops (other) (2)"/>
      <sheetName val="Learig Avg CDM against budg (4)"/>
      <sheetName val="Learig total CDM to Colcom (4)"/>
      <sheetName val="Learig Pigs to Colcom (4)"/>
      <sheetName val="Learig ops (other)"/>
    </sheetNames>
    <sheetDataSet>
      <sheetData sheetId="0">
        <row r="19">
          <cell r="C19">
            <v>71.858204134350984</v>
          </cell>
        </row>
      </sheetData>
      <sheetData sheetId="1">
        <row r="21">
          <cell r="B21">
            <v>91.501316831683184</v>
          </cell>
          <cell r="C21">
            <v>95.22675829485668</v>
          </cell>
          <cell r="D21">
            <v>95.959413626771209</v>
          </cell>
          <cell r="E21">
            <v>96.068907467224022</v>
          </cell>
          <cell r="F21">
            <v>94.114944042132976</v>
          </cell>
          <cell r="G21">
            <v>92.134461839530374</v>
          </cell>
          <cell r="H21">
            <v>94.300437187723062</v>
          </cell>
          <cell r="I21">
            <v>93.798979118329441</v>
          </cell>
          <cell r="J21">
            <v>91.336364289821717</v>
          </cell>
          <cell r="K21">
            <v>89.09170510653334</v>
          </cell>
          <cell r="L21">
            <v>90.26374762971902</v>
          </cell>
          <cell r="M21">
            <v>94.9742667363236</v>
          </cell>
        </row>
        <row r="23">
          <cell r="B23">
            <v>87.051415606195121</v>
          </cell>
          <cell r="C23">
            <v>90.59137254901961</v>
          </cell>
          <cell r="D23">
            <v>90.507185534591201</v>
          </cell>
          <cell r="E23">
            <v>88.923794679966775</v>
          </cell>
          <cell r="F23">
            <v>88.692624541729543</v>
          </cell>
          <cell r="G23">
            <v>88.543656624019803</v>
          </cell>
          <cell r="H23">
            <v>88.744450107022729</v>
          </cell>
          <cell r="I23">
            <v>87.20169958490203</v>
          </cell>
          <cell r="J23">
            <v>84.531381362568538</v>
          </cell>
          <cell r="K23">
            <v>86.554336030461698</v>
          </cell>
          <cell r="L23">
            <v>87.220425449995204</v>
          </cell>
          <cell r="M23">
            <v>86.65877160916915</v>
          </cell>
        </row>
      </sheetData>
      <sheetData sheetId="2">
        <row r="19">
          <cell r="B19">
            <v>10100</v>
          </cell>
          <cell r="C19">
            <v>9313</v>
          </cell>
          <cell r="D19">
            <v>13268</v>
          </cell>
          <cell r="E19">
            <v>10526</v>
          </cell>
          <cell r="F19">
            <v>10633</v>
          </cell>
          <cell r="G19">
            <v>12264</v>
          </cell>
          <cell r="H19">
            <v>11208</v>
          </cell>
          <cell r="I19">
            <v>10775</v>
          </cell>
          <cell r="J19">
            <v>13912</v>
          </cell>
          <cell r="K19">
            <v>11022</v>
          </cell>
          <cell r="L19">
            <v>11602</v>
          </cell>
          <cell r="M19">
            <v>13399</v>
          </cell>
        </row>
      </sheetData>
      <sheetData sheetId="3">
        <row r="23">
          <cell r="B23">
            <v>924163.30000000016</v>
          </cell>
          <cell r="C23">
            <v>886846.80000000028</v>
          </cell>
          <cell r="D23">
            <v>1273189.5000000005</v>
          </cell>
          <cell r="E23">
            <v>1011221.3200000001</v>
          </cell>
          <cell r="F23">
            <v>1000724.2</v>
          </cell>
          <cell r="G23">
            <v>1129937.0400000005</v>
          </cell>
          <cell r="H23">
            <v>1056919.3</v>
          </cell>
          <cell r="I23">
            <v>1010683.9999999998</v>
          </cell>
          <cell r="J23">
            <v>1270671.4999999998</v>
          </cell>
          <cell r="K23">
            <v>981968.77368421049</v>
          </cell>
          <cell r="L23">
            <v>1047240.0000000001</v>
          </cell>
          <cell r="M23">
            <v>1272560.2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8">
          <cell r="C18">
            <v>80.990625447259106</v>
          </cell>
        </row>
      </sheetData>
      <sheetData sheetId="21">
        <row r="20">
          <cell r="B20">
            <v>94.462793839502837</v>
          </cell>
        </row>
      </sheetData>
      <sheetData sheetId="22">
        <row r="20">
          <cell r="B20">
            <v>349606.8</v>
          </cell>
        </row>
      </sheetData>
      <sheetData sheetId="23">
        <row r="18">
          <cell r="B18">
            <v>3701</v>
          </cell>
        </row>
      </sheetData>
      <sheetData sheetId="24"/>
      <sheetData sheetId="25"/>
      <sheetData sheetId="26"/>
      <sheetData sheetId="27"/>
      <sheetData sheetId="28"/>
      <sheetData sheetId="29"/>
      <sheetData sheetId="30"/>
      <sheetData sheetId="31"/>
      <sheetData sheetId="32"/>
      <sheetData sheetId="33">
        <row r="22">
          <cell r="D22">
            <v>70.808008687251544</v>
          </cell>
        </row>
      </sheetData>
      <sheetData sheetId="34">
        <row r="18">
          <cell r="B18">
            <v>90.99419619928095</v>
          </cell>
        </row>
      </sheetData>
      <sheetData sheetId="35">
        <row r="21">
          <cell r="B21">
            <v>177165.7</v>
          </cell>
        </row>
      </sheetData>
      <sheetData sheetId="36">
        <row r="20">
          <cell r="B20">
            <v>1947</v>
          </cell>
        </row>
      </sheetData>
      <sheetData sheetId="37"/>
      <sheetData sheetId="38"/>
      <sheetData sheetId="39"/>
      <sheetData sheetId="40"/>
      <sheetData sheetId="41"/>
      <sheetData sheetId="42"/>
      <sheetData sheetId="43"/>
      <sheetData sheetId="44"/>
      <sheetData sheetId="45"/>
      <sheetData sheetId="46">
        <row r="19">
          <cell r="B19">
            <v>87.069060773480658</v>
          </cell>
        </row>
      </sheetData>
      <sheetData sheetId="47">
        <row r="21">
          <cell r="B21">
            <v>31519</v>
          </cell>
        </row>
      </sheetData>
      <sheetData sheetId="48">
        <row r="21">
          <cell r="B21">
            <v>362</v>
          </cell>
        </row>
      </sheetData>
      <sheetData sheetId="49"/>
      <sheetData sheetId="50">
        <row r="18">
          <cell r="C18">
            <v>61.3836682883639</v>
          </cell>
        </row>
      </sheetData>
      <sheetData sheetId="51">
        <row r="21">
          <cell r="B21">
            <v>89.83081847279378</v>
          </cell>
        </row>
      </sheetData>
      <sheetData sheetId="52">
        <row r="21">
          <cell r="B21">
            <v>196460</v>
          </cell>
        </row>
      </sheetData>
      <sheetData sheetId="53">
        <row r="21">
          <cell r="B21">
            <v>2187</v>
          </cell>
        </row>
      </sheetData>
      <sheetData sheetId="54"/>
      <sheetData sheetId="55"/>
      <sheetData sheetId="56"/>
      <sheetData sheetId="57"/>
      <sheetData sheetId="58"/>
      <sheetData sheetId="59"/>
      <sheetData sheetId="60"/>
      <sheetData sheetId="61"/>
      <sheetData sheetId="62"/>
      <sheetData sheetId="63">
        <row r="23">
          <cell r="D23">
            <v>85.834122967212437</v>
          </cell>
        </row>
      </sheetData>
      <sheetData sheetId="64">
        <row r="19">
          <cell r="B19">
            <v>90.602071005917153</v>
          </cell>
        </row>
      </sheetData>
      <sheetData sheetId="65">
        <row r="21">
          <cell r="B21">
            <v>61247</v>
          </cell>
        </row>
      </sheetData>
      <sheetData sheetId="66">
        <row r="20">
          <cell r="B20">
            <v>676</v>
          </cell>
        </row>
      </sheetData>
      <sheetData sheetId="67"/>
      <sheetData sheetId="68"/>
      <sheetData sheetId="69"/>
      <sheetData sheetId="70"/>
      <sheetData sheetId="71"/>
      <sheetData sheetId="72"/>
      <sheetData sheetId="73"/>
      <sheetData sheetId="74"/>
      <sheetData sheetId="75"/>
      <sheetData sheetId="76">
        <row r="20">
          <cell r="B20">
            <v>88.153871230643858</v>
          </cell>
        </row>
      </sheetData>
      <sheetData sheetId="77">
        <row r="20">
          <cell r="B20">
            <v>108164.80000000002</v>
          </cell>
        </row>
      </sheetData>
      <sheetData sheetId="78">
        <row r="20">
          <cell r="B20">
            <v>1227</v>
          </cell>
        </row>
      </sheetData>
      <sheetData sheetId="7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average cdm"/>
      <sheetName val="COMBINED CDM"/>
      <sheetName val="COMBINED PIGS SOLD"/>
      <sheetName val="Combined avg CDM"/>
      <sheetName val="COF per CDM"/>
      <sheetName val="combined average cdm (5)"/>
      <sheetName val="COMBINED CDM (5)"/>
      <sheetName val="COMBINED PIGS SOLD (5)"/>
      <sheetName val="comb total cdm"/>
      <sheetName val="COMBINED KGS SOLD (3)"/>
      <sheetName val="COMBINED FARROWING RATE"/>
      <sheetName val="COMBINED BA"/>
      <sheetName val="COMBINED WEANING WEIGHT"/>
      <sheetName val="COMBINED 70 DAY WEIGHT"/>
      <sheetName val="COMBINED WPSY"/>
      <sheetName val="COMBINED DWFCR"/>
      <sheetName val="GRASMERE OPS"/>
      <sheetName val="GRASMERE OPS REPORT TOTAL CDM"/>
      <sheetName val="GRASMERE AVG CDM"/>
      <sheetName val="Grasmere total CDM all vs p (2)"/>
      <sheetName val="Grasmere COF per CDM"/>
      <sheetName val="Grasmere only CDM vs Budget (2)"/>
      <sheetName val="Grasmere only avg CDM (2)"/>
      <sheetName val="Grasmere total pigs sold (3)"/>
      <sheetName val="Grasmere Kgs sold per sow p (2)"/>
      <sheetName val="Gras combined total CDM"/>
      <sheetName val="Gras avg CDM"/>
      <sheetName val="GRASMERE FARROWING RATE"/>
      <sheetName val="GRASMERE BORN ALIVE"/>
      <sheetName val="GRASMERE WEANING WEIGHT"/>
      <sheetName val="70 DAY WEIGHT"/>
      <sheetName val="GRASMERE WND PER SOW PER YEAR"/>
      <sheetName val="GRASMERE DWFCR"/>
      <sheetName val="RICHLANDS OPS REPORT"/>
      <sheetName val="RICHLANDS OPS CDM"/>
      <sheetName val="RICHLANDS AVG CDM"/>
      <sheetName val="Richlands total CDM all vs  (2)"/>
      <sheetName val="Richlands COF per CDM"/>
      <sheetName val="Richlands only CDM vs budge (2)"/>
      <sheetName val="Richlands only Avg CDM (2)"/>
      <sheetName val="Richlands pigs sold (3)"/>
      <sheetName val="Rich kgs sold per sow (4)"/>
      <sheetName val="Richlands combined CDM"/>
      <sheetName val="Rich Avg CDM"/>
      <sheetName val="RICHLANDS FARROWING RATE"/>
      <sheetName val="RICHLANDS BORN ALIVE"/>
      <sheetName val="RICHLANDS WEANING WEIGHT"/>
      <sheetName val="RICHLANDS 70 DAY WEIGHT"/>
      <sheetName val="RICHLANDS WSY"/>
      <sheetName val="RICHLANDS DWFCR"/>
      <sheetName val="LIONSHEAD OPS REPORT"/>
      <sheetName val="LIONSHEAD TOTAL CDM"/>
      <sheetName val="LIONSHEAD AVERAGE CDM"/>
      <sheetName val="LH total CDM all vs prior (2)"/>
      <sheetName val="LH COF per CDM"/>
      <sheetName val="LH only CDM vs Budget (2)"/>
      <sheetName val="LH only Avg CDM (2)"/>
      <sheetName val="LH pigs sold (4)"/>
      <sheetName val="LH kgs sold per sow (5)"/>
      <sheetName val="LH total CDM"/>
      <sheetName val="LH avg CDM"/>
      <sheetName val="LH FARROWING RATES"/>
      <sheetName val="LH BORN ALIVE"/>
      <sheetName val="LH WEANING WEIGHT"/>
      <sheetName val="LH 70 DAY WEIGHT"/>
      <sheetName val="LH WEANED PER SOW PER YEAR"/>
      <sheetName val="LH DWFCR"/>
      <sheetName val="VILLA OPS REPORT"/>
      <sheetName val="VILLA FRANCA  TOTAL CDM"/>
      <sheetName val="AVERAGE CDM"/>
      <sheetName val="Villa CDM all vs prior (2)"/>
      <sheetName val="villa only CDM"/>
      <sheetName val="Villa only CDM vs Budget (2)"/>
      <sheetName val="Villa COF per CDM"/>
      <sheetName val="Villa pigs sold (4)"/>
      <sheetName val="Villa kgs sold per sow (4)"/>
      <sheetName val="Villa total CDM"/>
      <sheetName val="Villa Avg CDM"/>
      <sheetName val="VF FARROWING RATE"/>
      <sheetName val="VF BORN ALIVE"/>
      <sheetName val="VF WEANING WEIGHT"/>
      <sheetName val="VF 70 DAY WEIGHT"/>
      <sheetName val="VF WEANED PER SOW PER YEAR"/>
      <sheetName val="VF DWFCR"/>
      <sheetName val="Lionhead Ext Pigs Sold (2)"/>
      <sheetName val="LH ext CDM"/>
      <sheetName val="Learig Pigs Sold (3)"/>
      <sheetName val="Learig CDM"/>
    </sheetNames>
    <sheetDataSet>
      <sheetData sheetId="0" refreshError="1"/>
      <sheetData sheetId="1" refreshError="1"/>
      <sheetData sheetId="2" refreshError="1"/>
      <sheetData sheetId="3" refreshError="1"/>
      <sheetData sheetId="4" refreshError="1"/>
      <sheetData sheetId="5" refreshError="1"/>
      <sheetData sheetId="6" refreshError="1">
        <row r="25">
          <cell r="B25">
            <v>378461.4</v>
          </cell>
        </row>
        <row r="40">
          <cell r="L40"/>
          <cell r="M40"/>
        </row>
        <row r="41">
          <cell r="L41"/>
          <cell r="M41"/>
        </row>
        <row r="42">
          <cell r="L42"/>
          <cell r="M42"/>
        </row>
        <row r="50">
          <cell r="L50"/>
          <cell r="M50"/>
        </row>
        <row r="51">
          <cell r="L51"/>
          <cell r="M51"/>
        </row>
        <row r="52">
          <cell r="L52"/>
          <cell r="M52"/>
        </row>
        <row r="60">
          <cell r="L60"/>
          <cell r="M60"/>
        </row>
        <row r="61">
          <cell r="L61"/>
          <cell r="M61"/>
        </row>
        <row r="62">
          <cell r="L62"/>
          <cell r="M62"/>
        </row>
      </sheetData>
      <sheetData sheetId="7" refreshError="1">
        <row r="25">
          <cell r="B25">
            <v>3994</v>
          </cell>
        </row>
        <row r="40">
          <cell r="L40">
            <v>6</v>
          </cell>
          <cell r="M40"/>
        </row>
        <row r="41">
          <cell r="L41">
            <v>0</v>
          </cell>
          <cell r="M41"/>
        </row>
        <row r="42">
          <cell r="L42">
            <v>0</v>
          </cell>
          <cell r="M42"/>
        </row>
        <row r="50">
          <cell r="L50">
            <v>0</v>
          </cell>
          <cell r="M50"/>
        </row>
        <row r="51">
          <cell r="L51">
            <v>0</v>
          </cell>
          <cell r="M51"/>
        </row>
        <row r="52">
          <cell r="L52">
            <v>0</v>
          </cell>
          <cell r="M52"/>
        </row>
        <row r="60">
          <cell r="L60">
            <v>0</v>
          </cell>
          <cell r="M60"/>
        </row>
        <row r="61">
          <cell r="L61">
            <v>0</v>
          </cell>
          <cell r="M61"/>
        </row>
        <row r="62">
          <cell r="L62">
            <v>0</v>
          </cell>
          <cell r="M62"/>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IS (Analysis)"/>
      <sheetName val="IS (Analysis USD)"/>
      <sheetName val="BS (Analysis)"/>
      <sheetName val="BS (Analysis USD)"/>
      <sheetName val="CFS (Analysis)"/>
      <sheetName val="CFS (Analysis) USD"/>
      <sheetName val="IS Forecast"/>
      <sheetName val="IS - Press Style"/>
      <sheetName val="BS - Press Style"/>
      <sheetName val="CFS - Summary"/>
      <sheetName val="RF (Current Year)"/>
      <sheetName val="IS (Actual)"/>
      <sheetName val="IS (ACTUAL USD)"/>
      <sheetName val="IS (Budget)"/>
      <sheetName val="IS (Budget USD)"/>
      <sheetName val="IS (Prior)"/>
      <sheetName val="IS (Prior USD)"/>
      <sheetName val="IS (2yrs Prior)"/>
      <sheetName val="BS (Actual)"/>
      <sheetName val="BS (Actual USD)"/>
      <sheetName val="BS (Budget)"/>
      <sheetName val="BS (Budget USD)"/>
      <sheetName val="BS (Prior)"/>
      <sheetName val="BS (Prior USD)"/>
      <sheetName val="CF (Actual)"/>
      <sheetName val="CF (Actual USD)"/>
      <sheetName val="CF (Budget)"/>
      <sheetName val="CF (Budget USD)"/>
      <sheetName val="CF (Prior)"/>
      <sheetName val="CF (Prior USD)"/>
      <sheetName val="CF (Prior YR USD)"/>
      <sheetName val="CF (Actual) - Summary"/>
      <sheetName val="CF (Prior) - Summary"/>
      <sheetName val="CF (Budget) - Summary"/>
      <sheetName val="BS (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4">
          <cell r="M54">
            <v>127120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orta Farm"/>
      <sheetName val="Selous Pigery"/>
      <sheetName val="Multiplier"/>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Learing Farm"/>
    </sheetNames>
    <sheetDataSet>
      <sheetData sheetId="0"/>
      <sheetData sheetId="1">
        <row r="15">
          <cell r="C15">
            <v>40</v>
          </cell>
          <cell r="E15">
            <v>5695.7</v>
          </cell>
        </row>
        <row r="26">
          <cell r="C26">
            <v>1757</v>
          </cell>
          <cell r="E26">
            <v>172565.80000000002</v>
          </cell>
        </row>
      </sheetData>
      <sheetData sheetId="2"/>
      <sheetData sheetId="3">
        <row r="14">
          <cell r="C14">
            <v>1</v>
          </cell>
          <cell r="E14">
            <v>157.1</v>
          </cell>
        </row>
      </sheetData>
      <sheetData sheetId="4">
        <row r="17">
          <cell r="C17">
            <v>49</v>
          </cell>
          <cell r="E17">
            <v>7594.7</v>
          </cell>
        </row>
        <row r="28">
          <cell r="C28">
            <v>3945</v>
          </cell>
          <cell r="E28">
            <v>385967.9</v>
          </cell>
        </row>
      </sheetData>
      <sheetData sheetId="5"/>
      <sheetData sheetId="6">
        <row r="24">
          <cell r="C24">
            <v>802</v>
          </cell>
          <cell r="E24">
            <v>78886</v>
          </cell>
        </row>
      </sheetData>
      <sheetData sheetId="7">
        <row r="14">
          <cell r="C14">
            <v>18</v>
          </cell>
          <cell r="E14">
            <v>3398.9</v>
          </cell>
        </row>
        <row r="24">
          <cell r="C24">
            <v>725</v>
          </cell>
          <cell r="E24">
            <v>71063.3</v>
          </cell>
        </row>
      </sheetData>
      <sheetData sheetId="8">
        <row r="19">
          <cell r="C19">
            <v>69</v>
          </cell>
          <cell r="E19">
            <v>6269.1</v>
          </cell>
        </row>
      </sheetData>
      <sheetData sheetId="9">
        <row r="21">
          <cell r="C21">
            <v>238</v>
          </cell>
          <cell r="E21">
            <v>22897.4</v>
          </cell>
        </row>
      </sheetData>
      <sheetData sheetId="10">
        <row r="17">
          <cell r="C17">
            <v>18</v>
          </cell>
          <cell r="E17">
            <v>2987.9</v>
          </cell>
        </row>
        <row r="28">
          <cell r="C28">
            <v>2292</v>
          </cell>
          <cell r="E28">
            <v>211800.1</v>
          </cell>
        </row>
      </sheetData>
      <sheetData sheetId="11">
        <row r="24">
          <cell r="C24">
            <v>386</v>
          </cell>
          <cell r="E24">
            <v>35859.9</v>
          </cell>
        </row>
      </sheetData>
      <sheetData sheetId="12"/>
      <sheetData sheetId="13">
        <row r="17">
          <cell r="C17">
            <v>21</v>
          </cell>
          <cell r="E17">
            <v>3687.6</v>
          </cell>
        </row>
        <row r="27">
          <cell r="C27">
            <v>2044</v>
          </cell>
          <cell r="E27">
            <v>187848.5</v>
          </cell>
        </row>
      </sheetData>
      <sheetData sheetId="14">
        <row r="19">
          <cell r="C19">
            <v>131</v>
          </cell>
          <cell r="E19">
            <v>11962.1</v>
          </cell>
        </row>
      </sheetData>
      <sheetData sheetId="15">
        <row r="22">
          <cell r="C22">
            <v>312</v>
          </cell>
          <cell r="E22">
            <v>30186</v>
          </cell>
        </row>
      </sheetData>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orta Farm"/>
      <sheetName val="Selous Pigery"/>
      <sheetName val="Multiplier"/>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Learing Farm"/>
    </sheetNames>
    <sheetDataSet>
      <sheetData sheetId="0" refreshError="1"/>
      <sheetData sheetId="1">
        <row r="28">
          <cell r="C28">
            <v>12574</v>
          </cell>
        </row>
      </sheetData>
      <sheetData sheetId="2">
        <row r="15">
          <cell r="C15">
            <v>14</v>
          </cell>
          <cell r="E15">
            <v>2260.8000000000002</v>
          </cell>
        </row>
        <row r="26">
          <cell r="C26">
            <v>2361</v>
          </cell>
          <cell r="E26">
            <v>221076.4</v>
          </cell>
        </row>
      </sheetData>
      <sheetData sheetId="3" refreshError="1"/>
      <sheetData sheetId="4" refreshError="1"/>
      <sheetData sheetId="5">
        <row r="27">
          <cell r="C27">
            <v>3563</v>
          </cell>
          <cell r="E27">
            <v>342487.2</v>
          </cell>
        </row>
      </sheetData>
      <sheetData sheetId="6"/>
      <sheetData sheetId="7">
        <row r="22">
          <cell r="C22">
            <v>824</v>
          </cell>
          <cell r="E22">
            <v>81799.5</v>
          </cell>
        </row>
      </sheetData>
      <sheetData sheetId="8">
        <row r="16">
          <cell r="C16">
            <v>16</v>
          </cell>
          <cell r="E16">
            <v>2966.7000000000003</v>
          </cell>
        </row>
        <row r="26">
          <cell r="C26">
            <v>717</v>
          </cell>
          <cell r="E26">
            <v>71442.900000000009</v>
          </cell>
        </row>
      </sheetData>
      <sheetData sheetId="9">
        <row r="21">
          <cell r="C21">
            <v>182</v>
          </cell>
          <cell r="E21">
            <v>17148.900000000001</v>
          </cell>
        </row>
      </sheetData>
      <sheetData sheetId="10">
        <row r="19">
          <cell r="C19">
            <v>97</v>
          </cell>
          <cell r="E19">
            <v>9629.8000000000011</v>
          </cell>
        </row>
      </sheetData>
      <sheetData sheetId="11">
        <row r="14">
          <cell r="C14">
            <v>5</v>
          </cell>
          <cell r="E14">
            <v>866.30000000000007</v>
          </cell>
        </row>
        <row r="25">
          <cell r="C25">
            <v>2171</v>
          </cell>
          <cell r="E25">
            <v>199588.1</v>
          </cell>
        </row>
      </sheetData>
      <sheetData sheetId="12">
        <row r="19">
          <cell r="C19">
            <v>127</v>
          </cell>
          <cell r="E19">
            <v>12219.7</v>
          </cell>
        </row>
      </sheetData>
      <sheetData sheetId="13"/>
      <sheetData sheetId="14">
        <row r="14">
          <cell r="C14">
            <v>20</v>
          </cell>
          <cell r="E14">
            <v>3456.7000000000003</v>
          </cell>
        </row>
        <row r="23">
          <cell r="C23">
            <v>1986</v>
          </cell>
          <cell r="E23">
            <v>186481</v>
          </cell>
        </row>
      </sheetData>
      <sheetData sheetId="15">
        <row r="19">
          <cell r="C19">
            <v>260</v>
          </cell>
          <cell r="E19">
            <v>24930.3</v>
          </cell>
        </row>
      </sheetData>
      <sheetData sheetId="16">
        <row r="22">
          <cell r="C22">
            <v>286</v>
          </cell>
          <cell r="E22">
            <v>28634.3</v>
          </cell>
        </row>
      </sheetData>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orta Farm"/>
      <sheetName val="Selous Pigery"/>
      <sheetName val="Multiplier"/>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Learing Farm"/>
    </sheetNames>
    <sheetDataSet>
      <sheetData sheetId="0" refreshError="1"/>
      <sheetData sheetId="1" refreshError="1"/>
      <sheetData sheetId="2">
        <row r="15">
          <cell r="C15">
            <v>28</v>
          </cell>
          <cell r="E15">
            <v>4349.3999999999996</v>
          </cell>
        </row>
        <row r="25">
          <cell r="C25">
            <v>3104</v>
          </cell>
          <cell r="E25">
            <v>270772.09999999998</v>
          </cell>
        </row>
      </sheetData>
      <sheetData sheetId="3" refreshError="1"/>
      <sheetData sheetId="4">
        <row r="13">
          <cell r="C13">
            <v>11</v>
          </cell>
          <cell r="E13">
            <v>2076.9</v>
          </cell>
        </row>
      </sheetData>
      <sheetData sheetId="5">
        <row r="16">
          <cell r="C16">
            <v>3</v>
          </cell>
          <cell r="E16">
            <v>583.20000000000005</v>
          </cell>
        </row>
        <row r="27">
          <cell r="C27">
            <v>4604</v>
          </cell>
          <cell r="E27">
            <v>436544.4</v>
          </cell>
        </row>
      </sheetData>
      <sheetData sheetId="6" refreshError="1"/>
      <sheetData sheetId="7">
        <row r="22">
          <cell r="C22">
            <v>1066</v>
          </cell>
          <cell r="E22">
            <v>103819.3</v>
          </cell>
        </row>
      </sheetData>
      <sheetData sheetId="8">
        <row r="14">
          <cell r="C14">
            <v>21</v>
          </cell>
          <cell r="E14">
            <v>3823.3</v>
          </cell>
        </row>
        <row r="24">
          <cell r="C24">
            <v>856</v>
          </cell>
          <cell r="E24">
            <v>82220.400000000009</v>
          </cell>
        </row>
      </sheetData>
      <sheetData sheetId="9">
        <row r="21">
          <cell r="C21">
            <v>171</v>
          </cell>
          <cell r="E21">
            <v>15647.5</v>
          </cell>
        </row>
      </sheetData>
      <sheetData sheetId="10">
        <row r="19">
          <cell r="C19">
            <v>334</v>
          </cell>
          <cell r="E19">
            <v>32457.7</v>
          </cell>
        </row>
      </sheetData>
      <sheetData sheetId="11">
        <row r="16">
          <cell r="C16">
            <v>7</v>
          </cell>
          <cell r="E16">
            <v>1109.6000000000001</v>
          </cell>
        </row>
        <row r="27">
          <cell r="C27">
            <v>2741</v>
          </cell>
          <cell r="E27">
            <v>248392.7</v>
          </cell>
        </row>
      </sheetData>
      <sheetData sheetId="12">
        <row r="20">
          <cell r="C20">
            <v>291</v>
          </cell>
          <cell r="E20">
            <v>26540.600000000002</v>
          </cell>
        </row>
      </sheetData>
      <sheetData sheetId="13" refreshError="1"/>
      <sheetData sheetId="14">
        <row r="17">
          <cell r="C17">
            <v>44</v>
          </cell>
          <cell r="E17">
            <v>7641.4000000000005</v>
          </cell>
        </row>
        <row r="28">
          <cell r="C28">
            <v>2551</v>
          </cell>
          <cell r="E28">
            <v>235614.80000000002</v>
          </cell>
        </row>
      </sheetData>
      <sheetData sheetId="15">
        <row r="20">
          <cell r="C20">
            <v>187</v>
          </cell>
          <cell r="E20">
            <v>17190.599999999999</v>
          </cell>
        </row>
      </sheetData>
      <sheetData sheetId="16">
        <row r="20">
          <cell r="C20">
            <v>365</v>
          </cell>
          <cell r="E20">
            <v>35142.5</v>
          </cell>
        </row>
      </sheetData>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orta Farm"/>
      <sheetName val="Selous Pigery"/>
      <sheetName val="Multiplier"/>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Learing Farm"/>
    </sheetNames>
    <sheetDataSet>
      <sheetData sheetId="0"/>
      <sheetData sheetId="1">
        <row r="28">
          <cell r="C28">
            <v>13615</v>
          </cell>
        </row>
      </sheetData>
      <sheetData sheetId="2">
        <row r="17">
          <cell r="C17">
            <v>18</v>
          </cell>
          <cell r="E17">
            <v>2912.1</v>
          </cell>
        </row>
        <row r="25">
          <cell r="C25">
            <v>2665</v>
          </cell>
          <cell r="E25">
            <v>231202.30000000002</v>
          </cell>
        </row>
      </sheetData>
      <sheetData sheetId="3"/>
      <sheetData sheetId="4">
        <row r="13">
          <cell r="C13">
            <v>6</v>
          </cell>
          <cell r="E13">
            <v>1204.7</v>
          </cell>
        </row>
      </sheetData>
      <sheetData sheetId="5">
        <row r="27">
          <cell r="C27">
            <v>3790</v>
          </cell>
          <cell r="E27">
            <v>351020.10000000003</v>
          </cell>
        </row>
      </sheetData>
      <sheetData sheetId="6"/>
      <sheetData sheetId="7">
        <row r="24">
          <cell r="C24">
            <v>1023</v>
          </cell>
          <cell r="E24">
            <v>99547.7</v>
          </cell>
        </row>
      </sheetData>
      <sheetData sheetId="8">
        <row r="14">
          <cell r="C14">
            <v>12</v>
          </cell>
          <cell r="E14">
            <v>2084.9</v>
          </cell>
        </row>
        <row r="25">
          <cell r="C25">
            <v>756</v>
          </cell>
          <cell r="E25">
            <v>73742</v>
          </cell>
        </row>
      </sheetData>
      <sheetData sheetId="9">
        <row r="22">
          <cell r="C22">
            <v>233</v>
          </cell>
          <cell r="E22">
            <v>19649.600000000002</v>
          </cell>
        </row>
      </sheetData>
      <sheetData sheetId="10">
        <row r="23">
          <cell r="C23">
            <v>251</v>
          </cell>
          <cell r="E23">
            <v>24616.3</v>
          </cell>
        </row>
      </sheetData>
      <sheetData sheetId="11">
        <row r="16">
          <cell r="C16">
            <v>34</v>
          </cell>
          <cell r="E16">
            <v>5675.1</v>
          </cell>
        </row>
        <row r="25">
          <cell r="C25">
            <v>2394</v>
          </cell>
          <cell r="E25">
            <v>216416.7</v>
          </cell>
        </row>
      </sheetData>
      <sheetData sheetId="12">
        <row r="20">
          <cell r="C20">
            <v>146</v>
          </cell>
          <cell r="E20">
            <v>13605</v>
          </cell>
        </row>
      </sheetData>
      <sheetData sheetId="13"/>
      <sheetData sheetId="14">
        <row r="15">
          <cell r="C15">
            <v>41</v>
          </cell>
          <cell r="E15">
            <v>6945.2</v>
          </cell>
        </row>
        <row r="24">
          <cell r="C24">
            <v>2079</v>
          </cell>
          <cell r="E24">
            <v>189056.80000000002</v>
          </cell>
        </row>
      </sheetData>
      <sheetData sheetId="15">
        <row r="19">
          <cell r="C19">
            <v>155</v>
          </cell>
          <cell r="E19">
            <v>13617.4</v>
          </cell>
        </row>
      </sheetData>
      <sheetData sheetId="16">
        <row r="20">
          <cell r="C20">
            <v>117</v>
          </cell>
          <cell r="E20">
            <v>11588.9</v>
          </cell>
        </row>
      </sheetData>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orta Farm"/>
      <sheetName val="Selous Pigery"/>
      <sheetName val="Multiplier"/>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Learing Farm"/>
    </sheetNames>
    <sheetDataSet>
      <sheetData sheetId="0" refreshError="1"/>
      <sheetData sheetId="1" refreshError="1"/>
      <sheetData sheetId="2" refreshError="1">
        <row r="16">
          <cell r="C16">
            <v>28</v>
          </cell>
          <cell r="E16">
            <v>4384.9000000000005</v>
          </cell>
        </row>
        <row r="22">
          <cell r="C22">
            <v>2564</v>
          </cell>
          <cell r="E22">
            <v>217122.2</v>
          </cell>
        </row>
      </sheetData>
      <sheetData sheetId="3" refreshError="1"/>
      <sheetData sheetId="4" refreshError="1">
        <row r="16">
          <cell r="C16">
            <v>12</v>
          </cell>
          <cell r="E16">
            <v>1618</v>
          </cell>
        </row>
      </sheetData>
      <sheetData sheetId="5" refreshError="1">
        <row r="16">
          <cell r="C16">
            <v>46</v>
          </cell>
          <cell r="E16">
            <v>8049</v>
          </cell>
        </row>
        <row r="26">
          <cell r="C26">
            <v>3717</v>
          </cell>
          <cell r="E26">
            <v>346191.3</v>
          </cell>
        </row>
      </sheetData>
      <sheetData sheetId="6" refreshError="1"/>
      <sheetData sheetId="7" refreshError="1">
        <row r="22">
          <cell r="C22">
            <v>905</v>
          </cell>
          <cell r="E22">
            <v>88266.6</v>
          </cell>
        </row>
      </sheetData>
      <sheetData sheetId="8" refreshError="1">
        <row r="15">
          <cell r="C15">
            <v>4</v>
          </cell>
          <cell r="E15">
            <v>718.2</v>
          </cell>
        </row>
        <row r="26">
          <cell r="C26">
            <v>695</v>
          </cell>
          <cell r="E26">
            <v>67506.3</v>
          </cell>
        </row>
      </sheetData>
      <sheetData sheetId="9" refreshError="1">
        <row r="17">
          <cell r="C17">
            <v>135</v>
          </cell>
          <cell r="E17">
            <v>11527.300000000001</v>
          </cell>
        </row>
      </sheetData>
      <sheetData sheetId="10" refreshError="1">
        <row r="19">
          <cell r="C19">
            <v>138</v>
          </cell>
          <cell r="E19">
            <v>13231.300000000001</v>
          </cell>
        </row>
      </sheetData>
      <sheetData sheetId="11" refreshError="1">
        <row r="14">
          <cell r="C14">
            <v>24</v>
          </cell>
          <cell r="E14">
            <v>3801.8</v>
          </cell>
        </row>
        <row r="21">
          <cell r="C21">
            <v>2150</v>
          </cell>
          <cell r="E21">
            <v>193896.80000000002</v>
          </cell>
        </row>
      </sheetData>
      <sheetData sheetId="12" refreshError="1">
        <row r="20">
          <cell r="C20">
            <v>273</v>
          </cell>
          <cell r="E20">
            <v>24028.600000000002</v>
          </cell>
        </row>
      </sheetData>
      <sheetData sheetId="13" refreshError="1"/>
      <sheetData sheetId="14" refreshError="1">
        <row r="15">
          <cell r="C15">
            <v>56</v>
          </cell>
          <cell r="E15">
            <v>9416.6</v>
          </cell>
        </row>
        <row r="24">
          <cell r="C24">
            <v>2023</v>
          </cell>
          <cell r="E24">
            <v>182926.30000000002</v>
          </cell>
        </row>
      </sheetData>
      <sheetData sheetId="15" refreshError="1">
        <row r="14">
          <cell r="C14">
            <v>15</v>
          </cell>
          <cell r="E14">
            <v>1368.6000000000001</v>
          </cell>
        </row>
      </sheetData>
      <sheetData sheetId="16" refreshError="1">
        <row r="19">
          <cell r="C19">
            <v>206</v>
          </cell>
          <cell r="E19">
            <v>19634.7</v>
          </cell>
        </row>
      </sheetData>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elous Pigery"/>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Porta Farm"/>
      <sheetName val="Multiplier"/>
      <sheetName val="Learing Farm"/>
    </sheetNames>
    <sheetDataSet>
      <sheetData sheetId="0" refreshError="1"/>
      <sheetData sheetId="1" refreshError="1"/>
      <sheetData sheetId="2" refreshError="1"/>
      <sheetData sheetId="3">
        <row r="17">
          <cell r="C17">
            <v>28</v>
          </cell>
          <cell r="E17">
            <v>4131.6000000000004</v>
          </cell>
        </row>
        <row r="27">
          <cell r="C27">
            <v>4791</v>
          </cell>
          <cell r="E27">
            <v>431551.60000000003</v>
          </cell>
        </row>
      </sheetData>
      <sheetData sheetId="4"/>
      <sheetData sheetId="5">
        <row r="24">
          <cell r="C24">
            <v>1071</v>
          </cell>
          <cell r="E24">
            <v>102456.5</v>
          </cell>
        </row>
      </sheetData>
      <sheetData sheetId="6">
        <row r="14">
          <cell r="C14">
            <v>12</v>
          </cell>
          <cell r="E14">
            <v>1959.8</v>
          </cell>
        </row>
        <row r="25">
          <cell r="C25">
            <v>1067</v>
          </cell>
          <cell r="E25">
            <v>101402.2</v>
          </cell>
        </row>
      </sheetData>
      <sheetData sheetId="7">
        <row r="20">
          <cell r="C20">
            <v>208</v>
          </cell>
          <cell r="E20">
            <v>17320.099999999999</v>
          </cell>
        </row>
      </sheetData>
      <sheetData sheetId="8">
        <row r="21">
          <cell r="C21">
            <v>214</v>
          </cell>
          <cell r="E21">
            <v>20861.600000000002</v>
          </cell>
        </row>
      </sheetData>
      <sheetData sheetId="9">
        <row r="16">
          <cell r="C16">
            <v>18</v>
          </cell>
          <cell r="E16">
            <v>3024.1</v>
          </cell>
        </row>
        <row r="25">
          <cell r="C25">
            <v>2679</v>
          </cell>
          <cell r="E25">
            <v>242056.1</v>
          </cell>
        </row>
      </sheetData>
      <sheetData sheetId="10">
        <row r="21">
          <cell r="C21">
            <v>272</v>
          </cell>
          <cell r="E21">
            <v>24319.200000000001</v>
          </cell>
        </row>
      </sheetData>
      <sheetData sheetId="11"/>
      <sheetData sheetId="12">
        <row r="15">
          <cell r="C15">
            <v>17</v>
          </cell>
          <cell r="E15">
            <v>2672.5</v>
          </cell>
        </row>
        <row r="23">
          <cell r="C23">
            <v>2540</v>
          </cell>
          <cell r="E23">
            <v>226229.9</v>
          </cell>
        </row>
      </sheetData>
      <sheetData sheetId="13">
        <row r="21">
          <cell r="C21">
            <v>280</v>
          </cell>
          <cell r="E21">
            <v>23988.3</v>
          </cell>
        </row>
      </sheetData>
      <sheetData sheetId="14">
        <row r="19">
          <cell r="C19">
            <v>257</v>
          </cell>
          <cell r="E19">
            <v>23004.3</v>
          </cell>
        </row>
      </sheetData>
      <sheetData sheetId="15">
        <row r="15">
          <cell r="C15">
            <v>37</v>
          </cell>
          <cell r="E15">
            <v>5815</v>
          </cell>
        </row>
        <row r="25">
          <cell r="C25">
            <v>2853</v>
          </cell>
          <cell r="E25">
            <v>258901</v>
          </cell>
        </row>
      </sheetData>
      <sheetData sheetId="16">
        <row r="13">
          <cell r="C13">
            <v>12</v>
          </cell>
          <cell r="E13">
            <v>2031.7</v>
          </cell>
        </row>
      </sheetData>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elous Pigery"/>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Porta Farm"/>
      <sheetName val="Multiplier"/>
      <sheetName val="Learing Farm"/>
    </sheetNames>
    <sheetDataSet>
      <sheetData sheetId="0"/>
      <sheetData sheetId="1">
        <row r="17">
          <cell r="C17">
            <v>160</v>
          </cell>
        </row>
      </sheetData>
      <sheetData sheetId="2"/>
      <sheetData sheetId="3">
        <row r="17">
          <cell r="C17">
            <v>10</v>
          </cell>
          <cell r="E17">
            <v>1693.1000000000001</v>
          </cell>
        </row>
        <row r="27">
          <cell r="C27">
            <v>3718</v>
          </cell>
          <cell r="E27">
            <v>354546</v>
          </cell>
        </row>
      </sheetData>
      <sheetData sheetId="4"/>
      <sheetData sheetId="5">
        <row r="24">
          <cell r="C24">
            <v>972</v>
          </cell>
          <cell r="E24">
            <v>94024.5</v>
          </cell>
        </row>
      </sheetData>
      <sheetData sheetId="6">
        <row r="14">
          <cell r="C14">
            <v>16</v>
          </cell>
          <cell r="E14">
            <v>2772.9</v>
          </cell>
        </row>
        <row r="23">
          <cell r="C23">
            <v>523</v>
          </cell>
          <cell r="E23">
            <v>51616</v>
          </cell>
        </row>
      </sheetData>
      <sheetData sheetId="7">
        <row r="18">
          <cell r="C18">
            <v>117</v>
          </cell>
          <cell r="E18">
            <v>10403.200000000001</v>
          </cell>
        </row>
      </sheetData>
      <sheetData sheetId="8">
        <row r="18">
          <cell r="C18">
            <v>212</v>
          </cell>
          <cell r="E18">
            <v>19368.900000000001</v>
          </cell>
        </row>
      </sheetData>
      <sheetData sheetId="9">
        <row r="15">
          <cell r="C15">
            <v>25</v>
          </cell>
          <cell r="E15">
            <v>4512.4000000000005</v>
          </cell>
        </row>
        <row r="24">
          <cell r="C24">
            <v>2353</v>
          </cell>
          <cell r="E24">
            <v>209578.1</v>
          </cell>
        </row>
      </sheetData>
      <sheetData sheetId="10">
        <row r="20">
          <cell r="C20">
            <v>243</v>
          </cell>
          <cell r="E20">
            <v>20183.8</v>
          </cell>
        </row>
      </sheetData>
      <sheetData sheetId="11"/>
      <sheetData sheetId="12">
        <row r="16">
          <cell r="C16">
            <v>39</v>
          </cell>
          <cell r="E16">
            <v>6767.9000000000005</v>
          </cell>
        </row>
        <row r="23">
          <cell r="C23">
            <v>2098</v>
          </cell>
          <cell r="E23">
            <v>188422.6</v>
          </cell>
        </row>
      </sheetData>
      <sheetData sheetId="13">
        <row r="21">
          <cell r="C21">
            <v>344</v>
          </cell>
          <cell r="E21">
            <v>28572.799999999999</v>
          </cell>
        </row>
      </sheetData>
      <sheetData sheetId="14">
        <row r="18">
          <cell r="C18">
            <v>97</v>
          </cell>
          <cell r="E18">
            <v>8983</v>
          </cell>
        </row>
      </sheetData>
      <sheetData sheetId="15">
        <row r="15">
          <cell r="C15">
            <v>45</v>
          </cell>
          <cell r="E15">
            <v>7046.9000000000005</v>
          </cell>
        </row>
        <row r="25">
          <cell r="C25">
            <v>2393</v>
          </cell>
          <cell r="E25">
            <v>227465.9</v>
          </cell>
        </row>
      </sheetData>
      <sheetData sheetId="16">
        <row r="12">
          <cell r="C12">
            <v>25</v>
          </cell>
          <cell r="E12">
            <v>3983.4</v>
          </cell>
        </row>
        <row r="16">
          <cell r="C16">
            <v>30</v>
          </cell>
          <cell r="E16">
            <v>4429</v>
          </cell>
        </row>
      </sheetData>
      <sheetData sheetId="1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elous Pigery"/>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Porta Farm"/>
      <sheetName val="Multiplier"/>
      <sheetName val="Learing Farm"/>
    </sheetNames>
    <sheetDataSet>
      <sheetData sheetId="0"/>
      <sheetData sheetId="1">
        <row r="27">
          <cell r="C27">
            <v>13661</v>
          </cell>
        </row>
      </sheetData>
      <sheetData sheetId="2"/>
      <sheetData sheetId="3">
        <row r="16">
          <cell r="C16">
            <v>13</v>
          </cell>
          <cell r="E16">
            <v>2183.1999999999998</v>
          </cell>
        </row>
        <row r="26">
          <cell r="C26">
            <v>3887</v>
          </cell>
          <cell r="E26">
            <v>366912.5</v>
          </cell>
        </row>
      </sheetData>
      <sheetData sheetId="4"/>
      <sheetData sheetId="5">
        <row r="23">
          <cell r="C23">
            <v>990</v>
          </cell>
          <cell r="E23">
            <v>97851.400000000009</v>
          </cell>
        </row>
      </sheetData>
      <sheetData sheetId="6">
        <row r="15">
          <cell r="C15">
            <v>11</v>
          </cell>
          <cell r="E15">
            <v>1981.9</v>
          </cell>
        </row>
        <row r="25">
          <cell r="C25">
            <v>952</v>
          </cell>
          <cell r="E25">
            <v>91659.5</v>
          </cell>
        </row>
      </sheetData>
      <sheetData sheetId="7">
        <row r="18">
          <cell r="C18">
            <v>69</v>
          </cell>
          <cell r="E18">
            <v>5930.1</v>
          </cell>
        </row>
      </sheetData>
      <sheetData sheetId="8">
        <row r="19">
          <cell r="C19">
            <v>139</v>
          </cell>
          <cell r="E19">
            <v>13441.5</v>
          </cell>
        </row>
      </sheetData>
      <sheetData sheetId="9">
        <row r="16">
          <cell r="C16">
            <v>36</v>
          </cell>
          <cell r="E16">
            <v>6281.1</v>
          </cell>
        </row>
        <row r="24">
          <cell r="C24">
            <v>2322</v>
          </cell>
          <cell r="E24">
            <v>202458.1</v>
          </cell>
        </row>
      </sheetData>
      <sheetData sheetId="10">
        <row r="20">
          <cell r="C20">
            <v>226</v>
          </cell>
          <cell r="E20">
            <v>19278.399999999994</v>
          </cell>
        </row>
      </sheetData>
      <sheetData sheetId="11"/>
      <sheetData sheetId="12">
        <row r="15">
          <cell r="C15">
            <v>43</v>
          </cell>
          <cell r="E15">
            <v>7226.6</v>
          </cell>
        </row>
        <row r="24">
          <cell r="C24">
            <v>2079</v>
          </cell>
          <cell r="E24">
            <v>186237.6</v>
          </cell>
        </row>
      </sheetData>
      <sheetData sheetId="13">
        <row r="20">
          <cell r="C20">
            <v>403</v>
          </cell>
          <cell r="E20">
            <v>34491.5</v>
          </cell>
        </row>
      </sheetData>
      <sheetData sheetId="14">
        <row r="18">
          <cell r="C18">
            <v>198</v>
          </cell>
          <cell r="E18">
            <v>18156.3</v>
          </cell>
        </row>
      </sheetData>
      <sheetData sheetId="15">
        <row r="15">
          <cell r="C15">
            <v>32</v>
          </cell>
          <cell r="E15">
            <v>5187.3</v>
          </cell>
        </row>
        <row r="24">
          <cell r="C24">
            <v>2381</v>
          </cell>
          <cell r="E24">
            <v>221311.7</v>
          </cell>
        </row>
      </sheetData>
      <sheetData sheetId="16">
        <row r="11">
          <cell r="C11">
            <v>15</v>
          </cell>
          <cell r="E11">
            <v>2548.4</v>
          </cell>
        </row>
        <row r="13">
          <cell r="C13">
            <v>15</v>
          </cell>
          <cell r="E13">
            <v>2548.4</v>
          </cell>
        </row>
      </sheetData>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elous Pigery"/>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Porta Farm"/>
      <sheetName val="Multiplier"/>
      <sheetName val="Learing Farm"/>
    </sheetNames>
    <sheetDataSet>
      <sheetData sheetId="0"/>
      <sheetData sheetId="1">
        <row r="29">
          <cell r="E29">
            <v>1611298.22</v>
          </cell>
        </row>
      </sheetData>
      <sheetData sheetId="2"/>
      <sheetData sheetId="3">
        <row r="17">
          <cell r="C17">
            <v>18</v>
          </cell>
          <cell r="E17">
            <v>2930.4</v>
          </cell>
        </row>
        <row r="28">
          <cell r="C28">
            <v>4858</v>
          </cell>
          <cell r="E28">
            <v>450353.22000000003</v>
          </cell>
        </row>
      </sheetData>
      <sheetData sheetId="4"/>
      <sheetData sheetId="5">
        <row r="24">
          <cell r="C24">
            <v>1560</v>
          </cell>
          <cell r="E24">
            <v>154979.5</v>
          </cell>
        </row>
      </sheetData>
      <sheetData sheetId="6">
        <row r="15">
          <cell r="C15">
            <v>13</v>
          </cell>
          <cell r="E15">
            <v>2158.6</v>
          </cell>
        </row>
        <row r="24">
          <cell r="C24">
            <v>714</v>
          </cell>
          <cell r="E24">
            <v>64872.3</v>
          </cell>
        </row>
      </sheetData>
      <sheetData sheetId="7">
        <row r="19">
          <cell r="C19">
            <v>164</v>
          </cell>
          <cell r="E19">
            <v>14072.5</v>
          </cell>
        </row>
      </sheetData>
      <sheetData sheetId="8">
        <row r="23">
          <cell r="C23">
            <v>432</v>
          </cell>
          <cell r="E23">
            <v>41818.400000000001</v>
          </cell>
        </row>
      </sheetData>
      <sheetData sheetId="9">
        <row r="17">
          <cell r="C17">
            <v>32</v>
          </cell>
          <cell r="E17">
            <v>5329.2</v>
          </cell>
        </row>
        <row r="28">
          <cell r="C28">
            <v>3018</v>
          </cell>
          <cell r="E28">
            <v>266928.3</v>
          </cell>
        </row>
      </sheetData>
      <sheetData sheetId="10">
        <row r="22">
          <cell r="C22">
            <v>351</v>
          </cell>
          <cell r="E22">
            <v>29832.3</v>
          </cell>
        </row>
      </sheetData>
      <sheetData sheetId="11"/>
      <sheetData sheetId="12">
        <row r="18">
          <cell r="C18">
            <v>39</v>
          </cell>
          <cell r="E18">
            <v>6723.9000000000005</v>
          </cell>
        </row>
        <row r="26">
          <cell r="C26">
            <v>2789</v>
          </cell>
          <cell r="E26">
            <v>240371.6</v>
          </cell>
        </row>
      </sheetData>
      <sheetData sheetId="13">
        <row r="21">
          <cell r="C21">
            <v>417</v>
          </cell>
          <cell r="E21">
            <v>37139.599999999999</v>
          </cell>
        </row>
      </sheetData>
      <sheetData sheetId="14"/>
      <sheetData sheetId="15">
        <row r="15">
          <cell r="C15">
            <v>42</v>
          </cell>
          <cell r="E15">
            <v>7025.6</v>
          </cell>
        </row>
        <row r="25">
          <cell r="C25">
            <v>2651</v>
          </cell>
          <cell r="E25">
            <v>245858.4</v>
          </cell>
        </row>
      </sheetData>
      <sheetData sheetId="16">
        <row r="15">
          <cell r="C15">
            <v>30</v>
          </cell>
          <cell r="E15">
            <v>4940.3</v>
          </cell>
        </row>
        <row r="23">
          <cell r="C23">
            <v>736</v>
          </cell>
          <cell r="E23">
            <v>65072.1</v>
          </cell>
        </row>
      </sheetData>
      <sheetData sheetId="1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elous Pigery"/>
      <sheetName val="CCC"/>
      <sheetName val="CCC Extension"/>
      <sheetName val="Learig CCC"/>
      <sheetName val="Villa Franca"/>
      <sheetName val="Villa Franca Extension"/>
      <sheetName val="Learig Villa"/>
      <sheetName val="LionsHead"/>
      <sheetName val="LionsHead Extension"/>
      <sheetName val="Learig L Head"/>
      <sheetName val="Richlands"/>
      <sheetName val="Richlands Extension"/>
      <sheetName val="Learig Richlands"/>
      <sheetName val="Porta Farm"/>
      <sheetName val="Multiplier"/>
      <sheetName val="Learing Farm"/>
    </sheetNames>
    <sheetDataSet>
      <sheetData sheetId="0" refreshError="1"/>
      <sheetData sheetId="1">
        <row r="17">
          <cell r="C17">
            <v>207</v>
          </cell>
        </row>
      </sheetData>
      <sheetData sheetId="2" refreshError="1"/>
      <sheetData sheetId="3" refreshError="1">
        <row r="3">
          <cell r="A3" t="str">
            <v>Colcom Foods</v>
          </cell>
        </row>
        <row r="5">
          <cell r="A5" t="str">
            <v>Summary Carcass Graded Products</v>
          </cell>
        </row>
        <row r="7">
          <cell r="A7" t="str">
            <v>Date Period:2026/03/29 To 2026/04/25 --- Creditor:P001771 TRIPLE C PIGS --- All Slaughter Types</v>
          </cell>
        </row>
        <row r="9">
          <cell r="A9" t="str">
            <v>Product:</v>
          </cell>
          <cell r="C9" t="str">
            <v>Qty:</v>
          </cell>
          <cell r="E9" t="str">
            <v>CCM:</v>
          </cell>
        </row>
        <row r="11">
          <cell r="A11" t="str">
            <v>PCBA</v>
          </cell>
          <cell r="C11">
            <v>459</v>
          </cell>
          <cell r="E11">
            <v>36595</v>
          </cell>
        </row>
        <row r="12">
          <cell r="A12" t="str">
            <v>PCBB</v>
          </cell>
          <cell r="C12">
            <v>6</v>
          </cell>
          <cell r="E12">
            <v>483.3</v>
          </cell>
        </row>
        <row r="13">
          <cell r="A13" t="str">
            <v>PCBC</v>
          </cell>
          <cell r="C13">
            <v>1</v>
          </cell>
          <cell r="E13">
            <v>77.7</v>
          </cell>
        </row>
        <row r="14">
          <cell r="A14" t="str">
            <v>PCLPA</v>
          </cell>
          <cell r="C14">
            <v>3</v>
          </cell>
          <cell r="E14">
            <v>125.8</v>
          </cell>
        </row>
        <row r="15">
          <cell r="A15" t="str">
            <v>PCPA</v>
          </cell>
          <cell r="C15">
            <v>77</v>
          </cell>
          <cell r="E15">
            <v>4819</v>
          </cell>
        </row>
        <row r="16">
          <cell r="A16" t="str">
            <v>PCPB</v>
          </cell>
          <cell r="C16">
            <v>2</v>
          </cell>
          <cell r="E16">
            <v>130.30000000000001</v>
          </cell>
        </row>
        <row r="17">
          <cell r="A17" t="str">
            <v>PCSAS</v>
          </cell>
          <cell r="C17">
            <v>42</v>
          </cell>
          <cell r="E17">
            <v>7071.6</v>
          </cell>
        </row>
        <row r="18">
          <cell r="A18" t="str">
            <v>PCHA</v>
          </cell>
          <cell r="C18">
            <v>2454</v>
          </cell>
          <cell r="E18">
            <v>234937.60000000001</v>
          </cell>
        </row>
        <row r="19">
          <cell r="A19" t="str">
            <v>PCHB</v>
          </cell>
          <cell r="C19">
            <v>158</v>
          </cell>
          <cell r="E19">
            <v>15436.5</v>
          </cell>
        </row>
        <row r="20">
          <cell r="A20" t="str">
            <v>PCHC</v>
          </cell>
          <cell r="C20">
            <v>7</v>
          </cell>
          <cell r="E20">
            <v>662.6</v>
          </cell>
        </row>
        <row r="21">
          <cell r="A21" t="str">
            <v>PCHTA</v>
          </cell>
          <cell r="C21">
            <v>7</v>
          </cell>
          <cell r="E21">
            <v>851.4</v>
          </cell>
        </row>
        <row r="22">
          <cell r="A22" t="str">
            <v>PCHTB</v>
          </cell>
          <cell r="C22">
            <v>4</v>
          </cell>
          <cell r="E22">
            <v>489.40000000000003</v>
          </cell>
        </row>
        <row r="23">
          <cell r="A23" t="str">
            <v>PCTPA</v>
          </cell>
          <cell r="C23">
            <v>553</v>
          </cell>
          <cell r="E23">
            <v>60437</v>
          </cell>
        </row>
        <row r="24">
          <cell r="A24" t="str">
            <v>PCTPB</v>
          </cell>
          <cell r="C24">
            <v>110</v>
          </cell>
          <cell r="E24">
            <v>12078.1</v>
          </cell>
        </row>
        <row r="25">
          <cell r="A25" t="str">
            <v>PCTPC</v>
          </cell>
          <cell r="C25">
            <v>15</v>
          </cell>
          <cell r="E25">
            <v>1656.6000000000001</v>
          </cell>
        </row>
        <row r="27">
          <cell r="A27" t="str">
            <v xml:space="preserve"> Total:</v>
          </cell>
          <cell r="C27">
            <v>3898</v>
          </cell>
          <cell r="E27">
            <v>375851.9</v>
          </cell>
        </row>
      </sheetData>
      <sheetData sheetId="4" refreshError="1"/>
      <sheetData sheetId="5" refreshError="1">
        <row r="3">
          <cell r="A3" t="str">
            <v>Colcom Foods</v>
          </cell>
        </row>
        <row r="5">
          <cell r="A5" t="str">
            <v>Summary Carcass Graded Products</v>
          </cell>
        </row>
        <row r="7">
          <cell r="A7" t="str">
            <v>Date Period:2026/03/29 To 2026/04/25 --- Creditor:P001901 LEARIG - TRIPLE C --- All Slaughter Types</v>
          </cell>
        </row>
        <row r="9">
          <cell r="A9" t="str">
            <v>Product:</v>
          </cell>
          <cell r="C9" t="str">
            <v>Qty:</v>
          </cell>
          <cell r="E9" t="str">
            <v>CCM:</v>
          </cell>
        </row>
        <row r="11">
          <cell r="A11" t="str">
            <v>PCBA</v>
          </cell>
          <cell r="C11">
            <v>118</v>
          </cell>
          <cell r="E11">
            <v>9418.9</v>
          </cell>
        </row>
        <row r="12">
          <cell r="A12" t="str">
            <v>PCBC</v>
          </cell>
          <cell r="C12">
            <v>1</v>
          </cell>
          <cell r="E12">
            <v>84.600000000000009</v>
          </cell>
        </row>
        <row r="13">
          <cell r="A13" t="str">
            <v>PCPA</v>
          </cell>
          <cell r="C13">
            <v>6</v>
          </cell>
          <cell r="E13">
            <v>405</v>
          </cell>
        </row>
        <row r="14">
          <cell r="A14" t="str">
            <v>PCHA</v>
          </cell>
          <cell r="C14">
            <v>731</v>
          </cell>
          <cell r="E14">
            <v>70258.2</v>
          </cell>
        </row>
        <row r="15">
          <cell r="A15" t="str">
            <v>PCHB</v>
          </cell>
          <cell r="C15">
            <v>46</v>
          </cell>
          <cell r="E15">
            <v>4525.3</v>
          </cell>
        </row>
        <row r="16">
          <cell r="A16" t="str">
            <v>PCHC</v>
          </cell>
          <cell r="C16">
            <v>8</v>
          </cell>
          <cell r="E16">
            <v>807.80000000000007</v>
          </cell>
        </row>
        <row r="17">
          <cell r="A17" t="str">
            <v>PCHTA</v>
          </cell>
          <cell r="C17">
            <v>12</v>
          </cell>
          <cell r="E17">
            <v>1500</v>
          </cell>
        </row>
        <row r="18">
          <cell r="A18" t="str">
            <v>PCHTB</v>
          </cell>
          <cell r="C18">
            <v>5</v>
          </cell>
          <cell r="E18">
            <v>624</v>
          </cell>
        </row>
        <row r="19">
          <cell r="A19" t="str">
            <v>PCHTC</v>
          </cell>
          <cell r="C19">
            <v>1</v>
          </cell>
          <cell r="E19">
            <v>120.3</v>
          </cell>
        </row>
        <row r="20">
          <cell r="A20" t="str">
            <v>PCTPA</v>
          </cell>
          <cell r="C20">
            <v>206</v>
          </cell>
          <cell r="E20">
            <v>22648</v>
          </cell>
        </row>
        <row r="21">
          <cell r="A21" t="str">
            <v>PCTPB</v>
          </cell>
          <cell r="C21">
            <v>54</v>
          </cell>
          <cell r="E21">
            <v>6026.5</v>
          </cell>
        </row>
        <row r="22">
          <cell r="A22" t="str">
            <v>PCTPC</v>
          </cell>
          <cell r="C22">
            <v>3</v>
          </cell>
          <cell r="E22">
            <v>333.3</v>
          </cell>
        </row>
        <row r="24">
          <cell r="A24" t="str">
            <v xml:space="preserve"> Total:</v>
          </cell>
          <cell r="C24">
            <v>1191</v>
          </cell>
          <cell r="E24">
            <v>116751.90000000001</v>
          </cell>
        </row>
        <row r="27">
          <cell r="C27">
            <v>150</v>
          </cell>
          <cell r="E27">
            <v>14022.800000000001</v>
          </cell>
        </row>
        <row r="29">
          <cell r="C29">
            <v>74</v>
          </cell>
          <cell r="E29">
            <v>7153.3</v>
          </cell>
        </row>
        <row r="31">
          <cell r="C31">
            <v>1415</v>
          </cell>
          <cell r="E31">
            <v>137928</v>
          </cell>
        </row>
      </sheetData>
      <sheetData sheetId="6" refreshError="1">
        <row r="3">
          <cell r="A3" t="str">
            <v>Colcom Foods</v>
          </cell>
        </row>
        <row r="5">
          <cell r="A5" t="str">
            <v>Summary Carcass Graded Products</v>
          </cell>
        </row>
        <row r="7">
          <cell r="A7" t="str">
            <v>Date Period:2026/03/29 To 2026/04/25 --- Creditor:P001805 VILLA FRANCA (OUTGROWER) --- All Slaughter Types</v>
          </cell>
        </row>
        <row r="9">
          <cell r="A9" t="str">
            <v>Product:</v>
          </cell>
          <cell r="C9" t="str">
            <v>Qty:</v>
          </cell>
          <cell r="E9" t="str">
            <v>CCM:</v>
          </cell>
        </row>
        <row r="11">
          <cell r="A11" t="str">
            <v>PCBA</v>
          </cell>
          <cell r="C11">
            <v>165</v>
          </cell>
          <cell r="E11">
            <v>13088.5</v>
          </cell>
        </row>
        <row r="12">
          <cell r="A12" t="str">
            <v>PCBB</v>
          </cell>
          <cell r="C12">
            <v>3</v>
          </cell>
          <cell r="E12">
            <v>242.4</v>
          </cell>
        </row>
        <row r="13">
          <cell r="A13" t="str">
            <v>PCLPA</v>
          </cell>
          <cell r="C13">
            <v>1</v>
          </cell>
          <cell r="E13">
            <v>43.300000000000004</v>
          </cell>
        </row>
        <row r="14">
          <cell r="A14" t="str">
            <v>PCPA</v>
          </cell>
          <cell r="C14">
            <v>24</v>
          </cell>
          <cell r="E14">
            <v>1493.1000000000001</v>
          </cell>
        </row>
        <row r="15">
          <cell r="A15" t="str">
            <v>PCSAS</v>
          </cell>
          <cell r="C15">
            <v>17</v>
          </cell>
          <cell r="E15">
            <v>2903.4</v>
          </cell>
        </row>
        <row r="16">
          <cell r="A16" t="str">
            <v>PCHA</v>
          </cell>
          <cell r="C16">
            <v>383</v>
          </cell>
          <cell r="E16">
            <v>36047.1</v>
          </cell>
        </row>
        <row r="17">
          <cell r="A17" t="str">
            <v>PCHB</v>
          </cell>
          <cell r="C17">
            <v>22</v>
          </cell>
          <cell r="E17">
            <v>2136.6</v>
          </cell>
        </row>
        <row r="18">
          <cell r="A18" t="str">
            <v>PCHC</v>
          </cell>
          <cell r="C18">
            <v>1</v>
          </cell>
          <cell r="E18">
            <v>102.7</v>
          </cell>
        </row>
        <row r="19">
          <cell r="A19" t="str">
            <v>PCHTB</v>
          </cell>
          <cell r="C19">
            <v>1</v>
          </cell>
          <cell r="E19">
            <v>120.60000000000001</v>
          </cell>
        </row>
        <row r="20">
          <cell r="A20" t="str">
            <v>PCTPA</v>
          </cell>
          <cell r="C20">
            <v>46</v>
          </cell>
          <cell r="E20">
            <v>5008.9000000000005</v>
          </cell>
        </row>
        <row r="21">
          <cell r="A21" t="str">
            <v>PCTPB</v>
          </cell>
          <cell r="C21">
            <v>4</v>
          </cell>
          <cell r="E21">
            <v>441.5</v>
          </cell>
        </row>
        <row r="23">
          <cell r="A23" t="str">
            <v xml:space="preserve"> Total:</v>
          </cell>
          <cell r="C23">
            <v>667</v>
          </cell>
          <cell r="E23">
            <v>61628.1</v>
          </cell>
        </row>
      </sheetData>
      <sheetData sheetId="7" refreshError="1">
        <row r="3">
          <cell r="A3" t="str">
            <v>Colcom Foods</v>
          </cell>
        </row>
        <row r="5">
          <cell r="A5" t="str">
            <v>Summary Carcass Graded Products</v>
          </cell>
        </row>
        <row r="7">
          <cell r="A7" t="str">
            <v>Date Period:2026/03/29 To 2026/04/25 --- Creditor:P001807 VILLA FRANCA GROWERS EXTENSION --- All Slaughter Types</v>
          </cell>
        </row>
        <row r="9">
          <cell r="A9" t="str">
            <v>Product:</v>
          </cell>
          <cell r="C9" t="str">
            <v>Qty:</v>
          </cell>
          <cell r="E9" t="str">
            <v>CCM:</v>
          </cell>
        </row>
        <row r="11">
          <cell r="A11" t="str">
            <v>PCBA</v>
          </cell>
          <cell r="C11">
            <v>32</v>
          </cell>
          <cell r="E11">
            <v>2560.1</v>
          </cell>
        </row>
        <row r="12">
          <cell r="A12" t="str">
            <v>PCBC</v>
          </cell>
          <cell r="C12">
            <v>1</v>
          </cell>
          <cell r="E12">
            <v>75.7</v>
          </cell>
        </row>
        <row r="13">
          <cell r="A13" t="str">
            <v>PCPA</v>
          </cell>
          <cell r="C13">
            <v>5</v>
          </cell>
          <cell r="E13">
            <v>323.90000000000003</v>
          </cell>
        </row>
        <row r="14">
          <cell r="A14" t="str">
            <v>PCHA</v>
          </cell>
          <cell r="C14">
            <v>56</v>
          </cell>
          <cell r="E14">
            <v>5198.5</v>
          </cell>
        </row>
        <row r="15">
          <cell r="A15" t="str">
            <v>PCHB</v>
          </cell>
          <cell r="C15">
            <v>4</v>
          </cell>
          <cell r="E15">
            <v>370</v>
          </cell>
        </row>
        <row r="16">
          <cell r="A16" t="str">
            <v>PCTPB</v>
          </cell>
          <cell r="C16">
            <v>1</v>
          </cell>
          <cell r="E16">
            <v>111.4</v>
          </cell>
        </row>
        <row r="18">
          <cell r="A18" t="str">
            <v xml:space="preserve"> Total:</v>
          </cell>
          <cell r="C18">
            <v>99</v>
          </cell>
          <cell r="E18">
            <v>8639.6</v>
          </cell>
        </row>
      </sheetData>
      <sheetData sheetId="8" refreshError="1">
        <row r="3">
          <cell r="A3" t="str">
            <v>Colcom Foods</v>
          </cell>
        </row>
        <row r="5">
          <cell r="A5" t="str">
            <v>Summary Carcass Graded Products</v>
          </cell>
        </row>
        <row r="7">
          <cell r="A7" t="str">
            <v>Date Period:2026/03/29 To 2026/04/25 --- Creditor:P001902 LEARIG - VILLA FRANCA --- All Slaughter Types</v>
          </cell>
        </row>
        <row r="9">
          <cell r="A9" t="str">
            <v>Product:</v>
          </cell>
          <cell r="C9" t="str">
            <v>Qty:</v>
          </cell>
          <cell r="E9" t="str">
            <v>CCM:</v>
          </cell>
        </row>
        <row r="11">
          <cell r="A11" t="str">
            <v>PCBA</v>
          </cell>
          <cell r="C11">
            <v>18</v>
          </cell>
          <cell r="E11">
            <v>1439.9</v>
          </cell>
        </row>
        <row r="12">
          <cell r="A12" t="str">
            <v>PCBB</v>
          </cell>
          <cell r="C12">
            <v>2</v>
          </cell>
          <cell r="E12">
            <v>164.9</v>
          </cell>
        </row>
        <row r="13">
          <cell r="A13" t="str">
            <v>PCPA</v>
          </cell>
          <cell r="C13">
            <v>2</v>
          </cell>
          <cell r="E13">
            <v>135.5</v>
          </cell>
        </row>
        <row r="14">
          <cell r="A14" t="str">
            <v>PCHA</v>
          </cell>
          <cell r="C14">
            <v>111</v>
          </cell>
          <cell r="E14">
            <v>10477.700000000001</v>
          </cell>
        </row>
        <row r="15">
          <cell r="A15" t="str">
            <v>PCHB</v>
          </cell>
          <cell r="C15">
            <v>4</v>
          </cell>
          <cell r="E15">
            <v>385.7</v>
          </cell>
        </row>
        <row r="16">
          <cell r="A16" t="str">
            <v>PCTPA</v>
          </cell>
          <cell r="C16">
            <v>11</v>
          </cell>
          <cell r="E16">
            <v>1200</v>
          </cell>
        </row>
        <row r="17">
          <cell r="A17" t="str">
            <v>PCTPB</v>
          </cell>
          <cell r="C17">
            <v>2</v>
          </cell>
          <cell r="E17">
            <v>219.1</v>
          </cell>
        </row>
        <row r="19">
          <cell r="A19" t="str">
            <v xml:space="preserve"> Total:</v>
          </cell>
          <cell r="C19">
            <v>150</v>
          </cell>
          <cell r="E19">
            <v>14022.800000000001</v>
          </cell>
        </row>
      </sheetData>
      <sheetData sheetId="9" refreshError="1">
        <row r="3">
          <cell r="A3" t="str">
            <v>Colcom Foods</v>
          </cell>
        </row>
        <row r="5">
          <cell r="A5" t="str">
            <v>Summary Carcass Graded Products</v>
          </cell>
        </row>
        <row r="7">
          <cell r="A7" t="str">
            <v>Date Period:2026/03/29 To 2026/04/25 --- Creditor:P001825 LIONS HEAD --- All Slaughter Types</v>
          </cell>
        </row>
        <row r="9">
          <cell r="A9" t="str">
            <v>Product:</v>
          </cell>
          <cell r="C9" t="str">
            <v>Qty:</v>
          </cell>
          <cell r="E9" t="str">
            <v>CCM:</v>
          </cell>
        </row>
        <row r="11">
          <cell r="A11" t="str">
            <v>PCBA</v>
          </cell>
          <cell r="C11">
            <v>787</v>
          </cell>
          <cell r="E11">
            <v>62398.9</v>
          </cell>
        </row>
        <row r="12">
          <cell r="A12" t="str">
            <v>PCBB</v>
          </cell>
          <cell r="C12">
            <v>10</v>
          </cell>
          <cell r="E12">
            <v>803.9</v>
          </cell>
        </row>
        <row r="13">
          <cell r="A13" t="str">
            <v>PCLPA</v>
          </cell>
          <cell r="C13">
            <v>1</v>
          </cell>
          <cell r="E13">
            <v>43.300000000000004</v>
          </cell>
        </row>
        <row r="14">
          <cell r="A14" t="str">
            <v>PCPA</v>
          </cell>
          <cell r="C14">
            <v>81</v>
          </cell>
          <cell r="E14">
            <v>5225.6000000000004</v>
          </cell>
        </row>
        <row r="15">
          <cell r="A15" t="str">
            <v>PCSAS</v>
          </cell>
          <cell r="C15">
            <v>25</v>
          </cell>
          <cell r="E15">
            <v>4649.8</v>
          </cell>
        </row>
        <row r="16">
          <cell r="A16" t="str">
            <v>PCHA</v>
          </cell>
          <cell r="C16">
            <v>1361</v>
          </cell>
          <cell r="E16">
            <v>125978.40000000001</v>
          </cell>
        </row>
        <row r="17">
          <cell r="A17" t="str">
            <v>PCHB</v>
          </cell>
          <cell r="C17">
            <v>56</v>
          </cell>
          <cell r="E17">
            <v>5355.5</v>
          </cell>
        </row>
        <row r="18">
          <cell r="A18" t="str">
            <v>PCHC</v>
          </cell>
          <cell r="C18">
            <v>2</v>
          </cell>
          <cell r="E18">
            <v>187.6</v>
          </cell>
        </row>
        <row r="19">
          <cell r="A19" t="str">
            <v>PCTPA</v>
          </cell>
          <cell r="C19">
            <v>53</v>
          </cell>
          <cell r="E19">
            <v>5719.7</v>
          </cell>
        </row>
        <row r="20">
          <cell r="A20" t="str">
            <v>PCTPB</v>
          </cell>
          <cell r="C20">
            <v>6</v>
          </cell>
          <cell r="E20">
            <v>660.7</v>
          </cell>
        </row>
        <row r="22">
          <cell r="A22" t="str">
            <v xml:space="preserve"> Total:</v>
          </cell>
          <cell r="C22">
            <v>2382</v>
          </cell>
          <cell r="E22">
            <v>211023.4</v>
          </cell>
        </row>
        <row r="24">
          <cell r="C24">
            <v>2357</v>
          </cell>
        </row>
      </sheetData>
      <sheetData sheetId="10" refreshError="1">
        <row r="3">
          <cell r="A3" t="str">
            <v>Colcom Foods</v>
          </cell>
        </row>
        <row r="5">
          <cell r="A5" t="str">
            <v>Summary Carcass Graded Products</v>
          </cell>
        </row>
        <row r="7">
          <cell r="A7" t="str">
            <v>Date Period:2026/03/29 To 2026/04/25 --- Creditor:P001818 LION HEAD GROWERS EXTENSION --- All Slaughter Types</v>
          </cell>
        </row>
        <row r="9">
          <cell r="A9" t="str">
            <v>Product:</v>
          </cell>
          <cell r="C9" t="str">
            <v>Qty:</v>
          </cell>
          <cell r="E9" t="str">
            <v>CCM:</v>
          </cell>
        </row>
        <row r="11">
          <cell r="A11" t="str">
            <v>PCBA</v>
          </cell>
          <cell r="C11">
            <v>115</v>
          </cell>
          <cell r="E11">
            <v>9089.5</v>
          </cell>
        </row>
        <row r="12">
          <cell r="A12" t="str">
            <v>PCBB</v>
          </cell>
          <cell r="C12">
            <v>4</v>
          </cell>
          <cell r="E12">
            <v>327.3</v>
          </cell>
        </row>
        <row r="13">
          <cell r="A13" t="str">
            <v>PCLPA</v>
          </cell>
          <cell r="C13">
            <v>2</v>
          </cell>
          <cell r="E13">
            <v>77.5</v>
          </cell>
        </row>
        <row r="14">
          <cell r="A14" t="str">
            <v>PCPA</v>
          </cell>
          <cell r="C14">
            <v>46</v>
          </cell>
          <cell r="E14">
            <v>2916</v>
          </cell>
        </row>
        <row r="15">
          <cell r="A15" t="str">
            <v>PCHA</v>
          </cell>
          <cell r="C15">
            <v>119</v>
          </cell>
          <cell r="E15">
            <v>11110.300000000001</v>
          </cell>
        </row>
        <row r="16">
          <cell r="A16" t="str">
            <v>PCHB</v>
          </cell>
          <cell r="C16">
            <v>10</v>
          </cell>
          <cell r="E16">
            <v>968.6</v>
          </cell>
        </row>
        <row r="17">
          <cell r="A17" t="str">
            <v>PCTPA</v>
          </cell>
          <cell r="C17">
            <v>3</v>
          </cell>
          <cell r="E17">
            <v>331</v>
          </cell>
        </row>
        <row r="18">
          <cell r="A18" t="str">
            <v>PCTPB</v>
          </cell>
          <cell r="C18">
            <v>1</v>
          </cell>
          <cell r="E18">
            <v>107.9</v>
          </cell>
        </row>
        <row r="20">
          <cell r="A20" t="str">
            <v xml:space="preserve"> Total:</v>
          </cell>
          <cell r="C20">
            <v>300</v>
          </cell>
          <cell r="E20">
            <v>24928.100000000002</v>
          </cell>
        </row>
        <row r="23">
          <cell r="C23">
            <v>234</v>
          </cell>
          <cell r="E23">
            <v>20056.900000000001</v>
          </cell>
        </row>
        <row r="25">
          <cell r="C25">
            <v>99</v>
          </cell>
          <cell r="E25">
            <v>8639.6</v>
          </cell>
        </row>
        <row r="27">
          <cell r="C27">
            <v>633</v>
          </cell>
          <cell r="E27">
            <v>53624.6</v>
          </cell>
        </row>
      </sheetData>
      <sheetData sheetId="11" refreshError="1"/>
      <sheetData sheetId="12" refreshError="1">
        <row r="3">
          <cell r="A3" t="str">
            <v>Colcom Foods</v>
          </cell>
        </row>
        <row r="5">
          <cell r="A5" t="str">
            <v>Summary Carcass Graded Products</v>
          </cell>
        </row>
        <row r="7">
          <cell r="A7" t="str">
            <v>Date Period:2026/03/29 To 2026/04/25 --- Creditor:P001830 RICHLANDS FARM --- All Slaughter Types</v>
          </cell>
        </row>
        <row r="9">
          <cell r="A9" t="str">
            <v>Product:</v>
          </cell>
          <cell r="C9" t="str">
            <v>Qty:</v>
          </cell>
          <cell r="E9" t="str">
            <v>CCM:</v>
          </cell>
        </row>
        <row r="11">
          <cell r="A11" t="str">
            <v>PCBA</v>
          </cell>
          <cell r="C11">
            <v>560</v>
          </cell>
          <cell r="E11">
            <v>44508.9</v>
          </cell>
        </row>
        <row r="12">
          <cell r="A12" t="str">
            <v>PCBB</v>
          </cell>
          <cell r="C12">
            <v>10</v>
          </cell>
          <cell r="E12">
            <v>792.2</v>
          </cell>
        </row>
        <row r="13">
          <cell r="A13" t="str">
            <v>PCLPA</v>
          </cell>
          <cell r="C13">
            <v>3</v>
          </cell>
          <cell r="E13">
            <v>113.3</v>
          </cell>
        </row>
        <row r="14">
          <cell r="A14" t="str">
            <v>PCPA</v>
          </cell>
          <cell r="C14">
            <v>97</v>
          </cell>
          <cell r="E14">
            <v>6183.9000000000005</v>
          </cell>
        </row>
        <row r="15">
          <cell r="A15" t="str">
            <v>PCSAS</v>
          </cell>
          <cell r="C15">
            <v>34</v>
          </cell>
          <cell r="E15">
            <v>5338.7</v>
          </cell>
        </row>
        <row r="16">
          <cell r="A16" t="str">
            <v>PCHA</v>
          </cell>
          <cell r="C16">
            <v>1075</v>
          </cell>
          <cell r="E16">
            <v>100450.3</v>
          </cell>
        </row>
        <row r="17">
          <cell r="A17" t="str">
            <v>PCHB</v>
          </cell>
          <cell r="C17">
            <v>88</v>
          </cell>
          <cell r="E17">
            <v>8465.7999999999993</v>
          </cell>
        </row>
        <row r="18">
          <cell r="A18" t="str">
            <v>PCHC</v>
          </cell>
          <cell r="C18">
            <v>3</v>
          </cell>
          <cell r="E18">
            <v>284.5</v>
          </cell>
        </row>
        <row r="19">
          <cell r="A19" t="str">
            <v>PCHTA</v>
          </cell>
          <cell r="C19">
            <v>1</v>
          </cell>
          <cell r="E19">
            <v>120.5</v>
          </cell>
        </row>
        <row r="20">
          <cell r="A20" t="str">
            <v>PCHTB</v>
          </cell>
          <cell r="C20">
            <v>4</v>
          </cell>
          <cell r="E20">
            <v>488.6</v>
          </cell>
        </row>
        <row r="21">
          <cell r="A21" t="str">
            <v>PCTPA</v>
          </cell>
          <cell r="C21">
            <v>107</v>
          </cell>
          <cell r="E21">
            <v>11710.1</v>
          </cell>
        </row>
        <row r="22">
          <cell r="A22" t="str">
            <v>PCTPB</v>
          </cell>
          <cell r="C22">
            <v>48</v>
          </cell>
          <cell r="E22">
            <v>5345.3</v>
          </cell>
        </row>
        <row r="23">
          <cell r="A23" t="str">
            <v>PCTPC</v>
          </cell>
          <cell r="C23">
            <v>2</v>
          </cell>
          <cell r="E23">
            <v>230</v>
          </cell>
        </row>
        <row r="25">
          <cell r="A25" t="str">
            <v xml:space="preserve"> Total:</v>
          </cell>
          <cell r="C25">
            <v>2032</v>
          </cell>
          <cell r="E25">
            <v>184032.1</v>
          </cell>
        </row>
      </sheetData>
      <sheetData sheetId="13" refreshError="1">
        <row r="3">
          <cell r="A3" t="str">
            <v>Colcom Foods</v>
          </cell>
        </row>
        <row r="5">
          <cell r="A5" t="str">
            <v>Summary Carcass Graded Products</v>
          </cell>
        </row>
        <row r="7">
          <cell r="A7" t="str">
            <v>Date Period:2026/03/29 To 2026/04/25 --- Creditor:P001827 RICHLANDS GROWERS EXTENSION --- All Slaughter Types</v>
          </cell>
        </row>
        <row r="9">
          <cell r="A9" t="str">
            <v>Product:</v>
          </cell>
          <cell r="C9" t="str">
            <v>Qty:</v>
          </cell>
          <cell r="E9" t="str">
            <v>CCM:</v>
          </cell>
        </row>
        <row r="11">
          <cell r="A11" t="str">
            <v>PCBA</v>
          </cell>
          <cell r="C11">
            <v>95</v>
          </cell>
          <cell r="E11">
            <v>7603.5</v>
          </cell>
        </row>
        <row r="12">
          <cell r="A12" t="str">
            <v>PCBB</v>
          </cell>
          <cell r="C12">
            <v>2</v>
          </cell>
          <cell r="E12">
            <v>169.5</v>
          </cell>
        </row>
        <row r="13">
          <cell r="A13" t="str">
            <v>PCPA</v>
          </cell>
          <cell r="C13">
            <v>12</v>
          </cell>
          <cell r="E13">
            <v>785</v>
          </cell>
        </row>
        <row r="14">
          <cell r="A14" t="str">
            <v>PCHA</v>
          </cell>
          <cell r="C14">
            <v>116</v>
          </cell>
          <cell r="E14">
            <v>10640.2</v>
          </cell>
        </row>
        <row r="15">
          <cell r="A15" t="str">
            <v>PCHB</v>
          </cell>
          <cell r="C15">
            <v>7</v>
          </cell>
          <cell r="E15">
            <v>640.80000000000007</v>
          </cell>
        </row>
        <row r="16">
          <cell r="A16" t="str">
            <v>PCTPA</v>
          </cell>
          <cell r="C16">
            <v>2</v>
          </cell>
          <cell r="E16">
            <v>217.9</v>
          </cell>
        </row>
        <row r="18">
          <cell r="A18" t="str">
            <v xml:space="preserve"> Total:</v>
          </cell>
          <cell r="C18">
            <v>234</v>
          </cell>
          <cell r="E18">
            <v>20056.900000000001</v>
          </cell>
        </row>
      </sheetData>
      <sheetData sheetId="14" refreshError="1">
        <row r="3">
          <cell r="A3" t="str">
            <v>Colcom Foods</v>
          </cell>
        </row>
        <row r="5">
          <cell r="A5" t="str">
            <v>Summary Carcass Graded Products</v>
          </cell>
        </row>
        <row r="7">
          <cell r="A7" t="str">
            <v>Date Period:2026/03/29 To 2026/04/25 --- Creditor:P001904 LEARIG - RICHLANDS --- All Slaughter Types</v>
          </cell>
        </row>
        <row r="9">
          <cell r="A9" t="str">
            <v>Product:</v>
          </cell>
          <cell r="C9" t="str">
            <v>Qty:</v>
          </cell>
          <cell r="E9" t="str">
            <v>CCM:</v>
          </cell>
        </row>
        <row r="11">
          <cell r="A11" t="str">
            <v>PCBA</v>
          </cell>
          <cell r="C11">
            <v>6</v>
          </cell>
          <cell r="E11">
            <v>484.2</v>
          </cell>
        </row>
        <row r="12">
          <cell r="A12" t="str">
            <v>PCPA</v>
          </cell>
          <cell r="C12">
            <v>1</v>
          </cell>
          <cell r="E12">
            <v>69.2</v>
          </cell>
        </row>
        <row r="13">
          <cell r="A13" t="str">
            <v>PCHA</v>
          </cell>
          <cell r="C13">
            <v>54</v>
          </cell>
          <cell r="E13">
            <v>5146.5</v>
          </cell>
        </row>
        <row r="14">
          <cell r="A14" t="str">
            <v>PCHTA</v>
          </cell>
          <cell r="C14">
            <v>2</v>
          </cell>
          <cell r="E14">
            <v>249</v>
          </cell>
        </row>
        <row r="15">
          <cell r="A15" t="str">
            <v>PCTPA</v>
          </cell>
          <cell r="C15">
            <v>11</v>
          </cell>
          <cell r="E15">
            <v>1204.4000000000001</v>
          </cell>
        </row>
        <row r="17">
          <cell r="A17" t="str">
            <v xml:space="preserve"> Total:</v>
          </cell>
          <cell r="C17">
            <v>74</v>
          </cell>
          <cell r="E17">
            <v>7153.3</v>
          </cell>
        </row>
      </sheetData>
      <sheetData sheetId="15" refreshError="1">
        <row r="3">
          <cell r="A3" t="str">
            <v>Colcom Foods</v>
          </cell>
        </row>
        <row r="5">
          <cell r="A5" t="str">
            <v>Summary Carcass Graded Products</v>
          </cell>
        </row>
        <row r="7">
          <cell r="A7" t="str">
            <v>Date Period:2026/03/29 To 2026/04/25 --- Creditor:P001906 Porta Farm --- All Slaughter Types</v>
          </cell>
        </row>
        <row r="9">
          <cell r="A9" t="str">
            <v>Product:</v>
          </cell>
          <cell r="C9" t="str">
            <v>Qty:</v>
          </cell>
          <cell r="E9" t="str">
            <v>CCM:</v>
          </cell>
        </row>
        <row r="11">
          <cell r="A11" t="str">
            <v>PCBA</v>
          </cell>
          <cell r="C11">
            <v>517</v>
          </cell>
          <cell r="E11">
            <v>40968.400000000001</v>
          </cell>
        </row>
        <row r="12">
          <cell r="A12" t="str">
            <v>PCBB</v>
          </cell>
          <cell r="C12">
            <v>2</v>
          </cell>
          <cell r="E12">
            <v>159.9</v>
          </cell>
        </row>
        <row r="13">
          <cell r="A13" t="str">
            <v>PCLPA</v>
          </cell>
          <cell r="C13">
            <v>1</v>
          </cell>
          <cell r="E13">
            <v>44.7</v>
          </cell>
        </row>
        <row r="14">
          <cell r="A14" t="str">
            <v>PCPA</v>
          </cell>
          <cell r="C14">
            <v>102</v>
          </cell>
          <cell r="E14">
            <v>6451.1</v>
          </cell>
        </row>
        <row r="15">
          <cell r="A15" t="str">
            <v>PCPB</v>
          </cell>
          <cell r="C15">
            <v>1</v>
          </cell>
          <cell r="E15">
            <v>66.5</v>
          </cell>
        </row>
        <row r="16">
          <cell r="A16" t="str">
            <v>PCSAS</v>
          </cell>
          <cell r="C16">
            <v>64</v>
          </cell>
          <cell r="E16">
            <v>10336.4</v>
          </cell>
        </row>
        <row r="17">
          <cell r="A17" t="str">
            <v>PCHA</v>
          </cell>
          <cell r="C17">
            <v>1813</v>
          </cell>
          <cell r="E17">
            <v>172124.7</v>
          </cell>
        </row>
        <row r="18">
          <cell r="A18" t="str">
            <v>PCHB</v>
          </cell>
          <cell r="C18">
            <v>89</v>
          </cell>
          <cell r="E18">
            <v>8758.6</v>
          </cell>
        </row>
        <row r="19">
          <cell r="A19" t="str">
            <v>PCHC</v>
          </cell>
          <cell r="C19">
            <v>1</v>
          </cell>
          <cell r="E19">
            <v>90.8</v>
          </cell>
        </row>
        <row r="20">
          <cell r="A20" t="str">
            <v>PCHTA</v>
          </cell>
          <cell r="C20">
            <v>2</v>
          </cell>
          <cell r="E20">
            <v>241.3</v>
          </cell>
        </row>
        <row r="21">
          <cell r="A21" t="str">
            <v>PCHTB</v>
          </cell>
          <cell r="C21">
            <v>1</v>
          </cell>
          <cell r="E21">
            <v>122.10000000000001</v>
          </cell>
        </row>
        <row r="22">
          <cell r="A22" t="str">
            <v>PCTPA</v>
          </cell>
          <cell r="C22">
            <v>277</v>
          </cell>
          <cell r="E22">
            <v>30257.4</v>
          </cell>
        </row>
        <row r="23">
          <cell r="A23" t="str">
            <v>PCTPB</v>
          </cell>
          <cell r="C23">
            <v>35</v>
          </cell>
          <cell r="E23">
            <v>3836.1</v>
          </cell>
        </row>
        <row r="24">
          <cell r="A24" t="str">
            <v>PCTPC</v>
          </cell>
          <cell r="C24">
            <v>2</v>
          </cell>
          <cell r="E24">
            <v>222.1</v>
          </cell>
        </row>
        <row r="26">
          <cell r="A26" t="str">
            <v xml:space="preserve"> Total:</v>
          </cell>
          <cell r="C26">
            <v>2907</v>
          </cell>
          <cell r="E26">
            <v>273680.09999999998</v>
          </cell>
        </row>
      </sheetData>
      <sheetData sheetId="16">
        <row r="3">
          <cell r="A3" t="str">
            <v>Colcom Foods</v>
          </cell>
        </row>
        <row r="5">
          <cell r="A5" t="str">
            <v>Summary Carcass Graded Products</v>
          </cell>
        </row>
        <row r="7">
          <cell r="A7" t="str">
            <v>Date Period:2026/03/29 To 2026/04/25 --- Creditor:P001907 Multiplier --- All Slaughter Types</v>
          </cell>
        </row>
        <row r="9">
          <cell r="A9" t="str">
            <v>Product:</v>
          </cell>
          <cell r="C9" t="str">
            <v>Qty:</v>
          </cell>
          <cell r="E9" t="str">
            <v>CCM:</v>
          </cell>
        </row>
        <row r="11">
          <cell r="A11" t="str">
            <v>PCBA</v>
          </cell>
          <cell r="C11">
            <v>356</v>
          </cell>
          <cell r="E11">
            <v>28108.400000000001</v>
          </cell>
        </row>
        <row r="12">
          <cell r="A12" t="str">
            <v>PCBB</v>
          </cell>
          <cell r="C12">
            <v>4</v>
          </cell>
          <cell r="E12">
            <v>328</v>
          </cell>
        </row>
        <row r="13">
          <cell r="A13" t="str">
            <v>PCLPA</v>
          </cell>
          <cell r="C13">
            <v>3</v>
          </cell>
          <cell r="E13">
            <v>118</v>
          </cell>
        </row>
        <row r="14">
          <cell r="A14" t="str">
            <v>PCPA</v>
          </cell>
          <cell r="C14">
            <v>56</v>
          </cell>
          <cell r="E14">
            <v>3501.7000000000003</v>
          </cell>
        </row>
        <row r="15">
          <cell r="A15" t="str">
            <v>PCSAS</v>
          </cell>
          <cell r="C15">
            <v>25</v>
          </cell>
          <cell r="E15">
            <v>4647</v>
          </cell>
        </row>
        <row r="16">
          <cell r="A16" t="str">
            <v>PCHA</v>
          </cell>
          <cell r="C16">
            <v>432</v>
          </cell>
          <cell r="E16">
            <v>39831.1</v>
          </cell>
        </row>
        <row r="17">
          <cell r="A17" t="str">
            <v>PCHB</v>
          </cell>
          <cell r="C17">
            <v>17</v>
          </cell>
          <cell r="E17">
            <v>1604</v>
          </cell>
        </row>
        <row r="18">
          <cell r="A18" t="str">
            <v>PCHC</v>
          </cell>
          <cell r="C18">
            <v>1</v>
          </cell>
          <cell r="E18">
            <v>93.5</v>
          </cell>
        </row>
        <row r="19">
          <cell r="A19" t="str">
            <v>PCTPA</v>
          </cell>
          <cell r="C19">
            <v>11</v>
          </cell>
          <cell r="E19">
            <v>1192.7</v>
          </cell>
        </row>
        <row r="20">
          <cell r="A20" t="str">
            <v>PCTPB</v>
          </cell>
          <cell r="C20">
            <v>1</v>
          </cell>
          <cell r="E20">
            <v>109.60000000000001</v>
          </cell>
        </row>
        <row r="22">
          <cell r="A22" t="str">
            <v xml:space="preserve"> Total:</v>
          </cell>
          <cell r="C22">
            <v>906</v>
          </cell>
          <cell r="E22">
            <v>79534</v>
          </cell>
        </row>
      </sheetData>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ummary."/>
      <sheetName val="Selous Pigery"/>
      <sheetName val="CCC"/>
      <sheetName val="CCC Extension"/>
      <sheetName val="Learig CCC"/>
      <sheetName val="CCC Ext"/>
      <sheetName val="Villa Franca"/>
      <sheetName val="Villa Franca Extension"/>
      <sheetName val="Learig Villa"/>
      <sheetName val="LionsHead"/>
      <sheetName val="LionsHead Extension"/>
      <sheetName val="Learig L Head"/>
      <sheetName val="Richlands"/>
      <sheetName val="Richlands Extension"/>
      <sheetName val="Learig Richlands"/>
      <sheetName val="Porta Farm"/>
      <sheetName val="Porta Ext"/>
      <sheetName val="Multiplier"/>
      <sheetName val="Learing Farm"/>
    </sheetNames>
    <sheetDataSet>
      <sheetData sheetId="0"/>
      <sheetData sheetId="1">
        <row r="28">
          <cell r="C28">
            <v>14725</v>
          </cell>
          <cell r="E28">
            <v>1368458.1999999997</v>
          </cell>
        </row>
      </sheetData>
      <sheetData sheetId="2"/>
      <sheetData sheetId="3">
        <row r="3">
          <cell r="A3" t="str">
            <v>Colcom Foods</v>
          </cell>
        </row>
        <row r="5">
          <cell r="A5" t="str">
            <v>Summary Carcass Graded Products</v>
          </cell>
        </row>
        <row r="7">
          <cell r="A7" t="str">
            <v>Date Period:2026/04/26 To 2026/05/23 --- Creditor:P001771 TRIPLE C PIGS --- All Slaughter Types</v>
          </cell>
        </row>
        <row r="9">
          <cell r="A9" t="str">
            <v>Product:</v>
          </cell>
          <cell r="C9" t="str">
            <v>Qty:</v>
          </cell>
          <cell r="E9" t="str">
            <v>CCM:</v>
          </cell>
        </row>
        <row r="11">
          <cell r="A11" t="str">
            <v>PCBA</v>
          </cell>
          <cell r="C11">
            <v>507</v>
          </cell>
          <cell r="E11">
            <v>40454.200000000004</v>
          </cell>
        </row>
        <row r="12">
          <cell r="A12" t="str">
            <v>PCBB</v>
          </cell>
          <cell r="C12">
            <v>4</v>
          </cell>
          <cell r="E12">
            <v>331.7</v>
          </cell>
        </row>
        <row r="13">
          <cell r="A13" t="str">
            <v>PCLPA</v>
          </cell>
          <cell r="C13">
            <v>2</v>
          </cell>
          <cell r="E13">
            <v>80.7</v>
          </cell>
        </row>
        <row r="14">
          <cell r="A14" t="str">
            <v>PCPA</v>
          </cell>
          <cell r="C14">
            <v>72</v>
          </cell>
          <cell r="E14">
            <v>4639.2</v>
          </cell>
        </row>
        <row r="15">
          <cell r="A15" t="str">
            <v>PCSAS</v>
          </cell>
          <cell r="C15">
            <v>32</v>
          </cell>
          <cell r="E15">
            <v>5747.9000000000005</v>
          </cell>
        </row>
        <row r="16">
          <cell r="A16" t="str">
            <v>PCHA</v>
          </cell>
          <cell r="C16">
            <v>2701</v>
          </cell>
          <cell r="E16">
            <v>257723.2</v>
          </cell>
        </row>
        <row r="17">
          <cell r="A17" t="str">
            <v>PCHB</v>
          </cell>
          <cell r="C17">
            <v>127</v>
          </cell>
          <cell r="E17">
            <v>12398.9</v>
          </cell>
        </row>
        <row r="18">
          <cell r="A18" t="str">
            <v>PCHC</v>
          </cell>
          <cell r="C18">
            <v>10</v>
          </cell>
          <cell r="E18">
            <v>983.1</v>
          </cell>
        </row>
        <row r="19">
          <cell r="A19" t="str">
            <v>PCHTA</v>
          </cell>
          <cell r="C19">
            <v>8</v>
          </cell>
          <cell r="E19">
            <v>976</v>
          </cell>
        </row>
        <row r="20">
          <cell r="A20" t="str">
            <v>PCHTB</v>
          </cell>
          <cell r="C20">
            <v>3</v>
          </cell>
          <cell r="E20">
            <v>367.90000000000003</v>
          </cell>
        </row>
        <row r="21">
          <cell r="A21" t="str">
            <v>PCTPA</v>
          </cell>
          <cell r="C21">
            <v>527</v>
          </cell>
          <cell r="E21">
            <v>57565.1</v>
          </cell>
        </row>
        <row r="22">
          <cell r="A22" t="str">
            <v>PCTPB</v>
          </cell>
          <cell r="C22">
            <v>68</v>
          </cell>
          <cell r="E22">
            <v>7471.2</v>
          </cell>
        </row>
        <row r="23">
          <cell r="A23" t="str">
            <v>PCTPC</v>
          </cell>
          <cell r="C23">
            <v>3</v>
          </cell>
          <cell r="E23">
            <v>331.5</v>
          </cell>
        </row>
        <row r="25">
          <cell r="A25" t="str">
            <v xml:space="preserve"> Total:</v>
          </cell>
          <cell r="C25">
            <v>4064</v>
          </cell>
          <cell r="E25">
            <v>389070.60000000003</v>
          </cell>
        </row>
      </sheetData>
      <sheetData sheetId="4"/>
      <sheetData sheetId="5">
        <row r="3">
          <cell r="A3" t="str">
            <v>Colcom Foods</v>
          </cell>
        </row>
        <row r="5">
          <cell r="A5" t="str">
            <v>Summary Carcass Graded Products</v>
          </cell>
        </row>
        <row r="7">
          <cell r="A7" t="str">
            <v>Date Period:2026/04/26 To 2026/05/23 --- Creditor:P001901 LEARIG - TRIPLE C --- All Slaughter Types</v>
          </cell>
        </row>
        <row r="9">
          <cell r="A9" t="str">
            <v>Product:</v>
          </cell>
          <cell r="C9" t="str">
            <v>Qty:</v>
          </cell>
          <cell r="E9" t="str">
            <v>CCM:</v>
          </cell>
        </row>
        <row r="11">
          <cell r="A11" t="str">
            <v>PCBA</v>
          </cell>
          <cell r="C11">
            <v>71</v>
          </cell>
          <cell r="E11">
            <v>5752.1</v>
          </cell>
        </row>
        <row r="12">
          <cell r="A12" t="str">
            <v>PCBB</v>
          </cell>
          <cell r="C12">
            <v>1</v>
          </cell>
          <cell r="E12">
            <v>84</v>
          </cell>
        </row>
        <row r="13">
          <cell r="A13" t="str">
            <v>PCPA</v>
          </cell>
          <cell r="C13">
            <v>5</v>
          </cell>
          <cell r="E13">
            <v>318.7</v>
          </cell>
        </row>
        <row r="14">
          <cell r="A14" t="str">
            <v>PCHA</v>
          </cell>
          <cell r="C14">
            <v>539</v>
          </cell>
          <cell r="E14">
            <v>51863.3</v>
          </cell>
        </row>
        <row r="15">
          <cell r="A15" t="str">
            <v>PCHB</v>
          </cell>
          <cell r="C15">
            <v>45</v>
          </cell>
          <cell r="E15">
            <v>4438.3</v>
          </cell>
        </row>
        <row r="16">
          <cell r="A16" t="str">
            <v>PCHC</v>
          </cell>
          <cell r="C16">
            <v>3</v>
          </cell>
          <cell r="E16">
            <v>305.90000000000003</v>
          </cell>
        </row>
        <row r="17">
          <cell r="A17" t="str">
            <v>PCHTA</v>
          </cell>
          <cell r="C17">
            <v>27</v>
          </cell>
          <cell r="E17">
            <v>3348.3</v>
          </cell>
        </row>
        <row r="18">
          <cell r="A18" t="str">
            <v>PCHTB</v>
          </cell>
          <cell r="C18">
            <v>12</v>
          </cell>
          <cell r="E18">
            <v>1480</v>
          </cell>
        </row>
        <row r="19">
          <cell r="A19" t="str">
            <v>PCHTC</v>
          </cell>
          <cell r="C19">
            <v>1</v>
          </cell>
          <cell r="E19">
            <v>132.4</v>
          </cell>
        </row>
        <row r="20">
          <cell r="A20" t="str">
            <v>PCTPA</v>
          </cell>
          <cell r="C20">
            <v>232</v>
          </cell>
          <cell r="E20">
            <v>25570.400000000001</v>
          </cell>
        </row>
        <row r="21">
          <cell r="A21" t="str">
            <v>PCTPB</v>
          </cell>
          <cell r="C21">
            <v>65</v>
          </cell>
          <cell r="E21">
            <v>7262.4000000000005</v>
          </cell>
        </row>
        <row r="22">
          <cell r="A22" t="str">
            <v>PCTPC</v>
          </cell>
          <cell r="C22">
            <v>3</v>
          </cell>
          <cell r="E22">
            <v>340.3</v>
          </cell>
        </row>
        <row r="24">
          <cell r="A24" t="str">
            <v xml:space="preserve"> Total:</v>
          </cell>
          <cell r="C24">
            <v>1004</v>
          </cell>
          <cell r="E24">
            <v>100896.1</v>
          </cell>
        </row>
      </sheetData>
      <sheetData sheetId="6">
        <row r="3">
          <cell r="A3" t="str">
            <v>Colcom Foods</v>
          </cell>
        </row>
        <row r="5">
          <cell r="A5" t="str">
            <v>Summary Carcass Graded Products</v>
          </cell>
        </row>
        <row r="7">
          <cell r="A7" t="str">
            <v>Date Period:2026/04/26 To 2026/05/23 --- Creditor:P001761 TRIPLE C GROWERS EXTENSION --- All Slaughter Types</v>
          </cell>
        </row>
        <row r="9">
          <cell r="A9" t="str">
            <v>Product:</v>
          </cell>
          <cell r="C9" t="str">
            <v>Qty:</v>
          </cell>
          <cell r="E9" t="str">
            <v>CCM:</v>
          </cell>
        </row>
        <row r="11">
          <cell r="A11" t="str">
            <v>PCBA</v>
          </cell>
          <cell r="C11">
            <v>29</v>
          </cell>
          <cell r="E11">
            <v>2295.8000000000002</v>
          </cell>
        </row>
        <row r="12">
          <cell r="A12" t="str">
            <v>PCPA</v>
          </cell>
          <cell r="C12">
            <v>6</v>
          </cell>
          <cell r="E12">
            <v>370.3</v>
          </cell>
        </row>
        <row r="13">
          <cell r="A13" t="str">
            <v>PCHA</v>
          </cell>
          <cell r="C13">
            <v>13</v>
          </cell>
          <cell r="E13">
            <v>1188.5</v>
          </cell>
        </row>
        <row r="14">
          <cell r="A14" t="str">
            <v>PCHB</v>
          </cell>
          <cell r="C14">
            <v>1</v>
          </cell>
          <cell r="E14">
            <v>101.8</v>
          </cell>
        </row>
        <row r="15">
          <cell r="A15" t="str">
            <v>PCTPA</v>
          </cell>
          <cell r="C15">
            <v>1</v>
          </cell>
          <cell r="E15">
            <v>107.2</v>
          </cell>
        </row>
        <row r="17">
          <cell r="A17" t="str">
            <v xml:space="preserve"> Total:</v>
          </cell>
          <cell r="C17">
            <v>50</v>
          </cell>
          <cell r="E17">
            <v>4063.6</v>
          </cell>
        </row>
      </sheetData>
      <sheetData sheetId="7">
        <row r="3">
          <cell r="A3" t="str">
            <v>Colcom Foods</v>
          </cell>
        </row>
        <row r="5">
          <cell r="A5" t="str">
            <v>Summary Carcass Graded Products</v>
          </cell>
        </row>
        <row r="7">
          <cell r="A7" t="str">
            <v>Date Period:2026/04/26 To 2026/05/23 --- Creditor:P001805 VILLA FRANCA (OUTGROWER) --- All Slaughter Types</v>
          </cell>
        </row>
        <row r="9">
          <cell r="A9" t="str">
            <v>Product:</v>
          </cell>
          <cell r="C9" t="str">
            <v>Qty:</v>
          </cell>
          <cell r="E9" t="str">
            <v>CCM:</v>
          </cell>
        </row>
        <row r="11">
          <cell r="A11" t="str">
            <v>PCBA</v>
          </cell>
          <cell r="C11">
            <v>144</v>
          </cell>
          <cell r="E11">
            <v>11430.5</v>
          </cell>
        </row>
        <row r="12">
          <cell r="A12" t="str">
            <v>PCBB</v>
          </cell>
          <cell r="C12">
            <v>6</v>
          </cell>
          <cell r="E12">
            <v>500.90000000000003</v>
          </cell>
        </row>
        <row r="13">
          <cell r="A13" t="str">
            <v>PCLPA</v>
          </cell>
          <cell r="C13">
            <v>1</v>
          </cell>
          <cell r="E13">
            <v>43</v>
          </cell>
        </row>
        <row r="14">
          <cell r="A14" t="str">
            <v>PCPA</v>
          </cell>
          <cell r="C14">
            <v>25</v>
          </cell>
          <cell r="E14">
            <v>1572.3</v>
          </cell>
        </row>
        <row r="15">
          <cell r="A15" t="str">
            <v>PCSAS</v>
          </cell>
          <cell r="C15">
            <v>8</v>
          </cell>
          <cell r="E15">
            <v>1436.1000000000001</v>
          </cell>
        </row>
        <row r="16">
          <cell r="A16" t="str">
            <v>PCHA</v>
          </cell>
          <cell r="C16">
            <v>370</v>
          </cell>
          <cell r="E16">
            <v>34708.800000000003</v>
          </cell>
        </row>
        <row r="17">
          <cell r="A17" t="str">
            <v>PCHB</v>
          </cell>
          <cell r="C17">
            <v>36</v>
          </cell>
          <cell r="E17">
            <v>3425.8</v>
          </cell>
        </row>
        <row r="18">
          <cell r="A18" t="str">
            <v>PCHC</v>
          </cell>
          <cell r="C18">
            <v>1</v>
          </cell>
          <cell r="E18">
            <v>86.100000000000009</v>
          </cell>
        </row>
        <row r="19">
          <cell r="A19" t="str">
            <v>PCHTA</v>
          </cell>
          <cell r="C19">
            <v>2</v>
          </cell>
          <cell r="E19">
            <v>243.8</v>
          </cell>
        </row>
        <row r="20">
          <cell r="A20" t="str">
            <v>PCHTB</v>
          </cell>
          <cell r="C20">
            <v>1</v>
          </cell>
          <cell r="E20">
            <v>120.3</v>
          </cell>
        </row>
        <row r="21">
          <cell r="A21" t="str">
            <v>PCTPA</v>
          </cell>
          <cell r="C21">
            <v>49</v>
          </cell>
          <cell r="E21">
            <v>5406.6</v>
          </cell>
        </row>
        <row r="22">
          <cell r="A22" t="str">
            <v>PCTPB</v>
          </cell>
          <cell r="C22">
            <v>11</v>
          </cell>
          <cell r="E22">
            <v>1244.4000000000001</v>
          </cell>
        </row>
        <row r="23">
          <cell r="A23" t="str">
            <v>PCTPC</v>
          </cell>
          <cell r="C23">
            <v>1</v>
          </cell>
          <cell r="E23">
            <v>107.5</v>
          </cell>
        </row>
        <row r="25">
          <cell r="A25" t="str">
            <v xml:space="preserve"> Total:</v>
          </cell>
          <cell r="C25">
            <v>655</v>
          </cell>
          <cell r="E25">
            <v>60326.1</v>
          </cell>
        </row>
      </sheetData>
      <sheetData sheetId="8">
        <row r="3">
          <cell r="A3" t="str">
            <v>Colcom Foods</v>
          </cell>
        </row>
        <row r="5">
          <cell r="A5" t="str">
            <v>Summary Carcass Graded Products</v>
          </cell>
        </row>
        <row r="7">
          <cell r="A7" t="str">
            <v>Date Period:2026/04/26 To 2026/05/23 --- Creditor:P001807 VILLA FRANCA GROWERS EXTENSION --- All Slaughter Types</v>
          </cell>
        </row>
        <row r="9">
          <cell r="A9" t="str">
            <v>Product:</v>
          </cell>
          <cell r="C9" t="str">
            <v>Qty:</v>
          </cell>
          <cell r="E9" t="str">
            <v>CCM:</v>
          </cell>
        </row>
        <row r="11">
          <cell r="A11" t="str">
            <v>PCBA</v>
          </cell>
          <cell r="C11">
            <v>29</v>
          </cell>
          <cell r="E11">
            <v>2334.3000000000002</v>
          </cell>
        </row>
        <row r="12">
          <cell r="A12" t="str">
            <v>PCPA</v>
          </cell>
          <cell r="C12">
            <v>7</v>
          </cell>
          <cell r="E12">
            <v>450.90000000000003</v>
          </cell>
        </row>
        <row r="13">
          <cell r="A13" t="str">
            <v>PCHA</v>
          </cell>
          <cell r="C13">
            <v>45</v>
          </cell>
          <cell r="E13">
            <v>4147.8999999999996</v>
          </cell>
        </row>
        <row r="14">
          <cell r="A14" t="str">
            <v>PCHB</v>
          </cell>
          <cell r="C14">
            <v>1</v>
          </cell>
          <cell r="E14">
            <v>95.8</v>
          </cell>
        </row>
        <row r="15">
          <cell r="A15" t="str">
            <v>PCTPA</v>
          </cell>
          <cell r="C15">
            <v>1</v>
          </cell>
          <cell r="E15">
            <v>106.5</v>
          </cell>
        </row>
        <row r="17">
          <cell r="A17" t="str">
            <v xml:space="preserve"> Total:</v>
          </cell>
          <cell r="C17">
            <v>83</v>
          </cell>
          <cell r="E17">
            <v>7135.4000000000005</v>
          </cell>
        </row>
      </sheetData>
      <sheetData sheetId="9">
        <row r="3">
          <cell r="A3" t="str">
            <v>Colcom Foods</v>
          </cell>
        </row>
        <row r="5">
          <cell r="A5" t="str">
            <v>Summary Carcass Graded Products</v>
          </cell>
        </row>
        <row r="7">
          <cell r="A7" t="str">
            <v>Date Period:2026/04/26 To 2026/05/23 --- Creditor:P001902 LEARIG - VILLA FRANCA --- All Slaughter Types</v>
          </cell>
        </row>
        <row r="9">
          <cell r="A9" t="str">
            <v>Product:</v>
          </cell>
          <cell r="C9" t="str">
            <v>Qty:</v>
          </cell>
          <cell r="E9" t="str">
            <v>CCM:</v>
          </cell>
        </row>
        <row r="11">
          <cell r="A11" t="str">
            <v>PCBA</v>
          </cell>
          <cell r="C11">
            <v>39</v>
          </cell>
          <cell r="E11">
            <v>3151.6</v>
          </cell>
        </row>
        <row r="12">
          <cell r="A12" t="str">
            <v>PCBB</v>
          </cell>
          <cell r="C12">
            <v>2</v>
          </cell>
          <cell r="E12">
            <v>164.70000000000002</v>
          </cell>
        </row>
        <row r="13">
          <cell r="A13" t="str">
            <v>PCPA</v>
          </cell>
          <cell r="C13">
            <v>1</v>
          </cell>
          <cell r="E13">
            <v>66.2</v>
          </cell>
        </row>
        <row r="14">
          <cell r="A14" t="str">
            <v>PCHA</v>
          </cell>
          <cell r="C14">
            <v>223</v>
          </cell>
          <cell r="E14">
            <v>21328.9</v>
          </cell>
        </row>
        <row r="15">
          <cell r="A15" t="str">
            <v>PCHB</v>
          </cell>
          <cell r="C15">
            <v>34</v>
          </cell>
          <cell r="E15">
            <v>3295.1</v>
          </cell>
        </row>
        <row r="16">
          <cell r="A16" t="str">
            <v>PCHC</v>
          </cell>
          <cell r="C16">
            <v>3</v>
          </cell>
          <cell r="E16">
            <v>307</v>
          </cell>
        </row>
        <row r="17">
          <cell r="A17" t="str">
            <v>PCHTA</v>
          </cell>
          <cell r="C17">
            <v>2</v>
          </cell>
          <cell r="E17">
            <v>243.5</v>
          </cell>
        </row>
        <row r="18">
          <cell r="A18" t="str">
            <v>PCTPA</v>
          </cell>
          <cell r="C18">
            <v>52</v>
          </cell>
          <cell r="E18">
            <v>5704.4000000000005</v>
          </cell>
        </row>
        <row r="19">
          <cell r="A19" t="str">
            <v>PCTPB</v>
          </cell>
          <cell r="C19">
            <v>21</v>
          </cell>
          <cell r="E19">
            <v>2318.1</v>
          </cell>
        </row>
        <row r="20">
          <cell r="A20" t="str">
            <v>PCTPC</v>
          </cell>
          <cell r="C20">
            <v>2</v>
          </cell>
          <cell r="E20">
            <v>218.8</v>
          </cell>
        </row>
        <row r="22">
          <cell r="A22" t="str">
            <v xml:space="preserve"> Total:</v>
          </cell>
          <cell r="C22">
            <v>379</v>
          </cell>
          <cell r="E22">
            <v>36798.300000000003</v>
          </cell>
        </row>
      </sheetData>
      <sheetData sheetId="10">
        <row r="3">
          <cell r="A3" t="str">
            <v>Colcom Foods</v>
          </cell>
        </row>
        <row r="5">
          <cell r="A5" t="str">
            <v>Summary Carcass Graded Products</v>
          </cell>
        </row>
        <row r="7">
          <cell r="A7" t="str">
            <v>Date Period:2026/04/26 To 2026/05/23 --- Creditor:P001825 LIONS HEAD --- All Slaughter Types</v>
          </cell>
        </row>
        <row r="9">
          <cell r="A9" t="str">
            <v>Product:</v>
          </cell>
          <cell r="C9" t="str">
            <v>Qty:</v>
          </cell>
          <cell r="E9" t="str">
            <v>CCM:</v>
          </cell>
        </row>
        <row r="11">
          <cell r="A11" t="str">
            <v>PCBA</v>
          </cell>
          <cell r="C11">
            <v>667</v>
          </cell>
          <cell r="E11">
            <v>53217.8</v>
          </cell>
        </row>
        <row r="12">
          <cell r="A12" t="str">
            <v>PCBB</v>
          </cell>
          <cell r="C12">
            <v>12</v>
          </cell>
          <cell r="E12">
            <v>968.2</v>
          </cell>
        </row>
        <row r="13">
          <cell r="A13" t="str">
            <v>PCBC</v>
          </cell>
          <cell r="C13">
            <v>2</v>
          </cell>
          <cell r="E13">
            <v>157.30000000000001</v>
          </cell>
        </row>
        <row r="14">
          <cell r="A14" t="str">
            <v>PCPA</v>
          </cell>
          <cell r="C14">
            <v>81</v>
          </cell>
          <cell r="E14">
            <v>5298.1</v>
          </cell>
        </row>
        <row r="15">
          <cell r="A15" t="str">
            <v>PCSAS</v>
          </cell>
          <cell r="C15">
            <v>31</v>
          </cell>
          <cell r="E15">
            <v>5537.8</v>
          </cell>
        </row>
        <row r="16">
          <cell r="A16" t="str">
            <v>PCHA</v>
          </cell>
          <cell r="C16">
            <v>1388</v>
          </cell>
          <cell r="E16">
            <v>128782.5</v>
          </cell>
        </row>
        <row r="17">
          <cell r="A17" t="str">
            <v>PCHB</v>
          </cell>
          <cell r="C17">
            <v>69</v>
          </cell>
          <cell r="E17">
            <v>6571.8</v>
          </cell>
        </row>
        <row r="18">
          <cell r="A18" t="str">
            <v>PCHC</v>
          </cell>
          <cell r="C18">
            <v>2</v>
          </cell>
          <cell r="E18">
            <v>190.3</v>
          </cell>
        </row>
        <row r="19">
          <cell r="A19" t="str">
            <v>PCTPA</v>
          </cell>
          <cell r="C19">
            <v>48</v>
          </cell>
          <cell r="E19">
            <v>5195.4000000000005</v>
          </cell>
        </row>
        <row r="20">
          <cell r="A20" t="str">
            <v>PCTPB</v>
          </cell>
          <cell r="C20">
            <v>10</v>
          </cell>
          <cell r="E20">
            <v>1080.2</v>
          </cell>
        </row>
        <row r="21">
          <cell r="A21" t="str">
            <v>PCTPC</v>
          </cell>
          <cell r="C21">
            <v>2</v>
          </cell>
          <cell r="E21">
            <v>227</v>
          </cell>
        </row>
        <row r="23">
          <cell r="A23" t="str">
            <v xml:space="preserve"> Total:</v>
          </cell>
          <cell r="C23">
            <v>2312</v>
          </cell>
          <cell r="E23">
            <v>207226.4</v>
          </cell>
        </row>
      </sheetData>
      <sheetData sheetId="11">
        <row r="3">
          <cell r="A3" t="str">
            <v>Colcom Foods</v>
          </cell>
        </row>
        <row r="5">
          <cell r="A5" t="str">
            <v>Summary Carcass Graded Products</v>
          </cell>
        </row>
        <row r="7">
          <cell r="A7" t="str">
            <v>Date Period:2026/04/26 To 2026/05/23 --- Creditor:P001818 LION HEAD GROWERS EXTENSION --- All Slaughter Types</v>
          </cell>
        </row>
        <row r="9">
          <cell r="A9" t="str">
            <v>Product:</v>
          </cell>
          <cell r="C9" t="str">
            <v>Qty:</v>
          </cell>
          <cell r="E9" t="str">
            <v>CCM:</v>
          </cell>
        </row>
        <row r="11">
          <cell r="A11" t="str">
            <v>PCBA</v>
          </cell>
          <cell r="C11">
            <v>68</v>
          </cell>
          <cell r="E11">
            <v>5447.8</v>
          </cell>
        </row>
        <row r="12">
          <cell r="A12" t="str">
            <v>PCBB</v>
          </cell>
          <cell r="C12">
            <v>3</v>
          </cell>
          <cell r="E12">
            <v>241.4</v>
          </cell>
        </row>
        <row r="13">
          <cell r="A13" t="str">
            <v>PCPA</v>
          </cell>
          <cell r="C13">
            <v>9</v>
          </cell>
          <cell r="E13">
            <v>603.30000000000007</v>
          </cell>
        </row>
        <row r="14">
          <cell r="A14" t="str">
            <v>PCHA</v>
          </cell>
          <cell r="C14">
            <v>164</v>
          </cell>
          <cell r="E14">
            <v>15165.1</v>
          </cell>
        </row>
        <row r="15">
          <cell r="A15" t="str">
            <v>PCHB</v>
          </cell>
          <cell r="C15">
            <v>15</v>
          </cell>
          <cell r="E15">
            <v>1452.6000000000001</v>
          </cell>
        </row>
        <row r="16">
          <cell r="A16" t="str">
            <v>PCHTA</v>
          </cell>
          <cell r="C16">
            <v>1</v>
          </cell>
          <cell r="E16">
            <v>121.4</v>
          </cell>
        </row>
        <row r="17">
          <cell r="A17" t="str">
            <v>PCTPA</v>
          </cell>
          <cell r="C17">
            <v>5</v>
          </cell>
          <cell r="E17">
            <v>536.6</v>
          </cell>
        </row>
        <row r="18">
          <cell r="A18" t="str">
            <v>PCTPC</v>
          </cell>
          <cell r="C18">
            <v>2</v>
          </cell>
          <cell r="E18">
            <v>225.8</v>
          </cell>
        </row>
        <row r="20">
          <cell r="A20" t="str">
            <v xml:space="preserve"> Total:</v>
          </cell>
          <cell r="C20">
            <v>267</v>
          </cell>
          <cell r="E20">
            <v>23794</v>
          </cell>
        </row>
      </sheetData>
      <sheetData sheetId="12"/>
      <sheetData sheetId="13">
        <row r="3">
          <cell r="A3" t="str">
            <v>Colcom Foods</v>
          </cell>
        </row>
        <row r="5">
          <cell r="A5" t="str">
            <v>Summary Carcass Graded Products</v>
          </cell>
        </row>
        <row r="7">
          <cell r="A7" t="str">
            <v>Date Period:2026/04/26 To 2026/05/23 --- Creditor:P001830 RICHLANDS FARM --- All Slaughter Types</v>
          </cell>
        </row>
        <row r="9">
          <cell r="A9" t="str">
            <v>Product:</v>
          </cell>
          <cell r="C9" t="str">
            <v>Qty:</v>
          </cell>
          <cell r="E9" t="str">
            <v>CCM:</v>
          </cell>
        </row>
        <row r="11">
          <cell r="A11" t="str">
            <v>PCBA</v>
          </cell>
          <cell r="C11">
            <v>752</v>
          </cell>
          <cell r="E11">
            <v>59636.1</v>
          </cell>
        </row>
        <row r="12">
          <cell r="A12" t="str">
            <v>PCBB</v>
          </cell>
          <cell r="C12">
            <v>14</v>
          </cell>
          <cell r="E12">
            <v>1136.8</v>
          </cell>
        </row>
        <row r="13">
          <cell r="A13" t="str">
            <v>PCBC</v>
          </cell>
          <cell r="C13">
            <v>1</v>
          </cell>
          <cell r="E13">
            <v>83.100000000000009</v>
          </cell>
        </row>
        <row r="14">
          <cell r="A14" t="str">
            <v>PCLPA</v>
          </cell>
          <cell r="C14">
            <v>4</v>
          </cell>
          <cell r="E14">
            <v>165.9</v>
          </cell>
        </row>
        <row r="15">
          <cell r="A15" t="str">
            <v>PCPA</v>
          </cell>
          <cell r="C15">
            <v>120</v>
          </cell>
          <cell r="E15">
            <v>7618.6</v>
          </cell>
        </row>
        <row r="16">
          <cell r="A16" t="str">
            <v>PCSAS</v>
          </cell>
          <cell r="C16">
            <v>21</v>
          </cell>
          <cell r="E16">
            <v>3611.5</v>
          </cell>
        </row>
        <row r="17">
          <cell r="A17" t="str">
            <v>PCHA</v>
          </cell>
          <cell r="C17">
            <v>1150</v>
          </cell>
          <cell r="E17">
            <v>107007.6</v>
          </cell>
        </row>
        <row r="18">
          <cell r="A18" t="str">
            <v>PCHB</v>
          </cell>
          <cell r="C18">
            <v>70</v>
          </cell>
          <cell r="E18">
            <v>6714.6</v>
          </cell>
        </row>
        <row r="19">
          <cell r="A19" t="str">
            <v>PCHC</v>
          </cell>
          <cell r="C19">
            <v>6</v>
          </cell>
          <cell r="E19">
            <v>585.1</v>
          </cell>
        </row>
        <row r="20">
          <cell r="A20" t="str">
            <v>PCHTA</v>
          </cell>
          <cell r="C20">
            <v>1</v>
          </cell>
          <cell r="E20">
            <v>122.3</v>
          </cell>
        </row>
        <row r="21">
          <cell r="A21" t="str">
            <v>PCHTB</v>
          </cell>
          <cell r="C21">
            <v>1</v>
          </cell>
          <cell r="E21">
            <v>121</v>
          </cell>
        </row>
        <row r="22">
          <cell r="A22" t="str">
            <v>PCTPA</v>
          </cell>
          <cell r="C22">
            <v>56</v>
          </cell>
          <cell r="E22">
            <v>6108.7</v>
          </cell>
        </row>
        <row r="23">
          <cell r="A23" t="str">
            <v>PCTPB</v>
          </cell>
          <cell r="C23">
            <v>10</v>
          </cell>
          <cell r="E23">
            <v>1095.3</v>
          </cell>
        </row>
        <row r="25">
          <cell r="A25" t="str">
            <v xml:space="preserve"> Total:</v>
          </cell>
          <cell r="C25">
            <v>2206</v>
          </cell>
          <cell r="E25">
            <v>194006.6</v>
          </cell>
        </row>
      </sheetData>
      <sheetData sheetId="14">
        <row r="3">
          <cell r="A3" t="str">
            <v>Colcom Foods</v>
          </cell>
        </row>
        <row r="5">
          <cell r="A5" t="str">
            <v>Summary Carcass Graded Products</v>
          </cell>
        </row>
        <row r="7">
          <cell r="A7" t="str">
            <v>Date Period:2026/04/26 To 2026/05/23 --- Creditor:P001827 RICHLANDS GROWERS EXTENSION --- All Slaughter Types</v>
          </cell>
        </row>
        <row r="9">
          <cell r="A9" t="str">
            <v>Product:</v>
          </cell>
          <cell r="C9" t="str">
            <v>Qty:</v>
          </cell>
          <cell r="E9" t="str">
            <v>CCM:</v>
          </cell>
        </row>
        <row r="11">
          <cell r="A11" t="str">
            <v>PCBA</v>
          </cell>
          <cell r="C11">
            <v>87</v>
          </cell>
          <cell r="E11">
            <v>6961</v>
          </cell>
        </row>
        <row r="12">
          <cell r="A12" t="str">
            <v>PCBB</v>
          </cell>
          <cell r="C12">
            <v>3</v>
          </cell>
          <cell r="E12">
            <v>237.5</v>
          </cell>
        </row>
        <row r="13">
          <cell r="A13" t="str">
            <v>PCPA</v>
          </cell>
          <cell r="C13">
            <v>9</v>
          </cell>
          <cell r="E13">
            <v>579.9</v>
          </cell>
        </row>
        <row r="14">
          <cell r="A14" t="str">
            <v>PCHA</v>
          </cell>
          <cell r="C14">
            <v>197</v>
          </cell>
          <cell r="E14">
            <v>18297.100000000002</v>
          </cell>
        </row>
        <row r="15">
          <cell r="A15" t="str">
            <v>PCHB</v>
          </cell>
          <cell r="C15">
            <v>11</v>
          </cell>
          <cell r="E15">
            <v>1046.5999999999999</v>
          </cell>
        </row>
        <row r="16">
          <cell r="A16" t="str">
            <v>PCHC</v>
          </cell>
          <cell r="C16">
            <v>1</v>
          </cell>
          <cell r="E16">
            <v>93.9</v>
          </cell>
        </row>
        <row r="17">
          <cell r="A17" t="str">
            <v>PCTPA</v>
          </cell>
          <cell r="C17">
            <v>16</v>
          </cell>
          <cell r="E17">
            <v>1727.4</v>
          </cell>
        </row>
        <row r="18">
          <cell r="A18" t="str">
            <v>PCTPB</v>
          </cell>
          <cell r="C18">
            <v>4</v>
          </cell>
          <cell r="E18">
            <v>437.8</v>
          </cell>
        </row>
        <row r="20">
          <cell r="A20" t="str">
            <v xml:space="preserve"> Total:</v>
          </cell>
          <cell r="C20">
            <v>328</v>
          </cell>
          <cell r="E20">
            <v>29381.200000000001</v>
          </cell>
        </row>
      </sheetData>
      <sheetData sheetId="15"/>
      <sheetData sheetId="16">
        <row r="3">
          <cell r="A3" t="str">
            <v>Colcom Foods</v>
          </cell>
        </row>
        <row r="5">
          <cell r="A5" t="str">
            <v>Summary Carcass Graded Products</v>
          </cell>
        </row>
        <row r="7">
          <cell r="A7" t="str">
            <v>Date Period:2026/04/26 To 2026/05/23 --- Creditor:P001906 Porta Farm --- All Slaughter Types</v>
          </cell>
        </row>
        <row r="9">
          <cell r="A9" t="str">
            <v>Product:</v>
          </cell>
          <cell r="C9" t="str">
            <v>Qty:</v>
          </cell>
          <cell r="E9" t="str">
            <v>CCM:</v>
          </cell>
        </row>
        <row r="11">
          <cell r="A11" t="str">
            <v>PCBA</v>
          </cell>
          <cell r="C11">
            <v>392</v>
          </cell>
          <cell r="E11">
            <v>31315.7</v>
          </cell>
        </row>
        <row r="12">
          <cell r="A12" t="str">
            <v>PCPA</v>
          </cell>
          <cell r="C12">
            <v>56</v>
          </cell>
          <cell r="E12">
            <v>3650.9</v>
          </cell>
        </row>
        <row r="13">
          <cell r="A13" t="str">
            <v>PCSAS</v>
          </cell>
          <cell r="C13">
            <v>25</v>
          </cell>
          <cell r="E13">
            <v>4081.2000000000003</v>
          </cell>
        </row>
        <row r="14">
          <cell r="A14" t="str">
            <v>PCHA</v>
          </cell>
          <cell r="C14">
            <v>1529</v>
          </cell>
          <cell r="E14">
            <v>145481</v>
          </cell>
        </row>
        <row r="15">
          <cell r="A15" t="str">
            <v>PCHB</v>
          </cell>
          <cell r="C15">
            <v>47</v>
          </cell>
          <cell r="E15">
            <v>4625.3</v>
          </cell>
        </row>
        <row r="16">
          <cell r="A16" t="str">
            <v>PCHC</v>
          </cell>
          <cell r="C16">
            <v>1</v>
          </cell>
          <cell r="E16">
            <v>98.4</v>
          </cell>
        </row>
        <row r="17">
          <cell r="A17" t="str">
            <v>PCHTA</v>
          </cell>
          <cell r="C17">
            <v>2</v>
          </cell>
          <cell r="E17">
            <v>242.1</v>
          </cell>
        </row>
        <row r="18">
          <cell r="A18" t="str">
            <v>PCHTB</v>
          </cell>
          <cell r="C18">
            <v>1</v>
          </cell>
          <cell r="E18">
            <v>121.10000000000001</v>
          </cell>
        </row>
        <row r="19">
          <cell r="A19" t="str">
            <v>PCTPA</v>
          </cell>
          <cell r="C19">
            <v>256</v>
          </cell>
          <cell r="E19">
            <v>27881.600000000002</v>
          </cell>
        </row>
        <row r="20">
          <cell r="A20" t="str">
            <v>PCTPB</v>
          </cell>
          <cell r="C20">
            <v>32</v>
          </cell>
          <cell r="E20">
            <v>3509.7000000000003</v>
          </cell>
        </row>
        <row r="22">
          <cell r="A22" t="str">
            <v xml:space="preserve"> Total:</v>
          </cell>
          <cell r="C22">
            <v>2341</v>
          </cell>
          <cell r="E22">
            <v>221007</v>
          </cell>
        </row>
      </sheetData>
      <sheetData sheetId="17">
        <row r="3">
          <cell r="A3" t="str">
            <v>Colcom Foods</v>
          </cell>
        </row>
        <row r="5">
          <cell r="A5" t="str">
            <v>Summary Carcass Graded Products</v>
          </cell>
        </row>
        <row r="7">
          <cell r="A7" t="str">
            <v>Date Period:2026/04/26 To 2026/05/23 --- Creditor:P001908 PORTA FARM GROWERS EXTENSION --- All Slaughter Types</v>
          </cell>
        </row>
        <row r="9">
          <cell r="A9" t="str">
            <v>Product:</v>
          </cell>
          <cell r="C9" t="str">
            <v>Qty:</v>
          </cell>
          <cell r="E9" t="str">
            <v>CCM:</v>
          </cell>
        </row>
        <row r="11">
          <cell r="A11" t="str">
            <v>PCBA</v>
          </cell>
          <cell r="C11">
            <v>16</v>
          </cell>
          <cell r="E11">
            <v>1230.3</v>
          </cell>
        </row>
        <row r="12">
          <cell r="A12" t="str">
            <v>PCPA</v>
          </cell>
          <cell r="C12">
            <v>6</v>
          </cell>
          <cell r="E12">
            <v>359.7</v>
          </cell>
        </row>
        <row r="13">
          <cell r="A13" t="str">
            <v>PCHA</v>
          </cell>
          <cell r="C13">
            <v>36</v>
          </cell>
          <cell r="E13">
            <v>3387.3</v>
          </cell>
        </row>
        <row r="14">
          <cell r="A14" t="str">
            <v>PCHB</v>
          </cell>
          <cell r="C14">
            <v>1</v>
          </cell>
          <cell r="E14">
            <v>91.9</v>
          </cell>
        </row>
        <row r="15">
          <cell r="A15" t="str">
            <v>PCTPA</v>
          </cell>
          <cell r="C15">
            <v>1</v>
          </cell>
          <cell r="E15">
            <v>107.3</v>
          </cell>
        </row>
        <row r="17">
          <cell r="A17" t="str">
            <v xml:space="preserve"> Total:</v>
          </cell>
          <cell r="C17">
            <v>60</v>
          </cell>
          <cell r="E17">
            <v>5176.5</v>
          </cell>
        </row>
      </sheetData>
      <sheetData sheetId="18">
        <row r="3">
          <cell r="A3" t="str">
            <v>Colcom Foods</v>
          </cell>
        </row>
        <row r="5">
          <cell r="A5" t="str">
            <v>Summary Carcass Graded Products</v>
          </cell>
        </row>
        <row r="7">
          <cell r="A7" t="str">
            <v>Date Period:2026/04/26 To 2026/05/23 --- Creditor:P001907 Multiplier --- All Slaughter Types</v>
          </cell>
        </row>
        <row r="9">
          <cell r="A9" t="str">
            <v>Product:</v>
          </cell>
          <cell r="C9" t="str">
            <v>Qty:</v>
          </cell>
          <cell r="E9" t="str">
            <v>CCM:</v>
          </cell>
        </row>
        <row r="11">
          <cell r="A11" t="str">
            <v>PCBA</v>
          </cell>
          <cell r="C11">
            <v>247</v>
          </cell>
          <cell r="E11">
            <v>19733.2</v>
          </cell>
        </row>
        <row r="12">
          <cell r="A12" t="str">
            <v>PCBB</v>
          </cell>
          <cell r="C12">
            <v>3</v>
          </cell>
          <cell r="E12">
            <v>238.9</v>
          </cell>
        </row>
        <row r="13">
          <cell r="A13" t="str">
            <v>PCLPA</v>
          </cell>
          <cell r="C13">
            <v>2</v>
          </cell>
          <cell r="E13">
            <v>80.8</v>
          </cell>
        </row>
        <row r="14">
          <cell r="A14" t="str">
            <v>PCPA</v>
          </cell>
          <cell r="C14">
            <v>29</v>
          </cell>
          <cell r="E14">
            <v>1831.3</v>
          </cell>
        </row>
        <row r="15">
          <cell r="A15" t="str">
            <v>PCPB</v>
          </cell>
          <cell r="C15">
            <v>1</v>
          </cell>
          <cell r="E15">
            <v>68.599999999999994</v>
          </cell>
        </row>
        <row r="16">
          <cell r="A16" t="str">
            <v>PCSAS</v>
          </cell>
          <cell r="C16">
            <v>26</v>
          </cell>
          <cell r="E16">
            <v>4596.8</v>
          </cell>
        </row>
        <row r="17">
          <cell r="A17" t="str">
            <v>PCHA</v>
          </cell>
          <cell r="C17">
            <v>602</v>
          </cell>
          <cell r="E17">
            <v>56236</v>
          </cell>
        </row>
        <row r="18">
          <cell r="A18" t="str">
            <v>PCHB</v>
          </cell>
          <cell r="C18">
            <v>27</v>
          </cell>
          <cell r="E18">
            <v>2611.7000000000003</v>
          </cell>
        </row>
        <row r="19">
          <cell r="A19" t="str">
            <v>PCHC</v>
          </cell>
          <cell r="C19">
            <v>2</v>
          </cell>
          <cell r="E19">
            <v>179.8</v>
          </cell>
        </row>
        <row r="20">
          <cell r="A20" t="str">
            <v>PCTPA</v>
          </cell>
          <cell r="C20">
            <v>32</v>
          </cell>
          <cell r="E20">
            <v>3464.7000000000003</v>
          </cell>
        </row>
        <row r="21">
          <cell r="A21" t="str">
            <v>PCTPB</v>
          </cell>
          <cell r="C21">
            <v>5</v>
          </cell>
          <cell r="E21">
            <v>534.6</v>
          </cell>
        </row>
        <row r="23">
          <cell r="A23" t="str">
            <v xml:space="preserve"> Total:</v>
          </cell>
          <cell r="C23">
            <v>976</v>
          </cell>
          <cell r="E23">
            <v>89576.400000000009</v>
          </cell>
        </row>
      </sheetData>
      <sheetData sheetId="1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elous Pigery"/>
      <sheetName val="CCC"/>
      <sheetName val="CCC Extension"/>
      <sheetName val="Learig CCC"/>
      <sheetName val="CCC Ext"/>
      <sheetName val="Villa Franca"/>
      <sheetName val="Villa Franca Extension"/>
      <sheetName val="Learig Villa"/>
      <sheetName val="LionsHead"/>
      <sheetName val="LionsHead Extension"/>
      <sheetName val="Learig L Head"/>
      <sheetName val="Richlands"/>
      <sheetName val="Richlands Extension"/>
      <sheetName val="Learig Richlands"/>
      <sheetName val="Porta Farm"/>
      <sheetName val="Porta Ext"/>
      <sheetName val="Porta Learig"/>
      <sheetName val="Multiplier"/>
      <sheetName val="Learing Farm"/>
    </sheetNames>
    <sheetDataSet>
      <sheetData sheetId="0"/>
      <sheetData sheetId="1"/>
      <sheetData sheetId="2"/>
      <sheetData sheetId="3">
        <row r="3">
          <cell r="A3" t="str">
            <v>Colcom Foods</v>
          </cell>
        </row>
        <row r="5">
          <cell r="A5" t="str">
            <v>Summary Carcass Graded Products</v>
          </cell>
        </row>
        <row r="7">
          <cell r="A7" t="str">
            <v>Date Period:2026/05/24 To 2026/06/27 --- Creditor:P001771 TRIPLE C PIGS --- All Slaughter Types</v>
          </cell>
        </row>
        <row r="9">
          <cell r="A9" t="str">
            <v>Product:</v>
          </cell>
          <cell r="C9" t="str">
            <v>Qty:</v>
          </cell>
          <cell r="E9" t="str">
            <v>CCM:</v>
          </cell>
        </row>
        <row r="11">
          <cell r="A11" t="str">
            <v>PCBA</v>
          </cell>
          <cell r="C11">
            <v>625</v>
          </cell>
          <cell r="E11">
            <v>49363.9</v>
          </cell>
        </row>
        <row r="12">
          <cell r="A12" t="str">
            <v>PCBB</v>
          </cell>
          <cell r="C12">
            <v>7</v>
          </cell>
          <cell r="E12">
            <v>547.5</v>
          </cell>
        </row>
        <row r="13">
          <cell r="A13" t="str">
            <v>PCLPA</v>
          </cell>
          <cell r="C13">
            <v>1</v>
          </cell>
          <cell r="E13">
            <v>44.6</v>
          </cell>
        </row>
        <row r="14">
          <cell r="A14" t="str">
            <v>PCPA</v>
          </cell>
          <cell r="C14">
            <v>195</v>
          </cell>
          <cell r="E14">
            <v>12302.1</v>
          </cell>
        </row>
        <row r="15">
          <cell r="A15" t="str">
            <v>PCPB</v>
          </cell>
          <cell r="C15">
            <v>1</v>
          </cell>
          <cell r="E15">
            <v>69.2</v>
          </cell>
        </row>
        <row r="16">
          <cell r="A16" t="str">
            <v>PCSAS</v>
          </cell>
          <cell r="C16">
            <v>51</v>
          </cell>
          <cell r="E16">
            <v>9139.5</v>
          </cell>
        </row>
        <row r="17">
          <cell r="A17" t="str">
            <v>PCHA</v>
          </cell>
          <cell r="C17">
            <v>2968</v>
          </cell>
          <cell r="E17">
            <v>284461.40000000002</v>
          </cell>
        </row>
        <row r="18">
          <cell r="A18" t="str">
            <v>PCHB</v>
          </cell>
          <cell r="C18">
            <v>252</v>
          </cell>
          <cell r="E18">
            <v>24657.7</v>
          </cell>
        </row>
        <row r="19">
          <cell r="A19" t="str">
            <v>PCHC</v>
          </cell>
          <cell r="C19">
            <v>12</v>
          </cell>
          <cell r="E19">
            <v>1187.1000000000001</v>
          </cell>
        </row>
        <row r="20">
          <cell r="A20" t="str">
            <v>PCHTA</v>
          </cell>
          <cell r="C20">
            <v>26</v>
          </cell>
          <cell r="E20">
            <v>3184.3</v>
          </cell>
        </row>
        <row r="21">
          <cell r="A21" t="str">
            <v>PCHTB</v>
          </cell>
          <cell r="C21">
            <v>16</v>
          </cell>
          <cell r="E21">
            <v>1979.1000000000001</v>
          </cell>
        </row>
        <row r="22">
          <cell r="A22" t="str">
            <v>PCTPA</v>
          </cell>
          <cell r="C22">
            <v>903</v>
          </cell>
          <cell r="E22">
            <v>99063.8</v>
          </cell>
        </row>
        <row r="23">
          <cell r="A23" t="str">
            <v>PCTPB</v>
          </cell>
          <cell r="C23">
            <v>179</v>
          </cell>
          <cell r="E23">
            <v>19858.7</v>
          </cell>
        </row>
        <row r="24">
          <cell r="A24" t="str">
            <v>PCTPC</v>
          </cell>
          <cell r="C24">
            <v>19</v>
          </cell>
          <cell r="E24">
            <v>2094</v>
          </cell>
        </row>
        <row r="26">
          <cell r="A26" t="str">
            <v xml:space="preserve"> Total:</v>
          </cell>
          <cell r="C26">
            <v>5255</v>
          </cell>
          <cell r="E26">
            <v>507952.9</v>
          </cell>
        </row>
      </sheetData>
      <sheetData sheetId="4"/>
      <sheetData sheetId="5">
        <row r="3">
          <cell r="A3" t="str">
            <v>Colcom Foods</v>
          </cell>
        </row>
        <row r="5">
          <cell r="A5" t="str">
            <v>Summary Carcass Graded Products</v>
          </cell>
        </row>
        <row r="7">
          <cell r="A7" t="str">
            <v>Date Period:2026/05/24 To 2026/06/27 --- Creditor:P001901 LEARIG - TRIPLE C --- All Slaughter Types</v>
          </cell>
        </row>
        <row r="9">
          <cell r="A9" t="str">
            <v>Product:</v>
          </cell>
          <cell r="C9" t="str">
            <v>Qty:</v>
          </cell>
          <cell r="E9" t="str">
            <v>CCM:</v>
          </cell>
        </row>
        <row r="11">
          <cell r="A11" t="str">
            <v>PCBA</v>
          </cell>
          <cell r="C11">
            <v>135</v>
          </cell>
          <cell r="E11">
            <v>10766.800000000001</v>
          </cell>
        </row>
        <row r="12">
          <cell r="A12" t="str">
            <v>PCBB</v>
          </cell>
          <cell r="C12">
            <v>1</v>
          </cell>
          <cell r="E12">
            <v>84.7</v>
          </cell>
        </row>
        <row r="13">
          <cell r="A13" t="str">
            <v>PCPA</v>
          </cell>
          <cell r="C13">
            <v>13</v>
          </cell>
          <cell r="E13">
            <v>826.2</v>
          </cell>
        </row>
        <row r="14">
          <cell r="A14" t="str">
            <v>PCHA</v>
          </cell>
          <cell r="C14">
            <v>910</v>
          </cell>
          <cell r="E14">
            <v>87435.199999999997</v>
          </cell>
        </row>
        <row r="15">
          <cell r="A15" t="str">
            <v>PCHB</v>
          </cell>
          <cell r="C15">
            <v>49</v>
          </cell>
          <cell r="E15">
            <v>4885.6000000000004</v>
          </cell>
        </row>
        <row r="16">
          <cell r="A16" t="str">
            <v>PCHC</v>
          </cell>
          <cell r="C16">
            <v>2</v>
          </cell>
          <cell r="E16">
            <v>201.6</v>
          </cell>
        </row>
        <row r="17">
          <cell r="A17" t="str">
            <v>PCHTA</v>
          </cell>
          <cell r="C17">
            <v>17</v>
          </cell>
          <cell r="E17">
            <v>2099.1999999999998</v>
          </cell>
        </row>
        <row r="18">
          <cell r="A18" t="str">
            <v>PCHTB</v>
          </cell>
          <cell r="C18">
            <v>10</v>
          </cell>
          <cell r="E18">
            <v>1267</v>
          </cell>
        </row>
        <row r="19">
          <cell r="A19" t="str">
            <v>PCHTC</v>
          </cell>
          <cell r="C19">
            <v>1</v>
          </cell>
          <cell r="E19">
            <v>120.2</v>
          </cell>
        </row>
        <row r="20">
          <cell r="A20" t="str">
            <v>PCTPA</v>
          </cell>
          <cell r="C20">
            <v>334</v>
          </cell>
          <cell r="E20">
            <v>36860</v>
          </cell>
        </row>
        <row r="21">
          <cell r="A21" t="str">
            <v>PCTPB</v>
          </cell>
          <cell r="C21">
            <v>95</v>
          </cell>
          <cell r="E21">
            <v>10625.9</v>
          </cell>
        </row>
        <row r="22">
          <cell r="A22" t="str">
            <v>PCTPC</v>
          </cell>
          <cell r="C22">
            <v>4</v>
          </cell>
          <cell r="E22">
            <v>441.7</v>
          </cell>
        </row>
        <row r="24">
          <cell r="A24" t="str">
            <v xml:space="preserve"> Total:</v>
          </cell>
          <cell r="C24">
            <v>1571</v>
          </cell>
          <cell r="E24">
            <v>155614.1</v>
          </cell>
        </row>
        <row r="31">
          <cell r="E31">
            <v>197036.2</v>
          </cell>
        </row>
      </sheetData>
      <sheetData sheetId="6"/>
      <sheetData sheetId="7">
        <row r="3">
          <cell r="A3" t="str">
            <v>Colcom Foods</v>
          </cell>
        </row>
        <row r="5">
          <cell r="A5" t="str">
            <v>Summary Carcass Graded Products</v>
          </cell>
        </row>
        <row r="7">
          <cell r="A7" t="str">
            <v>Date Period:2026/05/24 To 2026/06/27 --- Creditor:P001805 VILLA FRANCA (OUTGROWER) --- All Slaughter Types</v>
          </cell>
        </row>
        <row r="9">
          <cell r="A9" t="str">
            <v>Product:</v>
          </cell>
          <cell r="C9" t="str">
            <v>Qty:</v>
          </cell>
          <cell r="E9" t="str">
            <v>CCM:</v>
          </cell>
        </row>
        <row r="11">
          <cell r="A11" t="str">
            <v>PCBA</v>
          </cell>
          <cell r="C11">
            <v>157</v>
          </cell>
          <cell r="E11">
            <v>12543</v>
          </cell>
        </row>
        <row r="12">
          <cell r="A12" t="str">
            <v>PCBB</v>
          </cell>
          <cell r="C12">
            <v>5</v>
          </cell>
          <cell r="E12">
            <v>413.8</v>
          </cell>
        </row>
        <row r="13">
          <cell r="A13" t="str">
            <v>PCPA</v>
          </cell>
          <cell r="C13">
            <v>14</v>
          </cell>
          <cell r="E13">
            <v>901.4</v>
          </cell>
        </row>
        <row r="14">
          <cell r="A14" t="str">
            <v>PCPB</v>
          </cell>
          <cell r="C14">
            <v>2</v>
          </cell>
          <cell r="E14">
            <v>130.9</v>
          </cell>
        </row>
        <row r="15">
          <cell r="A15" t="str">
            <v>PCSAS</v>
          </cell>
          <cell r="C15">
            <v>9</v>
          </cell>
          <cell r="E15">
            <v>1606.3</v>
          </cell>
        </row>
        <row r="16">
          <cell r="A16" t="str">
            <v>PCHA</v>
          </cell>
          <cell r="C16">
            <v>465</v>
          </cell>
          <cell r="E16">
            <v>44128.1</v>
          </cell>
        </row>
        <row r="17">
          <cell r="A17" t="str">
            <v>PCHB</v>
          </cell>
          <cell r="C17">
            <v>64</v>
          </cell>
          <cell r="E17">
            <v>6198.8</v>
          </cell>
        </row>
        <row r="18">
          <cell r="A18" t="str">
            <v>PCHC</v>
          </cell>
          <cell r="C18">
            <v>3</v>
          </cell>
          <cell r="E18">
            <v>288.5</v>
          </cell>
        </row>
        <row r="19">
          <cell r="A19" t="str">
            <v>PCHTA</v>
          </cell>
          <cell r="C19">
            <v>4</v>
          </cell>
          <cell r="E19">
            <v>488.5</v>
          </cell>
        </row>
        <row r="20">
          <cell r="A20" t="str">
            <v>PCHTB</v>
          </cell>
          <cell r="C20">
            <v>6</v>
          </cell>
          <cell r="E20">
            <v>738.9</v>
          </cell>
        </row>
        <row r="21">
          <cell r="A21" t="str">
            <v>PCHTC</v>
          </cell>
          <cell r="C21">
            <v>1</v>
          </cell>
          <cell r="E21">
            <v>122.4</v>
          </cell>
        </row>
        <row r="22">
          <cell r="A22" t="str">
            <v>PCTPA</v>
          </cell>
          <cell r="C22">
            <v>131</v>
          </cell>
          <cell r="E22">
            <v>14458.300000000001</v>
          </cell>
        </row>
        <row r="23">
          <cell r="A23" t="str">
            <v>PCTPB</v>
          </cell>
          <cell r="C23">
            <v>43</v>
          </cell>
          <cell r="E23">
            <v>4783.3</v>
          </cell>
        </row>
        <row r="24">
          <cell r="A24" t="str">
            <v>PCTPC</v>
          </cell>
          <cell r="C24">
            <v>5</v>
          </cell>
          <cell r="E24">
            <v>545.79999999999995</v>
          </cell>
        </row>
        <row r="26">
          <cell r="A26" t="str">
            <v xml:space="preserve"> Total:</v>
          </cell>
          <cell r="C26">
            <v>909</v>
          </cell>
          <cell r="E26">
            <v>87348</v>
          </cell>
        </row>
      </sheetData>
      <sheetData sheetId="8">
        <row r="3">
          <cell r="A3" t="str">
            <v>Colcom Foods</v>
          </cell>
        </row>
        <row r="5">
          <cell r="A5" t="str">
            <v>Summary Carcass Graded Products</v>
          </cell>
        </row>
        <row r="7">
          <cell r="A7" t="str">
            <v>Date Period:2026/05/24 To 2026/06/27 --- Creditor:P001807 VILLA FRANCA GROWERS EXTENSION --- All Slaughter Types</v>
          </cell>
        </row>
        <row r="9">
          <cell r="A9" t="str">
            <v>Product:</v>
          </cell>
          <cell r="C9" t="str">
            <v>Qty:</v>
          </cell>
          <cell r="E9" t="str">
            <v>CCM:</v>
          </cell>
        </row>
        <row r="11">
          <cell r="A11" t="str">
            <v>PCBA</v>
          </cell>
          <cell r="C11">
            <v>136</v>
          </cell>
          <cell r="E11">
            <v>10749.7</v>
          </cell>
        </row>
        <row r="12">
          <cell r="A12" t="str">
            <v>PCBB</v>
          </cell>
          <cell r="C12">
            <v>6</v>
          </cell>
          <cell r="E12">
            <v>482.90000000000003</v>
          </cell>
        </row>
        <row r="13">
          <cell r="A13" t="str">
            <v>PCBC</v>
          </cell>
          <cell r="C13">
            <v>1</v>
          </cell>
          <cell r="E13">
            <v>83.8</v>
          </cell>
        </row>
        <row r="14">
          <cell r="A14" t="str">
            <v>PCPA</v>
          </cell>
          <cell r="C14">
            <v>23</v>
          </cell>
          <cell r="E14">
            <v>1471.4</v>
          </cell>
        </row>
        <row r="15">
          <cell r="A15" t="str">
            <v>PCHA</v>
          </cell>
          <cell r="C15">
            <v>197</v>
          </cell>
          <cell r="E15">
            <v>18337.7</v>
          </cell>
        </row>
        <row r="16">
          <cell r="A16" t="str">
            <v>PCHB</v>
          </cell>
          <cell r="C16">
            <v>29</v>
          </cell>
          <cell r="E16">
            <v>2762.7000000000003</v>
          </cell>
        </row>
        <row r="17">
          <cell r="A17" t="str">
            <v>PCHC</v>
          </cell>
          <cell r="C17">
            <v>4</v>
          </cell>
          <cell r="E17">
            <v>378.6</v>
          </cell>
        </row>
        <row r="18">
          <cell r="A18" t="str">
            <v>PCHTA</v>
          </cell>
          <cell r="C18">
            <v>1</v>
          </cell>
          <cell r="E18">
            <v>122.10000000000001</v>
          </cell>
        </row>
        <row r="19">
          <cell r="A19" t="str">
            <v>PCTPA</v>
          </cell>
          <cell r="C19">
            <v>18</v>
          </cell>
          <cell r="E19">
            <v>1985.3</v>
          </cell>
        </row>
        <row r="20">
          <cell r="A20" t="str">
            <v>PCTPB</v>
          </cell>
          <cell r="C20">
            <v>10</v>
          </cell>
          <cell r="E20">
            <v>1104.3</v>
          </cell>
        </row>
        <row r="21">
          <cell r="A21" t="str">
            <v>PCTPC</v>
          </cell>
          <cell r="C21">
            <v>1</v>
          </cell>
          <cell r="E21">
            <v>109.10000000000001</v>
          </cell>
        </row>
        <row r="23">
          <cell r="A23" t="str">
            <v xml:space="preserve"> Total:</v>
          </cell>
          <cell r="C23">
            <v>426</v>
          </cell>
          <cell r="E23">
            <v>37587.599999999999</v>
          </cell>
        </row>
      </sheetData>
      <sheetData sheetId="9">
        <row r="3">
          <cell r="A3" t="str">
            <v>Colcom Foods</v>
          </cell>
        </row>
        <row r="5">
          <cell r="A5" t="str">
            <v>Summary Carcass Graded Products</v>
          </cell>
        </row>
        <row r="7">
          <cell r="A7" t="str">
            <v>Date Period:2026/05/24 To 2026/06/27 --- Creditor:P001902 LEARIG - VILLA FRANCA --- All Slaughter Types</v>
          </cell>
        </row>
        <row r="9">
          <cell r="A9" t="str">
            <v>Product:</v>
          </cell>
          <cell r="C9" t="str">
            <v>Qty:</v>
          </cell>
          <cell r="E9" t="str">
            <v>CCM:</v>
          </cell>
        </row>
        <row r="11">
          <cell r="A11" t="str">
            <v>PCBA</v>
          </cell>
          <cell r="C11">
            <v>21</v>
          </cell>
          <cell r="E11">
            <v>1676.6000000000001</v>
          </cell>
        </row>
        <row r="12">
          <cell r="A12" t="str">
            <v>PCHA</v>
          </cell>
          <cell r="C12">
            <v>56</v>
          </cell>
          <cell r="E12">
            <v>5258.9000000000005</v>
          </cell>
        </row>
        <row r="13">
          <cell r="A13" t="str">
            <v>PCHB</v>
          </cell>
          <cell r="C13">
            <v>3</v>
          </cell>
          <cell r="E13">
            <v>286.8</v>
          </cell>
        </row>
        <row r="14">
          <cell r="A14" t="str">
            <v>PCHTC</v>
          </cell>
          <cell r="C14">
            <v>1</v>
          </cell>
          <cell r="E14">
            <v>122.3</v>
          </cell>
        </row>
        <row r="15">
          <cell r="A15" t="str">
            <v>PCTPA</v>
          </cell>
          <cell r="C15">
            <v>7</v>
          </cell>
          <cell r="E15">
            <v>760.4</v>
          </cell>
        </row>
        <row r="16">
          <cell r="A16" t="str">
            <v>PCTPB</v>
          </cell>
          <cell r="C16">
            <v>4</v>
          </cell>
          <cell r="E16">
            <v>444.3</v>
          </cell>
        </row>
        <row r="18">
          <cell r="A18" t="str">
            <v xml:space="preserve"> Total:</v>
          </cell>
          <cell r="C18">
            <v>92</v>
          </cell>
          <cell r="E18">
            <v>8549.2999999999993</v>
          </cell>
        </row>
      </sheetData>
      <sheetData sheetId="10">
        <row r="3">
          <cell r="A3" t="str">
            <v>Colcom Foods</v>
          </cell>
        </row>
        <row r="5">
          <cell r="A5" t="str">
            <v>Summary Carcass Graded Products</v>
          </cell>
        </row>
        <row r="7">
          <cell r="A7" t="str">
            <v>Date Period:2026/05/24 To 2026/06/27 --- Creditor:P001825 LIONS HEAD --- All Slaughter Types</v>
          </cell>
        </row>
        <row r="9">
          <cell r="A9" t="str">
            <v>Product:</v>
          </cell>
          <cell r="C9" t="str">
            <v>Qty:</v>
          </cell>
          <cell r="E9" t="str">
            <v>CCM:</v>
          </cell>
        </row>
        <row r="11">
          <cell r="A11" t="str">
            <v>PCBA</v>
          </cell>
          <cell r="C11">
            <v>856</v>
          </cell>
          <cell r="E11">
            <v>67966.899999999994</v>
          </cell>
        </row>
        <row r="12">
          <cell r="A12" t="str">
            <v>PCBB</v>
          </cell>
          <cell r="C12">
            <v>20</v>
          </cell>
          <cell r="E12">
            <v>1626.2</v>
          </cell>
        </row>
        <row r="13">
          <cell r="A13" t="str">
            <v>PCLPA</v>
          </cell>
          <cell r="C13">
            <v>3</v>
          </cell>
          <cell r="E13">
            <v>125.2</v>
          </cell>
        </row>
        <row r="14">
          <cell r="A14" t="str">
            <v>PCPA</v>
          </cell>
          <cell r="C14">
            <v>139</v>
          </cell>
          <cell r="E14">
            <v>8772.3000000000011</v>
          </cell>
        </row>
        <row r="15">
          <cell r="A15" t="str">
            <v>PCPB</v>
          </cell>
          <cell r="C15">
            <v>1</v>
          </cell>
          <cell r="E15">
            <v>68.2</v>
          </cell>
        </row>
        <row r="16">
          <cell r="A16" t="str">
            <v>PCSAS</v>
          </cell>
          <cell r="C16">
            <v>28</v>
          </cell>
          <cell r="E16">
            <v>4967.1000000000004</v>
          </cell>
        </row>
        <row r="17">
          <cell r="A17" t="str">
            <v>PCHA</v>
          </cell>
          <cell r="C17">
            <v>1660</v>
          </cell>
          <cell r="E17">
            <v>155195.4</v>
          </cell>
        </row>
        <row r="18">
          <cell r="A18" t="str">
            <v>PCHB</v>
          </cell>
          <cell r="C18">
            <v>132</v>
          </cell>
          <cell r="E18">
            <v>12645.6</v>
          </cell>
        </row>
        <row r="19">
          <cell r="A19" t="str">
            <v>PCHC</v>
          </cell>
          <cell r="C19">
            <v>13</v>
          </cell>
          <cell r="E19">
            <v>1172.9000000000001</v>
          </cell>
        </row>
        <row r="20">
          <cell r="A20" t="str">
            <v>PCHTA</v>
          </cell>
          <cell r="C20">
            <v>2</v>
          </cell>
          <cell r="E20">
            <v>241.4</v>
          </cell>
        </row>
        <row r="21">
          <cell r="A21" t="str">
            <v>PCHTB</v>
          </cell>
          <cell r="C21">
            <v>1</v>
          </cell>
          <cell r="E21">
            <v>123.4</v>
          </cell>
        </row>
        <row r="22">
          <cell r="A22" t="str">
            <v>PCTPA</v>
          </cell>
          <cell r="C22">
            <v>131</v>
          </cell>
          <cell r="E22">
            <v>14200</v>
          </cell>
        </row>
        <row r="23">
          <cell r="A23" t="str">
            <v>PCTPB</v>
          </cell>
          <cell r="C23">
            <v>24</v>
          </cell>
          <cell r="E23">
            <v>2622.2000000000003</v>
          </cell>
        </row>
        <row r="25">
          <cell r="A25" t="str">
            <v xml:space="preserve"> Total:</v>
          </cell>
          <cell r="C25">
            <v>3010</v>
          </cell>
          <cell r="E25">
            <v>269726.8</v>
          </cell>
        </row>
      </sheetData>
      <sheetData sheetId="11">
        <row r="3">
          <cell r="A3" t="str">
            <v>Colcom Foods</v>
          </cell>
        </row>
        <row r="5">
          <cell r="A5" t="str">
            <v>Summary Carcass Graded Products</v>
          </cell>
        </row>
        <row r="7">
          <cell r="A7" t="str">
            <v>Date Period:2026/05/24 To 2026/06/27 --- Creditor:P001818 LION HEAD GROWERS EXTENSION --- All Slaughter Types</v>
          </cell>
        </row>
        <row r="9">
          <cell r="A9" t="str">
            <v>Product:</v>
          </cell>
          <cell r="C9" t="str">
            <v>Qty:</v>
          </cell>
          <cell r="E9" t="str">
            <v>CCM:</v>
          </cell>
        </row>
        <row r="11">
          <cell r="A11" t="str">
            <v>PCBA</v>
          </cell>
          <cell r="C11">
            <v>108</v>
          </cell>
          <cell r="E11">
            <v>8661.2000000000007</v>
          </cell>
        </row>
        <row r="12">
          <cell r="A12" t="str">
            <v>PCBB</v>
          </cell>
          <cell r="C12">
            <v>4</v>
          </cell>
          <cell r="E12">
            <v>327.8</v>
          </cell>
        </row>
        <row r="13">
          <cell r="A13" t="str">
            <v>PCLPA</v>
          </cell>
          <cell r="C13">
            <v>1</v>
          </cell>
          <cell r="E13">
            <v>38.1</v>
          </cell>
        </row>
        <row r="14">
          <cell r="A14" t="str">
            <v>PCPA</v>
          </cell>
          <cell r="C14">
            <v>17</v>
          </cell>
          <cell r="E14">
            <v>1069.2</v>
          </cell>
        </row>
        <row r="15">
          <cell r="A15" t="str">
            <v>PCHA</v>
          </cell>
          <cell r="C15">
            <v>222</v>
          </cell>
          <cell r="E15">
            <v>20758.600000000002</v>
          </cell>
        </row>
        <row r="16">
          <cell r="A16" t="str">
            <v>PCHB</v>
          </cell>
          <cell r="C16">
            <v>16</v>
          </cell>
          <cell r="E16">
            <v>1476.8</v>
          </cell>
        </row>
        <row r="17">
          <cell r="A17" t="str">
            <v>PCTPA</v>
          </cell>
          <cell r="C17">
            <v>24</v>
          </cell>
          <cell r="E17">
            <v>2595.6</v>
          </cell>
        </row>
        <row r="18">
          <cell r="A18" t="str">
            <v>PCTPB</v>
          </cell>
          <cell r="C18">
            <v>1</v>
          </cell>
          <cell r="E18">
            <v>109.2</v>
          </cell>
        </row>
        <row r="20">
          <cell r="A20" t="str">
            <v xml:space="preserve"> Total:</v>
          </cell>
          <cell r="C20">
            <v>393</v>
          </cell>
          <cell r="E20">
            <v>35036.5</v>
          </cell>
        </row>
        <row r="27">
          <cell r="E27">
            <v>89837.000000000015</v>
          </cell>
        </row>
      </sheetData>
      <sheetData sheetId="12"/>
      <sheetData sheetId="13">
        <row r="3">
          <cell r="A3" t="str">
            <v>Colcom Foods</v>
          </cell>
        </row>
        <row r="5">
          <cell r="A5" t="str">
            <v>Summary Carcass Graded Products</v>
          </cell>
        </row>
        <row r="7">
          <cell r="A7" t="str">
            <v>Date Period:2026/05/24 To 2026/06/27 --- Creditor:P001830 RICHLANDS FARM --- All Slaughter Types</v>
          </cell>
        </row>
        <row r="9">
          <cell r="A9" t="str">
            <v>Product:</v>
          </cell>
          <cell r="C9" t="str">
            <v>Qty:</v>
          </cell>
          <cell r="E9" t="str">
            <v>CCM:</v>
          </cell>
        </row>
        <row r="11">
          <cell r="A11" t="str">
            <v>PCBA</v>
          </cell>
          <cell r="C11">
            <v>704</v>
          </cell>
          <cell r="E11">
            <v>56172.1</v>
          </cell>
        </row>
        <row r="12">
          <cell r="A12" t="str">
            <v>PCBB</v>
          </cell>
          <cell r="C12">
            <v>20</v>
          </cell>
          <cell r="E12">
            <v>1634.5</v>
          </cell>
        </row>
        <row r="13">
          <cell r="A13" t="str">
            <v>PCLPA</v>
          </cell>
          <cell r="C13">
            <v>3</v>
          </cell>
          <cell r="E13">
            <v>110.5</v>
          </cell>
        </row>
        <row r="14">
          <cell r="A14" t="str">
            <v>PCPA</v>
          </cell>
          <cell r="C14">
            <v>122</v>
          </cell>
          <cell r="E14">
            <v>7785.9000000000005</v>
          </cell>
        </row>
        <row r="15">
          <cell r="A15" t="str">
            <v>PCPB</v>
          </cell>
          <cell r="C15">
            <v>1</v>
          </cell>
          <cell r="E15">
            <v>66.3</v>
          </cell>
        </row>
        <row r="16">
          <cell r="A16" t="str">
            <v>PCSAS</v>
          </cell>
          <cell r="C16">
            <v>51</v>
          </cell>
          <cell r="E16">
            <v>9086.7000000000007</v>
          </cell>
        </row>
        <row r="17">
          <cell r="A17" t="str">
            <v>PCHA</v>
          </cell>
          <cell r="C17">
            <v>1603</v>
          </cell>
          <cell r="E17">
            <v>150409.70000000001</v>
          </cell>
        </row>
        <row r="18">
          <cell r="A18" t="str">
            <v>PCHB</v>
          </cell>
          <cell r="C18">
            <v>158</v>
          </cell>
          <cell r="E18">
            <v>15222</v>
          </cell>
        </row>
        <row r="19">
          <cell r="A19" t="str">
            <v>PCHC</v>
          </cell>
          <cell r="C19">
            <v>10</v>
          </cell>
          <cell r="E19">
            <v>971.6</v>
          </cell>
        </row>
        <row r="20">
          <cell r="A20" t="str">
            <v>PCHTA</v>
          </cell>
          <cell r="C20">
            <v>3</v>
          </cell>
          <cell r="E20">
            <v>366.90000000000003</v>
          </cell>
        </row>
        <row r="21">
          <cell r="A21" t="str">
            <v>PCTPA</v>
          </cell>
          <cell r="C21">
            <v>113</v>
          </cell>
          <cell r="E21">
            <v>12215.4</v>
          </cell>
        </row>
        <row r="22">
          <cell r="A22" t="str">
            <v>PCTPB</v>
          </cell>
          <cell r="C22">
            <v>39</v>
          </cell>
          <cell r="E22">
            <v>4251.5</v>
          </cell>
        </row>
        <row r="23">
          <cell r="A23" t="str">
            <v>PCTPC</v>
          </cell>
          <cell r="C23">
            <v>4</v>
          </cell>
          <cell r="E23">
            <v>433.90000000000003</v>
          </cell>
        </row>
        <row r="25">
          <cell r="A25" t="str">
            <v xml:space="preserve"> Total:</v>
          </cell>
          <cell r="C25">
            <v>2831</v>
          </cell>
          <cell r="E25">
            <v>258727</v>
          </cell>
        </row>
      </sheetData>
      <sheetData sheetId="14">
        <row r="3">
          <cell r="A3" t="str">
            <v>Colcom Foods</v>
          </cell>
        </row>
        <row r="5">
          <cell r="A5" t="str">
            <v>Summary Carcass Graded Products</v>
          </cell>
        </row>
        <row r="7">
          <cell r="A7" t="str">
            <v>Date Period:2026/05/24 To 2026/06/27 --- Creditor:P001827 RICHLANDS GROWERS EXTENSION --- All Slaughter Types</v>
          </cell>
        </row>
        <row r="9">
          <cell r="A9" t="str">
            <v>Product:</v>
          </cell>
          <cell r="C9" t="str">
            <v>Qty:</v>
          </cell>
          <cell r="E9" t="str">
            <v>CCM:</v>
          </cell>
        </row>
        <row r="11">
          <cell r="A11" t="str">
            <v>PCBA</v>
          </cell>
          <cell r="C11">
            <v>25</v>
          </cell>
          <cell r="E11">
            <v>2006.1000000000001</v>
          </cell>
        </row>
        <row r="12">
          <cell r="A12" t="str">
            <v>PCBB</v>
          </cell>
          <cell r="C12">
            <v>1</v>
          </cell>
          <cell r="E12">
            <v>71</v>
          </cell>
        </row>
        <row r="13">
          <cell r="A13" t="str">
            <v>PCPA</v>
          </cell>
          <cell r="C13">
            <v>4</v>
          </cell>
          <cell r="E13">
            <v>271.8</v>
          </cell>
        </row>
        <row r="14">
          <cell r="A14" t="str">
            <v>PCHA</v>
          </cell>
          <cell r="C14">
            <v>61</v>
          </cell>
          <cell r="E14">
            <v>5698.3</v>
          </cell>
        </row>
        <row r="15">
          <cell r="A15" t="str">
            <v>PCHB</v>
          </cell>
          <cell r="C15">
            <v>1</v>
          </cell>
          <cell r="E15">
            <v>98.3</v>
          </cell>
        </row>
        <row r="16">
          <cell r="A16" t="str">
            <v>PCTPA</v>
          </cell>
          <cell r="C16">
            <v>3</v>
          </cell>
          <cell r="E16">
            <v>320.3</v>
          </cell>
        </row>
        <row r="18">
          <cell r="A18" t="str">
            <v xml:space="preserve"> Total:</v>
          </cell>
          <cell r="C18">
            <v>95</v>
          </cell>
          <cell r="E18">
            <v>8465.7999999999993</v>
          </cell>
        </row>
      </sheetData>
      <sheetData sheetId="15">
        <row r="3">
          <cell r="A3" t="str">
            <v>Colcom Foods</v>
          </cell>
        </row>
        <row r="5">
          <cell r="A5" t="str">
            <v>Summary Carcass Graded Products</v>
          </cell>
        </row>
        <row r="7">
          <cell r="A7" t="str">
            <v>Date Period:2026/05/24 To 2026/06/27 --- Creditor:P001904 LEARIG - RICHLANDS --- All Slaughter Types</v>
          </cell>
        </row>
        <row r="9">
          <cell r="A9" t="str">
            <v>Product:</v>
          </cell>
          <cell r="C9" t="str">
            <v>Qty:</v>
          </cell>
          <cell r="E9" t="str">
            <v>CCM:</v>
          </cell>
        </row>
        <row r="11">
          <cell r="A11" t="str">
            <v>PCBA</v>
          </cell>
          <cell r="C11">
            <v>26</v>
          </cell>
          <cell r="E11">
            <v>2083.1</v>
          </cell>
        </row>
        <row r="12">
          <cell r="A12" t="str">
            <v>PCPA</v>
          </cell>
          <cell r="C12">
            <v>13</v>
          </cell>
          <cell r="E12">
            <v>851</v>
          </cell>
        </row>
        <row r="13">
          <cell r="A13" t="str">
            <v>PCHA</v>
          </cell>
          <cell r="C13">
            <v>191</v>
          </cell>
          <cell r="E13">
            <v>18365</v>
          </cell>
        </row>
        <row r="14">
          <cell r="A14" t="str">
            <v>PCHB</v>
          </cell>
          <cell r="C14">
            <v>9</v>
          </cell>
          <cell r="E14">
            <v>879.5</v>
          </cell>
        </row>
        <row r="15">
          <cell r="A15" t="str">
            <v>PCHTB</v>
          </cell>
          <cell r="C15">
            <v>2</v>
          </cell>
          <cell r="E15">
            <v>242.6</v>
          </cell>
        </row>
        <row r="16">
          <cell r="A16" t="str">
            <v>PCTPA</v>
          </cell>
          <cell r="C16">
            <v>41</v>
          </cell>
          <cell r="E16">
            <v>4494.8</v>
          </cell>
        </row>
        <row r="17">
          <cell r="A17" t="str">
            <v>PCTPB</v>
          </cell>
          <cell r="C17">
            <v>16</v>
          </cell>
          <cell r="E17">
            <v>1773.8</v>
          </cell>
        </row>
        <row r="18">
          <cell r="A18" t="str">
            <v>PCTPC</v>
          </cell>
          <cell r="C18">
            <v>1</v>
          </cell>
          <cell r="E18">
            <v>109.8</v>
          </cell>
        </row>
        <row r="20">
          <cell r="A20" t="str">
            <v xml:space="preserve"> Total:</v>
          </cell>
          <cell r="C20">
            <v>299</v>
          </cell>
          <cell r="E20">
            <v>28799.600000000002</v>
          </cell>
        </row>
      </sheetData>
      <sheetData sheetId="16">
        <row r="3">
          <cell r="A3" t="str">
            <v>Colcom Foods</v>
          </cell>
        </row>
        <row r="5">
          <cell r="A5" t="str">
            <v>Summary Carcass Graded Products</v>
          </cell>
        </row>
        <row r="7">
          <cell r="A7" t="str">
            <v>Date Period:2026/05/24 To 2026/06/27 --- Creditor:P001906 Porta Farm --- All Slaughter Types</v>
          </cell>
        </row>
        <row r="9">
          <cell r="A9" t="str">
            <v>Product:</v>
          </cell>
          <cell r="C9" t="str">
            <v>Qty:</v>
          </cell>
          <cell r="E9" t="str">
            <v>CCM:</v>
          </cell>
        </row>
        <row r="11">
          <cell r="A11" t="str">
            <v>PCBA</v>
          </cell>
          <cell r="C11">
            <v>513</v>
          </cell>
          <cell r="E11">
            <v>40794.6</v>
          </cell>
        </row>
        <row r="12">
          <cell r="A12" t="str">
            <v>PCBB</v>
          </cell>
          <cell r="C12">
            <v>5</v>
          </cell>
          <cell r="E12">
            <v>394.3</v>
          </cell>
        </row>
        <row r="13">
          <cell r="A13" t="str">
            <v>PCBC</v>
          </cell>
          <cell r="C13">
            <v>2</v>
          </cell>
          <cell r="E13">
            <v>166.8</v>
          </cell>
        </row>
        <row r="14">
          <cell r="A14" t="str">
            <v>PCLPA</v>
          </cell>
          <cell r="C14">
            <v>2</v>
          </cell>
          <cell r="E14">
            <v>85.4</v>
          </cell>
        </row>
        <row r="15">
          <cell r="A15" t="str">
            <v>PCPA</v>
          </cell>
          <cell r="C15">
            <v>85</v>
          </cell>
          <cell r="E15">
            <v>5379.2</v>
          </cell>
        </row>
        <row r="16">
          <cell r="A16" t="str">
            <v>PCSAS</v>
          </cell>
          <cell r="C16">
            <v>47</v>
          </cell>
          <cell r="E16">
            <v>8282.5</v>
          </cell>
        </row>
        <row r="17">
          <cell r="A17" t="str">
            <v>PCHA</v>
          </cell>
          <cell r="C17">
            <v>1840</v>
          </cell>
          <cell r="E17">
            <v>174567</v>
          </cell>
        </row>
        <row r="18">
          <cell r="A18" t="str">
            <v>PCHB</v>
          </cell>
          <cell r="C18">
            <v>170</v>
          </cell>
          <cell r="E18">
            <v>16559</v>
          </cell>
        </row>
        <row r="19">
          <cell r="A19" t="str">
            <v>PCHC</v>
          </cell>
          <cell r="C19">
            <v>15</v>
          </cell>
          <cell r="E19">
            <v>1491.9</v>
          </cell>
        </row>
        <row r="20">
          <cell r="A20" t="str">
            <v>PCHTA</v>
          </cell>
          <cell r="C20">
            <v>9</v>
          </cell>
          <cell r="E20">
            <v>1096.8</v>
          </cell>
        </row>
        <row r="21">
          <cell r="A21" t="str">
            <v>PCHTB</v>
          </cell>
          <cell r="C21">
            <v>6</v>
          </cell>
          <cell r="E21">
            <v>738.5</v>
          </cell>
        </row>
        <row r="22">
          <cell r="A22" t="str">
            <v>PCHTC</v>
          </cell>
          <cell r="C22">
            <v>1</v>
          </cell>
          <cell r="E22">
            <v>122.4</v>
          </cell>
        </row>
        <row r="23">
          <cell r="A23" t="str">
            <v>PCTPA</v>
          </cell>
          <cell r="C23">
            <v>304</v>
          </cell>
          <cell r="E23">
            <v>33227.199999999997</v>
          </cell>
        </row>
        <row r="24">
          <cell r="A24" t="str">
            <v>PCTPB</v>
          </cell>
          <cell r="C24">
            <v>83</v>
          </cell>
          <cell r="E24">
            <v>9128.1</v>
          </cell>
        </row>
        <row r="25">
          <cell r="A25" t="str">
            <v>PCTPC</v>
          </cell>
          <cell r="C25">
            <v>15</v>
          </cell>
          <cell r="E25">
            <v>1635.8</v>
          </cell>
        </row>
        <row r="27">
          <cell r="A27" t="str">
            <v xml:space="preserve"> Total:</v>
          </cell>
          <cell r="C27">
            <v>3097</v>
          </cell>
          <cell r="E27">
            <v>293669.5</v>
          </cell>
        </row>
      </sheetData>
      <sheetData sheetId="17">
        <row r="3">
          <cell r="A3" t="str">
            <v>Colcom Foods</v>
          </cell>
        </row>
        <row r="5">
          <cell r="A5" t="str">
            <v>Summary Carcass Graded Products</v>
          </cell>
        </row>
        <row r="7">
          <cell r="A7" t="str">
            <v>Date Period:2026/05/24 To 2026/06/27 --- Creditor:P001908 PORTA FARM GROWERS EXTENSION --- All Slaughter Types</v>
          </cell>
        </row>
        <row r="9">
          <cell r="A9" t="str">
            <v>Product:</v>
          </cell>
          <cell r="C9" t="str">
            <v>Qty:</v>
          </cell>
          <cell r="E9" t="str">
            <v>CCM:</v>
          </cell>
        </row>
        <row r="11">
          <cell r="A11" t="str">
            <v>PCBA</v>
          </cell>
          <cell r="C11">
            <v>33</v>
          </cell>
          <cell r="E11">
            <v>2629.2000000000003</v>
          </cell>
        </row>
        <row r="12">
          <cell r="A12" t="str">
            <v>PCHA</v>
          </cell>
          <cell r="C12">
            <v>56</v>
          </cell>
          <cell r="E12">
            <v>5267.9000000000005</v>
          </cell>
        </row>
        <row r="13">
          <cell r="A13" t="str">
            <v>PCHB</v>
          </cell>
          <cell r="C13">
            <v>1</v>
          </cell>
          <cell r="E13">
            <v>90.100000000000009</v>
          </cell>
        </row>
        <row r="14">
          <cell r="A14" t="str">
            <v>PCTPA</v>
          </cell>
          <cell r="C14">
            <v>7</v>
          </cell>
          <cell r="E14">
            <v>759.9</v>
          </cell>
        </row>
        <row r="16">
          <cell r="A16" t="str">
            <v xml:space="preserve"> Total:</v>
          </cell>
          <cell r="C16">
            <v>97</v>
          </cell>
          <cell r="E16">
            <v>8747.1</v>
          </cell>
        </row>
      </sheetData>
      <sheetData sheetId="18">
        <row r="3">
          <cell r="A3" t="str">
            <v>Colcom Foods</v>
          </cell>
        </row>
        <row r="5">
          <cell r="A5" t="str">
            <v>Summary Carcass Graded Products</v>
          </cell>
        </row>
        <row r="7">
          <cell r="A7" t="str">
            <v>Date Period:2026/05/24 To 2026/06/27 --- Creditor:P001909 LEARIG-PORTA FARM --- All Slaughter Types</v>
          </cell>
        </row>
        <row r="9">
          <cell r="A9" t="str">
            <v>Product:</v>
          </cell>
          <cell r="C9" t="str">
            <v>Qty:</v>
          </cell>
          <cell r="E9" t="str">
            <v>CCM:</v>
          </cell>
        </row>
        <row r="11">
          <cell r="A11" t="str">
            <v>PCBA</v>
          </cell>
          <cell r="C11">
            <v>4</v>
          </cell>
          <cell r="E11">
            <v>307.10000000000002</v>
          </cell>
        </row>
        <row r="12">
          <cell r="A12" t="str">
            <v>PCHA</v>
          </cell>
          <cell r="C12">
            <v>30</v>
          </cell>
          <cell r="E12">
            <v>2793.5</v>
          </cell>
        </row>
        <row r="13">
          <cell r="A13" t="str">
            <v>PCHB</v>
          </cell>
          <cell r="C13">
            <v>1</v>
          </cell>
          <cell r="E13">
            <v>97.8</v>
          </cell>
        </row>
        <row r="14">
          <cell r="A14" t="str">
            <v>PCTPA</v>
          </cell>
          <cell r="C14">
            <v>5</v>
          </cell>
          <cell r="E14">
            <v>543</v>
          </cell>
        </row>
        <row r="15">
          <cell r="A15" t="str">
            <v>PCTPB</v>
          </cell>
          <cell r="C15">
            <v>3</v>
          </cell>
          <cell r="E15">
            <v>331.8</v>
          </cell>
        </row>
        <row r="17">
          <cell r="A17" t="str">
            <v xml:space="preserve"> Total:</v>
          </cell>
          <cell r="C17">
            <v>43</v>
          </cell>
          <cell r="E17">
            <v>4073.2000000000003</v>
          </cell>
        </row>
      </sheetData>
      <sheetData sheetId="19">
        <row r="3">
          <cell r="A3" t="str">
            <v>Colcom Foods</v>
          </cell>
        </row>
        <row r="5">
          <cell r="A5" t="str">
            <v>Summary Carcass Graded Products</v>
          </cell>
        </row>
        <row r="7">
          <cell r="A7" t="str">
            <v>Date Period:2026/05/24 To 2026/06/27 --- Creditor:P001907 Multiplier --- All Slaughter Types</v>
          </cell>
        </row>
        <row r="9">
          <cell r="A9" t="str">
            <v>Product:</v>
          </cell>
          <cell r="C9" t="str">
            <v>Qty:</v>
          </cell>
          <cell r="E9" t="str">
            <v>CCM:</v>
          </cell>
        </row>
        <row r="11">
          <cell r="A11" t="str">
            <v>PCBA</v>
          </cell>
          <cell r="C11">
            <v>371</v>
          </cell>
          <cell r="E11">
            <v>29422.600000000002</v>
          </cell>
        </row>
        <row r="12">
          <cell r="A12" t="str">
            <v>PCBB</v>
          </cell>
          <cell r="C12">
            <v>15</v>
          </cell>
          <cell r="E12">
            <v>1223.5</v>
          </cell>
        </row>
        <row r="13">
          <cell r="A13" t="str">
            <v>PCLPA</v>
          </cell>
          <cell r="C13">
            <v>2</v>
          </cell>
          <cell r="E13">
            <v>83.9</v>
          </cell>
        </row>
        <row r="14">
          <cell r="A14" t="str">
            <v>PCPA</v>
          </cell>
          <cell r="C14">
            <v>75</v>
          </cell>
          <cell r="E14">
            <v>4727.4000000000005</v>
          </cell>
        </row>
        <row r="15">
          <cell r="A15" t="str">
            <v>PCPB</v>
          </cell>
          <cell r="C15">
            <v>2</v>
          </cell>
          <cell r="E15">
            <v>135</v>
          </cell>
        </row>
        <row r="16">
          <cell r="A16" t="str">
            <v>PCSAS</v>
          </cell>
          <cell r="C16">
            <v>26</v>
          </cell>
          <cell r="E16">
            <v>4625.8</v>
          </cell>
        </row>
        <row r="17">
          <cell r="A17" t="str">
            <v>PCHA</v>
          </cell>
          <cell r="C17">
            <v>599</v>
          </cell>
          <cell r="E17">
            <v>55314.200000000004</v>
          </cell>
        </row>
        <row r="18">
          <cell r="A18" t="str">
            <v>PCHB</v>
          </cell>
          <cell r="C18">
            <v>88</v>
          </cell>
          <cell r="E18">
            <v>8380.7000000000007</v>
          </cell>
        </row>
        <row r="19">
          <cell r="A19" t="str">
            <v>PCHC</v>
          </cell>
          <cell r="C19">
            <v>4</v>
          </cell>
          <cell r="E19">
            <v>387.7</v>
          </cell>
        </row>
        <row r="20">
          <cell r="A20" t="str">
            <v>PCTPA</v>
          </cell>
          <cell r="C20">
            <v>23</v>
          </cell>
          <cell r="E20">
            <v>2496.9</v>
          </cell>
        </row>
        <row r="21">
          <cell r="A21" t="str">
            <v>PCTPB</v>
          </cell>
          <cell r="C21">
            <v>15</v>
          </cell>
          <cell r="E21">
            <v>1643.9</v>
          </cell>
        </row>
        <row r="22">
          <cell r="A22" t="str">
            <v>PCTPC</v>
          </cell>
          <cell r="C22">
            <v>2</v>
          </cell>
          <cell r="E22">
            <v>217.3</v>
          </cell>
        </row>
        <row r="24">
          <cell r="A24" t="str">
            <v xml:space="preserve"> Total:</v>
          </cell>
          <cell r="C24">
            <v>1222</v>
          </cell>
          <cell r="E24">
            <v>108658.90000000001</v>
          </cell>
        </row>
      </sheetData>
      <sheetData sheetId="2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1">
          <cell r="E11">
            <v>418518.94071573229</v>
          </cell>
        </row>
      </sheetData>
      <sheetData sheetId="11">
        <row r="14">
          <cell r="X14">
            <v>-3872</v>
          </cell>
        </row>
        <row r="18">
          <cell r="Z18">
            <v>-35</v>
          </cell>
          <cell r="AA18">
            <v>0</v>
          </cell>
          <cell r="AB18">
            <v>0</v>
          </cell>
          <cell r="AC18">
            <v>-1</v>
          </cell>
        </row>
        <row r="56">
          <cell r="Z56">
            <v>-26</v>
          </cell>
        </row>
        <row r="75">
          <cell r="Z75">
            <v>-4</v>
          </cell>
        </row>
        <row r="95">
          <cell r="Z95">
            <v>-7</v>
          </cell>
          <cell r="AA95">
            <v>0</v>
          </cell>
        </row>
        <row r="111">
          <cell r="D111">
            <v>46</v>
          </cell>
        </row>
        <row r="114">
          <cell r="Z114">
            <v>-11</v>
          </cell>
          <cell r="AA114">
            <v>0</v>
          </cell>
        </row>
        <row r="152">
          <cell r="Z152">
            <v>-11</v>
          </cell>
          <cell r="AA152">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44">
          <cell r="D44">
            <v>31</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23">
          <cell r="AU23">
            <v>-254</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30">
          <cell r="AE30">
            <v>3435</v>
          </cell>
        </row>
      </sheetData>
      <sheetData sheetId="67" refreshError="1"/>
      <sheetData sheetId="68">
        <row r="21">
          <cell r="B21">
            <v>-24368.913922178002</v>
          </cell>
        </row>
      </sheetData>
      <sheetData sheetId="69" refreshError="1"/>
      <sheetData sheetId="70">
        <row r="7">
          <cell r="AA7">
            <v>46219.462331738068</v>
          </cell>
        </row>
      </sheetData>
      <sheetData sheetId="71">
        <row r="1">
          <cell r="C1" t="str">
            <v>FEED000008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row r="11">
          <cell r="E11">
            <v>450090.31638238853</v>
          </cell>
        </row>
      </sheetData>
      <sheetData sheetId="11">
        <row r="14">
          <cell r="X14">
            <v>-3563</v>
          </cell>
        </row>
        <row r="18">
          <cell r="Z18">
            <v>-38</v>
          </cell>
          <cell r="AA18">
            <v>0</v>
          </cell>
          <cell r="AB18">
            <v>0</v>
          </cell>
          <cell r="AC18">
            <v>-19</v>
          </cell>
        </row>
        <row r="56">
          <cell r="Z56">
            <v>-27</v>
          </cell>
        </row>
        <row r="75">
          <cell r="Z75">
            <v>-18</v>
          </cell>
        </row>
        <row r="95">
          <cell r="Z95">
            <v>-5</v>
          </cell>
          <cell r="AA95">
            <v>-1</v>
          </cell>
        </row>
        <row r="111">
          <cell r="D111">
            <v>45</v>
          </cell>
        </row>
        <row r="114">
          <cell r="Z114">
            <v>-12</v>
          </cell>
          <cell r="AA114">
            <v>0</v>
          </cell>
        </row>
        <row r="152">
          <cell r="Z152">
            <v>-15</v>
          </cell>
          <cell r="AA152">
            <v>0</v>
          </cell>
        </row>
      </sheetData>
      <sheetData sheetId="12"/>
      <sheetData sheetId="13"/>
      <sheetData sheetId="14"/>
      <sheetData sheetId="15"/>
      <sheetData sheetId="16"/>
      <sheetData sheetId="17"/>
      <sheetData sheetId="18"/>
      <sheetData sheetId="19"/>
      <sheetData sheetId="20"/>
      <sheetData sheetId="21"/>
      <sheetData sheetId="22"/>
      <sheetData sheetId="23">
        <row r="460">
          <cell r="G460">
            <v>1</v>
          </cell>
        </row>
      </sheetData>
      <sheetData sheetId="24">
        <row r="44">
          <cell r="D44">
            <v>31</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27">
          <cell r="E27">
            <v>970</v>
          </cell>
        </row>
      </sheetData>
      <sheetData sheetId="45">
        <row r="27">
          <cell r="E27">
            <v>323</v>
          </cell>
        </row>
      </sheetData>
      <sheetData sheetId="46">
        <row r="27">
          <cell r="E27">
            <v>574</v>
          </cell>
        </row>
      </sheetData>
      <sheetData sheetId="47">
        <row r="27">
          <cell r="E27">
            <v>155</v>
          </cell>
        </row>
      </sheetData>
      <sheetData sheetId="48">
        <row r="27">
          <cell r="E27">
            <v>224</v>
          </cell>
        </row>
      </sheetData>
      <sheetData sheetId="49">
        <row r="27">
          <cell r="E27">
            <v>511</v>
          </cell>
        </row>
      </sheetData>
      <sheetData sheetId="50">
        <row r="27">
          <cell r="E27">
            <v>612</v>
          </cell>
        </row>
      </sheetData>
      <sheetData sheetId="51">
        <row r="27">
          <cell r="E27">
            <v>0</v>
          </cell>
        </row>
      </sheetData>
      <sheetData sheetId="52">
        <row r="8">
          <cell r="D8">
            <v>3</v>
          </cell>
        </row>
      </sheetData>
      <sheetData sheetId="53">
        <row r="23">
          <cell r="AU23">
            <v>-276</v>
          </cell>
        </row>
      </sheetData>
      <sheetData sheetId="54"/>
      <sheetData sheetId="55">
        <row r="24">
          <cell r="X24">
            <v>-1</v>
          </cell>
        </row>
      </sheetData>
      <sheetData sheetId="56"/>
      <sheetData sheetId="57">
        <row r="24">
          <cell r="S24">
            <v>-13</v>
          </cell>
        </row>
      </sheetData>
      <sheetData sheetId="58"/>
      <sheetData sheetId="59">
        <row r="24">
          <cell r="AE24">
            <v>-2</v>
          </cell>
        </row>
      </sheetData>
      <sheetData sheetId="60"/>
      <sheetData sheetId="61">
        <row r="24">
          <cell r="S24">
            <v>-2</v>
          </cell>
        </row>
      </sheetData>
      <sheetData sheetId="62"/>
      <sheetData sheetId="63">
        <row r="24">
          <cell r="S24">
            <v>-16</v>
          </cell>
        </row>
      </sheetData>
      <sheetData sheetId="64"/>
      <sheetData sheetId="65"/>
      <sheetData sheetId="66">
        <row r="24">
          <cell r="S24">
            <v>-12</v>
          </cell>
        </row>
      </sheetData>
      <sheetData sheetId="67">
        <row r="62">
          <cell r="B62">
            <v>881.06982385239826</v>
          </cell>
        </row>
      </sheetData>
      <sheetData sheetId="68">
        <row r="25">
          <cell r="S25">
            <v>-61</v>
          </cell>
        </row>
      </sheetData>
      <sheetData sheetId="69"/>
      <sheetData sheetId="70">
        <row r="21">
          <cell r="D21">
            <v>-25872.629595642848</v>
          </cell>
        </row>
      </sheetData>
      <sheetData sheetId="71"/>
      <sheetData sheetId="72">
        <row r="7">
          <cell r="AA7">
            <v>57618.702260465536</v>
          </cell>
        </row>
      </sheetData>
      <sheetData sheetId="73">
        <row r="1">
          <cell r="C1" t="str">
            <v>FEED000008</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 val="September 2025 LIVESTOCK ANALYS"/>
    </sheetNames>
    <sheetDataSet>
      <sheetData sheetId="0"/>
      <sheetData sheetId="1"/>
      <sheetData sheetId="2"/>
      <sheetData sheetId="3"/>
      <sheetData sheetId="4"/>
      <sheetData sheetId="5"/>
      <sheetData sheetId="6"/>
      <sheetData sheetId="7"/>
      <sheetData sheetId="8"/>
      <sheetData sheetId="9"/>
      <sheetData sheetId="10">
        <row r="11">
          <cell r="E11">
            <v>412787.21862953505</v>
          </cell>
        </row>
      </sheetData>
      <sheetData sheetId="11">
        <row r="14">
          <cell r="X14">
            <v>-4596</v>
          </cell>
        </row>
        <row r="18">
          <cell r="Z18">
            <v>-45</v>
          </cell>
          <cell r="AA18">
            <v>0</v>
          </cell>
          <cell r="AB18">
            <v>0</v>
          </cell>
          <cell r="AC18">
            <v>-22</v>
          </cell>
        </row>
        <row r="56">
          <cell r="Z56">
            <v>-29</v>
          </cell>
        </row>
        <row r="75">
          <cell r="Z75">
            <v>0</v>
          </cell>
        </row>
        <row r="95">
          <cell r="Z95">
            <v>-6</v>
          </cell>
          <cell r="AA95">
            <v>0</v>
          </cell>
        </row>
        <row r="111">
          <cell r="D111">
            <v>56</v>
          </cell>
        </row>
        <row r="114">
          <cell r="Z114">
            <v>-16</v>
          </cell>
          <cell r="AA114">
            <v>0</v>
          </cell>
        </row>
        <row r="152">
          <cell r="Z152">
            <v>-17</v>
          </cell>
          <cell r="AA152">
            <v>0</v>
          </cell>
        </row>
      </sheetData>
      <sheetData sheetId="12"/>
      <sheetData sheetId="13"/>
      <sheetData sheetId="14"/>
      <sheetData sheetId="15"/>
      <sheetData sheetId="16"/>
      <sheetData sheetId="17"/>
      <sheetData sheetId="18"/>
      <sheetData sheetId="19"/>
      <sheetData sheetId="20"/>
      <sheetData sheetId="21"/>
      <sheetData sheetId="22">
        <row r="21">
          <cell r="N21">
            <v>129</v>
          </cell>
        </row>
      </sheetData>
      <sheetData sheetId="23"/>
      <sheetData sheetId="24">
        <row r="41">
          <cell r="D41">
            <v>35</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9">
          <cell r="H9">
            <v>132720.90234464486</v>
          </cell>
        </row>
      </sheetData>
      <sheetData sheetId="45">
        <row r="9">
          <cell r="H9">
            <v>0</v>
          </cell>
        </row>
      </sheetData>
      <sheetData sheetId="46">
        <row r="9">
          <cell r="H9">
            <v>77142.607880082316</v>
          </cell>
        </row>
      </sheetData>
      <sheetData sheetId="47">
        <row r="9">
          <cell r="H9">
            <v>0</v>
          </cell>
        </row>
      </sheetData>
      <sheetData sheetId="48">
        <row r="9">
          <cell r="H9">
            <v>27249.329614806033</v>
          </cell>
        </row>
      </sheetData>
      <sheetData sheetId="49">
        <row r="9">
          <cell r="H9">
            <v>72098.63788309574</v>
          </cell>
        </row>
      </sheetData>
      <sheetData sheetId="50">
        <row r="9">
          <cell r="H9">
            <v>68054.803529095443</v>
          </cell>
        </row>
      </sheetData>
      <sheetData sheetId="51">
        <row r="9">
          <cell r="H9">
            <v>35520.937377810624</v>
          </cell>
        </row>
      </sheetData>
      <sheetData sheetId="52">
        <row r="8">
          <cell r="D8">
            <v>17</v>
          </cell>
        </row>
      </sheetData>
      <sheetData sheetId="53">
        <row r="23">
          <cell r="AU23">
            <v>-354</v>
          </cell>
        </row>
      </sheetData>
      <sheetData sheetId="54"/>
      <sheetData sheetId="55">
        <row r="29">
          <cell r="S29">
            <v>0</v>
          </cell>
        </row>
      </sheetData>
      <sheetData sheetId="56"/>
      <sheetData sheetId="57">
        <row r="29">
          <cell r="S29">
            <v>305</v>
          </cell>
        </row>
      </sheetData>
      <sheetData sheetId="58"/>
      <sheetData sheetId="59">
        <row r="29">
          <cell r="S29">
            <v>0</v>
          </cell>
        </row>
      </sheetData>
      <sheetData sheetId="60"/>
      <sheetData sheetId="61">
        <row r="29">
          <cell r="S29">
            <v>139</v>
          </cell>
        </row>
      </sheetData>
      <sheetData sheetId="62"/>
      <sheetData sheetId="63">
        <row r="29">
          <cell r="S29">
            <v>402</v>
          </cell>
        </row>
      </sheetData>
      <sheetData sheetId="64"/>
      <sheetData sheetId="65"/>
      <sheetData sheetId="66">
        <row r="29">
          <cell r="S29">
            <v>444</v>
          </cell>
        </row>
      </sheetData>
      <sheetData sheetId="67">
        <row r="29">
          <cell r="AU29">
            <v>0</v>
          </cell>
        </row>
      </sheetData>
      <sheetData sheetId="68">
        <row r="30">
          <cell r="AV30">
            <v>73948</v>
          </cell>
        </row>
      </sheetData>
      <sheetData sheetId="69"/>
      <sheetData sheetId="70">
        <row r="21">
          <cell r="D21">
            <v>-32965.349841805903</v>
          </cell>
        </row>
      </sheetData>
      <sheetData sheetId="71"/>
      <sheetData sheetId="72">
        <row r="7">
          <cell r="AA7">
            <v>63015.112372982323</v>
          </cell>
        </row>
      </sheetData>
      <sheetData sheetId="73">
        <row r="1">
          <cell r="C1" t="str">
            <v>FEED000008</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row r="11">
          <cell r="E11">
            <v>418613.8381913607</v>
          </cell>
        </row>
      </sheetData>
      <sheetData sheetId="11">
        <row r="14">
          <cell r="X14">
            <v>-3790</v>
          </cell>
        </row>
        <row r="18">
          <cell r="Z18">
            <v>-35</v>
          </cell>
          <cell r="AA18">
            <v>0</v>
          </cell>
          <cell r="AB18">
            <v>0</v>
          </cell>
          <cell r="AC18">
            <v>-11</v>
          </cell>
        </row>
        <row r="56">
          <cell r="Z56">
            <v>-22</v>
          </cell>
        </row>
        <row r="75">
          <cell r="Z75">
            <v>0</v>
          </cell>
        </row>
        <row r="95">
          <cell r="Z95">
            <v>-5</v>
          </cell>
          <cell r="AA95">
            <v>0</v>
          </cell>
        </row>
        <row r="111">
          <cell r="D111">
            <v>48</v>
          </cell>
        </row>
        <row r="114">
          <cell r="Z114">
            <v>-12</v>
          </cell>
          <cell r="AA114">
            <v>0</v>
          </cell>
        </row>
        <row r="152">
          <cell r="Z152">
            <v>-15</v>
          </cell>
          <cell r="AA152">
            <v>0</v>
          </cell>
        </row>
      </sheetData>
      <sheetData sheetId="12"/>
      <sheetData sheetId="13"/>
      <sheetData sheetId="14"/>
      <sheetData sheetId="15"/>
      <sheetData sheetId="16"/>
      <sheetData sheetId="17"/>
      <sheetData sheetId="18"/>
      <sheetData sheetId="19"/>
      <sheetData sheetId="20"/>
      <sheetData sheetId="21"/>
      <sheetData sheetId="22"/>
      <sheetData sheetId="23">
        <row r="201">
          <cell r="F201">
            <v>3</v>
          </cell>
        </row>
      </sheetData>
      <sheetData sheetId="24">
        <row r="42">
          <cell r="D42">
            <v>1</v>
          </cell>
        </row>
      </sheetData>
      <sheetData sheetId="25"/>
      <sheetData sheetId="26"/>
      <sheetData sheetId="27"/>
      <sheetData sheetId="28">
        <row r="16">
          <cell r="F16">
            <v>0</v>
          </cell>
        </row>
      </sheetData>
      <sheetData sheetId="29"/>
      <sheetData sheetId="30"/>
      <sheetData sheetId="31"/>
      <sheetData sheetId="32"/>
      <sheetData sheetId="33">
        <row r="799">
          <cell r="F799">
            <v>4</v>
          </cell>
        </row>
      </sheetData>
      <sheetData sheetId="34">
        <row r="14">
          <cell r="F14">
            <v>0</v>
          </cell>
        </row>
      </sheetData>
      <sheetData sheetId="35">
        <row r="316">
          <cell r="E316">
            <v>3</v>
          </cell>
        </row>
      </sheetData>
      <sheetData sheetId="36">
        <row r="18">
          <cell r="D18">
            <v>0</v>
          </cell>
        </row>
      </sheetData>
      <sheetData sheetId="37"/>
      <sheetData sheetId="38"/>
      <sheetData sheetId="39"/>
      <sheetData sheetId="40"/>
      <sheetData sheetId="41"/>
      <sheetData sheetId="42"/>
      <sheetData sheetId="43"/>
      <sheetData sheetId="44"/>
      <sheetData sheetId="45">
        <row r="27">
          <cell r="E27">
            <v>927</v>
          </cell>
        </row>
      </sheetData>
      <sheetData sheetId="46">
        <row r="27">
          <cell r="E27">
            <v>304</v>
          </cell>
        </row>
      </sheetData>
      <sheetData sheetId="47">
        <row r="27">
          <cell r="E27">
            <v>518</v>
          </cell>
        </row>
      </sheetData>
      <sheetData sheetId="48">
        <row r="27">
          <cell r="E27">
            <v>178</v>
          </cell>
        </row>
      </sheetData>
      <sheetData sheetId="49">
        <row r="27">
          <cell r="E27">
            <v>179</v>
          </cell>
        </row>
      </sheetData>
      <sheetData sheetId="50">
        <row r="27">
          <cell r="E27">
            <v>498</v>
          </cell>
        </row>
      </sheetData>
      <sheetData sheetId="51">
        <row r="27">
          <cell r="E27">
            <v>534</v>
          </cell>
        </row>
      </sheetData>
      <sheetData sheetId="52">
        <row r="27">
          <cell r="E27">
            <v>0</v>
          </cell>
        </row>
      </sheetData>
      <sheetData sheetId="53">
        <row r="21">
          <cell r="G21">
            <v>55839.310999999994</v>
          </cell>
        </row>
      </sheetData>
      <sheetData sheetId="54">
        <row r="7">
          <cell r="AF7">
            <v>940</v>
          </cell>
        </row>
        <row r="23">
          <cell r="AU23">
            <v>-239</v>
          </cell>
        </row>
      </sheetData>
      <sheetData sheetId="55"/>
      <sheetData sheetId="56">
        <row r="24">
          <cell r="W24">
            <v>-1</v>
          </cell>
        </row>
      </sheetData>
      <sheetData sheetId="57"/>
      <sheetData sheetId="58">
        <row r="24">
          <cell r="S24">
            <v>-26</v>
          </cell>
        </row>
      </sheetData>
      <sheetData sheetId="59"/>
      <sheetData sheetId="60">
        <row r="24">
          <cell r="X24">
            <v>-1</v>
          </cell>
        </row>
      </sheetData>
      <sheetData sheetId="61"/>
      <sheetData sheetId="62">
        <row r="24">
          <cell r="S24">
            <v>-4</v>
          </cell>
        </row>
      </sheetData>
      <sheetData sheetId="63"/>
      <sheetData sheetId="64">
        <row r="24">
          <cell r="S24">
            <v>-3</v>
          </cell>
        </row>
      </sheetData>
      <sheetData sheetId="65"/>
      <sheetData sheetId="66"/>
      <sheetData sheetId="67">
        <row r="24">
          <cell r="S24">
            <v>-5</v>
          </cell>
        </row>
      </sheetData>
      <sheetData sheetId="68">
        <row r="29">
          <cell r="S29">
            <v>241</v>
          </cell>
        </row>
      </sheetData>
      <sheetData sheetId="69">
        <row r="25">
          <cell r="S25">
            <v>-75</v>
          </cell>
        </row>
      </sheetData>
      <sheetData sheetId="70"/>
      <sheetData sheetId="71">
        <row r="21">
          <cell r="D21">
            <v>-22184.115235950627</v>
          </cell>
        </row>
      </sheetData>
      <sheetData sheetId="72"/>
      <sheetData sheetId="73">
        <row r="7">
          <cell r="AA7">
            <v>50243.164857052921</v>
          </cell>
        </row>
      </sheetData>
      <sheetData sheetId="74">
        <row r="1">
          <cell r="C1" t="str">
            <v>FEED000008</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n Current"/>
      <sheetName val="Triple C Pigs"/>
      <sheetName val="Total Pig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CCC (2)"/>
      <sheetName val="Sheet28"/>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4">
          <cell r="X14">
            <v>-3670</v>
          </cell>
        </row>
        <row r="18">
          <cell r="Z18">
            <v>-51</v>
          </cell>
        </row>
        <row r="56">
          <cell r="Z56">
            <v>-22</v>
          </cell>
          <cell r="AA56">
            <v>0</v>
          </cell>
        </row>
        <row r="95">
          <cell r="Z95">
            <v>-5</v>
          </cell>
          <cell r="AA95">
            <v>0</v>
          </cell>
        </row>
        <row r="111">
          <cell r="D111">
            <v>43</v>
          </cell>
        </row>
        <row r="152">
          <cell r="Z152">
            <v>-17</v>
          </cell>
          <cell r="AA152">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row r="23">
          <cell r="AV23">
            <v>-58</v>
          </cell>
        </row>
        <row r="27">
          <cell r="AV27">
            <v>-26</v>
          </cell>
        </row>
      </sheetData>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23">
          <cell r="AV23">
            <v>-213</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 val="December 2025 LIVESTOCK ANALY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1">
          <cell r="E11">
            <v>425342.254738205</v>
          </cell>
        </row>
      </sheetData>
      <sheetData sheetId="11">
        <row r="12">
          <cell r="AF12">
            <v>4660</v>
          </cell>
        </row>
        <row r="18">
          <cell r="Z18">
            <v>-53</v>
          </cell>
        </row>
        <row r="56">
          <cell r="Z56">
            <v>-32</v>
          </cell>
          <cell r="AA56">
            <v>0</v>
          </cell>
        </row>
        <row r="95">
          <cell r="Z95">
            <v>-5</v>
          </cell>
          <cell r="AA95">
            <v>0</v>
          </cell>
        </row>
        <row r="111">
          <cell r="D111">
            <v>56</v>
          </cell>
        </row>
        <row r="152">
          <cell r="Z152">
            <v>-22</v>
          </cell>
          <cell r="AA152">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89">
          <cell r="F189">
            <v>2</v>
          </cell>
        </row>
      </sheetData>
      <sheetData sheetId="24">
        <row r="40">
          <cell r="D40">
            <v>34</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748">
          <cell r="F748">
            <v>1</v>
          </cell>
        </row>
      </sheetData>
      <sheetData sheetId="34" refreshError="1"/>
      <sheetData sheetId="35">
        <row r="305">
          <cell r="E305">
            <v>4</v>
          </cell>
        </row>
      </sheetData>
      <sheetData sheetId="36">
        <row r="18">
          <cell r="D18">
            <v>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8">
          <cell r="D8">
            <v>28</v>
          </cell>
        </row>
      </sheetData>
      <sheetData sheetId="54">
        <row r="23">
          <cell r="AV23">
            <v>0</v>
          </cell>
        </row>
        <row r="27">
          <cell r="AV27">
            <v>-39</v>
          </cell>
        </row>
      </sheetData>
      <sheetData sheetId="55" refreshError="1"/>
      <sheetData sheetId="56">
        <row r="29">
          <cell r="S29">
            <v>0</v>
          </cell>
        </row>
      </sheetData>
      <sheetData sheetId="57" refreshError="1"/>
      <sheetData sheetId="58">
        <row r="29">
          <cell r="S29">
            <v>397</v>
          </cell>
        </row>
      </sheetData>
      <sheetData sheetId="59" refreshError="1"/>
      <sheetData sheetId="60">
        <row r="29">
          <cell r="S29">
            <v>0</v>
          </cell>
        </row>
      </sheetData>
      <sheetData sheetId="61" refreshError="1"/>
      <sheetData sheetId="62">
        <row r="29">
          <cell r="S29">
            <v>72</v>
          </cell>
        </row>
      </sheetData>
      <sheetData sheetId="63" refreshError="1"/>
      <sheetData sheetId="64">
        <row r="29">
          <cell r="S29">
            <v>555</v>
          </cell>
        </row>
      </sheetData>
      <sheetData sheetId="65" refreshError="1"/>
      <sheetData sheetId="66" refreshError="1"/>
      <sheetData sheetId="67">
        <row r="29">
          <cell r="S29">
            <v>550</v>
          </cell>
        </row>
      </sheetData>
      <sheetData sheetId="68">
        <row r="23">
          <cell r="AV23">
            <v>-375</v>
          </cell>
        </row>
      </sheetData>
      <sheetData sheetId="69">
        <row r="33">
          <cell r="AJ33">
            <v>267502.84522681392</v>
          </cell>
        </row>
      </sheetData>
      <sheetData sheetId="70" refreshError="1"/>
      <sheetData sheetId="71">
        <row r="21">
          <cell r="D21">
            <v>-26209.83126956195</v>
          </cell>
        </row>
      </sheetData>
      <sheetData sheetId="72" refreshError="1"/>
      <sheetData sheetId="73">
        <row r="7">
          <cell r="AA7">
            <v>59047.14</v>
          </cell>
        </row>
      </sheetData>
      <sheetData sheetId="74">
        <row r="1">
          <cell r="C1" t="str">
            <v>FEED000008</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 val="January 2026 LIVESTOCK ANALYSIS"/>
    </sheetNames>
    <sheetDataSet>
      <sheetData sheetId="0"/>
      <sheetData sheetId="1"/>
      <sheetData sheetId="2"/>
      <sheetData sheetId="3"/>
      <sheetData sheetId="4"/>
      <sheetData sheetId="5"/>
      <sheetData sheetId="6"/>
      <sheetData sheetId="7"/>
      <sheetData sheetId="8"/>
      <sheetData sheetId="9"/>
      <sheetData sheetId="10">
        <row r="11">
          <cell r="E11">
            <v>429771.11405034055</v>
          </cell>
        </row>
      </sheetData>
      <sheetData sheetId="11">
        <row r="14">
          <cell r="X14">
            <v>-3706</v>
          </cell>
        </row>
        <row r="18">
          <cell r="Z18">
            <v>-61</v>
          </cell>
          <cell r="AB18">
            <v>0</v>
          </cell>
        </row>
        <row r="56">
          <cell r="Z56">
            <v>-22</v>
          </cell>
          <cell r="AA56">
            <v>0</v>
          </cell>
        </row>
        <row r="95">
          <cell r="Z95">
            <v>-6</v>
          </cell>
          <cell r="AA95">
            <v>0</v>
          </cell>
        </row>
        <row r="111">
          <cell r="D111">
            <v>50</v>
          </cell>
        </row>
        <row r="152">
          <cell r="Z152">
            <v>-18</v>
          </cell>
          <cell r="AA152">
            <v>0</v>
          </cell>
        </row>
      </sheetData>
      <sheetData sheetId="12"/>
      <sheetData sheetId="13"/>
      <sheetData sheetId="14"/>
      <sheetData sheetId="15"/>
      <sheetData sheetId="16"/>
      <sheetData sheetId="17"/>
      <sheetData sheetId="18"/>
      <sheetData sheetId="19"/>
      <sheetData sheetId="20"/>
      <sheetData sheetId="21"/>
      <sheetData sheetId="22"/>
      <sheetData sheetId="23">
        <row r="184">
          <cell r="F184">
            <v>4</v>
          </cell>
        </row>
      </sheetData>
      <sheetData sheetId="24">
        <row r="41">
          <cell r="D41">
            <v>1</v>
          </cell>
        </row>
      </sheetData>
      <sheetData sheetId="25"/>
      <sheetData sheetId="26"/>
      <sheetData sheetId="27"/>
      <sheetData sheetId="28"/>
      <sheetData sheetId="29"/>
      <sheetData sheetId="30"/>
      <sheetData sheetId="31"/>
      <sheetData sheetId="32"/>
      <sheetData sheetId="33">
        <row r="717">
          <cell r="F717">
            <v>1</v>
          </cell>
        </row>
      </sheetData>
      <sheetData sheetId="34"/>
      <sheetData sheetId="35">
        <row r="292">
          <cell r="E292">
            <v>5</v>
          </cell>
        </row>
      </sheetData>
      <sheetData sheetId="36">
        <row r="18">
          <cell r="D18">
            <v>0</v>
          </cell>
        </row>
      </sheetData>
      <sheetData sheetId="37"/>
      <sheetData sheetId="38"/>
      <sheetData sheetId="39"/>
      <sheetData sheetId="40"/>
      <sheetData sheetId="41"/>
      <sheetData sheetId="42"/>
      <sheetData sheetId="43"/>
      <sheetData sheetId="44"/>
      <sheetData sheetId="45">
        <row r="27">
          <cell r="E27">
            <v>946</v>
          </cell>
        </row>
      </sheetData>
      <sheetData sheetId="46">
        <row r="27">
          <cell r="E27">
            <v>412</v>
          </cell>
        </row>
      </sheetData>
      <sheetData sheetId="47">
        <row r="27">
          <cell r="E27">
            <v>588</v>
          </cell>
        </row>
      </sheetData>
      <sheetData sheetId="48">
        <row r="27">
          <cell r="E27">
            <v>183</v>
          </cell>
        </row>
      </sheetData>
      <sheetData sheetId="49">
        <row r="27">
          <cell r="E27">
            <v>172</v>
          </cell>
        </row>
      </sheetData>
      <sheetData sheetId="50">
        <row r="27">
          <cell r="E27">
            <v>513</v>
          </cell>
        </row>
      </sheetData>
      <sheetData sheetId="51">
        <row r="27">
          <cell r="E27">
            <v>611</v>
          </cell>
        </row>
      </sheetData>
      <sheetData sheetId="52">
        <row r="27">
          <cell r="E27">
            <v>0</v>
          </cell>
        </row>
      </sheetData>
      <sheetData sheetId="53">
        <row r="21">
          <cell r="G21">
            <v>54360.330999999991</v>
          </cell>
        </row>
      </sheetData>
      <sheetData sheetId="54">
        <row r="23">
          <cell r="AV23">
            <v>0</v>
          </cell>
        </row>
        <row r="27">
          <cell r="AV27">
            <v>-38</v>
          </cell>
        </row>
      </sheetData>
      <sheetData sheetId="55"/>
      <sheetData sheetId="56">
        <row r="24">
          <cell r="Y24">
            <v>-1</v>
          </cell>
        </row>
      </sheetData>
      <sheetData sheetId="57"/>
      <sheetData sheetId="58">
        <row r="24">
          <cell r="S24">
            <v>-34</v>
          </cell>
        </row>
      </sheetData>
      <sheetData sheetId="59"/>
      <sheetData sheetId="60">
        <row r="24">
          <cell r="AE24">
            <v>-1</v>
          </cell>
        </row>
      </sheetData>
      <sheetData sheetId="61"/>
      <sheetData sheetId="62">
        <row r="24">
          <cell r="S24">
            <v>-2</v>
          </cell>
        </row>
      </sheetData>
      <sheetData sheetId="63"/>
      <sheetData sheetId="64">
        <row r="24">
          <cell r="S24">
            <v>-15</v>
          </cell>
        </row>
      </sheetData>
      <sheetData sheetId="65"/>
      <sheetData sheetId="66"/>
      <sheetData sheetId="67">
        <row r="24">
          <cell r="S24">
            <v>-4</v>
          </cell>
        </row>
      </sheetData>
      <sheetData sheetId="68">
        <row r="23">
          <cell r="AV23">
            <v>-309</v>
          </cell>
        </row>
      </sheetData>
      <sheetData sheetId="69">
        <row r="25">
          <cell r="S25">
            <v>-80</v>
          </cell>
        </row>
      </sheetData>
      <sheetData sheetId="70"/>
      <sheetData sheetId="71">
        <row r="21">
          <cell r="D21">
            <v>-19490.479959210086</v>
          </cell>
        </row>
      </sheetData>
      <sheetData sheetId="72"/>
      <sheetData sheetId="73">
        <row r="7">
          <cell r="AA7">
            <v>36533.56</v>
          </cell>
        </row>
      </sheetData>
      <sheetData sheetId="74">
        <row r="1">
          <cell r="C1" t="str">
            <v>FEED000008</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 val="February 2026 LIVESTOCK ANALYSI"/>
    </sheetNames>
    <sheetDataSet>
      <sheetData sheetId="0"/>
      <sheetData sheetId="1"/>
      <sheetData sheetId="2"/>
      <sheetData sheetId="3"/>
      <sheetData sheetId="4"/>
      <sheetData sheetId="5"/>
      <sheetData sheetId="6"/>
      <sheetData sheetId="7"/>
      <sheetData sheetId="8"/>
      <sheetData sheetId="9"/>
      <sheetData sheetId="10">
        <row r="11">
          <cell r="E11">
            <v>432893.50331159041</v>
          </cell>
        </row>
      </sheetData>
      <sheetData sheetId="11">
        <row r="14">
          <cell r="X14">
            <v>-3874</v>
          </cell>
        </row>
        <row r="18">
          <cell r="Z18">
            <v>-33</v>
          </cell>
          <cell r="AB18">
            <v>0</v>
          </cell>
        </row>
        <row r="56">
          <cell r="Z56">
            <v>-30</v>
          </cell>
          <cell r="AA56">
            <v>0</v>
          </cell>
        </row>
        <row r="95">
          <cell r="Z95">
            <v>-4</v>
          </cell>
          <cell r="AA95">
            <v>0</v>
          </cell>
        </row>
        <row r="111">
          <cell r="D111">
            <v>53</v>
          </cell>
        </row>
        <row r="152">
          <cell r="Z152">
            <v>-17</v>
          </cell>
          <cell r="AA152">
            <v>0</v>
          </cell>
        </row>
      </sheetData>
      <sheetData sheetId="12"/>
      <sheetData sheetId="13"/>
      <sheetData sheetId="14"/>
      <sheetData sheetId="15"/>
      <sheetData sheetId="16"/>
      <sheetData sheetId="17"/>
      <sheetData sheetId="18"/>
      <sheetData sheetId="19"/>
      <sheetData sheetId="20"/>
      <sheetData sheetId="21"/>
      <sheetData sheetId="22">
        <row r="21">
          <cell r="N21">
            <v>129</v>
          </cell>
        </row>
      </sheetData>
      <sheetData sheetId="23">
        <row r="183">
          <cell r="F183">
            <v>0</v>
          </cell>
        </row>
      </sheetData>
      <sheetData sheetId="24">
        <row r="49">
          <cell r="D49">
            <v>1</v>
          </cell>
        </row>
      </sheetData>
      <sheetData sheetId="25">
        <row r="6">
          <cell r="G6">
            <v>0</v>
          </cell>
        </row>
      </sheetData>
      <sheetData sheetId="26">
        <row r="13">
          <cell r="F13">
            <v>0</v>
          </cell>
        </row>
      </sheetData>
      <sheetData sheetId="27">
        <row r="17">
          <cell r="F17">
            <v>0</v>
          </cell>
        </row>
      </sheetData>
      <sheetData sheetId="28">
        <row r="16">
          <cell r="F16">
            <v>0</v>
          </cell>
        </row>
      </sheetData>
      <sheetData sheetId="29">
        <row r="14">
          <cell r="F14">
            <v>0</v>
          </cell>
        </row>
      </sheetData>
      <sheetData sheetId="30"/>
      <sheetData sheetId="31"/>
      <sheetData sheetId="32"/>
      <sheetData sheetId="33">
        <row r="706">
          <cell r="F706">
            <v>0</v>
          </cell>
        </row>
      </sheetData>
      <sheetData sheetId="34">
        <row r="14">
          <cell r="F14">
            <v>0</v>
          </cell>
        </row>
      </sheetData>
      <sheetData sheetId="35">
        <row r="345">
          <cell r="E345">
            <v>1</v>
          </cell>
        </row>
      </sheetData>
      <sheetData sheetId="36">
        <row r="17">
          <cell r="D17">
            <v>0</v>
          </cell>
        </row>
      </sheetData>
      <sheetData sheetId="37"/>
      <sheetData sheetId="38"/>
      <sheetData sheetId="39"/>
      <sheetData sheetId="40"/>
      <sheetData sheetId="41"/>
      <sheetData sheetId="42"/>
      <sheetData sheetId="43"/>
      <sheetData sheetId="44"/>
      <sheetData sheetId="45">
        <row r="9">
          <cell r="H9">
            <v>139077.40278212758</v>
          </cell>
        </row>
      </sheetData>
      <sheetData sheetId="46">
        <row r="9">
          <cell r="H9">
            <v>0</v>
          </cell>
        </row>
      </sheetData>
      <sheetData sheetId="47">
        <row r="9">
          <cell r="H9">
            <v>85691.507627176572</v>
          </cell>
        </row>
      </sheetData>
      <sheetData sheetId="48">
        <row r="9">
          <cell r="H9">
            <v>0</v>
          </cell>
        </row>
      </sheetData>
      <sheetData sheetId="49">
        <row r="9">
          <cell r="H9">
            <v>28688.351422255502</v>
          </cell>
        </row>
      </sheetData>
      <sheetData sheetId="50">
        <row r="9">
          <cell r="H9">
            <v>70511.720979427351</v>
          </cell>
        </row>
      </sheetData>
      <sheetData sheetId="51">
        <row r="9">
          <cell r="H9">
            <v>71072.915470562089</v>
          </cell>
        </row>
      </sheetData>
      <sheetData sheetId="52">
        <row r="9">
          <cell r="H9">
            <v>37851.605030041312</v>
          </cell>
        </row>
      </sheetData>
      <sheetData sheetId="53">
        <row r="8">
          <cell r="D8">
            <v>27</v>
          </cell>
        </row>
      </sheetData>
      <sheetData sheetId="54">
        <row r="23">
          <cell r="AV23">
            <v>0</v>
          </cell>
        </row>
        <row r="27">
          <cell r="AV27">
            <v>0</v>
          </cell>
        </row>
      </sheetData>
      <sheetData sheetId="55"/>
      <sheetData sheetId="56">
        <row r="24">
          <cell r="Y24">
            <v>-2</v>
          </cell>
        </row>
      </sheetData>
      <sheetData sheetId="57"/>
      <sheetData sheetId="58">
        <row r="24">
          <cell r="S24">
            <v>-14</v>
          </cell>
        </row>
      </sheetData>
      <sheetData sheetId="59"/>
      <sheetData sheetId="60">
        <row r="24">
          <cell r="Y24">
            <v>-1</v>
          </cell>
        </row>
      </sheetData>
      <sheetData sheetId="61"/>
      <sheetData sheetId="62">
        <row r="24">
          <cell r="S24">
            <v>-4</v>
          </cell>
        </row>
      </sheetData>
      <sheetData sheetId="63"/>
      <sheetData sheetId="64">
        <row r="24">
          <cell r="S24">
            <v>-8</v>
          </cell>
        </row>
      </sheetData>
      <sheetData sheetId="65"/>
      <sheetData sheetId="66"/>
      <sheetData sheetId="67">
        <row r="24">
          <cell r="S24">
            <v>-3</v>
          </cell>
        </row>
      </sheetData>
      <sheetData sheetId="68">
        <row r="23">
          <cell r="AV23">
            <v>-315</v>
          </cell>
        </row>
      </sheetData>
      <sheetData sheetId="69">
        <row r="25">
          <cell r="S25">
            <v>-50</v>
          </cell>
        </row>
      </sheetData>
      <sheetData sheetId="70"/>
      <sheetData sheetId="71">
        <row r="21">
          <cell r="D21">
            <v>-23470.617971122283</v>
          </cell>
        </row>
      </sheetData>
      <sheetData sheetId="72"/>
      <sheetData sheetId="73">
        <row r="7">
          <cell r="AA7">
            <v>42070.13</v>
          </cell>
        </row>
      </sheetData>
      <sheetData sheetId="74">
        <row r="1">
          <cell r="C1" t="str">
            <v>FEED000008</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Mult 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 val="March 2026 LIVESTOCK ANALYSIS"/>
    </sheetNames>
    <sheetDataSet>
      <sheetData sheetId="0"/>
      <sheetData sheetId="1"/>
      <sheetData sheetId="2"/>
      <sheetData sheetId="3"/>
      <sheetData sheetId="4"/>
      <sheetData sheetId="5"/>
      <sheetData sheetId="6"/>
      <sheetData sheetId="7"/>
      <sheetData sheetId="8"/>
      <sheetData sheetId="9"/>
      <sheetData sheetId="10">
        <row r="11">
          <cell r="E11">
            <v>456859.43233597133</v>
          </cell>
        </row>
      </sheetData>
      <sheetData sheetId="11">
        <row r="18">
          <cell r="Z18">
            <v>-66</v>
          </cell>
          <cell r="AB18">
            <v>0</v>
          </cell>
        </row>
        <row r="56">
          <cell r="Z56">
            <v>-25</v>
          </cell>
          <cell r="AA56">
            <v>0</v>
          </cell>
        </row>
        <row r="95">
          <cell r="Z95">
            <v>-8</v>
          </cell>
          <cell r="AA95">
            <v>0</v>
          </cell>
        </row>
        <row r="111">
          <cell r="D111">
            <v>66</v>
          </cell>
        </row>
        <row r="114">
          <cell r="Z114">
            <v>-15</v>
          </cell>
          <cell r="AA114">
            <v>0</v>
          </cell>
        </row>
        <row r="152">
          <cell r="Z152">
            <v>-22</v>
          </cell>
          <cell r="AA152">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ow r="21">
          <cell r="G21">
            <v>50090.693999999996</v>
          </cell>
        </row>
      </sheetData>
      <sheetData sheetId="54">
        <row r="23">
          <cell r="AV23">
            <v>0</v>
          </cell>
        </row>
        <row r="27">
          <cell r="AV27">
            <v>-94</v>
          </cell>
        </row>
      </sheetData>
      <sheetData sheetId="55"/>
      <sheetData sheetId="56">
        <row r="29">
          <cell r="S29">
            <v>0</v>
          </cell>
        </row>
      </sheetData>
      <sheetData sheetId="57"/>
      <sheetData sheetId="58">
        <row r="29">
          <cell r="S29">
            <v>292</v>
          </cell>
        </row>
      </sheetData>
      <sheetData sheetId="59"/>
      <sheetData sheetId="60">
        <row r="29">
          <cell r="S29">
            <v>0</v>
          </cell>
        </row>
      </sheetData>
      <sheetData sheetId="61"/>
      <sheetData sheetId="62">
        <row r="29">
          <cell r="S29">
            <v>14</v>
          </cell>
        </row>
      </sheetData>
      <sheetData sheetId="63"/>
      <sheetData sheetId="64">
        <row r="29">
          <cell r="S29">
            <v>360</v>
          </cell>
        </row>
      </sheetData>
      <sheetData sheetId="65"/>
      <sheetData sheetId="66"/>
      <sheetData sheetId="67">
        <row r="29">
          <cell r="S29">
            <v>511</v>
          </cell>
        </row>
      </sheetData>
      <sheetData sheetId="68">
        <row r="23">
          <cell r="AV23">
            <v>-404</v>
          </cell>
        </row>
      </sheetData>
      <sheetData sheetId="69">
        <row r="30">
          <cell r="AV30">
            <v>85118</v>
          </cell>
        </row>
      </sheetData>
      <sheetData sheetId="70"/>
      <sheetData sheetId="71">
        <row r="21">
          <cell r="D21">
            <v>-30677.43972647679</v>
          </cell>
        </row>
      </sheetData>
      <sheetData sheetId="72"/>
      <sheetData sheetId="73">
        <row r="7">
          <cell r="AA7">
            <v>68057.290000000008</v>
          </cell>
        </row>
      </sheetData>
      <sheetData sheetId="74">
        <row r="62">
          <cell r="AY62">
            <v>1663873</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Mult 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 val="April 2026 LIVESTOCK ANALYSIS"/>
    </sheetNames>
    <sheetDataSet>
      <sheetData sheetId="0"/>
      <sheetData sheetId="1"/>
      <sheetData sheetId="2"/>
      <sheetData sheetId="3"/>
      <sheetData sheetId="4"/>
      <sheetData sheetId="5"/>
      <sheetData sheetId="6"/>
      <sheetData sheetId="7"/>
      <sheetData sheetId="8"/>
      <sheetData sheetId="9"/>
      <sheetData sheetId="10">
        <row r="11">
          <cell r="E11">
            <v>463857.14907304512</v>
          </cell>
        </row>
      </sheetData>
      <sheetData sheetId="11">
        <row r="18">
          <cell r="Z18">
            <v>-55</v>
          </cell>
          <cell r="AB18">
            <v>0</v>
          </cell>
        </row>
        <row r="56">
          <cell r="Z56">
            <v>-18</v>
          </cell>
          <cell r="AA56">
            <v>-2</v>
          </cell>
        </row>
        <row r="95">
          <cell r="Z95">
            <v>-5</v>
          </cell>
          <cell r="AA95">
            <v>0</v>
          </cell>
        </row>
        <row r="111">
          <cell r="D111">
            <v>50</v>
          </cell>
        </row>
        <row r="114">
          <cell r="Z114">
            <v>-9</v>
          </cell>
          <cell r="AA114">
            <v>0</v>
          </cell>
        </row>
        <row r="152">
          <cell r="Z152">
            <v>-19</v>
          </cell>
          <cell r="AA152">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ow r="8">
          <cell r="D8">
            <v>25</v>
          </cell>
        </row>
      </sheetData>
      <sheetData sheetId="54">
        <row r="23">
          <cell r="AV23">
            <v>0</v>
          </cell>
        </row>
        <row r="27">
          <cell r="AV27">
            <v>-46</v>
          </cell>
        </row>
      </sheetData>
      <sheetData sheetId="55"/>
      <sheetData sheetId="56">
        <row r="29">
          <cell r="S29">
            <v>0</v>
          </cell>
        </row>
      </sheetData>
      <sheetData sheetId="57"/>
      <sheetData sheetId="58">
        <row r="29">
          <cell r="S29">
            <v>265</v>
          </cell>
        </row>
      </sheetData>
      <sheetData sheetId="59"/>
      <sheetData sheetId="60">
        <row r="29">
          <cell r="S29">
            <v>0</v>
          </cell>
        </row>
      </sheetData>
      <sheetData sheetId="61"/>
      <sheetData sheetId="62">
        <row r="29">
          <cell r="S29">
            <v>29</v>
          </cell>
        </row>
      </sheetData>
      <sheetData sheetId="63"/>
      <sheetData sheetId="64">
        <row r="29">
          <cell r="S29">
            <v>293</v>
          </cell>
        </row>
      </sheetData>
      <sheetData sheetId="65"/>
      <sheetData sheetId="66"/>
      <sheetData sheetId="67">
        <row r="29">
          <cell r="S29">
            <v>448</v>
          </cell>
        </row>
      </sheetData>
      <sheetData sheetId="68">
        <row r="23">
          <cell r="AV23">
            <v>-316</v>
          </cell>
        </row>
      </sheetData>
      <sheetData sheetId="69">
        <row r="33">
          <cell r="AJ33">
            <v>309075.25894013356</v>
          </cell>
        </row>
      </sheetData>
      <sheetData sheetId="70"/>
      <sheetData sheetId="71">
        <row r="21">
          <cell r="D21">
            <v>-25184.77031832072</v>
          </cell>
        </row>
      </sheetData>
      <sheetData sheetId="72"/>
      <sheetData sheetId="73">
        <row r="7">
          <cell r="AA7">
            <v>48675.189999999995</v>
          </cell>
        </row>
      </sheetData>
      <sheetData sheetId="74">
        <row r="1">
          <cell r="C1" t="str">
            <v>FEED000008</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Mult 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CCC (2)"/>
      <sheetName val="Triple C Pigs"/>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8">
          <cell r="Z18">
            <v>-47</v>
          </cell>
          <cell r="AB18">
            <v>0</v>
          </cell>
        </row>
        <row r="56">
          <cell r="Z56">
            <v>-19</v>
          </cell>
          <cell r="AA56">
            <v>0</v>
          </cell>
        </row>
        <row r="95">
          <cell r="Z95">
            <v>-4</v>
          </cell>
          <cell r="AA95">
            <v>0</v>
          </cell>
        </row>
        <row r="111">
          <cell r="D111">
            <v>49</v>
          </cell>
        </row>
        <row r="114">
          <cell r="Z114">
            <v>-18</v>
          </cell>
          <cell r="AA114">
            <v>0</v>
          </cell>
        </row>
        <row r="152">
          <cell r="Z152">
            <v>-17</v>
          </cell>
          <cell r="AA152">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row r="23">
          <cell r="AV23">
            <v>0</v>
          </cell>
        </row>
        <row r="27">
          <cell r="AV27">
            <v>-22</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row r="23">
          <cell r="AV23">
            <v>-312</v>
          </cell>
        </row>
      </sheetData>
      <sheetData sheetId="69" refreshError="1"/>
      <sheetData sheetId="70" refreshError="1"/>
      <sheetData sheetId="71">
        <row r="21">
          <cell r="D21">
            <v>-26996.00687218022</v>
          </cell>
        </row>
      </sheetData>
      <sheetData sheetId="72" refreshError="1"/>
      <sheetData sheetId="73" refreshError="1"/>
      <sheetData sheetId="74">
        <row r="1">
          <cell r="C1" t="str">
            <v>FEED000008</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Mult 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CCC (2)"/>
      <sheetName val="Triple C Pigs"/>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row r="18">
          <cell r="Z18">
            <v>-55</v>
          </cell>
          <cell r="AB18">
            <v>0</v>
          </cell>
        </row>
        <row r="56">
          <cell r="Z56">
            <v>-26</v>
          </cell>
          <cell r="AA56">
            <v>0</v>
          </cell>
        </row>
        <row r="95">
          <cell r="Z95">
            <v>-7</v>
          </cell>
          <cell r="AA95">
            <v>0</v>
          </cell>
        </row>
        <row r="111">
          <cell r="D111">
            <v>66</v>
          </cell>
        </row>
        <row r="114">
          <cell r="Z114">
            <v>-17</v>
          </cell>
          <cell r="AA114">
            <v>0</v>
          </cell>
        </row>
        <row r="152">
          <cell r="Z152">
            <v>-24</v>
          </cell>
          <cell r="AA152">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23">
          <cell r="AV23">
            <v>0</v>
          </cell>
        </row>
        <row r="27">
          <cell r="AV27">
            <v>-21</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23">
          <cell r="AV23">
            <v>-393</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row r="11">
          <cell r="E11">
            <v>420407.28003576997</v>
          </cell>
        </row>
      </sheetData>
      <sheetData sheetId="11">
        <row r="14">
          <cell r="X14">
            <v>-3790</v>
          </cell>
        </row>
        <row r="18">
          <cell r="AB18">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row r="41">
          <cell r="D41">
            <v>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23">
          <cell r="AV23">
            <v>-239</v>
          </cell>
        </row>
      </sheetData>
      <sheetData sheetId="55"/>
      <sheetData sheetId="56">
        <row r="29">
          <cell r="S29">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33">
          <cell r="AJ33">
            <v>260723.68517813072</v>
          </cell>
        </row>
      </sheetData>
      <sheetData sheetId="70"/>
      <sheetData sheetId="71">
        <row r="21">
          <cell r="D21">
            <v>-22184.115235950627</v>
          </cell>
        </row>
      </sheetData>
      <sheetData sheetId="72"/>
      <sheetData sheetId="73">
        <row r="7">
          <cell r="AA7">
            <v>50243.164857052921</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row r="18">
          <cell r="AB18">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ow r="29">
          <cell r="R29">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ow r="21">
          <cell r="D21">
            <v>-22184.115235950627</v>
          </cell>
        </row>
      </sheetData>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row r="114">
          <cell r="Z114">
            <v>-7</v>
          </cell>
          <cell r="AA114">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row r="114">
          <cell r="Z114">
            <v>-19</v>
          </cell>
          <cell r="AA114">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row r="114">
          <cell r="Z114">
            <v>-12</v>
          </cell>
          <cell r="AA114">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Sheet31"/>
      <sheetName val="Mvnmt Recon"/>
      <sheetName val="Grasmere Batch Mvnt"/>
      <sheetName val="Learig Batch Mvnt"/>
      <sheetName val="Lionheads Batch Mvnt"/>
      <sheetName val="Lionheads Ext. Batch Mvnt"/>
      <sheetName val="Villa Batch Mvnt"/>
      <sheetName val="Richlands Batch Mvnt"/>
      <sheetName val="Porta Batch Mvnt"/>
      <sheetName val="Multiplier Batch Mvnt"/>
      <sheetName val="Cattle Mvnt"/>
      <sheetName val="Grasmere Imported Sows"/>
      <sheetName val="Grasmere Imported Boars"/>
      <sheetName val="Lionhead TN 60"/>
      <sheetName val="Lionhead Imported Boars"/>
      <sheetName val="Lionshead TN 70"/>
      <sheetName val="Villa Imported Boars"/>
      <sheetName val="Richlands Imported Boars"/>
      <sheetName val="Richlands A LINE"/>
      <sheetName val="Richlands TN60"/>
      <sheetName val="Summary Imported Valuation"/>
      <sheetName val="Porta TN70"/>
      <sheetName val="Porta Imported Boars"/>
      <sheetName val="Multiplier Imported Sows"/>
      <sheetName val="Multiplier Imported Boars "/>
      <sheetName val="Grasmere Imported Valuation"/>
      <sheetName val="Richlands Imported Valuation"/>
      <sheetName val="Summary Splits"/>
      <sheetName val="Lionhead Imported Valuation"/>
      <sheetName val="Porta Imported Valuation"/>
      <sheetName val="Multiplier Imported Valuation"/>
      <sheetName val="Imported Valuation Summary"/>
      <sheetName val="Summary Valuation"/>
      <sheetName val="Grasmere Valuation "/>
      <sheetName val="Learig Valuation"/>
      <sheetName val="Lionhead Valuation"/>
      <sheetName val="Lionhead Ext. Valuation"/>
      <sheetName val="Villa Valuation"/>
      <sheetName val="Richlands Valuation"/>
      <sheetName val="Porta Valuation"/>
      <sheetName val="Multiplier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Sheet30"/>
      <sheetName val="Richlands Pig Cost (2)"/>
      <sheetName val="Porta Pig Cost"/>
      <sheetName val="Multiplier Pig Cost "/>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row r="114">
          <cell r="Z114">
            <v>-18</v>
          </cell>
          <cell r="AA114">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Mvnmt Recon"/>
      <sheetName val="Grasmere Batch Mvnt"/>
      <sheetName val="Learig Batch Mvnt"/>
      <sheetName val="Lionheads Batch Mvnt"/>
      <sheetName val="Lionheads Ext. Batch Mvnt"/>
      <sheetName val="Villa Batch Mvnt"/>
      <sheetName val="Richlands Batch Mvnt"/>
      <sheetName val="Porta Batch Mvnt"/>
      <sheetName val="Cattle Mvnt"/>
      <sheetName val="Grasmere Imported Sows"/>
      <sheetName val="Grasmere Imported Boars"/>
      <sheetName val="Lionhead TN 60"/>
      <sheetName val="Lionhead Imported Boars"/>
      <sheetName val="Villa Imported Boars"/>
      <sheetName val="Richlands Imported Boars"/>
      <sheetName val="Richlands A LINE"/>
      <sheetName val="Richlands TN60"/>
      <sheetName val="Summary Imported Valuation"/>
      <sheetName val="Porta TN70"/>
      <sheetName val="Porta Imported Boars"/>
      <sheetName val="Grasmere Imported Valuation"/>
      <sheetName val="Richlands Imported Valuation"/>
      <sheetName val="Summary Splits"/>
      <sheetName val="Lionhead Imported Valuation"/>
      <sheetName val="Porta Imported Valuation"/>
      <sheetName val="Summary Valuation"/>
      <sheetName val="Grasmere Valuation "/>
      <sheetName val="Learig Valuation"/>
      <sheetName val="Lionhead Valuation"/>
      <sheetName val="Lionhead Ext. Valuation"/>
      <sheetName val="Villa Valuation"/>
      <sheetName val="Richlands Valuation"/>
      <sheetName val="Porta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Richlands Pig Cost (2)"/>
      <sheetName val="Porta Pig Cost"/>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row r="9">
          <cell r="E9">
            <v>313104.31665574037</v>
          </cell>
        </row>
      </sheetData>
      <sheetData sheetId="11">
        <row r="12">
          <cell r="AE12">
            <v>4956</v>
          </cell>
        </row>
        <row r="56">
          <cell r="AA56">
            <v>0</v>
          </cell>
          <cell r="AB56">
            <v>0</v>
          </cell>
        </row>
        <row r="114">
          <cell r="AA114">
            <v>0</v>
          </cell>
        </row>
      </sheetData>
      <sheetData sheetId="12"/>
      <sheetData sheetId="13">
        <row r="79">
          <cell r="O79">
            <v>29</v>
          </cell>
        </row>
      </sheetData>
      <sheetData sheetId="14"/>
      <sheetData sheetId="15"/>
      <sheetData sheetId="16"/>
      <sheetData sheetId="17"/>
      <sheetData sheetId="18"/>
      <sheetData sheetId="19"/>
      <sheetData sheetId="20">
        <row r="11">
          <cell r="A11" t="str">
            <v>Calves (below 6 months)</v>
          </cell>
        </row>
      </sheetData>
      <sheetData sheetId="21">
        <row r="395">
          <cell r="F395">
            <v>7</v>
          </cell>
        </row>
      </sheetData>
      <sheetData sheetId="22">
        <row r="42">
          <cell r="D42">
            <v>38</v>
          </cell>
        </row>
      </sheetData>
      <sheetData sheetId="23"/>
      <sheetData sheetId="24"/>
      <sheetData sheetId="25"/>
      <sheetData sheetId="26"/>
      <sheetData sheetId="27">
        <row r="22">
          <cell r="F22">
            <v>2</v>
          </cell>
        </row>
      </sheetData>
      <sheetData sheetId="28">
        <row r="10">
          <cell r="F10">
            <v>0</v>
          </cell>
        </row>
      </sheetData>
      <sheetData sheetId="29"/>
      <sheetData sheetId="30"/>
      <sheetData sheetId="31"/>
      <sheetData sheetId="32"/>
      <sheetData sheetId="33"/>
      <sheetData sheetId="34"/>
      <sheetData sheetId="35"/>
      <sheetData sheetId="36"/>
      <sheetData sheetId="37"/>
      <sheetData sheetId="38">
        <row r="9">
          <cell r="C9"/>
        </row>
      </sheetData>
      <sheetData sheetId="39">
        <row r="9">
          <cell r="C9"/>
        </row>
      </sheetData>
      <sheetData sheetId="40">
        <row r="9">
          <cell r="C9"/>
        </row>
      </sheetData>
      <sheetData sheetId="41">
        <row r="9">
          <cell r="C9"/>
        </row>
      </sheetData>
      <sheetData sheetId="42">
        <row r="9">
          <cell r="E9"/>
        </row>
      </sheetData>
      <sheetData sheetId="43">
        <row r="9">
          <cell r="C9"/>
        </row>
      </sheetData>
      <sheetData sheetId="44"/>
      <sheetData sheetId="45">
        <row r="8">
          <cell r="D8">
            <v>19</v>
          </cell>
        </row>
      </sheetData>
      <sheetData sheetId="46">
        <row r="20">
          <cell r="AV20">
            <v>-299</v>
          </cell>
        </row>
      </sheetData>
      <sheetData sheetId="47"/>
      <sheetData sheetId="48">
        <row r="21">
          <cell r="AA21">
            <v>-1</v>
          </cell>
        </row>
      </sheetData>
      <sheetData sheetId="49"/>
      <sheetData sheetId="50">
        <row r="21">
          <cell r="S21">
            <v>-41</v>
          </cell>
        </row>
      </sheetData>
      <sheetData sheetId="51"/>
      <sheetData sheetId="52">
        <row r="21">
          <cell r="Y21">
            <v>-2</v>
          </cell>
        </row>
      </sheetData>
      <sheetData sheetId="53"/>
      <sheetData sheetId="54">
        <row r="21">
          <cell r="S21">
            <v>-6</v>
          </cell>
        </row>
      </sheetData>
      <sheetData sheetId="55"/>
      <sheetData sheetId="56">
        <row r="21">
          <cell r="S21">
            <v>-10</v>
          </cell>
        </row>
      </sheetData>
      <sheetData sheetId="57"/>
      <sheetData sheetId="58"/>
      <sheetData sheetId="59">
        <row r="22">
          <cell r="S22">
            <v>-101</v>
          </cell>
        </row>
      </sheetData>
      <sheetData sheetId="60"/>
      <sheetData sheetId="61">
        <row r="19">
          <cell r="L19">
            <v>-34651.76915359003</v>
          </cell>
        </row>
      </sheetData>
      <sheetData sheetId="62"/>
      <sheetData sheetId="63">
        <row r="7">
          <cell r="W7">
            <v>59465.546720826183</v>
          </cell>
        </row>
      </sheetData>
      <sheetData sheetId="64">
        <row r="2">
          <cell r="B2" t="str">
            <v>Early Wean</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Mvnmt Recon"/>
      <sheetName val="Grasmere Batch Mvnt"/>
      <sheetName val="Learig Batch Mvnt"/>
      <sheetName val="Lionheads Batch Mvnt"/>
      <sheetName val="Lionheads Ext. Batch Mvnt"/>
      <sheetName val="Villa Batch Mvnt"/>
      <sheetName val="Richlands Batch Mvnt"/>
      <sheetName val="Porta Batch Mvnt"/>
      <sheetName val="Cattle Mvnt"/>
      <sheetName val="Grasmere Imported Sows"/>
      <sheetName val="Grasmere Imported Boars"/>
      <sheetName val="Lionhead TN 60"/>
      <sheetName val="Lionhead Imported Boars"/>
      <sheetName val="Villa Imported Boars"/>
      <sheetName val="Richlands Imported Boars"/>
      <sheetName val="Richlands A LINE"/>
      <sheetName val="Richlands TN60"/>
      <sheetName val="Summary Imported Valuation"/>
      <sheetName val="Porta TN70"/>
      <sheetName val="Porta Imported Boars"/>
      <sheetName val="Grasmere Imported Valuation"/>
      <sheetName val="Richlands Imported Valuation"/>
      <sheetName val="Summary Splits"/>
      <sheetName val="Lionhead Imported Valuation"/>
      <sheetName val="Porta Imported Valuation"/>
      <sheetName val="Summary Valuation"/>
      <sheetName val="Grasmere Valuation "/>
      <sheetName val="Learig Valuation"/>
      <sheetName val="Lionhead Valuation"/>
      <sheetName val="Lionhead Ext. Valuation"/>
      <sheetName val="Villa Valuation"/>
      <sheetName val="Richlands Valuation"/>
      <sheetName val="Porta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Richlands Pig Cost (2)"/>
      <sheetName val="Porta Pig Cost"/>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 val="July 2024 LIVESTOCK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9">
          <cell r="E9">
            <v>308913.47272582893</v>
          </cell>
        </row>
      </sheetData>
      <sheetData sheetId="11">
        <row r="12">
          <cell r="V12">
            <v>-418</v>
          </cell>
        </row>
        <row r="92">
          <cell r="D92"/>
        </row>
        <row r="95">
          <cell r="AA95">
            <v>0</v>
          </cell>
          <cell r="AB95">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4">
          <cell r="D44">
            <v>40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7">
          <cell r="AJ7">
            <v>949</v>
          </cell>
        </row>
      </sheetData>
      <sheetData sheetId="47" refreshError="1"/>
      <sheetData sheetId="48">
        <row r="7">
          <cell r="AJ7">
            <v>289</v>
          </cell>
        </row>
      </sheetData>
      <sheetData sheetId="49" refreshError="1"/>
      <sheetData sheetId="50">
        <row r="7">
          <cell r="AJ7">
            <v>558</v>
          </cell>
        </row>
      </sheetData>
      <sheetData sheetId="51" refreshError="1"/>
      <sheetData sheetId="52">
        <row r="7">
          <cell r="AJ7">
            <v>53</v>
          </cell>
        </row>
      </sheetData>
      <sheetData sheetId="53" refreshError="1"/>
      <sheetData sheetId="54">
        <row r="7">
          <cell r="AJ7">
            <v>171</v>
          </cell>
        </row>
      </sheetData>
      <sheetData sheetId="55" refreshError="1"/>
      <sheetData sheetId="56">
        <row r="7">
          <cell r="AJ7">
            <v>489</v>
          </cell>
        </row>
      </sheetData>
      <sheetData sheetId="57" refreshError="1"/>
      <sheetData sheetId="58" refreshError="1"/>
      <sheetData sheetId="59">
        <row r="22">
          <cell r="S22">
            <v>-31</v>
          </cell>
        </row>
      </sheetData>
      <sheetData sheetId="60" refreshError="1"/>
      <sheetData sheetId="61">
        <row r="19">
          <cell r="L19">
            <v>-24157.981128594474</v>
          </cell>
        </row>
      </sheetData>
      <sheetData sheetId="62" refreshError="1"/>
      <sheetData sheetId="63">
        <row r="7">
          <cell r="W7">
            <v>43101.103670434633</v>
          </cell>
        </row>
      </sheetData>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Mvnmt Recon"/>
      <sheetName val="Grasmere Batch Mvnt"/>
      <sheetName val="Learig Batch Mvnt"/>
      <sheetName val="Lionheads Batch Mvnt"/>
      <sheetName val="Lionheads Ext. Batch Mvnt"/>
      <sheetName val="Villa Batch Mvnt"/>
      <sheetName val="Richlands Batch Mvnt"/>
      <sheetName val="Porta Batch Mvnt"/>
      <sheetName val="Cattle Mvnt"/>
      <sheetName val="Grasmere Imported Sows"/>
      <sheetName val="Grasmere Imported Boars"/>
      <sheetName val="Lionhead TN 60"/>
      <sheetName val="Lionhead Imported Boars"/>
      <sheetName val="Villa Imported Boars"/>
      <sheetName val="Richlands Imported Boars"/>
      <sheetName val="Richlands A LINE"/>
      <sheetName val="Richlands TN60"/>
      <sheetName val="Summary Imported Valuation"/>
      <sheetName val="Porta TN70"/>
      <sheetName val="Porta Imported Boars"/>
      <sheetName val="Grasmere Imported Valuation"/>
      <sheetName val="Richlands Imported Valuation"/>
      <sheetName val="Summary Splits"/>
      <sheetName val="Lionhead Imported Valuation"/>
      <sheetName val="Porta Imported Valuation"/>
      <sheetName val="Summary Valuation"/>
      <sheetName val="Grasmere Valuation "/>
      <sheetName val="Learig Valuation"/>
      <sheetName val="Lionhead Valuation"/>
      <sheetName val="Lionhead Ext. Valuation"/>
      <sheetName val="Villa Valuation"/>
      <sheetName val="Richlands Valuation"/>
      <sheetName val="Porta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Richlands Pig Cost (2)"/>
      <sheetName val="Porta Pig Cost"/>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row r="9">
          <cell r="E9">
            <v>306407.99336520978</v>
          </cell>
        </row>
      </sheetData>
      <sheetData sheetId="11">
        <row r="12">
          <cell r="V12">
            <v>-498</v>
          </cell>
        </row>
        <row r="92">
          <cell r="D92"/>
        </row>
        <row r="95">
          <cell r="AA95">
            <v>0</v>
          </cell>
          <cell r="AB95">
            <v>0</v>
          </cell>
        </row>
      </sheetData>
      <sheetData sheetId="12"/>
      <sheetData sheetId="13"/>
      <sheetData sheetId="14"/>
      <sheetData sheetId="15"/>
      <sheetData sheetId="16"/>
      <sheetData sheetId="17"/>
      <sheetData sheetId="18"/>
      <sheetData sheetId="19"/>
      <sheetData sheetId="20"/>
      <sheetData sheetId="21">
        <row r="436">
          <cell r="F436">
            <v>8</v>
          </cell>
        </row>
      </sheetData>
      <sheetData sheetId="22">
        <row r="43">
          <cell r="D43">
            <v>39</v>
          </cell>
        </row>
      </sheetData>
      <sheetData sheetId="23"/>
      <sheetData sheetId="24"/>
      <sheetData sheetId="25"/>
      <sheetData sheetId="26"/>
      <sheetData sheetId="27">
        <row r="20">
          <cell r="F20">
            <v>2</v>
          </cell>
        </row>
      </sheetData>
      <sheetData sheetId="28"/>
      <sheetData sheetId="29"/>
      <sheetData sheetId="30">
        <row r="837">
          <cell r="F837">
            <v>1</v>
          </cell>
        </row>
      </sheetData>
      <sheetData sheetId="31"/>
      <sheetData sheetId="32"/>
      <sheetData sheetId="33"/>
      <sheetData sheetId="34"/>
      <sheetData sheetId="35"/>
      <sheetData sheetId="36"/>
      <sheetData sheetId="37"/>
      <sheetData sheetId="38">
        <row r="27">
          <cell r="E27">
            <v>948</v>
          </cell>
        </row>
      </sheetData>
      <sheetData sheetId="39">
        <row r="27">
          <cell r="E27">
            <v>293</v>
          </cell>
        </row>
      </sheetData>
      <sheetData sheetId="40">
        <row r="27">
          <cell r="E27">
            <v>521</v>
          </cell>
        </row>
      </sheetData>
      <sheetData sheetId="41">
        <row r="27">
          <cell r="E27">
            <v>77</v>
          </cell>
        </row>
      </sheetData>
      <sheetData sheetId="42">
        <row r="27">
          <cell r="E27">
            <v>173</v>
          </cell>
        </row>
      </sheetData>
      <sheetData sheetId="43">
        <row r="27">
          <cell r="E27">
            <v>486</v>
          </cell>
        </row>
      </sheetData>
      <sheetData sheetId="44"/>
      <sheetData sheetId="45">
        <row r="8">
          <cell r="D8">
            <v>19</v>
          </cell>
        </row>
      </sheetData>
      <sheetData sheetId="46">
        <row r="7">
          <cell r="AN7">
            <v>942</v>
          </cell>
        </row>
      </sheetData>
      <sheetData sheetId="47"/>
      <sheetData sheetId="48">
        <row r="7">
          <cell r="AN7">
            <v>299</v>
          </cell>
        </row>
      </sheetData>
      <sheetData sheetId="49"/>
      <sheetData sheetId="50">
        <row r="7">
          <cell r="AN7">
            <v>554</v>
          </cell>
        </row>
      </sheetData>
      <sheetData sheetId="51"/>
      <sheetData sheetId="52">
        <row r="7">
          <cell r="AN7">
            <v>53</v>
          </cell>
        </row>
      </sheetData>
      <sheetData sheetId="53"/>
      <sheetData sheetId="54">
        <row r="7">
          <cell r="AN7">
            <v>169</v>
          </cell>
        </row>
      </sheetData>
      <sheetData sheetId="55"/>
      <sheetData sheetId="56">
        <row r="7">
          <cell r="AN7">
            <v>487</v>
          </cell>
        </row>
      </sheetData>
      <sheetData sheetId="57"/>
      <sheetData sheetId="58"/>
      <sheetData sheetId="59">
        <row r="7">
          <cell r="AN7">
            <v>2504</v>
          </cell>
        </row>
      </sheetData>
      <sheetData sheetId="60"/>
      <sheetData sheetId="61">
        <row r="20">
          <cell r="L20">
            <v>-22620.780394218411</v>
          </cell>
        </row>
      </sheetData>
      <sheetData sheetId="62"/>
      <sheetData sheetId="63">
        <row r="7">
          <cell r="W7">
            <v>37954.834012319501</v>
          </cell>
        </row>
      </sheetData>
      <sheetData sheetId="64">
        <row r="62">
          <cell r="AE62">
            <v>1192377.5132614917</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Mvnmt Recon"/>
      <sheetName val="Grasmere Batch Mvnt"/>
      <sheetName val="Learig Batch Mvnt"/>
      <sheetName val="Lionheads Batch Mvnt"/>
      <sheetName val="Lionheads Ext. Batch Mvnt"/>
      <sheetName val="Villa Batch Mvnt"/>
      <sheetName val="Richlands Batch Mvnt"/>
      <sheetName val="Porta Batch Mvnt"/>
      <sheetName val="Cattle Mvnt"/>
      <sheetName val="Grasmere Imported Sows"/>
      <sheetName val="Grasmere Imported Boars"/>
      <sheetName val="Lionhead TN 60"/>
      <sheetName val="Lionhead Imported Boars"/>
      <sheetName val="Villa Imported Boars"/>
      <sheetName val="Richlands Imported Boars"/>
      <sheetName val="Richlands A LINE"/>
      <sheetName val="Richlands TN60"/>
      <sheetName val="Summary Imported Valuation"/>
      <sheetName val="Porta TN70"/>
      <sheetName val="Porta Imported Boars"/>
      <sheetName val="Grasmere Imported Valuation"/>
      <sheetName val="Richlands Imported Valuation"/>
      <sheetName val="Summary Splits"/>
      <sheetName val="Lionhead Imported Valuation"/>
      <sheetName val="Porta Imported Valuation"/>
      <sheetName val="Summary Valuation"/>
      <sheetName val="Grasmere Valuation "/>
      <sheetName val="Learig Valuation"/>
      <sheetName val="Lionhead Valuation"/>
      <sheetName val="Lionhead Ext. Valuation"/>
      <sheetName val="Villa Valuation"/>
      <sheetName val="Richlands Valuation"/>
      <sheetName val="Porta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Richlands Pig Cost (2)"/>
      <sheetName val="Porta Pig Cost"/>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row r="10">
          <cell r="E10">
            <v>309128.33930433472</v>
          </cell>
        </row>
      </sheetData>
      <sheetData sheetId="11">
        <row r="12">
          <cell r="V12">
            <v>-667</v>
          </cell>
        </row>
        <row r="92">
          <cell r="D92"/>
        </row>
        <row r="95">
          <cell r="AA95">
            <v>0</v>
          </cell>
          <cell r="AB95">
            <v>0</v>
          </cell>
        </row>
      </sheetData>
      <sheetData sheetId="12"/>
      <sheetData sheetId="13"/>
      <sheetData sheetId="14"/>
      <sheetData sheetId="15"/>
      <sheetData sheetId="16"/>
      <sheetData sheetId="17"/>
      <sheetData sheetId="18"/>
      <sheetData sheetId="19"/>
      <sheetData sheetId="20">
        <row r="11">
          <cell r="A11" t="str">
            <v>Calves (below 6 months)</v>
          </cell>
        </row>
      </sheetData>
      <sheetData sheetId="21">
        <row r="419">
          <cell r="F419">
            <v>8</v>
          </cell>
        </row>
      </sheetData>
      <sheetData sheetId="22">
        <row r="40">
          <cell r="D40">
            <v>38</v>
          </cell>
        </row>
      </sheetData>
      <sheetData sheetId="23">
        <row r="6">
          <cell r="G6">
            <v>0</v>
          </cell>
        </row>
      </sheetData>
      <sheetData sheetId="24">
        <row r="13">
          <cell r="F13">
            <v>0</v>
          </cell>
        </row>
      </sheetData>
      <sheetData sheetId="25"/>
      <sheetData sheetId="26">
        <row r="15">
          <cell r="F15">
            <v>0</v>
          </cell>
        </row>
      </sheetData>
      <sheetData sheetId="27">
        <row r="20">
          <cell r="F20">
            <v>3</v>
          </cell>
        </row>
      </sheetData>
      <sheetData sheetId="28">
        <row r="10">
          <cell r="F10">
            <v>0</v>
          </cell>
        </row>
      </sheetData>
      <sheetData sheetId="29"/>
      <sheetData sheetId="30">
        <row r="837">
          <cell r="F837" t="str">
            <v>Porta</v>
          </cell>
        </row>
      </sheetData>
      <sheetData sheetId="31">
        <row r="15">
          <cell r="F15">
            <v>0</v>
          </cell>
        </row>
      </sheetData>
      <sheetData sheetId="32"/>
      <sheetData sheetId="33"/>
      <sheetData sheetId="34"/>
      <sheetData sheetId="35"/>
      <sheetData sheetId="36"/>
      <sheetData sheetId="37"/>
      <sheetData sheetId="38">
        <row r="9">
          <cell r="H9">
            <v>139892.18103718528</v>
          </cell>
        </row>
      </sheetData>
      <sheetData sheetId="39">
        <row r="9">
          <cell r="H9">
            <v>0</v>
          </cell>
        </row>
      </sheetData>
      <sheetData sheetId="40">
        <row r="9">
          <cell r="H9">
            <v>70152.992604524581</v>
          </cell>
        </row>
      </sheetData>
      <sheetData sheetId="41">
        <row r="9">
          <cell r="H9">
            <v>0</v>
          </cell>
        </row>
      </sheetData>
      <sheetData sheetId="42">
        <row r="9">
          <cell r="H9">
            <v>25544.808471852048</v>
          </cell>
        </row>
      </sheetData>
      <sheetData sheetId="43">
        <row r="9">
          <cell r="H9">
            <v>72498.221451895544</v>
          </cell>
        </row>
      </sheetData>
      <sheetData sheetId="44">
        <row r="9">
          <cell r="H9">
            <v>1040.135738877309</v>
          </cell>
        </row>
      </sheetData>
      <sheetData sheetId="45">
        <row r="21">
          <cell r="G21">
            <v>56851.912732558136</v>
          </cell>
        </row>
      </sheetData>
      <sheetData sheetId="46">
        <row r="21">
          <cell r="AU21">
            <v>-317</v>
          </cell>
        </row>
      </sheetData>
      <sheetData sheetId="47"/>
      <sheetData sheetId="48">
        <row r="22">
          <cell r="Y22">
            <v>-1</v>
          </cell>
        </row>
      </sheetData>
      <sheetData sheetId="49"/>
      <sheetData sheetId="50">
        <row r="22">
          <cell r="S22">
            <v>-30</v>
          </cell>
        </row>
      </sheetData>
      <sheetData sheetId="51"/>
      <sheetData sheetId="52">
        <row r="22">
          <cell r="AD22">
            <v>-1</v>
          </cell>
        </row>
      </sheetData>
      <sheetData sheetId="53"/>
      <sheetData sheetId="54">
        <row r="22">
          <cell r="S22">
            <v>-4</v>
          </cell>
        </row>
      </sheetData>
      <sheetData sheetId="55"/>
      <sheetData sheetId="56">
        <row r="22">
          <cell r="S22">
            <v>-10</v>
          </cell>
        </row>
      </sheetData>
      <sheetData sheetId="57"/>
      <sheetData sheetId="58">
        <row r="58">
          <cell r="B58">
            <v>1040.135738877309</v>
          </cell>
        </row>
      </sheetData>
      <sheetData sheetId="59">
        <row r="23">
          <cell r="S23">
            <v>-86</v>
          </cell>
        </row>
      </sheetData>
      <sheetData sheetId="60"/>
      <sheetData sheetId="61">
        <row r="20">
          <cell r="L20">
            <v>-31540.52265301226</v>
          </cell>
        </row>
      </sheetData>
      <sheetData sheetId="62"/>
      <sheetData sheetId="63">
        <row r="7">
          <cell r="W7">
            <v>55071.61573437562</v>
          </cell>
        </row>
      </sheetData>
      <sheetData sheetId="64">
        <row r="62">
          <cell r="AE62">
            <v>1614016.2626084506</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journals"/>
      <sheetName val="Outgrower feed"/>
      <sheetName val="March pigs Journals"/>
      <sheetName val="Pigs Cost after IAS 41"/>
      <sheetName val="Pigs Cost"/>
      <sheetName val="IAS 41 Mvmnt Pigs"/>
      <sheetName val="USD"/>
      <sheetName val="Sheet18"/>
      <sheetName val="Sheet24"/>
      <sheetName val="Sheet26"/>
      <sheetName val="SUMMARY "/>
      <sheetName val="Summary Total Pigs"/>
      <sheetName val="Mvnmt Recon"/>
      <sheetName val="Grasmere Batch Mvnt"/>
      <sheetName val="Learig Batch Mvnt"/>
      <sheetName val="Lionheads Batch Mvnt"/>
      <sheetName val="Lionheads Ext. Batch Mvnt"/>
      <sheetName val="Villa Batch Mvnt"/>
      <sheetName val="Richlands Batch Mvnt"/>
      <sheetName val="Porta Batch Mvnt"/>
      <sheetName val="Cattle Mvnt"/>
      <sheetName val="Grasmere Imported Sows"/>
      <sheetName val="Grasmere Imported Boars"/>
      <sheetName val="Lionhead TN 60"/>
      <sheetName val="Lionhead Imported Boars"/>
      <sheetName val="Villa Imported Boars"/>
      <sheetName val="Richlands Imported Boars"/>
      <sheetName val="Richlands A LINE"/>
      <sheetName val="Richlands TN60"/>
      <sheetName val="Summary Imported Valuation"/>
      <sheetName val="Porta TN70"/>
      <sheetName val="Porta Imported Boars"/>
      <sheetName val="Grasmere Imported Valuation"/>
      <sheetName val="Richlands Imported Valuation"/>
      <sheetName val="Summary Splits"/>
      <sheetName val="Lionhead Imported Valuation"/>
      <sheetName val="Porta Imported Valuation"/>
      <sheetName val="Summary Valuation"/>
      <sheetName val="Grasmere Valuation "/>
      <sheetName val="Learig Valuation"/>
      <sheetName val="Lionhead Valuation"/>
      <sheetName val="Lionhead Ext. Valuation"/>
      <sheetName val="Villa Valuation"/>
      <sheetName val="Richlands Valuation"/>
      <sheetName val="Porta Valuation"/>
      <sheetName val="Cattle Valuation"/>
      <sheetName val="Grasmere Pig Cost"/>
      <sheetName val="Grasmere Pig Cost (2)"/>
      <sheetName val="Learig Pig Cost"/>
      <sheetName val="Learig Pig Cost (2)"/>
      <sheetName val="Lionhead Pig Cost"/>
      <sheetName val="Lionhead Pig Cost (2)"/>
      <sheetName val="Lionhead Ext. Pig Cost"/>
      <sheetName val="Lionhead Ext. Pig Cost (2)"/>
      <sheetName val="Villa Pig Cost"/>
      <sheetName val="Villa Pig Cost (2)"/>
      <sheetName val="Richlands Pig Cost"/>
      <sheetName val="Richlands Pig Cost (2)"/>
      <sheetName val="Porta Pig Cost"/>
      <sheetName val="Triple C Pigs"/>
      <sheetName val="CCC (2)"/>
      <sheetName val="Total Pigs"/>
      <sheetName val="Sheet28"/>
      <sheetName val="Non Current"/>
      <sheetName val="Feed Cost &amp; Allocation"/>
      <sheetName val="FCA RData"/>
      <sheetName val="Feed Consumed"/>
      <sheetName val="Sheet27"/>
      <sheetName val="Micro Packs Undercharge"/>
      <sheetName val="Sheet29"/>
      <sheetName val="July Stock adjustment working"/>
      <sheetName val="Summary"/>
      <sheetName val="Growers"/>
      <sheetName val="Sheet25"/>
      <sheetName val="Sheet17"/>
      <sheetName val="Sheet19"/>
      <sheetName val="Cattle after IAS 41"/>
      <sheetName val="Sheet1"/>
      <sheetName val="IAS 41 Mvmnt Cattle"/>
      <sheetName val="Sheet2"/>
      <sheetName val="Journal"/>
      <sheetName val="G Analysis"/>
      <sheetName val="Lynian"/>
      <sheetName val="Sheet3"/>
      <sheetName val="Sheet4"/>
      <sheetName val="Sheet5"/>
      <sheetName val="Sheet6"/>
      <sheetName val="Sheet7"/>
      <sheetName val="Sheet8"/>
      <sheetName val="Jan Lion Head Colcom deliveries"/>
      <sheetName val="Sheet9"/>
      <sheetName val="Sheet10"/>
      <sheetName val="Sheet20"/>
      <sheetName val="Sheet21"/>
      <sheetName val="Sheet22"/>
      <sheetName val="Sheet23"/>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row r="10">
          <cell r="E10">
            <v>319242.80700383865</v>
          </cell>
        </row>
      </sheetData>
      <sheetData sheetId="11">
        <row r="12">
          <cell r="V12">
            <v>-553</v>
          </cell>
        </row>
        <row r="92">
          <cell r="D92"/>
        </row>
      </sheetData>
      <sheetData sheetId="12"/>
      <sheetData sheetId="13"/>
      <sheetData sheetId="14"/>
      <sheetData sheetId="15"/>
      <sheetData sheetId="16"/>
      <sheetData sheetId="17"/>
      <sheetData sheetId="18"/>
      <sheetData sheetId="19"/>
      <sheetData sheetId="20">
        <row r="11">
          <cell r="A11" t="str">
            <v>Calves (below 6 months)</v>
          </cell>
        </row>
      </sheetData>
      <sheetData sheetId="21">
        <row r="411">
          <cell r="F411">
            <v>9</v>
          </cell>
        </row>
      </sheetData>
      <sheetData sheetId="22">
        <row r="38">
          <cell r="D38">
            <v>36</v>
          </cell>
        </row>
      </sheetData>
      <sheetData sheetId="23"/>
      <sheetData sheetId="24">
        <row r="13">
          <cell r="F13">
            <v>0</v>
          </cell>
        </row>
      </sheetData>
      <sheetData sheetId="25"/>
      <sheetData sheetId="26">
        <row r="15">
          <cell r="F15">
            <v>0</v>
          </cell>
        </row>
      </sheetData>
      <sheetData sheetId="27">
        <row r="18">
          <cell r="F18">
            <v>2</v>
          </cell>
        </row>
      </sheetData>
      <sheetData sheetId="28">
        <row r="10">
          <cell r="F10">
            <v>0</v>
          </cell>
        </row>
      </sheetData>
      <sheetData sheetId="29"/>
      <sheetData sheetId="30">
        <row r="1086">
          <cell r="F1086">
            <v>6</v>
          </cell>
        </row>
      </sheetData>
      <sheetData sheetId="31">
        <row r="15">
          <cell r="F15">
            <v>0</v>
          </cell>
        </row>
      </sheetData>
      <sheetData sheetId="32"/>
      <sheetData sheetId="33"/>
      <sheetData sheetId="34"/>
      <sheetData sheetId="35"/>
      <sheetData sheetId="36"/>
      <sheetData sheetId="37"/>
      <sheetData sheetId="38">
        <row r="9">
          <cell r="H9">
            <v>141034.06717245188</v>
          </cell>
        </row>
      </sheetData>
      <sheetData sheetId="39">
        <row r="9">
          <cell r="H9">
            <v>0</v>
          </cell>
        </row>
      </sheetData>
      <sheetData sheetId="40">
        <row r="9">
          <cell r="H9">
            <v>69158.792405492684</v>
          </cell>
        </row>
      </sheetData>
      <sheetData sheetId="41">
        <row r="9">
          <cell r="H9">
            <v>0</v>
          </cell>
        </row>
      </sheetData>
      <sheetData sheetId="42">
        <row r="9">
          <cell r="H9">
            <v>28758.410902191732</v>
          </cell>
        </row>
      </sheetData>
      <sheetData sheetId="43">
        <row r="9">
          <cell r="H9">
            <v>68507.544804369609</v>
          </cell>
        </row>
      </sheetData>
      <sheetData sheetId="44">
        <row r="9">
          <cell r="H9">
            <v>11783.991719332733</v>
          </cell>
        </row>
      </sheetData>
      <sheetData sheetId="45">
        <row r="8">
          <cell r="D8">
            <v>5</v>
          </cell>
        </row>
      </sheetData>
      <sheetData sheetId="46">
        <row r="21">
          <cell r="AU21">
            <v>-267</v>
          </cell>
        </row>
      </sheetData>
      <sheetData sheetId="47"/>
      <sheetData sheetId="48">
        <row r="22">
          <cell r="AB22">
            <v>-1</v>
          </cell>
        </row>
      </sheetData>
      <sheetData sheetId="49"/>
      <sheetData sheetId="50">
        <row r="22">
          <cell r="S22">
            <v>-18</v>
          </cell>
        </row>
      </sheetData>
      <sheetData sheetId="51"/>
      <sheetData sheetId="52">
        <row r="22">
          <cell r="AC22">
            <v>-1</v>
          </cell>
        </row>
      </sheetData>
      <sheetData sheetId="53"/>
      <sheetData sheetId="54">
        <row r="22">
          <cell r="S22">
            <v>-2</v>
          </cell>
        </row>
      </sheetData>
      <sheetData sheetId="55"/>
      <sheetData sheetId="56">
        <row r="22">
          <cell r="S22">
            <v>-7</v>
          </cell>
        </row>
      </sheetData>
      <sheetData sheetId="57"/>
      <sheetData sheetId="58">
        <row r="58">
          <cell r="B58">
            <v>2148.7711960910847</v>
          </cell>
        </row>
      </sheetData>
      <sheetData sheetId="59">
        <row r="23">
          <cell r="S23">
            <v>-55</v>
          </cell>
        </row>
      </sheetData>
      <sheetData sheetId="60"/>
      <sheetData sheetId="61">
        <row r="20">
          <cell r="L20">
            <v>-26112.069011642121</v>
          </cell>
        </row>
      </sheetData>
      <sheetData sheetId="62"/>
      <sheetData sheetId="63">
        <row r="7">
          <cell r="W7">
            <v>42186.950370330509</v>
          </cell>
        </row>
      </sheetData>
      <sheetData sheetId="64">
        <row r="62">
          <cell r="AE62">
            <v>1228290.1689834509</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Overscalded Pigs"/>
      <sheetName val="Sheet2"/>
      <sheetName val="Sheet6"/>
      <sheetName val="DOAs Week 47-Email"/>
    </sheetNames>
    <sheetDataSet>
      <sheetData sheetId="0" refreshError="1"/>
      <sheetData sheetId="1">
        <row r="7">
          <cell r="J7">
            <v>320.48400000000004</v>
          </cell>
        </row>
      </sheetData>
      <sheetData sheetId="2" refreshError="1">
        <row r="7">
          <cell r="H7">
            <v>40</v>
          </cell>
        </row>
        <row r="22">
          <cell r="H22">
            <v>33.6</v>
          </cell>
        </row>
        <row r="25">
          <cell r="H25">
            <v>4930.1000000000004</v>
          </cell>
        </row>
        <row r="95">
          <cell r="H95">
            <v>384.3</v>
          </cell>
        </row>
        <row r="125">
          <cell r="H125">
            <v>1766.9</v>
          </cell>
        </row>
        <row r="158">
          <cell r="H158">
            <v>729.7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Overscalded Pigs"/>
      <sheetName val="Sheet2"/>
      <sheetName val="Sheet6"/>
      <sheetName val="DOAs Week 47-Email"/>
    </sheetNames>
    <sheetDataSet>
      <sheetData sheetId="0"/>
      <sheetData sheetId="1">
        <row r="12">
          <cell r="L12">
            <v>3563</v>
          </cell>
        </row>
      </sheetData>
      <sheetData sheetId="2">
        <row r="25">
          <cell r="H25">
            <v>4833.6000000000004</v>
          </cell>
        </row>
        <row r="95">
          <cell r="H95">
            <v>497.19999999999993</v>
          </cell>
        </row>
        <row r="125">
          <cell r="H125">
            <v>1743.49</v>
          </cell>
        </row>
        <row r="158">
          <cell r="H158">
            <v>753.7</v>
          </cell>
        </row>
        <row r="217">
          <cell r="H217">
            <v>790.40000000000009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Overscalded Pigs"/>
      <sheetName val="Sheet2"/>
      <sheetName val="Sheet6"/>
      <sheetName val="DOAs Week 47-Email"/>
    </sheetNames>
    <sheetDataSet>
      <sheetData sheetId="0"/>
      <sheetData sheetId="1">
        <row r="12">
          <cell r="L12">
            <v>4604</v>
          </cell>
        </row>
      </sheetData>
      <sheetData sheetId="2">
        <row r="25">
          <cell r="H25">
            <v>6623.5</v>
          </cell>
        </row>
        <row r="95">
          <cell r="H95">
            <v>608.1</v>
          </cell>
        </row>
        <row r="125">
          <cell r="H125">
            <v>2215.8000000000002</v>
          </cell>
        </row>
        <row r="158">
          <cell r="H158">
            <v>1052.5999999999999</v>
          </cell>
        </row>
        <row r="217">
          <cell r="H217">
            <v>1104.5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Overscalded Pigs"/>
      <sheetName val="Sheet2"/>
      <sheetName val="Sheet6"/>
      <sheetName val="DOAs Week 47-Email"/>
    </sheetNames>
    <sheetDataSet>
      <sheetData sheetId="0" refreshError="1"/>
      <sheetData sheetId="1" refreshError="1"/>
      <sheetData sheetId="2">
        <row r="25">
          <cell r="H25">
            <v>4958.2000000000007</v>
          </cell>
        </row>
        <row r="95">
          <cell r="H95">
            <v>497.5</v>
          </cell>
        </row>
        <row r="125">
          <cell r="H125">
            <v>1818.2</v>
          </cell>
        </row>
        <row r="158">
          <cell r="H158">
            <v>723.7</v>
          </cell>
        </row>
        <row r="217">
          <cell r="H217">
            <v>763.1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Overscalded Pigs"/>
      <sheetName val="Sheet2"/>
      <sheetName val="Sheet6"/>
      <sheetName val="DOAs Week 47-Email"/>
    </sheetNames>
    <sheetDataSet>
      <sheetData sheetId="0"/>
      <sheetData sheetId="1">
        <row r="12">
          <cell r="L12">
            <v>3717</v>
          </cell>
        </row>
      </sheetData>
      <sheetData sheetId="2">
        <row r="29">
          <cell r="H29">
            <v>4704.2</v>
          </cell>
        </row>
        <row r="95">
          <cell r="H95">
            <v>497.6</v>
          </cell>
        </row>
        <row r="125">
          <cell r="H125">
            <v>1858.6100000000001</v>
          </cell>
        </row>
        <row r="158">
          <cell r="H158">
            <v>733.2</v>
          </cell>
        </row>
        <row r="219">
          <cell r="H219">
            <v>716.5</v>
          </cell>
        </row>
        <row r="269">
          <cell r="C269">
            <v>558.85794003116894</v>
          </cell>
          <cell r="D269">
            <v>32.601563222601399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Provision Christmas Hampe Pork"/>
      <sheetName val="Overscalded Pigs"/>
      <sheetName val="Sheet2"/>
      <sheetName val="Sheet6"/>
      <sheetName val="DOAs Week 47-Email"/>
    </sheetNames>
    <sheetDataSet>
      <sheetData sheetId="0" refreshError="1"/>
      <sheetData sheetId="1">
        <row r="12">
          <cell r="L12">
            <v>4791</v>
          </cell>
        </row>
      </sheetData>
      <sheetData sheetId="2" refreshError="1">
        <row r="12">
          <cell r="H12">
            <v>20.399999999999999</v>
          </cell>
        </row>
        <row r="25">
          <cell r="H25">
            <v>5573.9999999999991</v>
          </cell>
        </row>
        <row r="95">
          <cell r="H95">
            <v>648.90000000000009</v>
          </cell>
        </row>
        <row r="125">
          <cell r="H125">
            <v>2289.25</v>
          </cell>
        </row>
        <row r="158">
          <cell r="H158">
            <v>1019</v>
          </cell>
        </row>
        <row r="217">
          <cell r="H217">
            <v>957</v>
          </cell>
        </row>
        <row r="269">
          <cell r="C269">
            <v>631.08597249407569</v>
          </cell>
          <cell r="D269">
            <v>25.170066432136203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Provision Christmas Hampe Pork"/>
      <sheetName val="Overscalded Pigs"/>
      <sheetName val="Sheet2"/>
      <sheetName val="Sheet6"/>
      <sheetName val="DOAs Week 47-Email"/>
    </sheetNames>
    <sheetDataSet>
      <sheetData sheetId="0"/>
      <sheetData sheetId="1">
        <row r="12">
          <cell r="L12">
            <v>3718</v>
          </cell>
        </row>
      </sheetData>
      <sheetData sheetId="2">
        <row r="25">
          <cell r="H25">
            <v>5289</v>
          </cell>
        </row>
        <row r="95">
          <cell r="H95">
            <v>469.5</v>
          </cell>
        </row>
        <row r="125">
          <cell r="H125">
            <v>1261.5</v>
          </cell>
        </row>
        <row r="158">
          <cell r="H158">
            <v>727.7</v>
          </cell>
        </row>
        <row r="217">
          <cell r="H217">
            <v>750.1</v>
          </cell>
        </row>
        <row r="269">
          <cell r="C269">
            <v>772.63028898084133</v>
          </cell>
          <cell r="D269">
            <v>15.260591405062481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Provision Christmas Hampe Pork"/>
      <sheetName val="Overscalded Pigs"/>
      <sheetName val="Sheet2"/>
      <sheetName val="Sheet6"/>
      <sheetName val="DOAs Week 47-Email"/>
    </sheetNames>
    <sheetDataSet>
      <sheetData sheetId="0" refreshError="1"/>
      <sheetData sheetId="1" refreshError="1"/>
      <sheetData sheetId="2">
        <row r="24">
          <cell r="H24">
            <v>43.2</v>
          </cell>
        </row>
        <row r="25">
          <cell r="H25">
            <v>4774.5</v>
          </cell>
        </row>
        <row r="95">
          <cell r="H95">
            <v>536.19999999999993</v>
          </cell>
        </row>
        <row r="125">
          <cell r="H125">
            <v>1984.1999999999998</v>
          </cell>
        </row>
        <row r="158">
          <cell r="H158">
            <v>773.7</v>
          </cell>
        </row>
        <row r="232">
          <cell r="H232">
            <v>2198.8513926445144</v>
          </cell>
        </row>
        <row r="269">
          <cell r="C269">
            <v>424.52936914016448</v>
          </cell>
          <cell r="D269">
            <v>22.737309421183802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ental"/>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Provision Christmas Hampe Pork"/>
      <sheetName val="Overscalded Pigs"/>
      <sheetName val="Sheet2"/>
      <sheetName val="Sheet6"/>
      <sheetName val="DOAs Week 47-Email"/>
    </sheetNames>
    <sheetDataSet>
      <sheetData sheetId="0"/>
      <sheetData sheetId="1">
        <row r="12">
          <cell r="T12">
            <v>17690</v>
          </cell>
        </row>
      </sheetData>
      <sheetData sheetId="2"/>
      <sheetData sheetId="3">
        <row r="25">
          <cell r="H25">
            <v>6724.9000000000005</v>
          </cell>
        </row>
        <row r="95">
          <cell r="H95">
            <v>672.9</v>
          </cell>
        </row>
        <row r="125">
          <cell r="H125">
            <v>1984.1999999999998</v>
          </cell>
        </row>
        <row r="160">
          <cell r="H160">
            <v>935.2</v>
          </cell>
        </row>
        <row r="232">
          <cell r="H232">
            <v>2888.1025949649666</v>
          </cell>
        </row>
        <row r="269">
          <cell r="C269">
            <v>762.09134026203139</v>
          </cell>
          <cell r="D269">
            <v>27.3638946108304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ental"/>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Provision Christmas Hampe Pork"/>
      <sheetName val="Overscalded Pigs"/>
      <sheetName val="Sheet2"/>
      <sheetName val="Sheet6"/>
      <sheetName val="DOAs Week 47-Email"/>
    </sheetNames>
    <sheetDataSet>
      <sheetData sheetId="0" refreshError="1"/>
      <sheetData sheetId="1">
        <row r="12">
          <cell r="L12">
            <v>3898</v>
          </cell>
        </row>
      </sheetData>
      <sheetData sheetId="2" refreshError="1"/>
      <sheetData sheetId="3" refreshError="1">
        <row r="25">
          <cell r="H25">
            <v>5268</v>
          </cell>
        </row>
        <row r="95">
          <cell r="H95">
            <v>541.29999999999995</v>
          </cell>
        </row>
        <row r="125">
          <cell r="H125">
            <v>1809.3</v>
          </cell>
        </row>
        <row r="160">
          <cell r="H160">
            <v>730.9</v>
          </cell>
        </row>
        <row r="232">
          <cell r="H232">
            <v>6163.5752719638258</v>
          </cell>
        </row>
        <row r="269">
          <cell r="C269">
            <v>592.25916769201035</v>
          </cell>
          <cell r="D269">
            <v>29.118315605579159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ental"/>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Provision Christmas Hampe Pork"/>
      <sheetName val="Overscalded Pigs"/>
      <sheetName val="Sheet2"/>
      <sheetName val="Sheet6"/>
      <sheetName val="DOAs Week 47-Email"/>
    </sheetNames>
    <sheetDataSet>
      <sheetData sheetId="0"/>
      <sheetData sheetId="1">
        <row r="21">
          <cell r="AU21">
            <v>3544969.7340000002</v>
          </cell>
        </row>
      </sheetData>
      <sheetData sheetId="2"/>
      <sheetData sheetId="3">
        <row r="25">
          <cell r="H25">
            <v>5132.4000000000005</v>
          </cell>
        </row>
        <row r="95">
          <cell r="H95">
            <v>519</v>
          </cell>
        </row>
        <row r="125">
          <cell r="H125">
            <v>1900.7</v>
          </cell>
        </row>
        <row r="160">
          <cell r="H160">
            <v>767</v>
          </cell>
        </row>
        <row r="232">
          <cell r="H232">
            <v>4599.4218534774263</v>
          </cell>
        </row>
        <row r="269">
          <cell r="C269">
            <v>518.99917190318001</v>
          </cell>
          <cell r="D269">
            <v>30.399421936968327</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Sales USD"/>
      <sheetName val="Rental"/>
      <sheetName val="Rations &amp; lunches"/>
      <sheetName val="Extension Deliveries"/>
      <sheetName val="Extension Deliveries usd"/>
      <sheetName val="Sheet1"/>
      <sheetName val="Pig levy"/>
      <sheetName val="PIG LEVY AMMENDED"/>
      <sheetName val="Payroll Numbers"/>
      <sheetName val="Average Prices"/>
      <sheetName val="PIGLETS SALES"/>
      <sheetName val="Sheet4"/>
      <sheetName val="Provision Christmas Hampe Pork"/>
      <sheetName val="Overscalded Pigs"/>
      <sheetName val="Sheet2"/>
      <sheetName val="Sheet6"/>
      <sheetName val="DOAs Week 47-Email"/>
    </sheetNames>
    <sheetDataSet>
      <sheetData sheetId="0"/>
      <sheetData sheetId="1"/>
      <sheetData sheetId="2"/>
      <sheetData sheetId="3">
        <row r="25">
          <cell r="H25">
            <v>6423.7000000000007</v>
          </cell>
        </row>
        <row r="95">
          <cell r="H95">
            <v>638.6</v>
          </cell>
        </row>
        <row r="125">
          <cell r="H125">
            <v>2033.4</v>
          </cell>
        </row>
        <row r="160">
          <cell r="H160">
            <v>983.80000000000007</v>
          </cell>
        </row>
        <row r="232">
          <cell r="H232">
            <v>6658.5762356881423</v>
          </cell>
        </row>
        <row r="269">
          <cell r="C269">
            <v>609.39849345001085</v>
          </cell>
          <cell r="D269">
            <v>30.306154874046559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average cdm"/>
      <sheetName val="COMBINED CDM"/>
      <sheetName val="COMBINED PIGS SOLD"/>
      <sheetName val="Combined avg CDM"/>
      <sheetName val="comb total cdm"/>
      <sheetName val="margin over feed cost"/>
      <sheetName val="combined average cdm (5)"/>
      <sheetName val="COMBINED CDM (5)"/>
      <sheetName val="COMBINED PIGS SOLD (5)"/>
      <sheetName val="COMBINED KGS SOLD (4)"/>
      <sheetName val="COMBINED FARROWING RATE"/>
      <sheetName val="COMBINED BA"/>
      <sheetName val="COMBINED WEANING WEIGHT"/>
      <sheetName val="COMBINED 70 DAY WEIGHT"/>
      <sheetName val="COMBINED WPSY"/>
      <sheetName val="COMBINED DWFCR"/>
      <sheetName val="GRASMERE OPS"/>
      <sheetName val="GRASMERE OPS REPORT TOTAL CDM"/>
      <sheetName val="GRASMERE AVG CDM"/>
      <sheetName val="Grasmere total CDM all vs p (2)"/>
      <sheetName val="Grasmere margin over feed cost"/>
      <sheetName val="Grasmere only CDM vs Budget (2)"/>
      <sheetName val="Grasmere only avg CDM (2)"/>
      <sheetName val="Grasmere total pigs sold (3)"/>
      <sheetName val="Grasmere Kgs sold per sow p (4)"/>
      <sheetName val="Gras combined total CDM"/>
      <sheetName val="Gras avg CDM"/>
      <sheetName val="Grasmere Farrow rate"/>
      <sheetName val="GRASMERE BORN ALIVE"/>
      <sheetName val="GRASMERE WEANING WEIGHT"/>
      <sheetName val="70 DAY WEIGHT"/>
      <sheetName val="GRASMERE WND PER SOW PER YEAR"/>
      <sheetName val="GRASMERE DWFCR"/>
      <sheetName val="RICHLANDS OPS REPORT"/>
      <sheetName val="RICHLANDS OPS CDM"/>
      <sheetName val="RICHLANDS AVG CDM"/>
      <sheetName val="Richlands total CDM all vs  (2)"/>
      <sheetName val="Rich margin over feed cost"/>
      <sheetName val="Richlands only CDM vs budge (2)"/>
      <sheetName val="Richlands only Avg CDM (2)"/>
      <sheetName val="Richlands pigs sold (3)"/>
      <sheetName val="Rich kgs sold per sow (5)"/>
      <sheetName val="Richlands combined CDM"/>
      <sheetName val="Rich Avg CDM"/>
      <sheetName val="RICHLANDS FARROWING RATE"/>
      <sheetName val="RICHLANDS BORN ALIVE"/>
      <sheetName val="RICHLANDS WEANING WEIGHT"/>
      <sheetName val="RICHLANDS 70 DAY WEIGHT"/>
      <sheetName val="RICHLANDS WSY"/>
      <sheetName val="RICHLANDS DWFCR"/>
      <sheetName val="LIONSHEAD OPS REPORT"/>
      <sheetName val="LIONSHEAD TOTAL CDM"/>
      <sheetName val="LIONSHEAD AVERAGE CDM"/>
      <sheetName val="LH total CDM"/>
      <sheetName val="LH avg CDM"/>
      <sheetName val="LH total CDM all vs prior (2)"/>
      <sheetName val="LH margin over feed cost"/>
      <sheetName val="LH only CDM vs Budget (2)"/>
      <sheetName val="LH only Avg CDM (2)"/>
      <sheetName val="LH pigs sold (4)"/>
      <sheetName val="LH kgs sold per sow (7)"/>
      <sheetName val="LH FARROWING RATES"/>
      <sheetName val="LH BORN ALIVE"/>
      <sheetName val="LH WEANING WEIGHT"/>
      <sheetName val="LH 70 DAY WEIGHT"/>
      <sheetName val="LH WEANED PER SOW PER YEAR"/>
      <sheetName val="LH DWFCR"/>
      <sheetName val="VILLA OPS REPORT"/>
      <sheetName val="VILLA FRANCA  TOTAL CDM"/>
      <sheetName val="AVERAGE CDM"/>
      <sheetName val="Villa CDM all vs prior (2)"/>
      <sheetName val="villa only CDM"/>
      <sheetName val="Villa only CDM vs Budget (2)"/>
      <sheetName val="villa margin over feed cost"/>
      <sheetName val="Villa pigs sold (4)"/>
      <sheetName val="Villa total CDM"/>
      <sheetName val="Villa Avg CDM"/>
      <sheetName val="Villa kgs sold per sow (6)"/>
      <sheetName val="VF FARROWING RATE"/>
      <sheetName val="VF BORN ALIVE"/>
      <sheetName val="VF WEANING WEIGHT"/>
      <sheetName val="VF 70 DAY WEIGHT"/>
      <sheetName val="VF WEANED PER SOW PER YEAR"/>
      <sheetName val="VF DWFCR"/>
      <sheetName val="Lionhead Ext Pigs Sold (3)"/>
      <sheetName val="LH ext CDM (2)"/>
      <sheetName val="Learig Pigs Sold (4)"/>
      <sheetName val="Learig CDM (2)"/>
    </sheetNames>
    <sheetDataSet>
      <sheetData sheetId="0"/>
      <sheetData sheetId="1"/>
      <sheetData sheetId="2"/>
      <sheetData sheetId="3"/>
      <sheetData sheetId="4"/>
      <sheetData sheetId="5"/>
      <sheetData sheetId="6"/>
      <sheetData sheetId="7">
        <row r="21">
          <cell r="B21">
            <v>896506.34300000011</v>
          </cell>
        </row>
      </sheetData>
      <sheetData sheetId="8">
        <row r="21">
          <cell r="B21">
            <v>10015.941000000001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ow r="21">
          <cell r="B21">
            <v>337134.2</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ummary "/>
      <sheetName val="COS Summary"/>
      <sheetName val="IS Grasmere"/>
      <sheetName val="COS Grasmere"/>
      <sheetName val="January 26-June 26 Grasmere"/>
      <sheetName val="July 25-December 25 Grasmere"/>
      <sheetName val="July 25-June 26 Grasmer Value"/>
      <sheetName val="IS Richlands"/>
      <sheetName val="COS Richlands"/>
      <sheetName val="Dec 20"/>
      <sheetName val="Nov 20"/>
      <sheetName val="Oct 20"/>
      <sheetName val="Sep 20"/>
      <sheetName val="Jan 20"/>
      <sheetName val="Feb 20"/>
      <sheetName val="Mar 20"/>
      <sheetName val="April 20"/>
      <sheetName val="May 20"/>
      <sheetName val="June 20"/>
      <sheetName val="July 20 "/>
      <sheetName val="Aug 20"/>
      <sheetName val="January 26- June 26 Richlands"/>
      <sheetName val="July 25-December 25 Richlands"/>
      <sheetName val="July 25-June 25 Rich Value"/>
      <sheetName val="IS Porta"/>
      <sheetName val="COS Porta"/>
      <sheetName val="January 26- June 26 Porta"/>
      <sheetName val="July 25-December 25 Porta"/>
      <sheetName val="July 25-June 25 Porta Value"/>
      <sheetName val="IS Multiplier"/>
      <sheetName val="COS Multiplier"/>
      <sheetName val="January 26- June 26 Multiplier"/>
      <sheetName val="July 25-December 25 Multiplier"/>
      <sheetName val="July 25-June 25 Multiplr Value"/>
      <sheetName val="IS Villa"/>
      <sheetName val="COS Villa"/>
      <sheetName val="January 25- June 25 Villa"/>
      <sheetName val="July 24- December 24 Villa"/>
      <sheetName val="July 24-June 25 Villa Value "/>
      <sheetName val="IS Lionhead"/>
      <sheetName val="COS Lionhead"/>
      <sheetName val="Jan 25-June 25 Lionhead"/>
      <sheetName val="July 24-December 24 Lionhead"/>
      <sheetName val="July 24-June 25 LH Value"/>
      <sheetName val="IS Learig "/>
      <sheetName val="COS Learig"/>
      <sheetName val="January 25- June 25 Learig"/>
      <sheetName val="July 24- December 24 Learig"/>
      <sheetName val="July 24-June 25 Learig Value"/>
      <sheetName val="IS LH Ext"/>
      <sheetName val="COS LH Ext"/>
      <sheetName val="January 25- June 25 LH Ext"/>
      <sheetName val="July 24- December 24 LH Ext"/>
      <sheetName val="July 24-June 25 LH Ext Value"/>
      <sheetName val="COF June 2026"/>
      <sheetName val="COF May 2026"/>
      <sheetName val="COF April 2026"/>
      <sheetName val="COF March 2026"/>
      <sheetName val="COF February 2026"/>
      <sheetName val="COF January 2026"/>
      <sheetName val="COF December 2025"/>
      <sheetName val="COF November 2025"/>
      <sheetName val="COF October 2025"/>
      <sheetName val="COF September 2025"/>
      <sheetName val="COF August 2025"/>
      <sheetName val="COF July 2025"/>
      <sheetName val="COF June 2025"/>
      <sheetName val="COF May 25"/>
      <sheetName val="COF April 25"/>
      <sheetName val="COF March 25"/>
      <sheetName val="COF February 25"/>
      <sheetName val="COF January 25"/>
      <sheetName val="COF December 24"/>
      <sheetName val="COF November 24"/>
      <sheetName val="COF October 24"/>
      <sheetName val="COF September 23"/>
      <sheetName val="Prices-Major Raw Materials"/>
      <sheetName val="Feed Consumption"/>
      <sheetName val="Colcom Sales FY25"/>
      <sheetName val="Pig Forecast FY2026"/>
      <sheetName val="Pig Forecast FY25"/>
      <sheetName val="Raw Materials Prices Assumption"/>
      <sheetName val="CDMs Assumptions FY26"/>
      <sheetName val="COF May &amp; June 22"/>
      <sheetName val="COF July 22"/>
      <sheetName val="COF Aug &amp; Sep22"/>
      <sheetName val="COF May 22"/>
      <sheetName val="COF June 22"/>
      <sheetName val="COF June 24"/>
      <sheetName val="COF August 23"/>
      <sheetName val="COF July 23"/>
      <sheetName val="COF June 23"/>
      <sheetName val="COF May 23"/>
      <sheetName val="COF April 23"/>
      <sheetName val="COF March 23"/>
      <sheetName val="COF February 23"/>
      <sheetName val="COF January 23"/>
      <sheetName val="COF December 22"/>
      <sheetName val="COF November 22"/>
      <sheetName val="COF October 22"/>
      <sheetName val="COF September 22"/>
      <sheetName val="COF August 22"/>
      <sheetName val="COF July 2022"/>
      <sheetName val="Assumptions "/>
      <sheetName val="Other COS 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7">
          <cell r="I7">
            <v>206.804</v>
          </cell>
          <cell r="J7">
            <v>1034.02</v>
          </cell>
          <cell r="K7">
            <v>827.21600000000001</v>
          </cell>
          <cell r="L7">
            <v>827.21600000000001</v>
          </cell>
          <cell r="M7">
            <v>1034.02</v>
          </cell>
        </row>
        <row r="8">
          <cell r="I8">
            <v>2</v>
          </cell>
          <cell r="J8">
            <v>10</v>
          </cell>
          <cell r="K8">
            <v>8</v>
          </cell>
          <cell r="L8">
            <v>8</v>
          </cell>
          <cell r="M8">
            <v>10</v>
          </cell>
        </row>
        <row r="11">
          <cell r="I11">
            <v>18198.752</v>
          </cell>
          <cell r="J11">
            <v>90993.76</v>
          </cell>
          <cell r="K11">
            <v>74449.440000000002</v>
          </cell>
          <cell r="L11">
            <v>74449.440000000002</v>
          </cell>
          <cell r="M11">
            <v>93061.8</v>
          </cell>
        </row>
        <row r="12">
          <cell r="I12">
            <v>340</v>
          </cell>
          <cell r="J12">
            <v>1700</v>
          </cell>
          <cell r="K12">
            <v>1360</v>
          </cell>
          <cell r="L12">
            <v>1360</v>
          </cell>
          <cell r="M12">
            <v>1700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Avg CDM actual vs  (7)"/>
      <sheetName val="Combined pigs sold to colco (7)"/>
      <sheetName val="Combined total CDM to Colco (7)"/>
      <sheetName val="Combined kgs sold per sow p "/>
      <sheetName val="Combined farrow rate  (4)"/>
      <sheetName val="Combined Born alive (4)"/>
      <sheetName val="Combined Wean weight  (4)"/>
      <sheetName val="Combined Litter mass  (4)"/>
      <sheetName val="Combined 70 day weight  (4)"/>
      <sheetName val="Combined 70 day gain  (4)"/>
      <sheetName val="Combined WSY   (4)"/>
      <sheetName val="Multiplier farrow rate"/>
      <sheetName val="Multiplier Born alive "/>
      <sheetName val="Multiplier Avg wean weight"/>
      <sheetName val="Multiplier Total litter mass"/>
      <sheetName val="Multiplier 70 day weight "/>
      <sheetName val="Multiplier 70 day gain "/>
      <sheetName val="Multiplier WSY "/>
      <sheetName val="Multiplier Ops (other)"/>
      <sheetName val="Porta Avg CDM vs Budget "/>
      <sheetName val="Porta Total CDM to Colco"/>
      <sheetName val="Porta Pigs to Colcom"/>
      <sheetName val="Porta kgs sold  sow  year"/>
      <sheetName val="Porta Farrow rates  (4)"/>
      <sheetName val="Porta BA  (4)"/>
      <sheetName val="Porta average wean weight (4)"/>
      <sheetName val="Porta total litter mass (2)"/>
      <sheetName val="Porta 70 day weight  (4)"/>
      <sheetName val="Porta 70 day gain  (4)"/>
      <sheetName val="Porta WSY  (4)"/>
      <sheetName val="Porta ops (other)  (4)"/>
      <sheetName val="Grasmere Total CDM to Colco (7)"/>
      <sheetName val="Grasmere Avg CDM vs Budget (7)"/>
      <sheetName val="Grasmere Pigs to Colcom (7)"/>
      <sheetName val="Grasmere Kgs sold per sow p (7)"/>
      <sheetName val="Grasmere Farrow rate (4)"/>
      <sheetName val="Grasmere Born Alive (4)"/>
      <sheetName val="Grasmere Wean weight (4)"/>
      <sheetName val="Grasmere total litter mass  (4)"/>
      <sheetName val="Grasmere 70 day weight (4)"/>
      <sheetName val="Grasmere 70 day gain (4)"/>
      <sheetName val="Grasmere WSY (4)"/>
      <sheetName val="Grasmere ops (other)  (4)"/>
      <sheetName val="Richlands Avg CDM over budg (7)"/>
      <sheetName val="Richlands total CDM to Colc (7)"/>
      <sheetName val="Richlands Pigs to Colcom (7)"/>
      <sheetName val="Richlands kgs sold per sow  (7)"/>
      <sheetName val="Richlands Farrow rate (4)"/>
      <sheetName val="Richlands Born Alive (4)"/>
      <sheetName val="Richlands Wean weight (4)"/>
      <sheetName val="Richlands total litter mass (4)"/>
      <sheetName val="Richlands 70 day weight (4)"/>
      <sheetName val="Richlands 70 day gain (4)"/>
      <sheetName val="Richlands WSY  (4)"/>
      <sheetName val="Richlands ops (other)  (4)"/>
      <sheetName val="LH ext avg Cdm against budg (7)"/>
      <sheetName val="LH Ext total CDM to colcom  (7)"/>
      <sheetName val="LH extension pigs to Colcom (7)"/>
      <sheetName val="LH extension ops (other)   (4)"/>
      <sheetName val="LH avg CDM over budget "/>
      <sheetName val="LH total CDM to Colcom"/>
      <sheetName val="LH Pigs to Colcom "/>
      <sheetName val="LH Kgs sold per sow per yea "/>
      <sheetName val="LH Farrow Rate (4)"/>
      <sheetName val="LH Born Alive (4)"/>
      <sheetName val="LH Wean Weight  (4)"/>
      <sheetName val="LH total litter mass  (4)"/>
      <sheetName val="LH 70 day weight  (4)"/>
      <sheetName val="LH 70 day gain  (4)"/>
      <sheetName val="LH WSY  (4)"/>
      <sheetName val="Lions Head ops (other)  (4)"/>
      <sheetName val="Villa Avg CDM over Budget "/>
      <sheetName val="Villa total CDM to Colcom a "/>
      <sheetName val="Villa Pigs to Colcom "/>
      <sheetName val="Villa Kgs sold per sow per "/>
      <sheetName val="Villa Farrowing rate (4)"/>
      <sheetName val="Villa Born Alive  (4)"/>
      <sheetName val="Villa Wean weight (4)"/>
      <sheetName val="Villa total litter mass  (4)"/>
      <sheetName val="Villa 70 day weight  (4)"/>
      <sheetName val="Villa 70 day gain  (4)"/>
      <sheetName val="Villa WSY  (4)"/>
      <sheetName val="Villa ops (other)   (4)"/>
      <sheetName val="Learig Avg CDM against budg (4)"/>
      <sheetName val="Learig total CDM to Colcom (4)"/>
      <sheetName val="Learig Pigs to Colcom (4)"/>
      <sheetName val="Learig ops (other)  (4)"/>
    </sheetNames>
    <sheetDataSet>
      <sheetData sheetId="0"/>
      <sheetData sheetId="1"/>
      <sheetData sheetId="2"/>
      <sheetData sheetId="3"/>
      <sheetData sheetId="4">
        <row r="13">
          <cell r="R13">
            <v>91</v>
          </cell>
          <cell r="S13">
            <v>91</v>
          </cell>
          <cell r="T13">
            <v>91</v>
          </cell>
          <cell r="U13">
            <v>94</v>
          </cell>
          <cell r="V13">
            <v>95</v>
          </cell>
          <cell r="W13">
            <v>95</v>
          </cell>
        </row>
        <row r="14">
          <cell r="R14">
            <v>91</v>
          </cell>
          <cell r="S14">
            <v>94</v>
          </cell>
          <cell r="T14">
            <v>94</v>
          </cell>
          <cell r="U14">
            <v>95</v>
          </cell>
          <cell r="V14">
            <v>94</v>
          </cell>
          <cell r="W14">
            <v>94</v>
          </cell>
        </row>
        <row r="15">
          <cell r="R15">
            <v>88</v>
          </cell>
          <cell r="S15">
            <v>88</v>
          </cell>
          <cell r="T15">
            <v>92</v>
          </cell>
          <cell r="U15">
            <v>94</v>
          </cell>
          <cell r="V15">
            <v>96</v>
          </cell>
          <cell r="W15">
            <v>91</v>
          </cell>
        </row>
        <row r="16">
          <cell r="R16">
            <v>94</v>
          </cell>
          <cell r="S16">
            <v>94</v>
          </cell>
          <cell r="T16">
            <v>89</v>
          </cell>
          <cell r="U16">
            <v>100</v>
          </cell>
          <cell r="V16">
            <v>92</v>
          </cell>
          <cell r="W16">
            <v>96</v>
          </cell>
        </row>
        <row r="17">
          <cell r="R17">
            <v>89</v>
          </cell>
          <cell r="S17">
            <v>92</v>
          </cell>
          <cell r="T17">
            <v>95</v>
          </cell>
          <cell r="U17">
            <v>95</v>
          </cell>
          <cell r="V17">
            <v>96</v>
          </cell>
          <cell r="W17">
            <v>94</v>
          </cell>
        </row>
        <row r="18">
          <cell r="X18">
            <v>94.9</v>
          </cell>
          <cell r="Y18">
            <v>93.8</v>
          </cell>
          <cell r="Z18">
            <v>93</v>
          </cell>
        </row>
      </sheetData>
      <sheetData sheetId="5">
        <row r="14">
          <cell r="R14">
            <v>15</v>
          </cell>
          <cell r="S14">
            <v>15.2</v>
          </cell>
          <cell r="T14">
            <v>15.4</v>
          </cell>
          <cell r="U14">
            <v>15.4</v>
          </cell>
          <cell r="V14">
            <v>14.8</v>
          </cell>
          <cell r="W14">
            <v>15.4</v>
          </cell>
        </row>
        <row r="15">
          <cell r="R15">
            <v>14.9</v>
          </cell>
          <cell r="S15">
            <v>14.9</v>
          </cell>
          <cell r="T15">
            <v>15.5</v>
          </cell>
          <cell r="U15">
            <v>15</v>
          </cell>
          <cell r="V15">
            <v>15.3</v>
          </cell>
          <cell r="W15">
            <v>15.2</v>
          </cell>
        </row>
        <row r="16">
          <cell r="R16">
            <v>14.6</v>
          </cell>
          <cell r="S16">
            <v>14.7</v>
          </cell>
          <cell r="T16">
            <v>15.3</v>
          </cell>
          <cell r="U16">
            <v>15.7</v>
          </cell>
          <cell r="V16">
            <v>15.3</v>
          </cell>
          <cell r="W16">
            <v>15.2</v>
          </cell>
        </row>
        <row r="17">
          <cell r="R17">
            <v>14.5</v>
          </cell>
          <cell r="S17">
            <v>15.2</v>
          </cell>
          <cell r="T17">
            <v>15.1</v>
          </cell>
          <cell r="U17">
            <v>16.100000000000001</v>
          </cell>
          <cell r="V17">
            <v>15.5</v>
          </cell>
          <cell r="W17">
            <v>15.5</v>
          </cell>
        </row>
        <row r="18">
          <cell r="R18">
            <v>14</v>
          </cell>
          <cell r="S18">
            <v>14.2</v>
          </cell>
          <cell r="T18">
            <v>14</v>
          </cell>
          <cell r="U18">
            <v>14</v>
          </cell>
          <cell r="V18">
            <v>14.7</v>
          </cell>
          <cell r="W18">
            <v>16</v>
          </cell>
        </row>
      </sheetData>
      <sheetData sheetId="6">
        <row r="13">
          <cell r="S13">
            <v>7.62</v>
          </cell>
          <cell r="T13">
            <v>7.6</v>
          </cell>
          <cell r="U13">
            <v>7.3</v>
          </cell>
          <cell r="V13">
            <v>7.4</v>
          </cell>
          <cell r="W13">
            <v>7.25</v>
          </cell>
          <cell r="X13">
            <v>7.36</v>
          </cell>
        </row>
        <row r="14">
          <cell r="S14">
            <v>6.6</v>
          </cell>
          <cell r="T14">
            <v>6.9</v>
          </cell>
          <cell r="U14">
            <v>6.8</v>
          </cell>
          <cell r="V14">
            <v>6.7</v>
          </cell>
          <cell r="W14">
            <v>6.7</v>
          </cell>
          <cell r="X14">
            <v>6.6</v>
          </cell>
        </row>
        <row r="15">
          <cell r="S15">
            <v>7.4</v>
          </cell>
          <cell r="T15">
            <v>7.3</v>
          </cell>
          <cell r="U15">
            <v>7.18</v>
          </cell>
          <cell r="V15">
            <v>6.78</v>
          </cell>
          <cell r="W15">
            <v>6.7</v>
          </cell>
          <cell r="X15">
            <v>6.76</v>
          </cell>
        </row>
        <row r="16">
          <cell r="S16">
            <v>7.3</v>
          </cell>
          <cell r="T16">
            <v>7.3</v>
          </cell>
          <cell r="U16">
            <v>7</v>
          </cell>
          <cell r="V16">
            <v>7.1</v>
          </cell>
          <cell r="W16">
            <v>6.94</v>
          </cell>
          <cell r="X16">
            <v>6.9</v>
          </cell>
        </row>
        <row r="17">
          <cell r="S17">
            <v>6</v>
          </cell>
          <cell r="T17">
            <v>8.65</v>
          </cell>
          <cell r="U17">
            <v>8.64</v>
          </cell>
          <cell r="V17">
            <v>8.5</v>
          </cell>
          <cell r="W17">
            <v>8.1999999999999993</v>
          </cell>
          <cell r="X17">
            <v>8.1</v>
          </cell>
        </row>
      </sheetData>
      <sheetData sheetId="7">
        <row r="14">
          <cell r="R14">
            <v>96.62</v>
          </cell>
          <cell r="S14">
            <v>102.5</v>
          </cell>
          <cell r="T14">
            <v>98.2</v>
          </cell>
          <cell r="U14">
            <v>102.4</v>
          </cell>
          <cell r="V14">
            <v>100.3</v>
          </cell>
          <cell r="W14">
            <v>98.46</v>
          </cell>
        </row>
        <row r="15">
          <cell r="R15">
            <v>89.3</v>
          </cell>
          <cell r="S15">
            <v>93.48</v>
          </cell>
          <cell r="T15">
            <v>94.45</v>
          </cell>
          <cell r="U15">
            <v>93.7</v>
          </cell>
          <cell r="V15">
            <v>92.91</v>
          </cell>
          <cell r="W15">
            <v>91.29</v>
          </cell>
        </row>
        <row r="16">
          <cell r="R16">
            <v>99.3</v>
          </cell>
          <cell r="S16">
            <v>93.71</v>
          </cell>
          <cell r="T16">
            <v>97.44</v>
          </cell>
          <cell r="U16">
            <v>92.06</v>
          </cell>
          <cell r="V16">
            <v>96.73</v>
          </cell>
          <cell r="W16">
            <v>95.93</v>
          </cell>
        </row>
        <row r="17">
          <cell r="R17">
            <v>103.7</v>
          </cell>
          <cell r="S17">
            <v>105.8</v>
          </cell>
          <cell r="T17">
            <v>102.9</v>
          </cell>
          <cell r="U17">
            <v>101.4</v>
          </cell>
          <cell r="V17">
            <v>105.62</v>
          </cell>
          <cell r="W17">
            <v>99.3</v>
          </cell>
        </row>
        <row r="18">
          <cell r="R18">
            <v>82.7</v>
          </cell>
          <cell r="S18">
            <v>115.4</v>
          </cell>
          <cell r="T18">
            <v>117.55</v>
          </cell>
          <cell r="U18">
            <v>114.13</v>
          </cell>
          <cell r="V18">
            <v>114.1</v>
          </cell>
          <cell r="W18">
            <v>119.9</v>
          </cell>
        </row>
      </sheetData>
      <sheetData sheetId="8">
        <row r="15">
          <cell r="T15">
            <v>27.77</v>
          </cell>
          <cell r="U15">
            <v>28.68</v>
          </cell>
          <cell r="V15">
            <v>28.21</v>
          </cell>
          <cell r="W15">
            <v>28.16</v>
          </cell>
          <cell r="X15">
            <v>28.31</v>
          </cell>
          <cell r="Y15">
            <v>28.03</v>
          </cell>
        </row>
        <row r="16">
          <cell r="T16">
            <v>27.4</v>
          </cell>
          <cell r="U16">
            <v>27.54</v>
          </cell>
          <cell r="V16">
            <v>27.7</v>
          </cell>
          <cell r="W16">
            <v>28.46</v>
          </cell>
          <cell r="X16">
            <v>27.44</v>
          </cell>
          <cell r="Y16">
            <v>27.31</v>
          </cell>
        </row>
        <row r="17">
          <cell r="T17">
            <v>25.9</v>
          </cell>
          <cell r="U17">
            <v>27.66</v>
          </cell>
          <cell r="V17">
            <v>26.797999999999998</v>
          </cell>
          <cell r="W17">
            <v>25.67</v>
          </cell>
          <cell r="X17">
            <v>25.1</v>
          </cell>
          <cell r="Y17">
            <v>24.82</v>
          </cell>
        </row>
        <row r="18">
          <cell r="T18">
            <v>28.3</v>
          </cell>
          <cell r="U18">
            <v>28.7</v>
          </cell>
          <cell r="V18">
            <v>28.3</v>
          </cell>
          <cell r="W18">
            <v>28.2</v>
          </cell>
          <cell r="X18">
            <v>28.48</v>
          </cell>
          <cell r="Y18">
            <v>28.1</v>
          </cell>
        </row>
        <row r="21">
          <cell r="T21">
            <v>25.76</v>
          </cell>
          <cell r="U21">
            <v>22.34</v>
          </cell>
          <cell r="V21">
            <v>25.89</v>
          </cell>
          <cell r="W21">
            <v>28.27</v>
          </cell>
          <cell r="X21">
            <v>28.28</v>
          </cell>
          <cell r="Y21">
            <v>28.3</v>
          </cell>
        </row>
      </sheetData>
      <sheetData sheetId="9">
        <row r="15">
          <cell r="T15">
            <v>20.239999999999998</v>
          </cell>
          <cell r="U15">
            <v>21</v>
          </cell>
          <cell r="V15">
            <v>20.71</v>
          </cell>
          <cell r="W15">
            <v>20.68</v>
          </cell>
          <cell r="X15">
            <v>20.93</v>
          </cell>
          <cell r="Y15">
            <v>20.77</v>
          </cell>
        </row>
        <row r="16">
          <cell r="T16">
            <v>20.7</v>
          </cell>
          <cell r="U16">
            <v>20.99</v>
          </cell>
          <cell r="V16">
            <v>20.85</v>
          </cell>
          <cell r="W16">
            <v>21.51</v>
          </cell>
          <cell r="X16">
            <v>20.78</v>
          </cell>
          <cell r="Y16">
            <v>20.53</v>
          </cell>
        </row>
        <row r="17">
          <cell r="T17">
            <v>19</v>
          </cell>
          <cell r="U17">
            <v>20.47</v>
          </cell>
          <cell r="V17">
            <v>19.39</v>
          </cell>
          <cell r="W17">
            <v>18.239999999999998</v>
          </cell>
          <cell r="X17">
            <v>17.91</v>
          </cell>
          <cell r="Y17">
            <v>18.100000000000001</v>
          </cell>
        </row>
        <row r="18">
          <cell r="T18">
            <v>20.9</v>
          </cell>
          <cell r="U18">
            <v>21.2</v>
          </cell>
          <cell r="V18">
            <v>20.9</v>
          </cell>
          <cell r="W18">
            <v>21</v>
          </cell>
          <cell r="X18">
            <v>21.31</v>
          </cell>
          <cell r="Y18">
            <v>21.1</v>
          </cell>
        </row>
        <row r="21">
          <cell r="T21">
            <v>19.010000000000002</v>
          </cell>
          <cell r="U21">
            <v>16.399999999999999</v>
          </cell>
          <cell r="V21">
            <v>18.350000000000001</v>
          </cell>
          <cell r="W21">
            <v>19.690000000000001</v>
          </cell>
          <cell r="X21">
            <v>19.75</v>
          </cell>
          <cell r="Y21">
            <v>19.84</v>
          </cell>
        </row>
      </sheetData>
      <sheetData sheetId="10">
        <row r="13">
          <cell r="S13">
            <v>30.8</v>
          </cell>
          <cell r="T13">
            <v>33.1</v>
          </cell>
          <cell r="U13">
            <v>32.799999999999997</v>
          </cell>
          <cell r="V13">
            <v>33.5</v>
          </cell>
          <cell r="W13">
            <v>33.4</v>
          </cell>
          <cell r="X13">
            <v>33</v>
          </cell>
        </row>
        <row r="14">
          <cell r="S14">
            <v>33</v>
          </cell>
          <cell r="T14">
            <v>33.200000000000003</v>
          </cell>
          <cell r="U14">
            <v>33.700000000000003</v>
          </cell>
          <cell r="V14">
            <v>33.4</v>
          </cell>
          <cell r="W14">
            <v>33.299999999999997</v>
          </cell>
          <cell r="X14">
            <v>33.799999999999997</v>
          </cell>
        </row>
        <row r="15">
          <cell r="S15">
            <v>32.1</v>
          </cell>
          <cell r="T15">
            <v>32.200000000000003</v>
          </cell>
          <cell r="U15">
            <v>32.700000000000003</v>
          </cell>
          <cell r="V15">
            <v>33.700000000000003</v>
          </cell>
          <cell r="W15">
            <v>34</v>
          </cell>
          <cell r="X15">
            <v>33.299999999999997</v>
          </cell>
        </row>
        <row r="16">
          <cell r="S16">
            <v>33.700000000000003</v>
          </cell>
          <cell r="T16">
            <v>33.5</v>
          </cell>
          <cell r="U16">
            <v>35.799999999999997</v>
          </cell>
          <cell r="V16">
            <v>35.4</v>
          </cell>
          <cell r="W16">
            <v>37.200000000000003</v>
          </cell>
          <cell r="X16">
            <v>34.200000000000003</v>
          </cell>
        </row>
        <row r="17">
          <cell r="S17">
            <v>35.299999999999997</v>
          </cell>
          <cell r="T17">
            <v>32.4</v>
          </cell>
          <cell r="U17">
            <v>33.6</v>
          </cell>
          <cell r="V17">
            <v>32.5</v>
          </cell>
          <cell r="W17">
            <v>33.700000000000003</v>
          </cell>
          <cell r="X17">
            <v>35.700000000000003</v>
          </cell>
        </row>
        <row r="18">
          <cell r="Y18">
            <v>32.86</v>
          </cell>
          <cell r="Z18">
            <v>34.1</v>
          </cell>
          <cell r="AA18">
            <v>35.32</v>
          </cell>
          <cell r="AB18">
            <v>31.4</v>
          </cell>
          <cell r="AC18">
            <v>31.6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Avg CDM actual vs  (7)"/>
      <sheetName val="Combined pigs sold to colco (7)"/>
      <sheetName val="Combined total CDM to Colco (7)"/>
      <sheetName val="Combined kgs sold per sow p "/>
      <sheetName val="Combined farrow rate  (2)"/>
      <sheetName val="Combined Born alive (2)"/>
      <sheetName val="Combined Wean weight  (2)"/>
      <sheetName val="Combined Litter mass  (2)"/>
      <sheetName val="Combined 70 day weight  (2)"/>
      <sheetName val="Combined 70 day gain  (2)"/>
      <sheetName val="Combined WSY   (2)"/>
      <sheetName val="Multiplier farrow rate"/>
      <sheetName val="Multiplier Born alive"/>
      <sheetName val="Multiplier Avg wean weight"/>
      <sheetName val="Multiplier Total litter mass"/>
      <sheetName val="Multiplier 70 day weight "/>
      <sheetName val="Multiplier 70 day gain"/>
      <sheetName val="Multiplier WSY"/>
      <sheetName val="Multiplier Ops (other)"/>
      <sheetName val="% quality gilts supplied"/>
      <sheetName val="Porta Avg CDM vs Budget "/>
      <sheetName val="Porta Total CDM to Colco"/>
      <sheetName val="Porta Pigs to Colcom"/>
      <sheetName val="Porta Farrow rates  (2)"/>
      <sheetName val="Porta BA  (2)"/>
      <sheetName val="Porta average wean weight (2)"/>
      <sheetName val="Porta total litter mass"/>
      <sheetName val="Porta 70 day weight  (2)"/>
      <sheetName val="Porta 70 day gain  (2)"/>
      <sheetName val="Porta WSY  (2)"/>
      <sheetName val="Porta ops (other)  (2)"/>
      <sheetName val="Grasmere Avg CDM vs Budget (7)"/>
      <sheetName val="Grasmere Total CDM to Colco (7)"/>
      <sheetName val="Grasmere Pigs to Colcom (7)"/>
      <sheetName val="Grasmere Kgs sold per sow p (7)"/>
      <sheetName val="Grasmere Farrow rate (2)"/>
      <sheetName val="Grasmere Born Alive (2)"/>
      <sheetName val="Grasmere Wean weight (2)"/>
      <sheetName val="Grasmere total litter mass  (2)"/>
      <sheetName val="Grasmere 70 day weight (2)"/>
      <sheetName val="Grasmere 70 day gain (2)"/>
      <sheetName val="Grasmere WSY (2)"/>
      <sheetName val="Grasmere ops (other)  (2)"/>
      <sheetName val="Richlands Avg CDM over budg (7)"/>
      <sheetName val="Richlands total CDM to Colc (7)"/>
      <sheetName val="Richlands Pigs to Colcom (7)"/>
      <sheetName val="Richlands kgs sold per sow  (7)"/>
      <sheetName val="Richlands Farrow rate (2)"/>
      <sheetName val="Richlands Born Alive (2)"/>
      <sheetName val="Richlands Wean weight (2)"/>
      <sheetName val="Richlands total litter mass (2)"/>
      <sheetName val="Richlands 70 day weight (2)"/>
      <sheetName val="Richlands 70 day gain (2)"/>
      <sheetName val="Richlands WSY  (2)"/>
      <sheetName val="Richlands ops (other)  (2)"/>
      <sheetName val="LH ext avg Cdm against budg (7)"/>
      <sheetName val="LH Ext total CDM to colcom  (7)"/>
      <sheetName val="LH extension pigs to Colcom (7)"/>
      <sheetName val="LH extesnion ops (other)   (2)"/>
      <sheetName val="LH avg CDM over budget "/>
      <sheetName val="LH total CDM to Colcom"/>
      <sheetName val="LH Pigs to Colcom "/>
      <sheetName val="LH Kgs sold per sow per yea "/>
      <sheetName val="LH Farrow Rate (2)"/>
      <sheetName val="LH Born Alive (2)"/>
      <sheetName val="LH Wean Weight  (2)"/>
      <sheetName val="LH total litter mass  (2)"/>
      <sheetName val="LH 70 day weight  (2)"/>
      <sheetName val="LH 70 day gain  (2)"/>
      <sheetName val="LH WSY  (2)"/>
      <sheetName val="Lions Head ops (other)  (2)"/>
      <sheetName val="Villa Avg CDM over Budget "/>
      <sheetName val="Villa total CDM to Colcom a "/>
      <sheetName val="Villa Pigs to Colcom "/>
      <sheetName val="Villa Kgs sold per sow per "/>
      <sheetName val="Villa Farrowing rate (2)"/>
      <sheetName val="Villa Born Alive  (2)"/>
      <sheetName val="Villa Wean weight (2)"/>
      <sheetName val="Villa total litter mass  (2)"/>
      <sheetName val="Villa 70 day weight  (2)"/>
      <sheetName val="Villa 70 day gain  (2)"/>
      <sheetName val="Villa WSY  (2)"/>
      <sheetName val="Villa ops (other)   (2)"/>
      <sheetName val="Learig Avg CDM against budg (4)"/>
      <sheetName val="Learig total CDM to Colcom (4)"/>
      <sheetName val="Learig Pigs to Colcom (4)"/>
      <sheetName val="Learig ops (other)  (2)"/>
    </sheetNames>
    <sheetDataSet>
      <sheetData sheetId="0"/>
      <sheetData sheetId="1"/>
      <sheetData sheetId="2"/>
      <sheetData sheetId="3"/>
      <sheetData sheetId="4"/>
      <sheetData sheetId="5"/>
      <sheetData sheetId="6"/>
      <sheetData sheetId="7"/>
      <sheetData sheetId="8">
        <row r="20">
          <cell r="Y20">
            <v>28.3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ummary "/>
      <sheetName val="COS Summary"/>
      <sheetName val="IS Grasmere"/>
      <sheetName val="COS Grasmere"/>
      <sheetName val="January 26-June 26 Grasmere"/>
      <sheetName val="July 25-December 25 Grasmere"/>
      <sheetName val="July 25-June 26 Grasmer Value"/>
      <sheetName val="IS Richlands"/>
      <sheetName val="COS Richlands"/>
      <sheetName val="Dec 20"/>
      <sheetName val="Nov 20"/>
      <sheetName val="Oct 20"/>
      <sheetName val="Sep 20"/>
      <sheetName val="Jan 20"/>
      <sheetName val="Feb 20"/>
      <sheetName val="Mar 20"/>
      <sheetName val="April 20"/>
      <sheetName val="May 20"/>
      <sheetName val="June 20"/>
      <sheetName val="July 20 "/>
      <sheetName val="Aug 20"/>
      <sheetName val="January 26- June 26 Richlands"/>
      <sheetName val="July 25-December 25 Richlands"/>
      <sheetName val="July 25-June 25 Rich Value"/>
      <sheetName val="IS Porta"/>
      <sheetName val="COS Porta"/>
      <sheetName val="January 26- June 26 Porta"/>
      <sheetName val="July 25-December 25 Porta"/>
      <sheetName val="July 25-June 25 Porta Value"/>
      <sheetName val="IS Multiplier"/>
      <sheetName val="COS Multiplier"/>
      <sheetName val="January 26- June 26 Multiplier"/>
      <sheetName val="July 25-December 25 Multiplier"/>
      <sheetName val="July 25-June 25 Multiplr Value"/>
      <sheetName val="IS Villa"/>
      <sheetName val="COS Villa"/>
      <sheetName val="January 25- June 25 Villa"/>
      <sheetName val="July 24- December 24 Villa"/>
      <sheetName val="July 24-June 25 Villa Value "/>
      <sheetName val="IS Lionhead"/>
      <sheetName val="COS Lionhead"/>
      <sheetName val="Jan 25-June 25 Lionhead"/>
      <sheetName val="July 24-December 24 Lionhead"/>
      <sheetName val="July 24-June 25 LH Value"/>
      <sheetName val="IS Learig "/>
      <sheetName val="COS Learig"/>
      <sheetName val="January 25- June 25 Learig"/>
      <sheetName val="July 24- December 24 Learig"/>
      <sheetName val="July 24-June 25 Learig Value"/>
      <sheetName val="IS LH Ext"/>
      <sheetName val="COS LH Ext"/>
      <sheetName val="January 25- June 25 LH Ext"/>
      <sheetName val="July 24- December 24 LH Ext"/>
      <sheetName val="July 24-June 25 LH Ext Value"/>
      <sheetName val="COF June 2026"/>
      <sheetName val="COF May 2026"/>
      <sheetName val="COF April 2026"/>
      <sheetName val="COF March 2026"/>
      <sheetName val="COF February 2026"/>
      <sheetName val="COF January 2026"/>
      <sheetName val="COF December 2025"/>
      <sheetName val="COF November 2025"/>
      <sheetName val="COF October 2025"/>
      <sheetName val="COF September 2025"/>
      <sheetName val="COF August 2025"/>
      <sheetName val="COF July 2025"/>
      <sheetName val="COF June 2025"/>
      <sheetName val="COF May 25"/>
      <sheetName val="COF April 25"/>
      <sheetName val="COF March 25"/>
      <sheetName val="COF February 25"/>
      <sheetName val="COF January 25"/>
      <sheetName val="COF December 24"/>
      <sheetName val="COF November 24"/>
      <sheetName val="COF October 24"/>
      <sheetName val="COF September 23"/>
      <sheetName val="Prices-Major Raw Materials"/>
      <sheetName val="Feed Consumption"/>
      <sheetName val="Colcom Sales FY25"/>
      <sheetName val="Pig Forecast FY2026"/>
      <sheetName val="Pig Forecast FY25"/>
      <sheetName val="Raw Materials Prices Assumption"/>
      <sheetName val="CDMs Assumptions FY26"/>
      <sheetName val="COF May &amp; June 22"/>
      <sheetName val="COF July 22"/>
      <sheetName val="COF Aug &amp; Sep22"/>
      <sheetName val="COF May 22"/>
      <sheetName val="COF June 22"/>
      <sheetName val="COF June 24"/>
      <sheetName val="COF August 23"/>
      <sheetName val="COF July 23"/>
      <sheetName val="COF June 23"/>
      <sheetName val="COF May 23"/>
      <sheetName val="COF April 23"/>
      <sheetName val="COF March 23"/>
      <sheetName val="COF February 23"/>
      <sheetName val="COF January 23"/>
      <sheetName val="COF December 22"/>
      <sheetName val="COF November 22"/>
      <sheetName val="COF October 22"/>
      <sheetName val="COF September 22"/>
      <sheetName val="COF August 22"/>
      <sheetName val="COF July 2022"/>
      <sheetName val="Assumptions "/>
      <sheetName val="Other COS Assumptions"/>
    </sheetNames>
    <sheetDataSet>
      <sheetData sheetId="0">
        <row r="5">
          <cell r="B5">
            <v>45849</v>
          </cell>
        </row>
      </sheetData>
      <sheetData sheetId="1">
        <row r="9">
          <cell r="B9">
            <v>1152623.4250150735</v>
          </cell>
        </row>
      </sheetData>
      <sheetData sheetId="2">
        <row r="7">
          <cell r="B7">
            <v>45849</v>
          </cell>
        </row>
      </sheetData>
      <sheetData sheetId="3">
        <row r="9">
          <cell r="B9">
            <v>353847.06023785693</v>
          </cell>
        </row>
      </sheetData>
      <sheetData sheetId="4"/>
      <sheetData sheetId="5"/>
      <sheetData sheetId="6"/>
      <sheetData sheetId="7">
        <row r="7">
          <cell r="B7">
            <v>2100.3687064085734</v>
          </cell>
        </row>
      </sheetData>
      <sheetData sheetId="8">
        <row r="6">
          <cell r="B6">
            <v>45849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ow r="45">
          <cell r="AR45">
            <v>593208.73141064658</v>
          </cell>
        </row>
      </sheetData>
      <sheetData sheetId="22">
        <row r="44">
          <cell r="AR44">
            <v>629607.15990839957</v>
          </cell>
        </row>
      </sheetData>
      <sheetData sheetId="23">
        <row r="84">
          <cell r="AR84">
            <v>260500.92899056326</v>
          </cell>
        </row>
      </sheetData>
      <sheetData sheetId="24">
        <row r="7">
          <cell r="B7">
            <v>1737.36</v>
          </cell>
          <cell r="C7">
            <v>2311.6800000000003</v>
          </cell>
          <cell r="D7">
            <v>2893.982</v>
          </cell>
          <cell r="E7">
            <v>2425.3879999999999</v>
          </cell>
          <cell r="F7">
            <v>2386.6849999999999</v>
          </cell>
          <cell r="G7">
            <v>2941.4280000000003</v>
          </cell>
          <cell r="H7">
            <v>2322.1799999999998</v>
          </cell>
          <cell r="I7">
            <v>2322.1799999999998</v>
          </cell>
          <cell r="J7">
            <v>2902.7249999999999</v>
          </cell>
          <cell r="K7">
            <v>2322.1799999999998</v>
          </cell>
          <cell r="L7">
            <v>2322.1799999999998</v>
          </cell>
          <cell r="M7">
            <v>2902.7249999999999</v>
          </cell>
        </row>
        <row r="8">
          <cell r="B8">
            <v>20</v>
          </cell>
          <cell r="C8">
            <v>20</v>
          </cell>
          <cell r="D8">
            <v>25</v>
          </cell>
          <cell r="E8">
            <v>20</v>
          </cell>
          <cell r="F8">
            <v>20</v>
          </cell>
          <cell r="G8">
            <v>25</v>
          </cell>
          <cell r="H8">
            <v>20</v>
          </cell>
          <cell r="I8">
            <v>20</v>
          </cell>
          <cell r="J8">
            <v>25</v>
          </cell>
          <cell r="K8">
            <v>20</v>
          </cell>
          <cell r="L8">
            <v>20</v>
          </cell>
          <cell r="M8">
            <v>25</v>
          </cell>
        </row>
        <row r="11">
          <cell r="B11">
            <v>161574.47999999998</v>
          </cell>
          <cell r="C11">
            <v>214986.24000000002</v>
          </cell>
          <cell r="D11">
            <v>263352.36200000002</v>
          </cell>
          <cell r="E11">
            <v>220710.30799999999</v>
          </cell>
          <cell r="F11">
            <v>217188.33499999999</v>
          </cell>
          <cell r="G11">
            <v>267669.94800000003</v>
          </cell>
          <cell r="H11">
            <v>211318.37999999998</v>
          </cell>
          <cell r="I11">
            <v>211318.37999999998</v>
          </cell>
          <cell r="J11">
            <v>264147.97499999998</v>
          </cell>
          <cell r="K11">
            <v>215962.74</v>
          </cell>
          <cell r="L11">
            <v>215962.74</v>
          </cell>
          <cell r="M11">
            <v>269953.42499999999</v>
          </cell>
        </row>
        <row r="12">
          <cell r="B12">
            <v>3400</v>
          </cell>
          <cell r="C12">
            <v>3400</v>
          </cell>
          <cell r="D12">
            <v>4250</v>
          </cell>
          <cell r="E12">
            <v>3400</v>
          </cell>
          <cell r="F12">
            <v>3400</v>
          </cell>
          <cell r="G12">
            <v>4250</v>
          </cell>
          <cell r="H12">
            <v>3400</v>
          </cell>
          <cell r="I12">
            <v>3400</v>
          </cell>
          <cell r="J12">
            <v>4250</v>
          </cell>
          <cell r="K12">
            <v>3400</v>
          </cell>
          <cell r="L12">
            <v>3400</v>
          </cell>
          <cell r="M12">
            <v>4250</v>
          </cell>
        </row>
      </sheetData>
      <sheetData sheetId="25">
        <row r="9">
          <cell r="B9">
            <v>161574.47999999998</v>
          </cell>
        </row>
      </sheetData>
      <sheetData sheetId="26">
        <row r="45">
          <cell r="AR45">
            <v>709237.07279999997</v>
          </cell>
        </row>
      </sheetData>
      <sheetData sheetId="27">
        <row r="44">
          <cell r="AR44">
            <v>530622.13988571428</v>
          </cell>
        </row>
      </sheetData>
      <sheetData sheetId="28">
        <row r="84">
          <cell r="AR84">
            <v>310060.05565431586</v>
          </cell>
        </row>
      </sheetData>
      <sheetData sheetId="29">
        <row r="7">
          <cell r="B7">
            <v>0</v>
          </cell>
        </row>
      </sheetData>
      <sheetData sheetId="30">
        <row r="9">
          <cell r="B9">
            <v>0</v>
          </cell>
        </row>
      </sheetData>
      <sheetData sheetId="31"/>
      <sheetData sheetId="32"/>
      <sheetData sheetId="33"/>
      <sheetData sheetId="34">
        <row r="7">
          <cell r="B7">
            <v>753.9292572664483</v>
          </cell>
        </row>
      </sheetData>
      <sheetData sheetId="35">
        <row r="9">
          <cell r="B9">
            <v>70492.385554412918</v>
          </cell>
        </row>
      </sheetData>
      <sheetData sheetId="36"/>
      <sheetData sheetId="37"/>
      <sheetData sheetId="38"/>
      <sheetData sheetId="39">
        <row r="7">
          <cell r="B7">
            <v>2300.5769669671708</v>
          </cell>
        </row>
      </sheetData>
      <sheetData sheetId="40">
        <row r="9">
          <cell r="B9">
            <v>207051.92702704537</v>
          </cell>
        </row>
      </sheetData>
      <sheetData sheetId="41"/>
      <sheetData sheetId="42"/>
      <sheetData sheetId="43"/>
      <sheetData sheetId="44">
        <row r="7">
          <cell r="B7">
            <v>1295.531013835471</v>
          </cell>
        </row>
      </sheetData>
      <sheetData sheetId="45">
        <row r="9">
          <cell r="B9">
            <v>119188.85327286333</v>
          </cell>
        </row>
      </sheetData>
      <sheetData sheetId="46"/>
      <sheetData sheetId="47"/>
      <sheetData sheetId="48"/>
      <sheetData sheetId="49">
        <row r="7">
          <cell r="B7">
            <v>548.16851821905277</v>
          </cell>
        </row>
      </sheetData>
      <sheetData sheetId="50">
        <row r="9">
          <cell r="B9">
            <v>49335.166639714749</v>
          </cell>
        </row>
      </sheetData>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70">
          <cell r="S70">
            <v>2059.0749999999998</v>
          </cell>
        </row>
      </sheetData>
      <sheetData sheetId="80"/>
      <sheetData sheetId="81"/>
      <sheetData sheetId="82">
        <row r="32">
          <cell r="C32">
            <v>93.5</v>
          </cell>
        </row>
      </sheetData>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smere Farrow rate (2)"/>
    </sheet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smere Born Alive (2)"/>
    </sheetNames>
    <sheetDataSet>
      <sheetData sheetId="0"/>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h 19"/>
      <sheetName val="April 19"/>
      <sheetName val="May 19"/>
      <sheetName val="June 2019"/>
      <sheetName val="July"/>
      <sheetName val="August 2019"/>
      <sheetName val="sept 2019"/>
      <sheetName val="Octo 2019"/>
      <sheetName val="January2020"/>
      <sheetName val="february 2020"/>
      <sheetName val="March 2020"/>
      <sheetName val="April 2020"/>
      <sheetName val="May 2020"/>
      <sheetName val="June 2020"/>
      <sheetName val="July 2020"/>
      <sheetName val="August 2020"/>
      <sheetName val="September 2020"/>
      <sheetName val="October 2020"/>
      <sheetName val="November 2020"/>
      <sheetName val="Dec 2020"/>
      <sheetName val="Jan 2021"/>
      <sheetName val="Feb 2021"/>
      <sheetName val="Mar 2021"/>
      <sheetName val="April 2021"/>
      <sheetName val="May 2021"/>
      <sheetName val="June 2021"/>
      <sheetName val="July 2021"/>
      <sheetName val="August 2021"/>
      <sheetName val="September 2021"/>
      <sheetName val="October 2021"/>
      <sheetName val="November 2021"/>
      <sheetName val="December 2021"/>
      <sheetName val="January 2022"/>
      <sheetName val="February 2022"/>
      <sheetName val="March 2022"/>
      <sheetName val="April 2022"/>
      <sheetName val="May 2022"/>
      <sheetName val="June 2022"/>
      <sheetName val="July 2022"/>
      <sheetName val="August 2022"/>
      <sheetName val="September 2022"/>
      <sheetName val="October 2022"/>
      <sheetName val="November 2022"/>
      <sheetName val="December 2022"/>
      <sheetName val="January 2023"/>
      <sheetName val="February 2023"/>
      <sheetName val="March 2023"/>
      <sheetName val="April 2023"/>
      <sheetName val="May 2023"/>
      <sheetName val="June 2023"/>
      <sheetName val="July 2023"/>
      <sheetName val="August 2023"/>
      <sheetName val="September 2023"/>
      <sheetName val="October 2023"/>
      <sheetName val="November 2023"/>
      <sheetName val="December 2023"/>
      <sheetName val="January 2024"/>
      <sheetName val="February 2024"/>
      <sheetName val="March 2024"/>
      <sheetName val="April 2024"/>
      <sheetName val="May 2024"/>
      <sheetName val="June 2024"/>
      <sheetName val="July 2024"/>
      <sheetName val="August 2024"/>
      <sheetName val="September 2024"/>
      <sheetName val="October 2024"/>
      <sheetName val="November 2024"/>
      <sheetName val="December 2024"/>
      <sheetName val="January 20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4">
          <cell r="G4">
            <v>27.692499999999999</v>
          </cell>
        </row>
        <row r="5">
          <cell r="G5">
            <v>20.8125</v>
          </cell>
        </row>
        <row r="8">
          <cell r="G8">
            <v>1.5974999999999999</v>
          </cell>
        </row>
        <row r="9">
          <cell r="G9">
            <v>2.42</v>
          </cell>
        </row>
        <row r="10">
          <cell r="G10">
            <v>0.53725000000000001</v>
          </cell>
        </row>
        <row r="11">
          <cell r="G11">
            <v>1.1125</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sheetName val="monthly"/>
    </sheetNames>
    <sheetDataSet>
      <sheetData sheetId="0"/>
      <sheetData sheetId="1">
        <row r="5">
          <cell r="BR5"/>
        </row>
        <row r="10">
          <cell r="BR10">
            <v>5.4000000000000003E-3</v>
          </cell>
        </row>
        <row r="11">
          <cell r="BR11">
            <v>1.7299999999999999E-2</v>
          </cell>
        </row>
      </sheetData>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margin over feed c (7)"/>
      <sheetName val="Combined Avg CDM actual vs  (7)"/>
      <sheetName val="Combined pigs sold to colco (7)"/>
      <sheetName val="Combined total CDM to Colco (7)"/>
      <sheetName val="Combined kgs sold per sow p "/>
      <sheetName val="Combined farrow rate "/>
      <sheetName val="Combined Born alive"/>
      <sheetName val="Combined Wean weight "/>
      <sheetName val="Combined Litter mass "/>
      <sheetName val="Combined 70 day weight "/>
      <sheetName val="Combined 70 day gain"/>
      <sheetName val="Combined WSY "/>
      <sheetName val="Porta Margin over feed "/>
      <sheetName val="Porta Avg CDM vs Budget "/>
      <sheetName val="Porta Total CDM to Colco"/>
      <sheetName val="Porta Pigs to Colcom"/>
      <sheetName val="Porta Farrow rates"/>
      <sheetName val="Porta BA"/>
      <sheetName val="Porta average wean weight"/>
      <sheetName val="Porta Combined litter mass"/>
      <sheetName val="Porta 70 day weight"/>
      <sheetName val="Porta 70 day gain"/>
      <sheetName val="Porta WSY"/>
      <sheetName val="Porta ops (other)"/>
      <sheetName val="Grasmere Margin over feed c (7)"/>
      <sheetName val="Grasmere Avg CDM vs Budget (7)"/>
      <sheetName val="Grasmere Total CDM to Colco (7)"/>
      <sheetName val="Grasmere Pigs to Colcom (7)"/>
      <sheetName val="Grasmere Kgs sold per sow p (7)"/>
      <sheetName val="Grasmere Farrow rate"/>
      <sheetName val="Grasmere Born Alive"/>
      <sheetName val="Grasmere Wean weight"/>
      <sheetName val="Grasmere total litter mass"/>
      <sheetName val="Grasmere 70 day weight"/>
      <sheetName val="Grasmere 70 day gain"/>
      <sheetName val="Grasmere WSY"/>
      <sheetName val="Grasmere ops (other) "/>
      <sheetName val="Richlands margin over feed  (7)"/>
      <sheetName val="Richlands Avg CDM over budg (7)"/>
      <sheetName val="Richlands total CDM to Colc (7)"/>
      <sheetName val="Richlands Pigs to Colcom (7)"/>
      <sheetName val="Richlands kgs sold per sow  (7)"/>
      <sheetName val="Richlands Farrow rate"/>
      <sheetName val="Richlands Born Alive"/>
      <sheetName val="Richlands Wean weight"/>
      <sheetName val="Richlands total litter mass"/>
      <sheetName val="Richlands 70 day weight"/>
      <sheetName val="Richlands 70 day gain"/>
      <sheetName val="Richlands WSY"/>
      <sheetName val="Richlands ops (other) "/>
      <sheetName val="LH ext avg Cdm against budg (7)"/>
      <sheetName val="LH Ext total CDM to colcom  (7)"/>
      <sheetName val="LH extension pigs to Colcom (7)"/>
      <sheetName val="LH extesnion ops (other) "/>
      <sheetName val="LH and LH ext margin over f"/>
      <sheetName val="LH avg CDM over budget "/>
      <sheetName val="LH total CDM to Colcom"/>
      <sheetName val="LH Pigs to Colcom "/>
      <sheetName val="LH Kgs sold per sow per yea "/>
      <sheetName val="LH Farrow Rate"/>
      <sheetName val="LH Born Alive"/>
      <sheetName val="LH Wean Weight"/>
      <sheetName val="LH total litter mass"/>
      <sheetName val="LH 70 day weight"/>
      <sheetName val="LH 70 day gain"/>
      <sheetName val="LH WSY"/>
      <sheetName val="Lions Head ops (other) "/>
      <sheetName val="Villa Margin over feed cost "/>
      <sheetName val="Villa Avg CDM over Budget "/>
      <sheetName val="Villa total CDM to Colcom a "/>
      <sheetName val="Villa Pigs to Colcom "/>
      <sheetName val="Villa Kgs sold per sow per "/>
      <sheetName val="Villa Farrowing rate"/>
      <sheetName val="Villa Born Alive"/>
      <sheetName val="Villa Wean weight"/>
      <sheetName val="Villa total litter mass"/>
      <sheetName val="Villa 70 day weight"/>
      <sheetName val="Villa 70 day gain"/>
      <sheetName val="Villa WSY"/>
      <sheetName val="Villa ops (other) "/>
      <sheetName val="Learig Avg CDM against budg (4)"/>
      <sheetName val="Learig total CDM to Colcom (4)"/>
      <sheetName val="Learig Pigs to Colcom (4)"/>
      <sheetName val="Learig ops (other)"/>
    </sheetNames>
    <sheetDataSet>
      <sheetData sheetId="0"/>
      <sheetData sheetId="1"/>
      <sheetData sheetId="2">
        <row r="26">
          <cell r="B26">
            <v>0</v>
          </cell>
        </row>
        <row r="36">
          <cell r="B36">
            <v>131</v>
          </cell>
        </row>
        <row r="45">
          <cell r="B45">
            <v>2274</v>
          </cell>
        </row>
        <row r="46">
          <cell r="B46">
            <v>386</v>
          </cell>
        </row>
        <row r="48">
          <cell r="B48">
            <v>18</v>
          </cell>
        </row>
        <row r="56">
          <cell r="B56">
            <v>69</v>
          </cell>
        </row>
      </sheetData>
      <sheetData sheetId="3">
        <row r="25">
          <cell r="B25">
            <v>0</v>
          </cell>
        </row>
        <row r="35">
          <cell r="B35">
            <v>11962.1</v>
          </cell>
        </row>
        <row r="44">
          <cell r="B44">
            <v>208812.2</v>
          </cell>
        </row>
        <row r="45">
          <cell r="B45">
            <v>35859.9</v>
          </cell>
        </row>
        <row r="47">
          <cell r="B47">
            <v>2987.9</v>
          </cell>
        </row>
        <row r="54">
          <cell r="B54">
            <v>67664.400000000009</v>
          </cell>
        </row>
        <row r="55">
          <cell r="B55">
            <v>6269.1</v>
          </cell>
        </row>
        <row r="56">
          <cell r="B56">
            <v>22897.4</v>
          </cell>
        </row>
        <row r="57">
          <cell r="B57">
            <v>3398.9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D1" t="str">
            <v>CDM</v>
          </cell>
        </row>
        <row r="2">
          <cell r="AC2">
            <v>2549</v>
          </cell>
          <cell r="AD2">
            <v>88.449939623137226</v>
          </cell>
        </row>
        <row r="3">
          <cell r="AC3">
            <v>2127</v>
          </cell>
          <cell r="AD3">
            <v>92.698457536357949</v>
          </cell>
        </row>
        <row r="4">
          <cell r="AC4">
            <v>3359</v>
          </cell>
          <cell r="AD4">
            <v>95.17334981678016</v>
          </cell>
        </row>
        <row r="5">
          <cell r="AC5">
            <v>2776</v>
          </cell>
          <cell r="AD5">
            <v>91.977952777777773</v>
          </cell>
        </row>
        <row r="6">
          <cell r="AC6">
            <v>2821</v>
          </cell>
          <cell r="AD6">
            <v>91.518328929832364</v>
          </cell>
        </row>
        <row r="7">
          <cell r="AC7">
            <v>2917</v>
          </cell>
          <cell r="AD7">
            <v>90.347416301199843</v>
          </cell>
        </row>
        <row r="8">
          <cell r="AC8">
            <v>3031</v>
          </cell>
          <cell r="AD8">
            <v>90.604835334695963</v>
          </cell>
        </row>
        <row r="9">
          <cell r="AC9">
            <v>2872</v>
          </cell>
          <cell r="AD9">
            <v>91.46786693312167</v>
          </cell>
        </row>
        <row r="10">
          <cell r="AC10">
            <v>3431</v>
          </cell>
          <cell r="AD10">
            <v>88.572844313910977</v>
          </cell>
        </row>
        <row r="11">
          <cell r="AC11">
            <v>3152</v>
          </cell>
          <cell r="AD11">
            <v>84.049618902439022</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row r="1">
          <cell r="X1" t="str">
            <v>CDM</v>
          </cell>
        </row>
        <row r="2">
          <cell r="X2">
            <v>90.602071005917153</v>
          </cell>
        </row>
        <row r="3">
          <cell r="X3">
            <v>95.01195335276968</v>
          </cell>
        </row>
        <row r="4">
          <cell r="X4">
            <v>95.033719582850523</v>
          </cell>
        </row>
        <row r="5">
          <cell r="X5">
            <v>99.601895043731773</v>
          </cell>
        </row>
        <row r="6">
          <cell r="X6">
            <v>99.056748911465903</v>
          </cell>
        </row>
        <row r="7">
          <cell r="X7">
            <v>99.427171215880904</v>
          </cell>
        </row>
        <row r="8">
          <cell r="X8">
            <v>100.37276478679505</v>
          </cell>
        </row>
        <row r="9">
          <cell r="X9">
            <v>98.982708933717575</v>
          </cell>
        </row>
        <row r="10">
          <cell r="X10">
            <v>97.338547486033519</v>
          </cell>
        </row>
        <row r="11">
          <cell r="X11">
            <v>85.958295964125568</v>
          </cell>
        </row>
      </sheetData>
      <sheetData sheetId="7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JAN 25"/>
    </sheetNames>
    <sheetDataSet>
      <sheetData sheetId="0"/>
      <sheetData sheetId="1">
        <row r="8">
          <cell r="F8">
            <v>6.6</v>
          </cell>
        </row>
        <row r="20">
          <cell r="F20">
            <v>17.790000000000003</v>
          </cell>
        </row>
        <row r="21">
          <cell r="F21">
            <v>1.74</v>
          </cell>
        </row>
        <row r="22">
          <cell r="F22">
            <v>0.45799999999999996</v>
          </cell>
        </row>
        <row r="24">
          <cell r="F24">
            <v>2.4150000000000005</v>
          </cell>
        </row>
        <row r="25">
          <cell r="F25">
            <v>1.03285</v>
          </cell>
        </row>
        <row r="29">
          <cell r="F29">
            <v>1.06E-2</v>
          </cell>
        </row>
        <row r="32">
          <cell r="F32"/>
        </row>
      </sheetData>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bined margin over feed c (7)"/>
      <sheetName val="Combined Avg CDM actual vs  (7)"/>
      <sheetName val="Combined pigs sold to colco (7)"/>
      <sheetName val="Combined total CDM to Colco (7)"/>
      <sheetName val="Combined kgs sold per sow p "/>
      <sheetName val="Combined farrow rate "/>
      <sheetName val="Combined Born alive"/>
      <sheetName val="Combined Wean weight "/>
      <sheetName val="Combined Litter mass "/>
      <sheetName val="Combined 70 day weight "/>
      <sheetName val="Combined 70 day gain"/>
      <sheetName val="Combined WSY "/>
      <sheetName val="Porta Margin over feed "/>
      <sheetName val="Porta Avg CDM vs Budget "/>
      <sheetName val="Porta Total CDM to Colco"/>
      <sheetName val="Porta Pigs to Colcom"/>
      <sheetName val="Porta Farrow rates"/>
      <sheetName val="Porta BA"/>
      <sheetName val="Porta average wean weight"/>
      <sheetName val="Porta Combined litter mass"/>
      <sheetName val="Porta 70 day weight"/>
      <sheetName val="Porta 70 day gain"/>
      <sheetName val="Porta WSY"/>
      <sheetName val="Porta ops (other)"/>
      <sheetName val="Grasmere Margin over feed c (7)"/>
      <sheetName val="Grasmere Avg CDM vs Budget (7)"/>
      <sheetName val="Grasmere Total CDM to Colco (7)"/>
      <sheetName val="Grasmere Pigs to Colcom (7)"/>
      <sheetName val="Grasmere Kgs sold per sow p (7)"/>
      <sheetName val="Grasmere Farrow rate"/>
      <sheetName val="Grasmere Born Alive"/>
      <sheetName val="Grasmere Wean weight"/>
      <sheetName val="Grasmere total litter mass"/>
      <sheetName val="Grasmere 70 day weight"/>
      <sheetName val="Grasmere 70 day gain"/>
      <sheetName val="Grasmere WSY"/>
      <sheetName val="Grasmere ops (other) "/>
      <sheetName val="Richlands margin over feed  (7)"/>
      <sheetName val="Richlands Avg CDM over budg (7)"/>
      <sheetName val="Richlands total CDM to Colc (7)"/>
      <sheetName val="Richlands Pigs to Colcom (7)"/>
      <sheetName val="Richlands kgs sold per sow  (7)"/>
      <sheetName val="Richlands Farrow rate"/>
      <sheetName val="Richlands Born Alive"/>
      <sheetName val="Richlands Wean weight"/>
      <sheetName val="Richlands total litter mass"/>
      <sheetName val="Richlands 70 day weight"/>
      <sheetName val="Richlands 70 day gain"/>
      <sheetName val="Richlands WSY"/>
      <sheetName val="Richlands ops (other) "/>
      <sheetName val="LH ext avg Cdm against budg (7)"/>
      <sheetName val="LH Ext total CDM to colcom  (7)"/>
      <sheetName val="LH extension pigs to Colcom (7)"/>
      <sheetName val="LH extesnion ops (other) "/>
      <sheetName val="LH and LH ext margin over f"/>
      <sheetName val="LH avg CDM over budget "/>
      <sheetName val="LH total CDM to Colcom"/>
      <sheetName val="LH Pigs to Colcom "/>
      <sheetName val="LH Kgs sold per sow per yea "/>
      <sheetName val="LH Farrow Rate"/>
      <sheetName val="LH Born Alive"/>
      <sheetName val="LH Wean Weight"/>
      <sheetName val="LH total litter mass"/>
      <sheetName val="LH 70 day weight"/>
      <sheetName val="LH 70 day gain"/>
      <sheetName val="LH WSY"/>
      <sheetName val="Lions Head ops (other) "/>
      <sheetName val="Villa Margin over feed cost "/>
      <sheetName val="Villa Avg CDM over Budget "/>
      <sheetName val="Villa total CDM to Colcom a "/>
      <sheetName val="Villa Pigs to Colcom "/>
      <sheetName val="Villa Kgs sold per sow per "/>
      <sheetName val="Villa Farrowing rate"/>
      <sheetName val="Villa Born Alive"/>
      <sheetName val="Villa Wean weight"/>
      <sheetName val="Villa total litter mass"/>
      <sheetName val="Villa 70 day weight"/>
      <sheetName val="Villa 70 day gain"/>
      <sheetName val="Villa WSY"/>
      <sheetName val="Villa ops (other) "/>
      <sheetName val="Learig Avg CDM against budg (4)"/>
      <sheetName val="Learig total CDM to Colcom (4)"/>
      <sheetName val="Learig Pigs to Colcom (4)"/>
      <sheetName val="Learig ops (other)"/>
    </sheetNames>
    <sheetDataSet>
      <sheetData sheetId="0"/>
      <sheetData sheetId="1"/>
      <sheetData sheetId="2">
        <row r="26">
          <cell r="B26">
            <v>0</v>
          </cell>
        </row>
        <row r="55">
          <cell r="B55">
            <v>707</v>
          </cell>
        </row>
        <row r="58">
          <cell r="B58">
            <v>18</v>
          </cell>
        </row>
      </sheetData>
      <sheetData sheetId="3">
        <row r="25">
          <cell r="B25">
            <v>0</v>
          </cell>
        </row>
      </sheetData>
      <sheetData sheetId="4"/>
      <sheetData sheetId="5">
        <row r="14">
          <cell r="U14"/>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18">
          <cell r="B18">
            <v>45839</v>
          </cell>
        </row>
      </sheetData>
      <sheetData sheetId="51">
        <row r="20">
          <cell r="B20">
            <v>45839</v>
          </cell>
        </row>
      </sheetData>
      <sheetData sheetId="52">
        <row r="20">
          <cell r="B20">
            <v>45839</v>
          </cell>
        </row>
      </sheetData>
      <sheetData sheetId="53"/>
      <sheetData sheetId="54"/>
      <sheetData sheetId="55">
        <row r="20">
          <cell r="B20">
            <v>45839</v>
          </cell>
        </row>
      </sheetData>
      <sheetData sheetId="56">
        <row r="20">
          <cell r="B20">
            <v>45839</v>
          </cell>
        </row>
      </sheetData>
      <sheetData sheetId="57">
        <row r="1">
          <cell r="AD1" t="str">
            <v>CDM</v>
          </cell>
        </row>
      </sheetData>
      <sheetData sheetId="58">
        <row r="22">
          <cell r="AB22">
            <v>45505</v>
          </cell>
        </row>
      </sheetData>
      <sheetData sheetId="59">
        <row r="19">
          <cell r="B19">
            <v>45474</v>
          </cell>
        </row>
      </sheetData>
      <sheetData sheetId="60">
        <row r="18">
          <cell r="B18">
            <v>45474</v>
          </cell>
        </row>
      </sheetData>
      <sheetData sheetId="61">
        <row r="19">
          <cell r="B19">
            <v>45474</v>
          </cell>
        </row>
      </sheetData>
      <sheetData sheetId="62">
        <row r="21">
          <cell r="B21">
            <v>45474</v>
          </cell>
        </row>
      </sheetData>
      <sheetData sheetId="63">
        <row r="20">
          <cell r="B20">
            <v>45474</v>
          </cell>
        </row>
      </sheetData>
      <sheetData sheetId="64">
        <row r="20">
          <cell r="B20">
            <v>45474</v>
          </cell>
        </row>
      </sheetData>
      <sheetData sheetId="65">
        <row r="18">
          <cell r="B18">
            <v>45474</v>
          </cell>
        </row>
      </sheetData>
      <sheetData sheetId="66"/>
      <sheetData sheetId="67"/>
      <sheetData sheetId="68"/>
      <sheetData sheetId="69">
        <row r="20">
          <cell r="B20">
            <v>45839</v>
          </cell>
        </row>
      </sheetData>
      <sheetData sheetId="70">
        <row r="1">
          <cell r="X1" t="str">
            <v>CDM</v>
          </cell>
        </row>
        <row r="2">
          <cell r="W2">
            <v>676</v>
          </cell>
          <cell r="X2">
            <v>90.602071005917153</v>
          </cell>
        </row>
        <row r="3">
          <cell r="W3">
            <v>686</v>
          </cell>
          <cell r="X3">
            <v>95.01195335276968</v>
          </cell>
        </row>
        <row r="4">
          <cell r="W4">
            <v>863</v>
          </cell>
          <cell r="X4">
            <v>95.033719582850523</v>
          </cell>
        </row>
        <row r="5">
          <cell r="W5">
            <v>686</v>
          </cell>
          <cell r="X5">
            <v>99.601895043731773</v>
          </cell>
        </row>
        <row r="6">
          <cell r="W6">
            <v>689</v>
          </cell>
          <cell r="X6">
            <v>99.056748911465903</v>
          </cell>
        </row>
        <row r="7">
          <cell r="W7">
            <v>806</v>
          </cell>
          <cell r="X7">
            <v>99.427171215880904</v>
          </cell>
        </row>
        <row r="8">
          <cell r="W8">
            <v>727</v>
          </cell>
          <cell r="X8">
            <v>100.37276478679505</v>
          </cell>
        </row>
        <row r="9">
          <cell r="W9">
            <v>694</v>
          </cell>
          <cell r="X9">
            <v>98.982708933717575</v>
          </cell>
        </row>
        <row r="10">
          <cell r="W10">
            <v>895</v>
          </cell>
          <cell r="X10">
            <v>97.338547486033519</v>
          </cell>
        </row>
        <row r="11">
          <cell r="W11">
            <v>892</v>
          </cell>
          <cell r="X11">
            <v>85.958295964125568</v>
          </cell>
        </row>
      </sheetData>
      <sheetData sheetId="71">
        <row r="23">
          <cell r="AB23">
            <v>45505</v>
          </cell>
        </row>
      </sheetData>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bined margin over feed c (7)"/>
      <sheetName val="Combined Avg CDM actual vs  (7)"/>
      <sheetName val="Combined pigs sold to colco (7)"/>
      <sheetName val="Combined total CDM to Colco (7)"/>
      <sheetName val="Combined kgs sold per sow p (7)"/>
      <sheetName val="Combined farrow rate (2)"/>
      <sheetName val="Combined Born alive (2)"/>
      <sheetName val="Combined Wean weight (2)"/>
      <sheetName val="Combined Litter mass (2)"/>
      <sheetName val="Combined 70 day weight (2)"/>
      <sheetName val="Combined 70 day gain (2)"/>
      <sheetName val="Combined WSY (2)"/>
      <sheetName val="Porta Farrow rates"/>
      <sheetName val="Porta BA"/>
      <sheetName val="Porta average wean weight"/>
      <sheetName val="Porta Combined litter mass"/>
      <sheetName val="Porta 70 day weight"/>
      <sheetName val="Porta 70 day gain"/>
      <sheetName val="Porta WSY"/>
      <sheetName val="Porta ops (other)"/>
      <sheetName val="Grasmere Margin over feed c (7)"/>
      <sheetName val="Grasmere Avg CDM vs Budget (7)"/>
      <sheetName val="Grasmere Total CDM to Colco (7)"/>
      <sheetName val="Grasmere Pigs to Colcom (7)"/>
      <sheetName val="Grasmere Kgs sold per sow p (7)"/>
      <sheetName val="Grasmere Farrow rate"/>
      <sheetName val="Grasmere Born Alive"/>
      <sheetName val="Grasmere Wean weight"/>
      <sheetName val="Grasmere total litter mass"/>
      <sheetName val="Grasmere 70 day weight"/>
      <sheetName val="Grasmere 70 day gain"/>
      <sheetName val="Grasmere WSY"/>
      <sheetName val="Grasmere ops (other) (2)"/>
      <sheetName val="Richlands margin over feed  (7)"/>
      <sheetName val="Richlands Avg CDM over budg (7)"/>
      <sheetName val="Richlands total CDM to Colc (7)"/>
      <sheetName val="Richlands Pigs to Colcom (7)"/>
      <sheetName val="Richlands kgs sold per sow  (7)"/>
      <sheetName val="Richlands Farrow rate"/>
      <sheetName val="Richlands Born Alive"/>
      <sheetName val="Richlands Wean weight"/>
      <sheetName val="Richlands total litter mass"/>
      <sheetName val="Richlands 70 day weight"/>
      <sheetName val="Richlands 70 day gain"/>
      <sheetName val="Richlands WSY"/>
      <sheetName val="Richlands ops (other) (2)"/>
      <sheetName val="LH ext avg Cdm against budg (7)"/>
      <sheetName val="LH Ext total CDM to colcom  (7)"/>
      <sheetName val="LH extension pigs to Colcom (7)"/>
      <sheetName val="LH extesnion ops (other) (3)"/>
      <sheetName val="LH and LH ext margin over f (6)"/>
      <sheetName val="LH avg CDM over budget (6)"/>
      <sheetName val="LH total CDM to Colcom (6)"/>
      <sheetName val="LH Pigs to Colcom (6)"/>
      <sheetName val="LH Kgs sold per sow per yea (6)"/>
      <sheetName val="LH Farrow Rate"/>
      <sheetName val="LH Born Alive"/>
      <sheetName val="LH Wean Weight"/>
      <sheetName val="LH total litter mass"/>
      <sheetName val="LH 70 day weight"/>
      <sheetName val="LH 70 day gain"/>
      <sheetName val="LH WSY"/>
      <sheetName val="Lions Head ops (other) (2)"/>
      <sheetName val="Villa Margin over feed cost (6)"/>
      <sheetName val="Villa Avg CDM over Budget (6)"/>
      <sheetName val="Villa total CDM to Colcom a (6)"/>
      <sheetName val="Villa Pigs to Colcom (6)"/>
      <sheetName val="Villa Kgs sold per sow per  (6)"/>
      <sheetName val="Villa Farrowing rate"/>
      <sheetName val="Villa Born Alive"/>
      <sheetName val="Villa Wean weight"/>
      <sheetName val="Villa total litter mass"/>
      <sheetName val="Villa 70 day weight"/>
      <sheetName val="Villa 70 day gain"/>
      <sheetName val="Villa WSY"/>
      <sheetName val="Villa ops (other) (2)"/>
      <sheetName val="Learig Avg CDM against budg (4)"/>
      <sheetName val="Learig total CDM to Colcom (4)"/>
      <sheetName val="Learig Pigs to Colcom (4)"/>
      <sheetName val="Learig ops (other)"/>
    </sheetNames>
    <sheetDataSet>
      <sheetData sheetId="0"/>
      <sheetData sheetId="1">
        <row r="22">
          <cell r="B22">
            <v>92.897181623604013</v>
          </cell>
        </row>
      </sheetData>
      <sheetData sheetId="2">
        <row r="19">
          <cell r="B19">
            <v>10100</v>
          </cell>
        </row>
      </sheetData>
      <sheetData sheetId="3">
        <row r="24">
          <cell r="B24">
            <v>1175743.4250150735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8">
          <cell r="C18">
            <v>80.990625447259106</v>
          </cell>
        </row>
      </sheetData>
      <sheetData sheetId="21">
        <row r="20">
          <cell r="B20">
            <v>94.462793839502837</v>
          </cell>
        </row>
      </sheetData>
      <sheetData sheetId="22">
        <row r="20">
          <cell r="B20">
            <v>349606.8</v>
          </cell>
        </row>
      </sheetData>
      <sheetData sheetId="23">
        <row r="18">
          <cell r="B18">
            <v>3701</v>
          </cell>
        </row>
      </sheetData>
      <sheetData sheetId="24"/>
      <sheetData sheetId="25"/>
      <sheetData sheetId="26"/>
      <sheetData sheetId="27"/>
      <sheetData sheetId="28"/>
      <sheetData sheetId="29"/>
      <sheetData sheetId="30"/>
      <sheetData sheetId="31"/>
      <sheetData sheetId="32"/>
      <sheetData sheetId="33">
        <row r="22">
          <cell r="D22">
            <v>70.808008687251544</v>
          </cell>
        </row>
      </sheetData>
      <sheetData sheetId="34">
        <row r="18">
          <cell r="B18">
            <v>90.99419619928095</v>
          </cell>
        </row>
      </sheetData>
      <sheetData sheetId="35">
        <row r="21">
          <cell r="B21">
            <v>177165.7</v>
          </cell>
        </row>
      </sheetData>
      <sheetData sheetId="36">
        <row r="21">
          <cell r="B21">
            <v>2132.3687064085734</v>
          </cell>
        </row>
      </sheetData>
      <sheetData sheetId="37"/>
      <sheetData sheetId="38"/>
      <sheetData sheetId="39"/>
      <sheetData sheetId="40"/>
      <sheetData sheetId="41"/>
      <sheetData sheetId="42"/>
      <sheetData sheetId="43"/>
      <sheetData sheetId="44"/>
      <sheetData sheetId="45"/>
      <sheetData sheetId="46">
        <row r="19">
          <cell r="B19">
            <v>87.069060773480658</v>
          </cell>
        </row>
      </sheetData>
      <sheetData sheetId="47">
        <row r="21">
          <cell r="B21">
            <v>31519</v>
          </cell>
        </row>
      </sheetData>
      <sheetData sheetId="48">
        <row r="21">
          <cell r="B21">
            <v>362</v>
          </cell>
        </row>
      </sheetData>
      <sheetData sheetId="49"/>
      <sheetData sheetId="50">
        <row r="18">
          <cell r="C18">
            <v>61.3836682883639</v>
          </cell>
        </row>
      </sheetData>
      <sheetData sheetId="51">
        <row r="21">
          <cell r="B21">
            <v>89.83081847279378</v>
          </cell>
        </row>
      </sheetData>
      <sheetData sheetId="52">
        <row r="21">
          <cell r="B21">
            <v>196460</v>
          </cell>
        </row>
      </sheetData>
      <sheetData sheetId="53">
        <row r="21">
          <cell r="B21">
            <v>2187</v>
          </cell>
        </row>
      </sheetData>
      <sheetData sheetId="54"/>
      <sheetData sheetId="55"/>
      <sheetData sheetId="56"/>
      <sheetData sheetId="57"/>
      <sheetData sheetId="58"/>
      <sheetData sheetId="59"/>
      <sheetData sheetId="60"/>
      <sheetData sheetId="61"/>
      <sheetData sheetId="62"/>
      <sheetData sheetId="63">
        <row r="23">
          <cell r="D23">
            <v>85.834122967212437</v>
          </cell>
        </row>
      </sheetData>
      <sheetData sheetId="64">
        <row r="19">
          <cell r="B19">
            <v>90.602071005917153</v>
          </cell>
        </row>
      </sheetData>
      <sheetData sheetId="65">
        <row r="21">
          <cell r="B21">
            <v>61247</v>
          </cell>
        </row>
      </sheetData>
      <sheetData sheetId="66">
        <row r="20">
          <cell r="B20">
            <v>676</v>
          </cell>
        </row>
        <row r="21">
          <cell r="B21">
            <v>769.9292572664483</v>
          </cell>
          <cell r="C21">
            <v>668.3023783340102</v>
          </cell>
          <cell r="D21">
            <v>802.37523094362018</v>
          </cell>
          <cell r="E21">
            <v>649.37337570990167</v>
          </cell>
          <cell r="F21">
            <v>649.37420415069107</v>
          </cell>
          <cell r="G21">
            <v>811.83842166854777</v>
          </cell>
          <cell r="H21">
            <v>649.26195007287936</v>
          </cell>
          <cell r="I21">
            <v>649.36586082463873</v>
          </cell>
          <cell r="J21">
            <v>811.92884228904688</v>
          </cell>
          <cell r="K21">
            <v>649.54307383123739</v>
          </cell>
          <cell r="L21">
            <v>649.54307383123739</v>
          </cell>
          <cell r="M21">
            <v>812.2428123804815</v>
          </cell>
        </row>
      </sheetData>
      <sheetData sheetId="67"/>
      <sheetData sheetId="68"/>
      <sheetData sheetId="69"/>
      <sheetData sheetId="70"/>
      <sheetData sheetId="71"/>
      <sheetData sheetId="72"/>
      <sheetData sheetId="73"/>
      <sheetData sheetId="74"/>
      <sheetData sheetId="75"/>
      <sheetData sheetId="76">
        <row r="20">
          <cell r="B20">
            <v>88.153871230643858</v>
          </cell>
        </row>
      </sheetData>
      <sheetData sheetId="77">
        <row r="20">
          <cell r="B20">
            <v>108164.80000000002</v>
          </cell>
        </row>
      </sheetData>
      <sheetData sheetId="78">
        <row r="20">
          <cell r="B20">
            <v>1227</v>
          </cell>
        </row>
      </sheetData>
      <sheetData sheetId="79"/>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report"/>
      <sheetName val="MONTHLY SUMMARY"/>
      <sheetName val="monthly gain,litter mass"/>
      <sheetName val="SOLO"/>
    </sheetNames>
    <sheetDataSet>
      <sheetData sheetId="0" refreshError="1"/>
      <sheetData sheetId="1">
        <row r="27">
          <cell r="P27">
            <v>20.880000000000003</v>
          </cell>
        </row>
        <row r="28">
          <cell r="O28">
            <v>1.5625</v>
          </cell>
        </row>
        <row r="29">
          <cell r="O29">
            <v>0.50174999999999992</v>
          </cell>
        </row>
        <row r="33">
          <cell r="O33">
            <v>2.2599999999999998</v>
          </cell>
        </row>
        <row r="34">
          <cell r="O34">
            <v>1.0925</v>
          </cell>
        </row>
        <row r="59">
          <cell r="P59">
            <v>0.625</v>
          </cell>
        </row>
        <row r="61">
          <cell r="P61">
            <v>0.37098103874690846</v>
          </cell>
        </row>
        <row r="62">
          <cell r="P62">
            <v>0.12323549182164463</v>
          </cell>
        </row>
      </sheetData>
      <sheetData sheetId="2" refreshError="1"/>
      <sheetData sheetId="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report"/>
      <sheetName val="MONTHLY SUMMARY"/>
      <sheetName val="monthly gain,litter mass"/>
      <sheetName val="SOLO"/>
    </sheetNames>
    <sheetDataSet>
      <sheetData sheetId="0"/>
      <sheetData sheetId="1">
        <row r="10">
          <cell r="R10">
            <v>5.32</v>
          </cell>
        </row>
        <row r="27">
          <cell r="R27">
            <v>20.155000000000001</v>
          </cell>
        </row>
        <row r="28">
          <cell r="R28">
            <v>1.5525000000000002</v>
          </cell>
        </row>
        <row r="29">
          <cell r="R29">
            <v>0.49575000000000002</v>
          </cell>
        </row>
        <row r="33">
          <cell r="R33">
            <v>2.355</v>
          </cell>
        </row>
        <row r="61">
          <cell r="R61">
            <v>1.4274981217129978</v>
          </cell>
        </row>
        <row r="62">
          <cell r="R62">
            <v>0.67355186349348894</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1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8.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9.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0.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24.bin"/></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0DA3-9F75-457F-B527-7BA325ED4CC5}">
  <sheetPr codeName="Sheet1">
    <tabColor rgb="FF00B0F0"/>
  </sheetPr>
  <dimension ref="A1:P99"/>
  <sheetViews>
    <sheetView zoomScale="80" zoomScaleNormal="80" workbookViewId="0">
      <selection activeCell="O8" sqref="O8"/>
    </sheetView>
  </sheetViews>
  <sheetFormatPr defaultColWidth="9.28515625" defaultRowHeight="15"/>
  <cols>
    <col min="1" max="1" width="37.140625" style="3" customWidth="1"/>
    <col min="2" max="2" width="14.7109375" style="3" bestFit="1" customWidth="1"/>
    <col min="3" max="3" width="12.42578125" style="3" bestFit="1" customWidth="1"/>
    <col min="4" max="4" width="10.85546875" style="3" bestFit="1" customWidth="1"/>
    <col min="5" max="6" width="10.7109375" style="3" bestFit="1" customWidth="1"/>
    <col min="7" max="7" width="12.28515625" style="3" bestFit="1" customWidth="1"/>
    <col min="8" max="9" width="11.85546875" style="3" bestFit="1" customWidth="1"/>
    <col min="10" max="10" width="13.7109375" style="3" customWidth="1"/>
    <col min="11" max="13" width="11.85546875" style="3" bestFit="1" customWidth="1"/>
    <col min="14" max="15" width="13.5703125" style="3" bestFit="1" customWidth="1"/>
    <col min="16" max="18" width="9.28515625" style="3"/>
    <col min="19" max="19" width="11.5703125" style="3" bestFit="1" customWidth="1"/>
    <col min="20" max="16384" width="9.28515625" style="3"/>
  </cols>
  <sheetData>
    <row r="1" spans="15:15">
      <c r="O1" s="3" t="s">
        <v>0</v>
      </c>
    </row>
    <row r="2" spans="15:15">
      <c r="O2" s="3" t="s">
        <v>1</v>
      </c>
    </row>
    <row r="20" spans="1:16">
      <c r="A20" s="4"/>
      <c r="B20" s="1">
        <v>45839</v>
      </c>
      <c r="C20" s="1">
        <v>45870</v>
      </c>
      <c r="D20" s="1">
        <v>45901</v>
      </c>
      <c r="E20" s="1">
        <v>45931</v>
      </c>
      <c r="F20" s="1">
        <v>45962</v>
      </c>
      <c r="G20" s="1">
        <v>45992</v>
      </c>
      <c r="H20" s="1">
        <v>46023</v>
      </c>
      <c r="I20" s="1">
        <v>46054</v>
      </c>
      <c r="J20" s="1">
        <v>46082</v>
      </c>
      <c r="K20" s="1">
        <v>46113</v>
      </c>
      <c r="L20" s="1">
        <v>46143</v>
      </c>
      <c r="M20" s="1">
        <v>46174</v>
      </c>
    </row>
    <row r="21" spans="1:16">
      <c r="A21" s="716" t="s">
        <v>2</v>
      </c>
      <c r="B21" s="714">
        <f>SUM('Combined total CDM to Colco (7)'!B24+'Combined total CDM to Colco (7)'!B25+'Combined total CDM to Colco (7)'!B26+'Combined total CDM to Colco (7)'!B27+'Combined total CDM to Colco (7)'!B34+'Combined total CDM to Colco (7)'!B35+'Combined total CDM to Colco (7)'!B36+'Combined total CDM to Colco (7)'!B37+'Combined total CDM to Colco (7)'!B44+'Combined total CDM to Colco (7)'!B45+'Combined total CDM to Colco (7)'!B46+'Combined total CDM to Colco (7)'!B47+'Combined total CDM to Colco (7)'!B54+'Combined total CDM to Colco (7)'!B55+'Combined total CDM to Colco (7)'!B56+'Combined total CDM to Colco (7)'!B57+'Combined total CDM to Colco (7)'!B63+'Combined total CDM to Colco (7)'!B66)/SUM('Combined pigs sold to colco (7)'!B25+'Combined pigs sold to colco (7)'!B26+'Combined pigs sold to colco (7)'!B27+'Combined pigs sold to colco (7)'!B28+'Combined pigs sold to colco (7)'!B35+'Combined pigs sold to colco (7)'!B36+'Combined pigs sold to colco (7)'!B37+'Combined pigs sold to colco (7)'!B38+'Combined pigs sold to colco (7)'!B45+'Combined pigs sold to colco (7)'!B46+'Combined pigs sold to colco (7)'!B47+'Combined pigs sold to colco (7)'!B48+'Combined pigs sold to colco (7)'!B55+'Combined pigs sold to colco (7)'!B56+'Combined pigs sold to colco (7)'!B57+'Combined pigs sold to colco (7)'!B58+'Combined pigs sold to colco (7)'!B67+'Combined pigs sold to colco (7)'!B70)</f>
        <v>95.685859381151104</v>
      </c>
      <c r="C21" s="714">
        <f>SUM('Combined total CDM to Colco (7)'!C24+'Combined total CDM to Colco (7)'!C25+'Combined total CDM to Colco (7)'!C26+'Combined total CDM to Colco (7)'!C27+'Combined total CDM to Colco (7)'!C34+'Combined total CDM to Colco (7)'!C35+'Combined total CDM to Colco (7)'!C36+'Combined total CDM to Colco (7)'!C37+'Combined total CDM to Colco (7)'!C44+'Combined total CDM to Colco (7)'!C45+'Combined total CDM to Colco (7)'!C46+'Combined total CDM to Colco (7)'!C47+'Combined total CDM to Colco (7)'!C54+'Combined total CDM to Colco (7)'!C55+'Combined total CDM to Colco (7)'!C56+'Combined total CDM to Colco (7)'!C57+'Combined total CDM to Colco (7)'!C63+'Combined total CDM to Colco (7)'!C66)/SUM('Combined pigs sold to colco (7)'!C25+'Combined pigs sold to colco (7)'!C26+'Combined pigs sold to colco (7)'!C27+'Combined pigs sold to colco (7)'!C28+'Combined pigs sold to colco (7)'!C35+'Combined pigs sold to colco (7)'!C36+'Combined pigs sold to colco (7)'!C37+'Combined pigs sold to colco (7)'!C38+'Combined pigs sold to colco (7)'!C45+'Combined pigs sold to colco (7)'!C46+'Combined pigs sold to colco (7)'!C47+'Combined pigs sold to colco (7)'!C48+'Combined pigs sold to colco (7)'!C55+'Combined pigs sold to colco (7)'!C56+'Combined pigs sold to colco (7)'!C57+'Combined pigs sold to colco (7)'!C58+'Combined pigs sold to colco (7)'!C67+'Combined pigs sold to colco (7)'!C70)</f>
        <v>95.072220454906955</v>
      </c>
      <c r="D21" s="714">
        <f>SUM('Combined total CDM to Colco (7)'!D24+'Combined total CDM to Colco (7)'!D25+'Combined total CDM to Colco (7)'!D26+'Combined total CDM to Colco (7)'!D27+'Combined total CDM to Colco (7)'!D34+'Combined total CDM to Colco (7)'!D35+'Combined total CDM to Colco (7)'!D36+'Combined total CDM to Colco (7)'!D37+'Combined total CDM to Colco (7)'!D44+'Combined total CDM to Colco (7)'!D45+'Combined total CDM to Colco (7)'!D46+'Combined total CDM to Colco (7)'!D47+'Combined total CDM to Colco (7)'!D54+'Combined total CDM to Colco (7)'!D55+'Combined total CDM to Colco (7)'!D56+'Combined total CDM to Colco (7)'!D57+'Combined total CDM to Colco (7)'!D63+'Combined total CDM to Colco (7)'!D66+'Combined total CDM to Colco (7)'!D73+'Combined total CDM to Colco (7)'!D76)/SUM('Combined pigs sold to colco (7)'!D25+'Combined pigs sold to colco (7)'!D26+'Combined pigs sold to colco (7)'!D27+'Combined pigs sold to colco (7)'!D28+'Combined pigs sold to colco (7)'!D35+'Combined pigs sold to colco (7)'!D36+'Combined pigs sold to colco (7)'!D37+'Combined pigs sold to colco (7)'!D38+'Combined pigs sold to colco (7)'!D45+'Combined pigs sold to colco (7)'!D46+'Combined pigs sold to colco (7)'!D47+'Combined pigs sold to colco (7)'!D48+'Combined pigs sold to colco (7)'!D55+'Combined pigs sold to colco (7)'!D56+'Combined pigs sold to colco (7)'!D57+'Combined pigs sold to colco (7)'!D58+'Combined pigs sold to colco (7)'!D67+'Combined pigs sold to colco (7)'!D70+'Combined pigs sold to colco (7)'!D77+'Combined pigs sold to colco (7)'!D80)</f>
        <v>92.526226890240153</v>
      </c>
      <c r="E21" s="714">
        <f>SUM('Combined total CDM to Colco (7)'!E24+'Combined total CDM to Colco (7)'!E25+'Combined total CDM to Colco (7)'!E26+'Combined total CDM to Colco (7)'!E27+'Combined total CDM to Colco (7)'!E34+'Combined total CDM to Colco (7)'!E35+'Combined total CDM to Colco (7)'!E36+'Combined total CDM to Colco (7)'!E37+'Combined total CDM to Colco (7)'!E44+'Combined total CDM to Colco (7)'!E45+'Combined total CDM to Colco (7)'!E46+'Combined total CDM to Colco (7)'!E47+'Combined total CDM to Colco (7)'!E54+'Combined total CDM to Colco (7)'!E55+'Combined total CDM to Colco (7)'!E56+'Combined total CDM to Colco (7)'!E57+'Combined total CDM to Colco (7)'!E63+'Combined total CDM to Colco (7)'!E66+'Combined total CDM to Colco (7)'!E73+'Combined total CDM to Colco (7)'!E76)/SUM('Combined pigs sold to colco (7)'!E25+'Combined pigs sold to colco (7)'!E26+'Combined pigs sold to colco (7)'!E27+'Combined pigs sold to colco (7)'!E28+'Combined pigs sold to colco (7)'!E35+'Combined pigs sold to colco (7)'!E36+'Combined pigs sold to colco (7)'!E37+'Combined pigs sold to colco (7)'!E38+'Combined pigs sold to colco (7)'!E45+'Combined pigs sold to colco (7)'!E46+'Combined pigs sold to colco (7)'!E47+'Combined pigs sold to colco (7)'!E48+'Combined pigs sold to colco (7)'!E55+'Combined pigs sold to colco (7)'!E56+'Combined pigs sold to colco (7)'!E57+'Combined pigs sold to colco (7)'!E58+'Combined pigs sold to colco (7)'!E67+'Combined pigs sold to colco (7)'!E70+'Combined pigs sold to colco (7)'!E77+'Combined pigs sold to colco (7)'!E80)</f>
        <v>91.462908556738896</v>
      </c>
      <c r="F21" s="714">
        <f>SUM('Combined total CDM to Colco (7)'!F24+'Combined total CDM to Colco (7)'!F25+'Combined total CDM to Colco (7)'!F26+'Combined total CDM to Colco (7)'!F27+'Combined total CDM to Colco (7)'!F34+'Combined total CDM to Colco (7)'!F35+'Combined total CDM to Colco (7)'!F36+'Combined total CDM to Colco (7)'!F37+'Combined total CDM to Colco (7)'!F44+'Combined total CDM to Colco (7)'!F45+'Combined total CDM to Colco (7)'!F46+'Combined total CDM to Colco (7)'!F47+'Combined total CDM to Colco (7)'!F54+'Combined total CDM to Colco (7)'!F55+'Combined total CDM to Colco (7)'!F56+'Combined total CDM to Colco (7)'!F57+'Combined total CDM to Colco (7)'!F63+'Combined total CDM to Colco (7)'!F66+'Combined total CDM to Colco (7)'!F73+'Combined total CDM to Colco (7)'!F76)/SUM('Combined pigs sold to colco (7)'!F25+'Combined pigs sold to colco (7)'!F26+'Combined pigs sold to colco (7)'!F27+'Combined pigs sold to colco (7)'!F28+'Combined pigs sold to colco (7)'!F35+'Combined pigs sold to colco (7)'!F36+'Combined pigs sold to colco (7)'!F37+'Combined pigs sold to colco (7)'!F38+'Combined pigs sold to colco (7)'!F45+'Combined pigs sold to colco (7)'!F46+'Combined pigs sold to colco (7)'!F47+'Combined pigs sold to colco (7)'!F48+'Combined pigs sold to colco (7)'!F55+'Combined pigs sold to colco (7)'!F56+'Combined pigs sold to colco (7)'!F57+'Combined pigs sold to colco (7)'!F58+'Combined pigs sold to colco (7)'!F67+'Combined pigs sold to colco (7)'!F70+'Combined pigs sold to colco (7)'!F77+'Combined pigs sold to colco (7)'!F80)</f>
        <v>90.962206810566514</v>
      </c>
      <c r="G21" s="714">
        <f>SUM('Combined total CDM to Colco (7)'!G24+'Combined total CDM to Colco (7)'!G25+'Combined total CDM to Colco (7)'!G26+'Combined total CDM to Colco (7)'!G27+'Combined total CDM to Colco (7)'!G34+'Combined total CDM to Colco (7)'!G35+'Combined total CDM to Colco (7)'!G36+'Combined total CDM to Colco (7)'!G37+'Combined total CDM to Colco (7)'!G44+'Combined total CDM to Colco (7)'!G45+'Combined total CDM to Colco (7)'!G46+'Combined total CDM to Colco (7)'!G47+'Combined total CDM to Colco (7)'!G54+'Combined total CDM to Colco (7)'!G55+'Combined total CDM to Colco (7)'!G56+'Combined total CDM to Colco (7)'!G57+'Combined total CDM to Colco (7)'!G63+'Combined total CDM to Colco (7)'!G66+'Combined total CDM to Colco (7)'!G73+'Combined total CDM to Colco (7)'!G76)/SUM('Combined pigs sold to colco (7)'!G25+'Combined pigs sold to colco (7)'!G26+'Combined pigs sold to colco (7)'!G27+'Combined pigs sold to colco (7)'!G28+'Combined pigs sold to colco (7)'!G35+'Combined pigs sold to colco (7)'!G36+'Combined pigs sold to colco (7)'!G37+'Combined pigs sold to colco (7)'!G38+'Combined pigs sold to colco (7)'!G45+'Combined pigs sold to colco (7)'!G46+'Combined pigs sold to colco (7)'!G47+'Combined pigs sold to colco (7)'!G48+'Combined pigs sold to colco (7)'!G55+'Combined pigs sold to colco (7)'!G56+'Combined pigs sold to colco (7)'!G57+'Combined pigs sold to colco (7)'!G58+'Combined pigs sold to colco (7)'!G67+'Combined pigs sold to colco (7)'!G70+'Combined pigs sold to colco (7)'!G77+'Combined pigs sold to colco (7)'!G80)</f>
        <v>90.748737995567609</v>
      </c>
      <c r="H21" s="714">
        <f>SUM('Combined total CDM to Colco (7)'!H24+'Combined total CDM to Colco (7)'!H25+'Combined total CDM to Colco (7)'!H26+'Combined total CDM to Colco (7)'!H27+'Combined total CDM to Colco (7)'!H34+'Combined total CDM to Colco (7)'!H35+'Combined total CDM to Colco (7)'!H36+'Combined total CDM to Colco (7)'!H37+'Combined total CDM to Colco (7)'!H44+'Combined total CDM to Colco (7)'!H45+'Combined total CDM to Colco (7)'!H46+'Combined total CDM to Colco (7)'!H47+'Combined total CDM to Colco (7)'!H54+'Combined total CDM to Colco (7)'!H55+'Combined total CDM to Colco (7)'!H56+'Combined total CDM to Colco (7)'!H57+'Combined total CDM to Colco (7)'!H63+'Combined total CDM to Colco (7)'!H66+'Combined total CDM to Colco (7)'!H73+'Combined total CDM to Colco (7)'!H76)/SUM('Combined pigs sold to colco (7)'!H25+'Combined pigs sold to colco (7)'!H26+'Combined pigs sold to colco (7)'!H27+'Combined pigs sold to colco (7)'!H28+'Combined pigs sold to colco (7)'!H35+'Combined pigs sold to colco (7)'!H36+'Combined pigs sold to colco (7)'!H37+'Combined pigs sold to colco (7)'!H38+'Combined pigs sold to colco (7)'!H45+'Combined pigs sold to colco (7)'!H46+'Combined pigs sold to colco (7)'!H47+'Combined pigs sold to colco (7)'!H48+'Combined pigs sold to colco (7)'!H55+'Combined pigs sold to colco (7)'!H56+'Combined pigs sold to colco (7)'!H57+'Combined pigs sold to colco (7)'!H58+'Combined pigs sold to colco (7)'!H67+'Combined pigs sold to colco (7)'!H70+'Combined pigs sold to colco (7)'!H77+'Combined pigs sold to colco (7)'!H80)</f>
        <v>92.946091603053432</v>
      </c>
      <c r="I21" s="714">
        <f>SUM('Combined total CDM to Colco (7)'!I24+'Combined total CDM to Colco (7)'!I25+'Combined total CDM to Colco (7)'!I26+'Combined total CDM to Colco (7)'!I27+'Combined total CDM to Colco (7)'!I34+'Combined total CDM to Colco (7)'!I35+'Combined total CDM to Colco (7)'!I36+'Combined total CDM to Colco (7)'!I37+'Combined total CDM to Colco (7)'!I44+'Combined total CDM to Colco (7)'!I45+'Combined total CDM to Colco (7)'!I46+'Combined total CDM to Colco (7)'!I47+'Combined total CDM to Colco (7)'!I54+'Combined total CDM to Colco (7)'!I55+'Combined total CDM to Colco (7)'!I56+'Combined total CDM to Colco (7)'!I57+'Combined total CDM to Colco (7)'!I63+'Combined total CDM to Colco (7)'!I66+'Combined total CDM to Colco (7)'!I73+'Combined total CDM to Colco (7)'!I76)/SUM('Combined pigs sold to colco (7)'!I25+'Combined pigs sold to colco (7)'!I26+'Combined pigs sold to colco (7)'!I27+'Combined pigs sold to colco (7)'!I28+'Combined pigs sold to colco (7)'!I35+'Combined pigs sold to colco (7)'!I36+'Combined pigs sold to colco (7)'!I37+'Combined pigs sold to colco (7)'!I38+'Combined pigs sold to colco (7)'!I45+'Combined pigs sold to colco (7)'!I46+'Combined pigs sold to colco (7)'!I47+'Combined pigs sold to colco (7)'!I48+'Combined pigs sold to colco (7)'!I55+'Combined pigs sold to colco (7)'!I56+'Combined pigs sold to colco (7)'!I57+'Combined pigs sold to colco (7)'!I58+'Combined pigs sold to colco (7)'!I67+'Combined pigs sold to colco (7)'!I70+'Combined pigs sold to colco (7)'!I77+'Combined pigs sold to colco (7)'!I80)</f>
        <v>92.253641753897952</v>
      </c>
      <c r="J21" s="714">
        <f>SUM('Combined total CDM to Colco (7)'!J24+'Combined total CDM to Colco (7)'!J25+'Combined total CDM to Colco (7)'!J26+'Combined total CDM to Colco (7)'!J27+'Combined total CDM to Colco (7)'!J34+'Combined total CDM to Colco (7)'!J35+'Combined total CDM to Colco (7)'!J36+'Combined total CDM to Colco (7)'!J37+'Combined total CDM to Colco (7)'!J44+'Combined total CDM to Colco (7)'!J45+'Combined total CDM to Colco (7)'!J46+'Combined total CDM to Colco (7)'!J47+'Combined total CDM to Colco (7)'!J54+'Combined total CDM to Colco (7)'!J55+'Combined total CDM to Colco (7)'!J56+'Combined total CDM to Colco (7)'!J57+'Combined total CDM to Colco (7)'!J63+'Combined total CDM to Colco (7)'!J66+'Combined total CDM to Colco (7)'!J73+'Combined total CDM to Colco (7)'!J76)/SUM('Combined pigs sold to colco (7)'!J25+'Combined pigs sold to colco (7)'!J26+'Combined pigs sold to colco (7)'!J27+'Combined pigs sold to colco (7)'!J28+'Combined pigs sold to colco (7)'!J35+'Combined pigs sold to colco (7)'!J36+'Combined pigs sold to colco (7)'!J37+'Combined pigs sold to colco (7)'!J38+'Combined pigs sold to colco (7)'!J45+'Combined pigs sold to colco (7)'!J46+'Combined pigs sold to colco (7)'!J47+'Combined pigs sold to colco (7)'!J48+'Combined pigs sold to colco (7)'!J55+'Combined pigs sold to colco (7)'!J56+'Combined pigs sold to colco (7)'!J57+'Combined pigs sold to colco (7)'!J58+'Combined pigs sold to colco (7)'!J67+'Combined pigs sold to colco (7)'!J70+'Combined pigs sold to colco (7)'!J77+'Combined pigs sold to colco (7)'!J80)</f>
        <v>91.085258338044099</v>
      </c>
      <c r="K21" s="714">
        <f>SUM('Combined total CDM to Colco (7)'!K24+'Combined total CDM to Colco (7)'!K25+'Combined total CDM to Colco (7)'!K26+'Combined total CDM to Colco (7)'!K27+'Combined total CDM to Colco (7)'!K34+'Combined total CDM to Colco (7)'!K35+'Combined total CDM to Colco (7)'!K36+'Combined total CDM to Colco (7)'!K37+'Combined total CDM to Colco (7)'!K44+'Combined total CDM to Colco (7)'!K45+'Combined total CDM to Colco (7)'!K46+'Combined total CDM to Colco (7)'!K47+'Combined total CDM to Colco (7)'!K54+'Combined total CDM to Colco (7)'!K55+'Combined total CDM to Colco (7)'!K56+'Combined total CDM to Colco (7)'!K57+'Combined total CDM to Colco (7)'!K63+'Combined total CDM to Colco (7)'!K66+'Combined total CDM to Colco (7)'!K73+'Combined total CDM to Colco (7)'!K76)/SUM('Combined pigs sold to colco (7)'!K25+'Combined pigs sold to colco (7)'!K26+'Combined pigs sold to colco (7)'!K27+'Combined pigs sold to colco (7)'!K28+'Combined pigs sold to colco (7)'!K35+'Combined pigs sold to colco (7)'!K36+'Combined pigs sold to colco (7)'!K37+'Combined pigs sold to colco (7)'!K38+'Combined pigs sold to colco (7)'!K45+'Combined pigs sold to colco (7)'!K46+'Combined pigs sold to colco (7)'!K47+'Combined pigs sold to colco (7)'!K48+'Combined pigs sold to colco (7)'!K55+'Combined pigs sold to colco (7)'!K56+'Combined pigs sold to colco (7)'!K57+'Combined pigs sold to colco (7)'!K58+'Combined pigs sold to colco (7)'!K67+'Combined pigs sold to colco (7)'!K70+'Combined pigs sold to colco (7)'!K77+'Combined pigs sold to colco (7)'!K80)</f>
        <v>92.810121293800535</v>
      </c>
      <c r="L21" s="714">
        <f>SUM('Combined total CDM to Colco (7)'!L24+'Combined total CDM to Colco (7)'!L25+'Combined total CDM to Colco (7)'!L26+'Combined total CDM to Colco (7)'!L27+'Combined total CDM to Colco (7)'!L34+'Combined total CDM to Colco (7)'!L35+'Combined total CDM to Colco (7)'!L36+'Combined total CDM to Colco (7)'!L37+'Combined total CDM to Colco (7)'!L44+'Combined total CDM to Colco (7)'!L45+'Combined total CDM to Colco (7)'!L46+'Combined total CDM to Colco (7)'!L47+'Combined total CDM to Colco (7)'!L54+'Combined total CDM to Colco (7)'!L55+'Combined total CDM to Colco (7)'!L56+'Combined total CDM to Colco (7)'!L57+'Combined total CDM to Colco (7)'!L63+'Combined total CDM to Colco (7)'!L66+'Combined total CDM to Colco (7)'!L73+'Combined total CDM to Colco (7)'!L76)/SUM('Combined pigs sold to colco (7)'!L25+'Combined pigs sold to colco (7)'!L26+'Combined pigs sold to colco (7)'!L27+'Combined pigs sold to colco (7)'!L28+'Combined pigs sold to colco (7)'!L35+'Combined pigs sold to colco (7)'!L36+'Combined pigs sold to colco (7)'!L37+'Combined pigs sold to colco (7)'!L38+'Combined pigs sold to colco (7)'!L45+'Combined pigs sold to colco (7)'!L46+'Combined pigs sold to colco (7)'!L47+'Combined pigs sold to colco (7)'!L48+'Combined pigs sold to colco (7)'!L55+'Combined pigs sold to colco (7)'!L56+'Combined pigs sold to colco (7)'!L57+'Combined pigs sold to colco (7)'!L58+'Combined pigs sold to colco (7)'!L67+'Combined pigs sold to colco (7)'!L70+'Combined pigs sold to colco (7)'!L77+'Combined pigs sold to colco (7)'!L80)</f>
        <v>92.961588816911032</v>
      </c>
      <c r="M21" s="714">
        <f>SUM('Combined total CDM to Colco (7)'!M24+'Combined total CDM to Colco (7)'!M25+'Combined total CDM to Colco (7)'!M26+'Combined total CDM to Colco (7)'!M27+'Combined total CDM to Colco (7)'!M34+'Combined total CDM to Colco (7)'!M35+'Combined total CDM to Colco (7)'!M36+'Combined total CDM to Colco (7)'!M37+'Combined total CDM to Colco (7)'!M44+'Combined total CDM to Colco (7)'!M45+'Combined total CDM to Colco (7)'!M46+'Combined total CDM to Colco (7)'!M47+'Combined total CDM to Colco (7)'!M54+'Combined total CDM to Colco (7)'!M55+'Combined total CDM to Colco (7)'!M56+'Combined total CDM to Colco (7)'!M57+'Combined total CDM to Colco (7)'!M63+'Combined total CDM to Colco (7)'!M66+'Combined total CDM to Colco (7)'!M73+'Combined total CDM to Colco (7)'!M76)/SUM('Combined pigs sold to colco (7)'!M25+'Combined pigs sold to colco (7)'!M26+'Combined pigs sold to colco (7)'!M27+'Combined pigs sold to colco (7)'!M28+'Combined pigs sold to colco (7)'!M35+'Combined pigs sold to colco (7)'!M36+'Combined pigs sold to colco (7)'!M37+'Combined pigs sold to colco (7)'!M38+'Combined pigs sold to colco (7)'!M45+'Combined pigs sold to colco (7)'!M46+'Combined pigs sold to colco (7)'!M47+'Combined pigs sold to colco (7)'!M48+'Combined pigs sold to colco (7)'!M55+'Combined pigs sold to colco (7)'!M56+'Combined pigs sold to colco (7)'!M57+'Combined pigs sold to colco (7)'!M58+'Combined pigs sold to colco (7)'!M67+'Combined pigs sold to colco (7)'!M70+'Combined pigs sold to colco (7)'!M77+'Combined pigs sold to colco (7)'!M80)</f>
        <v>93.757083333333355</v>
      </c>
      <c r="N21" s="5">
        <f>AVERAGE(B21:M21)</f>
        <v>92.689328769017621</v>
      </c>
      <c r="O21" s="211"/>
    </row>
    <row r="22" spans="1:16">
      <c r="A22" s="716" t="s">
        <v>3</v>
      </c>
      <c r="B22" s="715">
        <f>'[3]Combined Avg CDM actual vs  (7)'!B22</f>
        <v>92.897181623604013</v>
      </c>
      <c r="C22" s="715">
        <f>'[3]Combined Avg CDM actual vs  (7)'!C22</f>
        <v>92.925316321950049</v>
      </c>
      <c r="D22" s="715">
        <f>'[3]Combined Avg CDM actual vs  (7)'!D22</f>
        <v>90.603960164036309</v>
      </c>
      <c r="E22" s="715">
        <f>'[3]Combined Avg CDM actual vs  (7)'!E22</f>
        <v>90.596891963561703</v>
      </c>
      <c r="F22" s="715">
        <f>'[3]Combined Avg CDM actual vs  (7)'!F22</f>
        <v>90.613819771250121</v>
      </c>
      <c r="G22" s="715">
        <f>'[3]Combined Avg CDM actual vs  (7)'!G22</f>
        <v>90.62354036964345</v>
      </c>
      <c r="H22" s="715">
        <f>'[3]Combined Avg CDM actual vs  (7)'!H22</f>
        <v>90.597443335374564</v>
      </c>
      <c r="I22" s="715">
        <f>'[3]Combined Avg CDM actual vs  (7)'!I22</f>
        <v>90.568708477912281</v>
      </c>
      <c r="J22" s="715">
        <f>'[3]Combined Avg CDM actual vs  (7)'!J22</f>
        <v>90.493989378209207</v>
      </c>
      <c r="K22" s="715">
        <f>'[3]Combined Avg CDM actual vs  (7)'!K22</f>
        <v>92.766565530291388</v>
      </c>
      <c r="L22" s="715">
        <f>'[3]Combined Avg CDM actual vs  (7)'!L22</f>
        <v>92.766565530291388</v>
      </c>
      <c r="M22" s="715">
        <f>'[3]Combined Avg CDM actual vs  (7)'!M22</f>
        <v>92.776936096261167</v>
      </c>
      <c r="N22" s="5">
        <f>AVERAGE(B22:M22)</f>
        <v>91.519243213532135</v>
      </c>
      <c r="O22" s="5">
        <f>N21-N22</f>
        <v>1.1700855554854854</v>
      </c>
      <c r="P22" s="207" t="s">
        <v>4</v>
      </c>
    </row>
    <row r="23" spans="1:16">
      <c r="A23" s="718" t="s">
        <v>5</v>
      </c>
      <c r="B23" s="717">
        <f>'[4]Combined Avg CDM actual vs  (7)'!B21</f>
        <v>91.501316831683184</v>
      </c>
      <c r="C23" s="717">
        <f>'[4]Combined Avg CDM actual vs  (7)'!C21</f>
        <v>95.22675829485668</v>
      </c>
      <c r="D23" s="717">
        <f>'[4]Combined Avg CDM actual vs  (7)'!D21</f>
        <v>95.959413626771209</v>
      </c>
      <c r="E23" s="717">
        <f>'[4]Combined Avg CDM actual vs  (7)'!E21</f>
        <v>96.068907467224022</v>
      </c>
      <c r="F23" s="717">
        <f>'[4]Combined Avg CDM actual vs  (7)'!F21</f>
        <v>94.114944042132976</v>
      </c>
      <c r="G23" s="717">
        <f>'[4]Combined Avg CDM actual vs  (7)'!G21</f>
        <v>92.134461839530374</v>
      </c>
      <c r="H23" s="717">
        <f>'[4]Combined Avg CDM actual vs  (7)'!H21</f>
        <v>94.300437187723062</v>
      </c>
      <c r="I23" s="717">
        <f>'[4]Combined Avg CDM actual vs  (7)'!I21</f>
        <v>93.798979118329441</v>
      </c>
      <c r="J23" s="717">
        <f>'[4]Combined Avg CDM actual vs  (7)'!J21</f>
        <v>91.336364289821717</v>
      </c>
      <c r="K23" s="717">
        <f>'[4]Combined Avg CDM actual vs  (7)'!K21</f>
        <v>89.09170510653334</v>
      </c>
      <c r="L23" s="717">
        <f>'[4]Combined Avg CDM actual vs  (7)'!L21</f>
        <v>90.26374762971902</v>
      </c>
      <c r="M23" s="717">
        <f>'[4]Combined Avg CDM actual vs  (7)'!M21</f>
        <v>94.9742667363236</v>
      </c>
      <c r="N23" s="5"/>
      <c r="O23" s="5"/>
      <c r="P23" s="207"/>
    </row>
    <row r="24" spans="1:16">
      <c r="A24" s="207" t="s">
        <v>6</v>
      </c>
      <c r="B24" s="234">
        <f>'[4]Combined Avg CDM actual vs  (7)'!B23</f>
        <v>87.051415606195121</v>
      </c>
      <c r="C24" s="234">
        <f>'[4]Combined Avg CDM actual vs  (7)'!C23</f>
        <v>90.59137254901961</v>
      </c>
      <c r="D24" s="234">
        <f>'[4]Combined Avg CDM actual vs  (7)'!D23</f>
        <v>90.507185534591201</v>
      </c>
      <c r="E24" s="234">
        <f>'[4]Combined Avg CDM actual vs  (7)'!E23</f>
        <v>88.923794679966775</v>
      </c>
      <c r="F24" s="234">
        <f>'[4]Combined Avg CDM actual vs  (7)'!F23</f>
        <v>88.692624541729543</v>
      </c>
      <c r="G24" s="234">
        <f>'[4]Combined Avg CDM actual vs  (7)'!G23</f>
        <v>88.543656624019803</v>
      </c>
      <c r="H24" s="234">
        <f>'[4]Combined Avg CDM actual vs  (7)'!H23</f>
        <v>88.744450107022729</v>
      </c>
      <c r="I24" s="234">
        <f>'[4]Combined Avg CDM actual vs  (7)'!I23</f>
        <v>87.20169958490203</v>
      </c>
      <c r="J24" s="234">
        <f>'[4]Combined Avg CDM actual vs  (7)'!J23</f>
        <v>84.531381362568538</v>
      </c>
      <c r="K24" s="234">
        <f>'[4]Combined Avg CDM actual vs  (7)'!K23</f>
        <v>86.554336030461698</v>
      </c>
      <c r="L24" s="234">
        <f>'[4]Combined Avg CDM actual vs  (7)'!L23</f>
        <v>87.220425449995204</v>
      </c>
      <c r="M24" s="234">
        <f>'[4]Combined Avg CDM actual vs  (7)'!M23</f>
        <v>86.65877160916915</v>
      </c>
    </row>
    <row r="25" spans="1:16">
      <c r="A25" s="207" t="s">
        <v>7</v>
      </c>
      <c r="B25" s="234">
        <v>87.051415606195121</v>
      </c>
      <c r="C25" s="234">
        <v>90.59137254901961</v>
      </c>
      <c r="D25" s="234">
        <v>90.507185534591201</v>
      </c>
      <c r="E25" s="234">
        <v>88.923794679966775</v>
      </c>
      <c r="F25" s="234">
        <v>88.692624541729543</v>
      </c>
      <c r="G25" s="234">
        <v>88.543656624019803</v>
      </c>
      <c r="H25" s="234">
        <v>88.744450107022729</v>
      </c>
      <c r="I25" s="234">
        <v>87.20169958490203</v>
      </c>
      <c r="J25" s="234">
        <v>84.531381362568538</v>
      </c>
      <c r="K25" s="234">
        <v>86.554336030461698</v>
      </c>
      <c r="L25" s="234">
        <v>87.220425449995204</v>
      </c>
      <c r="M25" s="234">
        <v>86.65877160916915</v>
      </c>
    </row>
    <row r="27" spans="1:16">
      <c r="A27" s="6"/>
      <c r="B27" s="7">
        <v>45839</v>
      </c>
      <c r="C27" s="7">
        <v>45870</v>
      </c>
      <c r="D27" s="7">
        <v>45901</v>
      </c>
      <c r="E27" s="7">
        <v>45931</v>
      </c>
      <c r="F27" s="7">
        <v>45962</v>
      </c>
      <c r="G27" s="7">
        <v>45992</v>
      </c>
      <c r="H27" s="7">
        <v>46023</v>
      </c>
      <c r="I27" s="7">
        <v>46054</v>
      </c>
      <c r="J27" s="7">
        <v>46082</v>
      </c>
      <c r="K27" s="7">
        <v>46113</v>
      </c>
      <c r="L27" s="7">
        <v>46143</v>
      </c>
      <c r="M27" s="7">
        <v>46174</v>
      </c>
      <c r="N27" s="7" t="s">
        <v>8</v>
      </c>
    </row>
    <row r="28" spans="1:16">
      <c r="A28" s="6" t="s">
        <v>9</v>
      </c>
      <c r="B28" s="8">
        <f>IFERROR('Combined total CDM to Colco (7)'!B24/'Combined pigs sold to colco (7)'!B25,0)</f>
        <v>97.118377823408622</v>
      </c>
      <c r="C28" s="8">
        <f>IFERROR('Combined total CDM to Colco (7)'!C24/'Combined pigs sold to colco (7)'!C25,0)</f>
        <v>96.123266909907386</v>
      </c>
      <c r="D28" s="8">
        <f>IFERROR('Combined total CDM to Colco (7)'!D24/'Combined pigs sold to colco (7)'!D25,0)</f>
        <v>94.753575309715288</v>
      </c>
      <c r="E28" s="8">
        <f>IFERROR('Combined total CDM to Colco (7)'!E24/'Combined pigs sold to colco (7)'!E25,0)</f>
        <v>92.617440633245394</v>
      </c>
      <c r="F28" s="8">
        <f>IFERROR('Combined total CDM to Colco (7)'!F24/'Combined pigs sold to colco (7)'!F25,0)</f>
        <v>92.111767910651039</v>
      </c>
      <c r="G28" s="8">
        <f>IFERROR('Combined total CDM to Colco (7)'!G24/'Combined pigs sold to colco (7)'!G25,0)</f>
        <v>89.737560361116962</v>
      </c>
      <c r="H28" s="8">
        <f>IFERROR('Combined total CDM to Colco (7)'!H24/'Combined pigs sold to colco (7)'!H25,0)</f>
        <v>95.159897518878111</v>
      </c>
      <c r="I28" s="8">
        <f>IFERROR('Combined total CDM to Colco (7)'!I24/'Combined pigs sold to colco (7)'!I25,0)</f>
        <v>94.1479865771812</v>
      </c>
      <c r="J28" s="8">
        <f>IFERROR('Combined total CDM to Colco (7)'!J24/'Combined pigs sold to colco (7)'!J25,0)</f>
        <v>92.442731404958678</v>
      </c>
      <c r="K28" s="8">
        <f>IFERROR('Combined total CDM to Colco (7)'!K24/'Combined pigs sold to colco (7)'!K25,0)</f>
        <v>95.638044605809142</v>
      </c>
      <c r="L28" s="8">
        <f>IFERROR('Combined total CDM to Colco (7)'!L24/'Combined pigs sold to colco (7)'!L25,0)</f>
        <v>95.07011408730159</v>
      </c>
      <c r="M28" s="8">
        <f>IFERROR('Combined total CDM to Colco (7)'!M24/'Combined pigs sold to colco (7)'!M25,0)</f>
        <v>95.851921598770176</v>
      </c>
      <c r="N28" s="9">
        <f>SUM(B28:M28)</f>
        <v>1130.7726847409433</v>
      </c>
    </row>
    <row r="29" spans="1:16">
      <c r="A29" s="6" t="s">
        <v>10</v>
      </c>
      <c r="B29" s="8">
        <f>IFERROR('Combined total CDM to Colco (7)'!B25/'Combined pigs sold to colco (7)'!B26,0)</f>
        <v>0</v>
      </c>
      <c r="C29" s="8">
        <f>IFERROR('Combined total CDM to Colco (7)'!C25/'Combined pigs sold to colco (7)'!C26,0)</f>
        <v>0</v>
      </c>
      <c r="D29" s="8">
        <f>IFERROR('Combined total CDM to Colco (7)'!D25/'Combined pigs sold to colco (7)'!D26,0)</f>
        <v>0</v>
      </c>
      <c r="E29" s="8">
        <f>IFERROR('Combined total CDM to Colco (7)'!E25/'Combined pigs sold to colco (7)'!E26,0)</f>
        <v>0</v>
      </c>
      <c r="F29" s="8">
        <f>IFERROR('Combined total CDM to Colco (7)'!F25/'Combined pigs sold to colco (7)'!F26,0)</f>
        <v>0</v>
      </c>
      <c r="G29" s="8">
        <f>IFERROR('Combined total CDM to Colco (7)'!G25/'Combined pigs sold to colco (7)'!G26,0)</f>
        <v>0</v>
      </c>
      <c r="H29" s="8">
        <f>IFERROR('Combined total CDM to Colco (7)'!H25/'Combined pigs sold to colco (7)'!H26,0)</f>
        <v>0</v>
      </c>
      <c r="I29" s="8">
        <f>IFERROR('Combined total CDM to Colco (7)'!I25/'Combined pigs sold to colco (7)'!I26,0)</f>
        <v>0</v>
      </c>
      <c r="J29" s="8">
        <f>IFERROR('Combined total CDM to Colco (7)'!J25/'Combined pigs sold to colco (7)'!J26,0)</f>
        <v>0</v>
      </c>
      <c r="K29" s="8">
        <f>IFERROR('Combined total CDM to Colco (7)'!K25/'Combined pigs sold to colco (7)'!K26,0)</f>
        <v>0</v>
      </c>
      <c r="L29" s="8">
        <f>IFERROR('Combined total CDM to Colco (7)'!L25/'Combined pigs sold to colco (7)'!L26,0)</f>
        <v>81.271999999999991</v>
      </c>
      <c r="M29" s="8">
        <f>IFERROR('Combined total CDM to Colco (7)'!M25/'Combined pigs sold to colco (7)'!M26,0)</f>
        <v>0</v>
      </c>
      <c r="N29" s="8">
        <f>SUM(B29:M29)</f>
        <v>81.271999999999991</v>
      </c>
    </row>
    <row r="30" spans="1:16">
      <c r="A30" s="6" t="s">
        <v>11</v>
      </c>
      <c r="B30" s="8">
        <f>IFERROR('Combined total CDM to Colco (7)'!B26/'Combined pigs sold to colco (7)'!B27,0)</f>
        <v>98.361596009975059</v>
      </c>
      <c r="C30" s="8">
        <f>IFERROR('Combined total CDM to Colco (7)'!C26/'Combined pigs sold to colco (7)'!C27,0)</f>
        <v>99.271237864077676</v>
      </c>
      <c r="D30" s="8">
        <f>IFERROR('Combined total CDM to Colco (7)'!D26/'Combined pigs sold to colco (7)'!D27,0)</f>
        <v>97.391463414634146</v>
      </c>
      <c r="E30" s="8">
        <f>IFERROR('Combined total CDM to Colco (7)'!E26/'Combined pigs sold to colco (7)'!E27,0)</f>
        <v>97.309579667644186</v>
      </c>
      <c r="F30" s="8">
        <f>IFERROR('Combined total CDM to Colco (7)'!F26/'Combined pigs sold to colco (7)'!F27,0)</f>
        <v>97.532154696132608</v>
      </c>
      <c r="G30" s="8">
        <f>IFERROR('Combined total CDM to Colco (7)'!G26/'Combined pigs sold to colco (7)'!G27,0)</f>
        <v>95.664332399626517</v>
      </c>
      <c r="H30" s="8">
        <f>IFERROR('Combined total CDM to Colco (7)'!H26/'Combined pigs sold to colco (7)'!H27,0)</f>
        <v>96.733024691358025</v>
      </c>
      <c r="I30" s="8">
        <f>IFERROR('Combined total CDM to Colco (7)'!I26/'Combined pigs sold to colco (7)'!I27,0)</f>
        <v>98.839797979797993</v>
      </c>
      <c r="J30" s="8">
        <f>IFERROR('Combined total CDM to Colco (7)'!J26/'Combined pigs sold to colco (7)'!J27,0)</f>
        <v>99.345833333333331</v>
      </c>
      <c r="K30" s="8">
        <f>IFERROR('Combined total CDM to Colco (7)'!K26/'Combined pigs sold to colco (7)'!K27,0)</f>
        <v>98.028463476070542</v>
      </c>
      <c r="L30" s="8">
        <f>IFERROR('Combined total CDM to Colco (7)'!L26/'Combined pigs sold to colco (7)'!L27,0)</f>
        <v>100.49412350597611</v>
      </c>
      <c r="M30" s="8">
        <f>IFERROR('Combined total CDM to Colco (7)'!M26/'Combined pigs sold to colco (7)'!M27,0)</f>
        <v>99.054169318905153</v>
      </c>
      <c r="N30" s="8">
        <f>SUM(B30:M30)</f>
        <v>1178.0257763575314</v>
      </c>
    </row>
    <row r="31" spans="1:16">
      <c r="A31" s="6" t="s">
        <v>12</v>
      </c>
      <c r="B31" s="8">
        <f>IFERROR('Combined total CDM to Colco (7)'!B27/'Combined pigs sold to colco (7)'!B28,0)</f>
        <v>154.9938775510204</v>
      </c>
      <c r="C31" s="8">
        <f>IFERROR('Combined total CDM to Colco (7)'!C27/'Combined pigs sold to colco (7)'!C28,0)</f>
        <v>0</v>
      </c>
      <c r="D31" s="8">
        <f>IFERROR('Combined total CDM to Colco (7)'!D27/'Combined pigs sold to colco (7)'!D28,0)</f>
        <v>194.4</v>
      </c>
      <c r="E31" s="8">
        <f>IFERROR('Combined total CDM to Colco (7)'!E27/'Combined pigs sold to colco (7)'!E28,0)</f>
        <v>0</v>
      </c>
      <c r="F31" s="8">
        <f>IFERROR('Combined total CDM to Colco (7)'!F27/'Combined pigs sold to colco (7)'!F28,0)</f>
        <v>174.97826086956522</v>
      </c>
      <c r="G31" s="8">
        <f>IFERROR('Combined total CDM to Colco (7)'!G27/'Combined pigs sold to colco (7)'!G28,0)</f>
        <v>147.55714285714288</v>
      </c>
      <c r="H31" s="8">
        <f>IFERROR('Combined total CDM to Colco (7)'!H27/'Combined pigs sold to colco (7)'!H28,0)</f>
        <v>169.31</v>
      </c>
      <c r="I31" s="8">
        <f>IFERROR('Combined total CDM to Colco (7)'!I27/'Combined pigs sold to colco (7)'!I28,0)</f>
        <v>167.93846153846152</v>
      </c>
      <c r="J31" s="8">
        <f>IFERROR('Combined total CDM to Colco (7)'!J27/'Combined pigs sold to colco (7)'!J28,0)</f>
        <v>162.80000000000001</v>
      </c>
      <c r="K31" s="8">
        <f>IFERROR('Combined total CDM to Colco (7)'!K27/'Combined pigs sold to colco (7)'!K28,0)</f>
        <v>168.37142857142857</v>
      </c>
      <c r="L31" s="8">
        <f>IFERROR('Combined total CDM to Colco (7)'!L27/'Combined pigs sold to colco (7)'!L28,0)</f>
        <v>179.62187500000002</v>
      </c>
      <c r="M31" s="8">
        <f>IFERROR('Combined total CDM to Colco (7)'!M27/'Combined pigs sold to colco (7)'!M28,0)</f>
        <v>179.20588235294119</v>
      </c>
      <c r="N31" s="8">
        <f>SUM(B31:M31)</f>
        <v>1699.1769287405598</v>
      </c>
    </row>
    <row r="32" spans="1:16">
      <c r="A32" s="6" t="s">
        <v>13</v>
      </c>
      <c r="B32" s="8">
        <f>IFERROR('Combined total CDM to Colco (7)'!B28/'Combined pigs sold to colco (7)'!B29,0)</f>
        <v>140.86000000000001</v>
      </c>
      <c r="C32" s="8">
        <f>IFERROR('Combined total CDM to Colco (7)'!C28/'Combined pigs sold to colco (7)'!C29,0)</f>
        <v>127.2</v>
      </c>
      <c r="D32" s="8">
        <f>IFERROR('Combined total CDM to Colco (7)'!D28/'Combined pigs sold to colco (7)'!D29,0)</f>
        <v>147.1888888888889</v>
      </c>
      <c r="E32" s="8">
        <f>IFERROR('Combined total CDM to Colco (7)'!E28/'Combined pigs sold to colco (7)'!E29,0)</f>
        <v>141.66285714285718</v>
      </c>
      <c r="F32" s="8">
        <f>IFERROR('Combined total CDM to Colco (7)'!F28/'Combined pigs sold to colco (7)'!F29,0)</f>
        <v>80.641970524435877</v>
      </c>
      <c r="G32" s="8">
        <f>IFERROR('Combined total CDM to Colco (7)'!G28/'Combined pigs sold to colco (7)'!G29,0)</f>
        <v>92.402716246675226</v>
      </c>
      <c r="H32" s="8">
        <f>IFERROR('Combined total CDM to Colco (7)'!H28/'Combined pigs sold to colco (7)'!H29,0)</f>
        <v>73.788674092034356</v>
      </c>
      <c r="I32" s="8">
        <f>IFERROR('Combined total CDM to Colco (7)'!I28/'Combined pigs sold to colco (7)'!I29,0)</f>
        <v>129.81919155874704</v>
      </c>
      <c r="J32" s="8">
        <f>IFERROR('Combined total CDM to Colco (7)'!J28/'Combined pigs sold to colco (7)'!J29,0)</f>
        <v>89.930981289805132</v>
      </c>
      <c r="K32" s="8">
        <f>IFERROR('Combined total CDM to Colco (7)'!K28/'Combined pigs sold to colco (7)'!K29,0)</f>
        <v>84.484045758225648</v>
      </c>
      <c r="L32" s="8">
        <f>IFERROR('Combined total CDM to Colco (7)'!L28/'Combined pigs sold to colco (7)'!L29,0)</f>
        <v>97.510668216167062</v>
      </c>
      <c r="M32" s="8">
        <f>IFERROR('Combined total CDM to Colco (7)'!M28/'Combined pigs sold to colco (7)'!M29,0)</f>
        <v>105.16355184865351</v>
      </c>
      <c r="N32" s="8">
        <f>SUM(B32:M32)</f>
        <v>1310.6535455664898</v>
      </c>
    </row>
    <row r="33" spans="1:14">
      <c r="A33" s="6" t="s">
        <v>14</v>
      </c>
      <c r="B33" s="8"/>
      <c r="C33" s="8"/>
      <c r="D33" s="8"/>
      <c r="E33" s="8"/>
      <c r="F33" s="8"/>
      <c r="G33" s="8"/>
      <c r="H33" s="8"/>
      <c r="I33" s="8"/>
      <c r="J33" s="8"/>
      <c r="K33" s="8"/>
      <c r="L33" s="8"/>
      <c r="M33" s="8"/>
      <c r="N33" s="8"/>
    </row>
    <row r="34" spans="1:14">
      <c r="A34" s="6" t="s">
        <v>15</v>
      </c>
      <c r="B34" s="8"/>
      <c r="C34" s="8"/>
      <c r="D34" s="8"/>
      <c r="E34" s="8"/>
      <c r="F34" s="8"/>
      <c r="G34" s="8"/>
      <c r="H34" s="8"/>
      <c r="I34" s="8"/>
      <c r="J34" s="8"/>
      <c r="K34" s="8"/>
      <c r="L34" s="8"/>
      <c r="M34" s="8"/>
      <c r="N34" s="8"/>
    </row>
    <row r="35" spans="1:14">
      <c r="A35" s="6" t="s">
        <v>16</v>
      </c>
      <c r="B35" s="8">
        <f>IFERROR('Combined total CDM to Colco (7)'!B31/'Combined pigs sold to colco (7)'!B32,0)</f>
        <v>0</v>
      </c>
      <c r="C35" s="8">
        <f>IFERROR('Combined total CDM to Colco (7)'!C31/'Combined pigs sold to colco (7)'!C32,0)</f>
        <v>0</v>
      </c>
      <c r="D35" s="8">
        <f>IFERROR('Combined total CDM to Colco (7)'!D31/'Combined pigs sold to colco (7)'!D32,0)</f>
        <v>0</v>
      </c>
      <c r="E35" s="8">
        <f>IFERROR('Combined total CDM to Colco (7)'!E31/'Combined pigs sold to colco (7)'!E32,0)</f>
        <v>0</v>
      </c>
      <c r="F35" s="8"/>
      <c r="G35" s="8"/>
      <c r="H35" s="8"/>
      <c r="I35" s="8"/>
      <c r="J35" s="8"/>
      <c r="K35" s="8"/>
      <c r="L35" s="8"/>
      <c r="M35" s="8"/>
      <c r="N35" s="8">
        <f>SUM(B35:M35)</f>
        <v>0</v>
      </c>
    </row>
    <row r="36" spans="1:14">
      <c r="A36" s="10"/>
      <c r="B36" s="11">
        <f>IFERROR('Combined total CDM to Colco (7)'!B32/'Combined pigs sold to colco (7)'!B33,0)</f>
        <v>93.26662696049236</v>
      </c>
      <c r="C36" s="11">
        <f>IFERROR('Combined total CDM to Colco (7)'!C32/'Combined pigs sold to colco (7)'!C33,0)</f>
        <v>90.915317796610168</v>
      </c>
      <c r="D36" s="11">
        <f>IFERROR('Combined total CDM to Colco (7)'!D32/'Combined pigs sold to colco (7)'!D33,0)</f>
        <v>89.802528320472817</v>
      </c>
      <c r="E36" s="11">
        <f>IFERROR('Combined total CDM to Colco (7)'!E32/'Combined pigs sold to colco (7)'!E33,0)</f>
        <v>89.353864260494319</v>
      </c>
      <c r="F36" s="11">
        <f>IFERROR('Combined total CDM to Colco (7)'!F32/'Combined pigs sold to colco (7)'!F33,0)</f>
        <v>92.194795143314323</v>
      </c>
      <c r="G36" s="11">
        <f>IFERROR('Combined total CDM to Colco (7)'!G32/'Combined pigs sold to colco (7)'!G33,0)</f>
        <v>90.51149545869562</v>
      </c>
      <c r="H36" s="11">
        <f>IFERROR('Combined total CDM to Colco (7)'!H32/'Combined pigs sold to colco (7)'!H33,0)</f>
        <v>94.606725646192132</v>
      </c>
      <c r="I36" s="11">
        <f>IFERROR('Combined total CDM to Colco (7)'!I32/'Combined pigs sold to colco (7)'!I33,0)</f>
        <v>95.529110656097487</v>
      </c>
      <c r="J36" s="11">
        <f>IFERROR('Combined total CDM to Colco (7)'!J32/'Combined pigs sold to colco (7)'!J33,0)</f>
        <v>92.926142408806214</v>
      </c>
      <c r="K36" s="11">
        <f>IFERROR('Combined total CDM to Colco (7)'!K32/'Combined pigs sold to colco (7)'!K33,0)</f>
        <v>95.809329964682547</v>
      </c>
      <c r="L36" s="11">
        <f>IFERROR('Combined total CDM to Colco (7)'!L32/'Combined pigs sold to colco (7)'!L33,0)</f>
        <v>96.127492077532267</v>
      </c>
      <c r="M36" s="11">
        <f>IFERROR('Combined total CDM to Colco (7)'!M32/'Combined pigs sold to colco (7)'!M33,0)</f>
        <v>96.979280694244551</v>
      </c>
      <c r="N36" s="12">
        <f t="shared" ref="N36" si="0">SUM(N28:N35)</f>
        <v>5399.9009354055243</v>
      </c>
    </row>
    <row r="37" spans="1:14">
      <c r="A37" s="13"/>
      <c r="B37" s="8"/>
      <c r="C37" s="8"/>
      <c r="D37" s="8"/>
      <c r="E37" s="8"/>
      <c r="F37" s="8"/>
      <c r="G37" s="8"/>
      <c r="H37" s="8"/>
      <c r="I37" s="8"/>
      <c r="J37" s="8"/>
      <c r="K37" s="8"/>
      <c r="L37" s="8"/>
      <c r="M37" s="8"/>
      <c r="N37" s="8"/>
    </row>
    <row r="38" spans="1:14">
      <c r="A38" s="6" t="s">
        <v>17</v>
      </c>
      <c r="B38" s="8">
        <f>IFERROR('Combined total CDM to Colco (7)'!B34/'Combined pigs sold to colco (7)'!B35,0)</f>
        <v>91.033564013840831</v>
      </c>
      <c r="C38" s="8">
        <f>IFERROR('Combined total CDM to Colco (7)'!C34/'Combined pigs sold to colco (7)'!C35,0)</f>
        <v>93.094760935910472</v>
      </c>
      <c r="D38" s="8">
        <f>IFERROR('Combined total CDM to Colco (7)'!D34/'Combined pigs sold to colco (7)'!D35,0)</f>
        <v>90.934742720382943</v>
      </c>
      <c r="E38" s="8">
        <f>IFERROR('Combined total CDM to Colco (7)'!E34/'Combined pigs sold to colco (7)'!E35,0)</f>
        <v>89.357998037291466</v>
      </c>
      <c r="F38" s="8">
        <f>IFERROR('Combined total CDM to Colco (7)'!F34/'Combined pigs sold to colco (7)'!F35,0)</f>
        <v>88.210320284697517</v>
      </c>
      <c r="G38" s="8">
        <f>IFERROR('Combined total CDM to Colco (7)'!G34/'Combined pigs sold to colco (7)'!G35,0)</f>
        <v>88.607768529528343</v>
      </c>
      <c r="H38" s="8">
        <f>IFERROR('Combined total CDM to Colco (7)'!H34/'Combined pigs sold to colco (7)'!H35,0)</f>
        <v>88.224720738222445</v>
      </c>
      <c r="I38" s="8">
        <f>IFERROR('Combined total CDM to Colco (7)'!I34/'Combined pigs sold to colco (7)'!I35,0)</f>
        <v>87.922888015717092</v>
      </c>
      <c r="J38" s="8">
        <f>IFERROR('Combined total CDM to Colco (7)'!J34/'Combined pigs sold to colco (7)'!J35,0)</f>
        <v>84.962800000000001</v>
      </c>
      <c r="K38" s="8">
        <f>IFERROR('Combined total CDM to Colco (7)'!K34/'Combined pigs sold to colco (7)'!K35,0)</f>
        <v>89.436136136136128</v>
      </c>
      <c r="L38" s="8">
        <f>IFERROR('Combined total CDM to Colco (7)'!L34/'Combined pigs sold to colco (7)'!L35,0)</f>
        <v>87.13734553775744</v>
      </c>
      <c r="M38" s="8">
        <f>IFERROR('Combined total CDM to Colco (7)'!M34/'Combined pigs sold to colco (7)'!M35,0)</f>
        <v>89.798669064748196</v>
      </c>
      <c r="N38" s="8">
        <f>SUM(B38:M38)</f>
        <v>1068.7217140142329</v>
      </c>
    </row>
    <row r="39" spans="1:14">
      <c r="A39" s="6" t="s">
        <v>18</v>
      </c>
      <c r="B39" s="8">
        <f>IFERROR('Combined total CDM to Colco (7)'!B35/'Combined pigs sold to colco (7)'!B36,0)</f>
        <v>91.313740458015275</v>
      </c>
      <c r="C39" s="8">
        <f>IFERROR('Combined total CDM to Colco (7)'!C35/'Combined pigs sold to colco (7)'!C36,0)</f>
        <v>95.885769230769228</v>
      </c>
      <c r="D39" s="8">
        <f>IFERROR('Combined total CDM to Colco (7)'!D35/'Combined pigs sold to colco (7)'!D36,0)</f>
        <v>91.928342245989299</v>
      </c>
      <c r="E39" s="8">
        <f>IFERROR('Combined total CDM to Colco (7)'!E35/'Combined pigs sold to colco (7)'!E36,0)</f>
        <v>87.854193548387101</v>
      </c>
      <c r="F39" s="8">
        <f>IFERROR('Combined total CDM to Colco (7)'!F35/'Combined pigs sold to colco (7)'!F36,0)</f>
        <v>91.240000000000009</v>
      </c>
      <c r="G39" s="8">
        <f>IFERROR('Combined total CDM to Colco (7)'!G35/'Combined pigs sold to colco (7)'!G36,0)</f>
        <v>85.672499999999999</v>
      </c>
      <c r="H39" s="8">
        <f>IFERROR('Combined total CDM to Colco (7)'!H35/'Combined pigs sold to colco (7)'!H36,0)</f>
        <v>83.060465116279062</v>
      </c>
      <c r="I39" s="8">
        <f>IFERROR('Combined total CDM to Colco (7)'!I35/'Combined pigs sold to colco (7)'!I36,0)</f>
        <v>85.586848635235725</v>
      </c>
      <c r="J39" s="8">
        <f>IFERROR('Combined total CDM to Colco (7)'!J35/'Combined pigs sold to colco (7)'!J36,0)</f>
        <v>89.063788968824937</v>
      </c>
      <c r="K39" s="8">
        <f>IFERROR('Combined total CDM to Colco (7)'!K35/'Combined pigs sold to colco (7)'!K36,0)</f>
        <v>85.713247863247872</v>
      </c>
      <c r="L39" s="8">
        <f>IFERROR('Combined total CDM to Colco (7)'!L35/'Combined pigs sold to colco (7)'!L36,0)</f>
        <v>89.576829268292684</v>
      </c>
      <c r="M39" s="8">
        <f>IFERROR('Combined total CDM to Colco (7)'!M35/'Combined pigs sold to colco (7)'!M36,0)</f>
        <v>89.113684210526301</v>
      </c>
      <c r="N39" s="8">
        <f>SUM(B39:M39)</f>
        <v>1066.0094095455675</v>
      </c>
    </row>
    <row r="40" spans="1:14">
      <c r="A40" s="6" t="s">
        <v>19</v>
      </c>
      <c r="B40" s="8">
        <f>IFERROR('Combined total CDM to Colco (7)'!B36/'Combined pigs sold to colco (7)'!B37,0)</f>
        <v>96.75</v>
      </c>
      <c r="C40" s="8">
        <f>IFERROR('Combined total CDM to Colco (7)'!C36/'Combined pigs sold to colco (7)'!C37,0)</f>
        <v>100.11993006993006</v>
      </c>
      <c r="D40" s="8">
        <f>IFERROR('Combined total CDM to Colco (7)'!D36/'Combined pigs sold to colco (7)'!D37,0)</f>
        <v>96.280821917808225</v>
      </c>
      <c r="E40" s="8">
        <f>IFERROR('Combined total CDM to Colco (7)'!E36/'Combined pigs sold to colco (7)'!E37,0)</f>
        <v>99.050427350427341</v>
      </c>
      <c r="F40" s="8">
        <f>IFERROR('Combined total CDM to Colco (7)'!F36/'Combined pigs sold to colco (7)'!F37,0)</f>
        <v>95.314077669902915</v>
      </c>
      <c r="G40" s="8">
        <f>IFERROR('Combined total CDM to Colco (7)'!G36/'Combined pigs sold to colco (7)'!G37,0)</f>
        <v>89.510894941634234</v>
      </c>
      <c r="H40" s="8">
        <f>IFERROR('Combined total CDM to Colco (7)'!H36/'Combined pigs sold to colco (7)'!H37,0)</f>
        <v>92.608247422680407</v>
      </c>
      <c r="I40" s="8">
        <f>IFERROR('Combined total CDM to Colco (7)'!I36/'Combined pigs sold to colco (7)'!I37,0)</f>
        <v>91.698484848484838</v>
      </c>
      <c r="J40" s="8">
        <f>IFERROR('Combined total CDM to Colco (7)'!J36/'Combined pigs sold to colco (7)'!J37,0)</f>
        <v>0</v>
      </c>
      <c r="K40" s="8">
        <f>IFERROR('Combined total CDM to Colco (7)'!K36/'Combined pigs sold to colco (7)'!K37,0)</f>
        <v>96.666216216216213</v>
      </c>
      <c r="L40" s="8">
        <f>IFERROR('Combined total CDM to Colco (7)'!L36/'Combined pigs sold to colco (7)'!L37,0)</f>
        <v>0</v>
      </c>
      <c r="M40" s="8">
        <f>IFERROR('Combined total CDM to Colco (7)'!M36/'Combined pigs sold to colco (7)'!M37,0)</f>
        <v>96.319732441471572</v>
      </c>
      <c r="N40" s="8">
        <f>SUM(B40:M40)</f>
        <v>954.31883287855578</v>
      </c>
    </row>
    <row r="41" spans="1:14">
      <c r="A41" s="6" t="s">
        <v>20</v>
      </c>
      <c r="B41" s="8">
        <f>IFERROR('Combined total CDM to Colco (7)'!B37/'Combined pigs sold to colco (7)'!B38,0)</f>
        <v>175.6</v>
      </c>
      <c r="C41" s="8">
        <f>IFERROR('Combined total CDM to Colco (7)'!C37/'Combined pigs sold to colco (7)'!C38,0)</f>
        <v>172.83500000000001</v>
      </c>
      <c r="D41" s="8">
        <f>IFERROR('Combined total CDM to Colco (7)'!D37/'Combined pigs sold to colco (7)'!D38,0)</f>
        <v>173.66818181818184</v>
      </c>
      <c r="E41" s="8">
        <f>IFERROR('Combined total CDM to Colco (7)'!E37/'Combined pigs sold to colco (7)'!E38,0)</f>
        <v>169.39512195121949</v>
      </c>
      <c r="F41" s="8">
        <f>IFERROR('Combined total CDM to Colco (7)'!F37/'Combined pigs sold to colco (7)'!F38,0)</f>
        <v>168.15357142857144</v>
      </c>
      <c r="G41" s="8">
        <f>IFERROR('Combined total CDM to Colco (7)'!G37/'Combined pigs sold to colco (7)'!G38,0)</f>
        <v>157.20588235294119</v>
      </c>
      <c r="H41" s="8">
        <f>IFERROR('Combined total CDM to Colco (7)'!H37/'Combined pigs sold to colco (7)'!H38,0)</f>
        <v>173.53589743589745</v>
      </c>
      <c r="I41" s="8">
        <f>IFERROR('Combined total CDM to Colco (7)'!I37/'Combined pigs sold to colco (7)'!I38,0)</f>
        <v>168.06046511627909</v>
      </c>
      <c r="J41" s="8">
        <f>IFERROR('Combined total CDM to Colco (7)'!J37/'Combined pigs sold to colco (7)'!J38,0)</f>
        <v>172.40769230769232</v>
      </c>
      <c r="K41" s="8">
        <f>IFERROR('Combined total CDM to Colco (7)'!K37/'Combined pigs sold to colco (7)'!K38,0)</f>
        <v>157.0205882352941</v>
      </c>
      <c r="L41" s="8">
        <f>IFERROR('Combined total CDM to Colco (7)'!L37/'Combined pigs sold to colco (7)'!L38,0)</f>
        <v>171.97619047619048</v>
      </c>
      <c r="M41" s="8">
        <f>IFERROR('Combined total CDM to Colco (7)'!M37/'Combined pigs sold to colco (7)'!M38,0)</f>
        <v>178.17058823529413</v>
      </c>
      <c r="N41" s="8">
        <f>SUM(B41:M41)</f>
        <v>2038.0291793575618</v>
      </c>
    </row>
    <row r="42" spans="1:14">
      <c r="A42" s="6" t="s">
        <v>21</v>
      </c>
      <c r="B42" s="8">
        <f>IFERROR('Combined total CDM to Colco (7)'!B38/'Combined pigs sold to colco (7)'!B39,0)</f>
        <v>66.336363636363643</v>
      </c>
      <c r="C42" s="8">
        <f>IFERROR('Combined total CDM to Colco (7)'!C38/'Combined pigs sold to colco (7)'!C39,0)</f>
        <v>62.808333333333337</v>
      </c>
      <c r="D42" s="8">
        <f>IFERROR('Combined total CDM to Colco (7)'!D38/'Combined pigs sold to colco (7)'!D39,0)</f>
        <v>65.787499999999994</v>
      </c>
      <c r="E42" s="8">
        <f>IFERROR('Combined total CDM to Colco (7)'!E38/'Combined pigs sold to colco (7)'!E39,0)</f>
        <v>60.308333333333337</v>
      </c>
      <c r="F42" s="8">
        <f>IFERROR('Combined total CDM to Colco (7)'!F38/'Combined pigs sold to colco (7)'!F39,0)</f>
        <v>104.74285714285715</v>
      </c>
      <c r="G42" s="8">
        <f>IFERROR('Combined total CDM to Colco (7)'!G38/'Combined pigs sold to colco (7)'!G39,0)</f>
        <v>53.631578947368418</v>
      </c>
      <c r="H42" s="8">
        <f>IFERROR('Combined total CDM to Colco (7)'!H38/'Combined pigs sold to colco (7)'!H39,0)</f>
        <v>60.641666666666673</v>
      </c>
      <c r="I42" s="8">
        <f>IFERROR('Combined total CDM to Colco (7)'!I38/'Combined pigs sold to colco (7)'!I39,0)</f>
        <v>42.983333333333334</v>
      </c>
      <c r="J42" s="8">
        <f>IFERROR('Combined total CDM to Colco (7)'!J38/'Combined pigs sold to colco (7)'!J39,0)</f>
        <v>62.346666666666671</v>
      </c>
      <c r="K42" s="8">
        <f>IFERROR('Combined total CDM to Colco (7)'!K38/'Combined pigs sold to colco (7)'!K39,0)</f>
        <v>81.211111111111109</v>
      </c>
      <c r="L42" s="8">
        <f>IFERROR('Combined total CDM to Colco (7)'!L38/'Combined pigs sold to colco (7)'!L39,0)</f>
        <v>42.611111111111114</v>
      </c>
      <c r="M42" s="8">
        <f>IFERROR('Combined total CDM to Colco (7)'!M38/'Combined pigs sold to colco (7)'!M39,0)</f>
        <v>57.870588235294122</v>
      </c>
      <c r="N42" s="8">
        <f>SUM(B42:M42)</f>
        <v>761.27944351743884</v>
      </c>
    </row>
    <row r="43" spans="1:14">
      <c r="A43" s="6" t="s">
        <v>22</v>
      </c>
      <c r="B43" s="8"/>
      <c r="C43" s="8"/>
      <c r="D43" s="8"/>
      <c r="E43" s="8"/>
      <c r="F43" s="8"/>
      <c r="G43" s="8"/>
      <c r="H43" s="8"/>
      <c r="I43" s="8"/>
      <c r="J43" s="8"/>
      <c r="K43" s="8"/>
      <c r="L43" s="8">
        <f>IFERROR('[5]COMBINED CDM (5)'!L40/'[5]COMBINED PIGS SOLD (5)'!L40,0)</f>
        <v>0</v>
      </c>
      <c r="M43" s="8">
        <f>IFERROR('[5]COMBINED CDM (5)'!M40/'[5]COMBINED PIGS SOLD (5)'!M40,0)</f>
        <v>0</v>
      </c>
      <c r="N43" s="8"/>
    </row>
    <row r="44" spans="1:14">
      <c r="A44" s="6" t="s">
        <v>23</v>
      </c>
      <c r="B44" s="8"/>
      <c r="C44" s="8"/>
      <c r="D44" s="8"/>
      <c r="E44" s="8"/>
      <c r="F44" s="8"/>
      <c r="G44" s="8"/>
      <c r="H44" s="8"/>
      <c r="I44" s="8"/>
      <c r="J44" s="8"/>
      <c r="K44" s="8"/>
      <c r="L44" s="8">
        <f>IFERROR('[5]COMBINED CDM (5)'!L41/'[5]COMBINED PIGS SOLD (5)'!L41,0)</f>
        <v>0</v>
      </c>
      <c r="M44" s="8">
        <f>IFERROR('[5]COMBINED CDM (5)'!M41/'[5]COMBINED PIGS SOLD (5)'!M41,0)</f>
        <v>0</v>
      </c>
      <c r="N44" s="8"/>
    </row>
    <row r="45" spans="1:14">
      <c r="A45" s="6" t="s">
        <v>16</v>
      </c>
      <c r="B45" s="8"/>
      <c r="C45" s="8"/>
      <c r="D45" s="8"/>
      <c r="E45" s="8"/>
      <c r="F45" s="8"/>
      <c r="G45" s="8"/>
      <c r="H45" s="8"/>
      <c r="I45" s="8"/>
      <c r="J45" s="8"/>
      <c r="K45" s="8"/>
      <c r="L45" s="8">
        <f>IFERROR('[5]COMBINED CDM (5)'!L42/'[5]COMBINED PIGS SOLD (5)'!L42,0)</f>
        <v>0</v>
      </c>
      <c r="M45" s="8">
        <f>IFERROR('[5]COMBINED CDM (5)'!M42/'[5]COMBINED PIGS SOLD (5)'!M42,0)</f>
        <v>0</v>
      </c>
      <c r="N45" s="8">
        <f>SUM(B45:M45)</f>
        <v>0</v>
      </c>
    </row>
    <row r="46" spans="1:14">
      <c r="A46" s="10"/>
      <c r="B46" s="11">
        <f>IFERROR('Combined total CDM to Colco (7)'!B42/'Combined pigs sold to colco (7)'!B43,0)</f>
        <v>90.694300314465423</v>
      </c>
      <c r="C46" s="11">
        <f>IFERROR('Combined total CDM to Colco (7)'!C42/'Combined pigs sold to colco (7)'!C43,0)</f>
        <v>93.008613364233284</v>
      </c>
      <c r="D46" s="11">
        <f>IFERROR('Combined total CDM to Colco (7)'!D42/'Combined pigs sold to colco (7)'!D43,0)</f>
        <v>91.023779527559057</v>
      </c>
      <c r="E46" s="11">
        <f>IFERROR('Combined total CDM to Colco (7)'!E42/'Combined pigs sold to colco (7)'!E43,0)</f>
        <v>89.169141435089188</v>
      </c>
      <c r="F46" s="11">
        <f>IFERROR('Combined total CDM to Colco (7)'!F42/'Combined pigs sold to colco (7)'!F43,0)</f>
        <v>89.216564952048842</v>
      </c>
      <c r="G46" s="11">
        <f>IFERROR('Combined total CDM to Colco (7)'!G42/'Combined pigs sold to colco (7)'!G43,0)</f>
        <v>87.005552030456855</v>
      </c>
      <c r="H46" s="11">
        <f>IFERROR('Combined total CDM to Colco (7)'!H42/'Combined pigs sold to colco (7)'!H43,0)</f>
        <v>87.161130334486742</v>
      </c>
      <c r="I46" s="11">
        <f>IFERROR('Combined total CDM to Colco (7)'!I42/'Combined pigs sold to colco (7)'!I43,0)</f>
        <v>87.117084696474009</v>
      </c>
      <c r="J46" s="11">
        <f>IFERROR('Combined total CDM to Colco (7)'!J42/'Combined pigs sold to colco (7)'!J43,0)</f>
        <v>84.711408579251611</v>
      </c>
      <c r="K46" s="11">
        <f>IFERROR('Combined total CDM to Colco (7)'!K42/'Combined pigs sold to colco (7)'!K43,0)</f>
        <v>88.358982909545631</v>
      </c>
      <c r="L46" s="11">
        <f>IFERROR('Combined total CDM to Colco (7)'!L42/'Combined pigs sold to colco (7)'!L43,0)</f>
        <v>86.180238369857747</v>
      </c>
      <c r="M46" s="11">
        <f>IFERROR('Combined total CDM to Colco (7)'!M42/'Combined pigs sold to colco (7)'!M43,0)</f>
        <v>89.77515114873033</v>
      </c>
      <c r="N46" s="12">
        <f t="shared" ref="N46" si="1">SUM(N38:N45)</f>
        <v>5888.358579313357</v>
      </c>
    </row>
    <row r="47" spans="1:14">
      <c r="A47" s="13"/>
      <c r="B47" s="8"/>
      <c r="C47" s="8"/>
      <c r="D47" s="8"/>
      <c r="E47" s="8"/>
      <c r="F47" s="8"/>
      <c r="G47" s="8"/>
      <c r="H47" s="8"/>
      <c r="I47" s="8"/>
      <c r="J47" s="8"/>
      <c r="K47" s="8"/>
      <c r="L47" s="8"/>
      <c r="M47" s="8"/>
      <c r="N47" s="8"/>
    </row>
    <row r="48" spans="1:14">
      <c r="A48" s="6" t="s">
        <v>24</v>
      </c>
      <c r="B48" s="8">
        <f>IFERROR('Combined total CDM to Colco (7)'!B44/'Combined pigs sold to colco (7)'!B45,0)</f>
        <v>91.82594547053651</v>
      </c>
      <c r="C48" s="8">
        <f>IFERROR('Combined total CDM to Colco (7)'!C44/'Combined pigs sold to colco (7)'!C45,0)</f>
        <v>91.745983379501396</v>
      </c>
      <c r="D48" s="8">
        <f>IFERROR('Combined total CDM to Colco (7)'!D44/'Combined pigs sold to colco (7)'!D45,0)</f>
        <v>90.447366495976596</v>
      </c>
      <c r="E48" s="8">
        <f>IFERROR('Combined total CDM to Colco (7)'!E44/'Combined pigs sold to colco (7)'!E45,0)</f>
        <v>89.29728813559322</v>
      </c>
      <c r="F48" s="8">
        <f>IFERROR('Combined total CDM to Colco (7)'!F44/'Combined pigs sold to colco (7)'!F45,0)</f>
        <v>89.414393226716854</v>
      </c>
      <c r="G48" s="8">
        <f>IFERROR('Combined total CDM to Colco (7)'!G44/'Combined pigs sold to colco (7)'!G45,0)</f>
        <v>89.82788425403983</v>
      </c>
      <c r="H48" s="8">
        <f>IFERROR('Combined total CDM to Colco (7)'!H44/'Combined pigs sold to colco (7)'!H45,0)</f>
        <v>88.086640893470801</v>
      </c>
      <c r="I48" s="8">
        <f>IFERROR('Combined total CDM to Colco (7)'!I44/'Combined pigs sold to colco (7)'!I45,0)</f>
        <v>85.816710411198599</v>
      </c>
      <c r="J48" s="8">
        <f>IFERROR('Combined total CDM to Colco (7)'!J44/'Combined pigs sold to colco (7)'!J45,0)</f>
        <v>87.608539852645677</v>
      </c>
      <c r="K48" s="8">
        <f>IFERROR('Combined total CDM to Colco (7)'!K44/'Combined pigs sold to colco (7)'!K45,0)</f>
        <v>87.557742893508703</v>
      </c>
      <c r="L48" s="8">
        <f>IFERROR('Combined total CDM to Colco (7)'!L44/'Combined pigs sold to colco (7)'!L45,0)</f>
        <v>88.421131082858395</v>
      </c>
      <c r="M48" s="8">
        <f>IFERROR('Combined total CDM to Colco (7)'!M44/'Combined pigs sold to colco (7)'!M45,0)</f>
        <v>88.785949027498333</v>
      </c>
      <c r="N48" s="8">
        <f>SUM(B48:M48)</f>
        <v>1068.8355751235449</v>
      </c>
    </row>
    <row r="49" spans="1:14">
      <c r="A49" s="6" t="s">
        <v>25</v>
      </c>
      <c r="B49" s="8">
        <f>IFERROR('Combined total CDM to Colco (7)'!B45/'Combined pigs sold to colco (7)'!B46,0)</f>
        <v>92.90129533678757</v>
      </c>
      <c r="C49" s="8">
        <f>IFERROR('Combined total CDM to Colco (7)'!C45/'Combined pigs sold to colco (7)'!C46,0)</f>
        <v>96.218110236220483</v>
      </c>
      <c r="D49" s="8">
        <f>IFERROR('Combined total CDM to Colco (7)'!D45/'Combined pigs sold to colco (7)'!D46,0)</f>
        <v>91.20481099656358</v>
      </c>
      <c r="E49" s="8">
        <f>IFERROR('Combined total CDM to Colco (7)'!E45/'Combined pigs sold to colco (7)'!E46,0)</f>
        <v>93.18493150684931</v>
      </c>
      <c r="F49" s="8">
        <f>IFERROR('Combined total CDM to Colco (7)'!F45/'Combined pigs sold to colco (7)'!F46,0)</f>
        <v>88.016849816849827</v>
      </c>
      <c r="G49" s="8">
        <f>IFERROR('Combined total CDM to Colco (7)'!G45/'Combined pigs sold to colco (7)'!G46,0)</f>
        <v>89.408823529411762</v>
      </c>
      <c r="H49" s="8">
        <f>IFERROR('Combined total CDM to Colco (7)'!H45/'Combined pigs sold to colco (7)'!H46,0)</f>
        <v>83.06090534979424</v>
      </c>
      <c r="I49" s="8">
        <f>IFERROR('Combined total CDM to Colco (7)'!I45/'Combined pigs sold to colco (7)'!I46,0)</f>
        <v>85.302654867256607</v>
      </c>
      <c r="J49" s="8">
        <f>IFERROR('Combined total CDM to Colco (7)'!J45/'Combined pigs sold to colco (7)'!J46,0)</f>
        <v>84.992307692307691</v>
      </c>
      <c r="K49" s="8">
        <f>IFERROR('Combined total CDM to Colco (7)'!K45/'Combined pigs sold to colco (7)'!K46,0)</f>
        <v>83.093666666666678</v>
      </c>
      <c r="L49" s="8">
        <f>IFERROR('Combined total CDM to Colco (7)'!L45/'Combined pigs sold to colco (7)'!L46,0)</f>
        <v>89.116104868913851</v>
      </c>
      <c r="M49" s="8">
        <f>IFERROR('Combined total CDM to Colco (7)'!M45/'Combined pigs sold to colco (7)'!M46,0)</f>
        <v>89.151399491094153</v>
      </c>
      <c r="N49" s="8">
        <f>SUM(B49:M49)</f>
        <v>1065.6518603587158</v>
      </c>
    </row>
    <row r="50" spans="1:14">
      <c r="A50" s="6" t="s">
        <v>26</v>
      </c>
      <c r="B50" s="8">
        <f>IFERROR('Combined total CDM to Colco (7)'!B46/'Combined pigs sold to colco (7)'!B47,0)</f>
        <v>0</v>
      </c>
      <c r="C50" s="8">
        <f>IFERROR('Combined total CDM to Colco (7)'!C46/'Combined pigs sold to colco (7)'!C47,0)</f>
        <v>0</v>
      </c>
      <c r="D50" s="8">
        <f>IFERROR('Combined total CDM to Colco (7)'!D46/'Combined pigs sold to colco (7)'!D47,0)</f>
        <v>0</v>
      </c>
      <c r="E50" s="8">
        <f>IFERROR('Combined total CDM to Colco (7)'!E46/'Combined pigs sold to colco (7)'!E47,0)</f>
        <v>0</v>
      </c>
      <c r="F50" s="8">
        <f>IFERROR('Combined total CDM to Colco (7)'!F46/'Combined pigs sold to colco (7)'!F47,0)</f>
        <v>0</v>
      </c>
      <c r="G50" s="8">
        <f>IFERROR('Combined total CDM to Colco (7)'!G46/'Combined pigs sold to colco (7)'!G47,0)</f>
        <v>0</v>
      </c>
      <c r="H50" s="8">
        <f>IFERROR('Combined total CDM to Colco (7)'!H46/'Combined pigs sold to colco (7)'!H47,0)</f>
        <v>0</v>
      </c>
      <c r="I50" s="8">
        <f>IFERROR('Combined total CDM to Colco (7)'!I46/'Combined pigs sold to colco (7)'!I47,0)</f>
        <v>0</v>
      </c>
      <c r="J50" s="8">
        <f>IFERROR('Combined total CDM to Colco (7)'!J46/'Combined pigs sold to colco (7)'!J47,0)</f>
        <v>0</v>
      </c>
      <c r="K50" s="8">
        <f>IFERROR('Combined total CDM to Colco (7)'!K46/'Combined pigs sold to colco (7)'!K47,0)</f>
        <v>0</v>
      </c>
      <c r="L50" s="8">
        <f>IFERROR('Combined total CDM to Colco (7)'!L46/'Combined pigs sold to colco (7)'!L47,0)</f>
        <v>0</v>
      </c>
      <c r="M50" s="8">
        <f>IFERROR('Combined total CDM to Colco (7)'!M46/'Combined pigs sold to colco (7)'!M47,0)</f>
        <v>0</v>
      </c>
      <c r="N50" s="8">
        <f>SUM(B50:M50)</f>
        <v>0</v>
      </c>
    </row>
    <row r="51" spans="1:14">
      <c r="A51" s="6" t="s">
        <v>27</v>
      </c>
      <c r="B51" s="8">
        <f>IFERROR('Combined total CDM to Colco (7)'!B47/'Combined pigs sold to colco (7)'!B48,0)</f>
        <v>165.99444444444444</v>
      </c>
      <c r="C51" s="8">
        <f>IFERROR('Combined total CDM to Colco (7)'!C47/'Combined pigs sold to colco (7)'!C48,0)</f>
        <v>173.26000000000002</v>
      </c>
      <c r="D51" s="8">
        <f>IFERROR('Combined total CDM to Colco (7)'!D47/'Combined pigs sold to colco (7)'!D48,0)</f>
        <v>158.51428571428573</v>
      </c>
      <c r="E51" s="8">
        <f>IFERROR('Combined total CDM to Colco (7)'!E47/'Combined pigs sold to colco (7)'!E48,0)</f>
        <v>166.91470588235296</v>
      </c>
      <c r="F51" s="8">
        <f>IFERROR('Combined total CDM to Colco (7)'!F47/'Combined pigs sold to colco (7)'!F48,0)</f>
        <v>158.40833333333333</v>
      </c>
      <c r="G51" s="8">
        <f>IFERROR('Combined total CDM to Colco (7)'!G47/'Combined pigs sold to colco (7)'!G48,0)</f>
        <v>168.00555555555556</v>
      </c>
      <c r="H51" s="8">
        <f>IFERROR('Combined total CDM to Colco (7)'!H47/'Combined pigs sold to colco (7)'!H48,0)</f>
        <v>180.49600000000001</v>
      </c>
      <c r="I51" s="8">
        <f>IFERROR('Combined total CDM to Colco (7)'!I47/'Combined pigs sold to colco (7)'!I48,0)</f>
        <v>174.47500000000002</v>
      </c>
      <c r="J51" s="8">
        <f>IFERROR('Combined total CDM to Colco (7)'!J47/'Combined pigs sold to colco (7)'!J48,0)</f>
        <v>166.53749999999999</v>
      </c>
      <c r="K51" s="8">
        <f>IFERROR('Combined total CDM to Colco (7)'!K47/'Combined pigs sold to colco (7)'!K48,0)</f>
        <v>185.99200000000002</v>
      </c>
      <c r="L51" s="8">
        <f>IFERROR('Combined total CDM to Colco (7)'!L47/'Combined pigs sold to colco (7)'!L48,0)</f>
        <v>178.63870967741937</v>
      </c>
      <c r="M51" s="8">
        <f>IFERROR('Combined total CDM to Colco (7)'!M47/'Combined pigs sold to colco (7)'!M48,0)</f>
        <v>177.39642857142857</v>
      </c>
      <c r="N51" s="8">
        <f>SUM(B51:M51)</f>
        <v>2054.6329631788203</v>
      </c>
    </row>
    <row r="52" spans="1:14">
      <c r="A52" s="6" t="s">
        <v>28</v>
      </c>
      <c r="B52" s="8">
        <f>IFERROR('Combined total CDM to Colco (7)'!B48/'Combined pigs sold to colco (7)'!B49,0)</f>
        <v>58.896666666666668</v>
      </c>
      <c r="C52" s="8">
        <f>IFERROR('Combined total CDM to Colco (7)'!C48/'Combined pigs sold to colco (7)'!C49,0)</f>
        <v>38.74422222222222</v>
      </c>
      <c r="D52" s="8">
        <f>IFERROR('Combined total CDM to Colco (7)'!D48/'Combined pigs sold to colco (7)'!D49,0)</f>
        <v>76.406896551724145</v>
      </c>
      <c r="E52" s="8">
        <f>IFERROR('Combined total CDM to Colco (7)'!E48/'Combined pigs sold to colco (7)'!E49,0)</f>
        <v>82.645454545454541</v>
      </c>
      <c r="F52" s="8">
        <f>IFERROR('Combined total CDM to Colco (7)'!F48/'Combined pigs sold to colco (7)'!F49,0)</f>
        <v>84.482272727272729</v>
      </c>
      <c r="G52" s="8">
        <f>IFERROR('Combined total CDM to Colco (7)'!G48/'Combined pigs sold to colco (7)'!G49,0)</f>
        <v>71.5390625</v>
      </c>
      <c r="H52" s="8">
        <f>IFERROR('Combined total CDM to Colco (7)'!H48/'Combined pigs sold to colco (7)'!H49,0)</f>
        <v>57.340909090909093</v>
      </c>
      <c r="I52" s="8">
        <f>IFERROR('Combined total CDM to Colco (7)'!I48/'Combined pigs sold to colco (7)'!I49,0)</f>
        <v>66.14</v>
      </c>
      <c r="J52" s="8">
        <f>IFERROR('Combined total CDM to Colco (7)'!J48/'Combined pigs sold to colco (7)'!J49,0)</f>
        <v>79.367999999999995</v>
      </c>
      <c r="K52" s="8">
        <f>IFERROR('Combined total CDM to Colco (7)'!K48/'Combined pigs sold to colco (7)'!K49,0)</f>
        <v>90.465000000000003</v>
      </c>
      <c r="L52" s="8">
        <f>IFERROR('Combined total CDM to Colco (7)'!L48/'Combined pigs sold to colco (7)'!L49,0)</f>
        <v>100.03684210526316</v>
      </c>
      <c r="M52" s="8">
        <f>IFERROR('Combined total CDM to Colco (7)'!M48/'Combined pigs sold to colco (7)'!M49,0)</f>
        <v>78.207692307692312</v>
      </c>
      <c r="N52" s="8">
        <f>SUM(B52:M52)</f>
        <v>884.27301871720499</v>
      </c>
    </row>
    <row r="53" spans="1:14">
      <c r="A53" s="6" t="s">
        <v>29</v>
      </c>
      <c r="B53" s="8"/>
      <c r="C53" s="8"/>
      <c r="D53" s="8"/>
      <c r="E53" s="8"/>
      <c r="F53" s="8"/>
      <c r="G53" s="8"/>
      <c r="H53" s="8"/>
      <c r="I53" s="8"/>
      <c r="J53" s="8"/>
      <c r="K53" s="8"/>
      <c r="L53" s="8">
        <f>IFERROR('[5]COMBINED CDM (5)'!L50/'[5]COMBINED PIGS SOLD (5)'!L50,0)</f>
        <v>0</v>
      </c>
      <c r="M53" s="8">
        <f>IFERROR('[5]COMBINED CDM (5)'!M50/'[5]COMBINED PIGS SOLD (5)'!M50,0)</f>
        <v>0</v>
      </c>
      <c r="N53" s="8"/>
    </row>
    <row r="54" spans="1:14">
      <c r="A54" s="6" t="s">
        <v>30</v>
      </c>
      <c r="B54" s="8"/>
      <c r="C54" s="8"/>
      <c r="D54" s="8"/>
      <c r="E54" s="8"/>
      <c r="F54" s="8"/>
      <c r="G54" s="8"/>
      <c r="H54" s="8"/>
      <c r="I54" s="8"/>
      <c r="J54" s="8"/>
      <c r="K54" s="8"/>
      <c r="L54" s="8">
        <f>IFERROR('[5]COMBINED CDM (5)'!L51/'[5]COMBINED PIGS SOLD (5)'!L51,0)</f>
        <v>0</v>
      </c>
      <c r="M54" s="8">
        <f>IFERROR('[5]COMBINED CDM (5)'!M51/'[5]COMBINED PIGS SOLD (5)'!M51,0)</f>
        <v>0</v>
      </c>
      <c r="N54" s="8"/>
    </row>
    <row r="55" spans="1:14">
      <c r="A55" s="6" t="s">
        <v>16</v>
      </c>
      <c r="B55" s="8"/>
      <c r="C55" s="8"/>
      <c r="D55" s="8"/>
      <c r="E55" s="8"/>
      <c r="F55" s="8"/>
      <c r="G55" s="8"/>
      <c r="H55" s="8"/>
      <c r="I55" s="8"/>
      <c r="J55" s="8"/>
      <c r="K55" s="8"/>
      <c r="L55" s="8">
        <f>IFERROR('[5]COMBINED CDM (5)'!L52/'[5]COMBINED PIGS SOLD (5)'!L52,0)</f>
        <v>0</v>
      </c>
      <c r="M55" s="8">
        <f>IFERROR('[5]COMBINED CDM (5)'!M52/'[5]COMBINED PIGS SOLD (5)'!M52,0)</f>
        <v>0</v>
      </c>
      <c r="N55" s="8">
        <f>SUM(B55:M55)</f>
        <v>0</v>
      </c>
    </row>
    <row r="56" spans="1:14">
      <c r="A56" s="10"/>
      <c r="B56" s="11">
        <f>IFERROR('Combined total CDM to Colco (7)'!B52/'Combined pigs sold to colco (7)'!B53,0)</f>
        <v>92.107422451994083</v>
      </c>
      <c r="C56" s="11">
        <f>IFERROR('Combined total CDM to Colco (7)'!C52/'Combined pigs sold to colco (7)'!C53,0)</f>
        <v>91.144383269312854</v>
      </c>
      <c r="D56" s="11">
        <f>IFERROR('Combined total CDM to Colco (7)'!D52/'Combined pigs sold to colco (7)'!D53,0)</f>
        <v>90.5420124142437</v>
      </c>
      <c r="E56" s="11">
        <f>IFERROR('Combined total CDM to Colco (7)'!E52/'Combined pigs sold to colco (7)'!E53,0)</f>
        <v>90.491764246682294</v>
      </c>
      <c r="F56" s="11">
        <f>IFERROR('Combined total CDM to Colco (7)'!F52/'Combined pigs sold to colco (7)'!F53,0)</f>
        <v>89.891210633946841</v>
      </c>
      <c r="G56" s="11">
        <f>IFERROR('Combined total CDM to Colco (7)'!G52/'Combined pigs sold to colco (7)'!G53,0)</f>
        <v>90.065219577606427</v>
      </c>
      <c r="H56" s="11">
        <f>IFERROR('Combined total CDM to Colco (7)'!H52/'Combined pigs sold to colco (7)'!H53,0)</f>
        <v>88.244232238349881</v>
      </c>
      <c r="I56" s="11">
        <f>IFERROR('Combined total CDM to Colco (7)'!I52/'Combined pigs sold to colco (7)'!I53,0)</f>
        <v>86.780721489526769</v>
      </c>
      <c r="J56" s="11">
        <f>IFERROR('Combined total CDM to Colco (7)'!J52/'Combined pigs sold to colco (7)'!J53,0)</f>
        <v>88.021449616971125</v>
      </c>
      <c r="K56" s="11">
        <f>IFERROR('Combined total CDM to Colco (7)'!K52/'Combined pigs sold to colco (7)'!K53,0)</f>
        <v>87.994374537379713</v>
      </c>
      <c r="L56" s="11">
        <f>IFERROR('Combined total CDM to Colco (7)'!L52/'Combined pigs sold to colco (7)'!L53,0)</f>
        <v>89.654003079291769</v>
      </c>
      <c r="M56" s="11">
        <f>IFERROR('Combined total CDM to Colco (7)'!M52/'Combined pigs sold to colco (7)'!M53,0)</f>
        <v>89.471186934966468</v>
      </c>
      <c r="N56" s="12">
        <f t="shared" ref="N56" si="2">SUM(N48:N55)</f>
        <v>5073.3934173782854</v>
      </c>
    </row>
    <row r="57" spans="1:14">
      <c r="A57" s="13"/>
      <c r="B57" s="8"/>
      <c r="C57" s="8"/>
      <c r="D57" s="8"/>
      <c r="E57" s="8"/>
      <c r="F57" s="8"/>
      <c r="G57" s="8"/>
      <c r="H57" s="8"/>
      <c r="I57" s="8"/>
      <c r="J57" s="8"/>
      <c r="K57" s="8"/>
      <c r="L57" s="8"/>
      <c r="M57" s="8"/>
      <c r="N57" s="8"/>
    </row>
    <row r="58" spans="1:14">
      <c r="A58" s="6" t="s">
        <v>31</v>
      </c>
      <c r="B58" s="8">
        <f>IFERROR('Combined total CDM to Colco (7)'!B54/'Combined pigs sold to colco (7)'!B55,0)</f>
        <v>95.706364922206518</v>
      </c>
      <c r="C58" s="8">
        <f>IFERROR('Combined total CDM to Colco (7)'!C54/'Combined pigs sold to colco (7)'!C55,0)</f>
        <v>97.683594864479332</v>
      </c>
      <c r="D58" s="8">
        <f>IFERROR('Combined total CDM to Colco (7)'!D54/'Combined pigs sold to colco (7)'!D55,0)</f>
        <v>93.888742514970062</v>
      </c>
      <c r="E58" s="8">
        <f>IFERROR('Combined total CDM to Colco (7)'!E54/'Combined pigs sold to colco (7)'!E55,0)</f>
        <v>96.313306451612917</v>
      </c>
      <c r="F58" s="8">
        <f>IFERROR('Combined total CDM to Colco (7)'!F54/'Combined pigs sold to colco (7)'!F55,0)</f>
        <v>96.654269175108553</v>
      </c>
      <c r="G58" s="8">
        <f>IFERROR('Combined total CDM to Colco (7)'!G54/'Combined pigs sold to colco (7)'!G55,0)</f>
        <v>94.258199052132696</v>
      </c>
      <c r="H58" s="8">
        <f>IFERROR('Combined total CDM to Colco (7)'!H54/'Combined pigs sold to colco (7)'!H55,0)</f>
        <v>96.337475345167647</v>
      </c>
      <c r="I58" s="8">
        <f>IFERROR('Combined total CDM to Colco (7)'!I54/'Combined pigs sold to colco (7)'!I55,0)</f>
        <v>95.30031880977684</v>
      </c>
      <c r="J58" s="8">
        <f>IFERROR('Combined total CDM to Colco (7)'!J54/'Combined pigs sold to colco (7)'!J55,0)</f>
        <v>89.463195435092729</v>
      </c>
      <c r="K58" s="8">
        <f>IFERROR('Combined total CDM to Colco (7)'!K54/'Combined pigs sold to colco (7)'!K55,0)</f>
        <v>90.345692307692303</v>
      </c>
      <c r="L58" s="8">
        <f>IFERROR('Combined total CDM to Colco (7)'!L54/'Combined pigs sold to colco (7)'!L55,0)</f>
        <v>91.020092735703244</v>
      </c>
      <c r="M58" s="8">
        <f>IFERROR('Combined total CDM to Colco (7)'!M54/'Combined pigs sold to colco (7)'!M55,0)</f>
        <v>95.268555555555551</v>
      </c>
      <c r="N58" s="8">
        <f>SUM(B58:M58)</f>
        <v>1132.2398071694984</v>
      </c>
    </row>
    <row r="59" spans="1:14">
      <c r="A59" s="6" t="s">
        <v>32</v>
      </c>
      <c r="B59" s="8">
        <f>IFERROR('Combined total CDM to Colco (7)'!B55/'Combined pigs sold to colco (7)'!B56,0)</f>
        <v>90.856521739130443</v>
      </c>
      <c r="C59" s="8">
        <f>IFERROR('Combined total CDM to Colco (7)'!C55/'Combined pigs sold to colco (7)'!C56,0)</f>
        <v>94.224725274725287</v>
      </c>
      <c r="D59" s="8">
        <f>IFERROR('Combined total CDM to Colco (7)'!D55/'Combined pigs sold to colco (7)'!D56,0)</f>
        <v>91.505847953216374</v>
      </c>
      <c r="E59" s="8">
        <f>IFERROR('Combined total CDM to Colco (7)'!E55/'Combined pigs sold to colco (7)'!E56,0)</f>
        <v>84.333047210300435</v>
      </c>
      <c r="F59" s="8">
        <f>IFERROR('Combined total CDM to Colco (7)'!F55/'Combined pigs sold to colco (7)'!F56,0)</f>
        <v>85.387407407407409</v>
      </c>
      <c r="G59" s="8">
        <f>IFERROR('Combined total CDM to Colco (7)'!G55/'Combined pigs sold to colco (7)'!G56,0)</f>
        <v>83.269711538461536</v>
      </c>
      <c r="H59" s="8">
        <f>IFERROR('Combined total CDM to Colco (7)'!H55/'Combined pigs sold to colco (7)'!H56,0)</f>
        <v>88.916239316239327</v>
      </c>
      <c r="I59" s="8">
        <f>IFERROR('Combined total CDM to Colco (7)'!I55/'Combined pigs sold to colco (7)'!I56,0)</f>
        <v>85.943478260869568</v>
      </c>
      <c r="J59" s="8">
        <f>IFERROR('Combined total CDM to Colco (7)'!J55/'Combined pigs sold to colco (7)'!J56,0)</f>
        <v>85.807926829268297</v>
      </c>
      <c r="K59" s="8">
        <f>IFERROR('Combined total CDM to Colco (7)'!K55/'Combined pigs sold to colco (7)'!K56,0)</f>
        <v>87.268686868686871</v>
      </c>
      <c r="L59" s="8">
        <f>IFERROR('Combined total CDM to Colco (7)'!L55/'Combined pigs sold to colco (7)'!L56,0)</f>
        <v>85.968674698795184</v>
      </c>
      <c r="M59" s="8">
        <f>IFERROR('Combined total CDM to Colco (7)'!M55/'Combined pigs sold to colco (7)'!M56,0)</f>
        <v>88.233802816901402</v>
      </c>
      <c r="N59" s="8">
        <f>SUM(B59:M59)</f>
        <v>1051.7160699140022</v>
      </c>
    </row>
    <row r="60" spans="1:14">
      <c r="A60" s="6" t="s">
        <v>33</v>
      </c>
      <c r="B60" s="8">
        <f>IFERROR('Combined total CDM to Colco (7)'!B56/'Combined pigs sold to colco (7)'!B57,0)</f>
        <v>96.207563025210092</v>
      </c>
      <c r="C60" s="8">
        <f>IFERROR('Combined total CDM to Colco (7)'!C56/'Combined pigs sold to colco (7)'!C57,0)</f>
        <v>99.276288659793821</v>
      </c>
      <c r="D60" s="8">
        <f>IFERROR('Combined total CDM to Colco (7)'!D56/'Combined pigs sold to colco (7)'!D57,0)</f>
        <v>97.178742514970068</v>
      </c>
      <c r="E60" s="8">
        <f>IFERROR('Combined total CDM to Colco (7)'!E56/'Combined pigs sold to colco (7)'!E57,0)</f>
        <v>98.072908366533866</v>
      </c>
      <c r="F60" s="8">
        <f>IFERROR('Combined total CDM to Colco (7)'!F56/'Combined pigs sold to colco (7)'!F57,0)</f>
        <v>95.878985507246384</v>
      </c>
      <c r="G60" s="8">
        <f>IFERROR('Combined total CDM to Colco (7)'!G56/'Combined pigs sold to colco (7)'!G57,0)</f>
        <v>97.48411214953272</v>
      </c>
      <c r="H60" s="8">
        <f>IFERROR('Combined total CDM to Colco (7)'!H56/'Combined pigs sold to colco (7)'!H57,0)</f>
        <v>91.362735849056605</v>
      </c>
      <c r="I60" s="8">
        <f>IFERROR('Combined total CDM to Colco (7)'!I56/'Combined pigs sold to colco (7)'!I57,0)</f>
        <v>96.701438848920859</v>
      </c>
      <c r="J60" s="8">
        <f>IFERROR('Combined total CDM to Colco (7)'!J56/'Combined pigs sold to colco (7)'!J57,0)</f>
        <v>96.80185185185185</v>
      </c>
      <c r="K60" s="8">
        <f>IFERROR('Combined total CDM to Colco (7)'!K56/'Combined pigs sold to colco (7)'!K57,0)</f>
        <v>93.485333333333344</v>
      </c>
      <c r="L60" s="8">
        <f>IFERROR('Combined total CDM to Colco (7)'!L56/'Combined pigs sold to colco (7)'!L57,0)</f>
        <v>97.093139841688668</v>
      </c>
      <c r="M60" s="8">
        <f>IFERROR('Combined total CDM to Colco (7)'!M56/'Combined pigs sold to colco (7)'!M57,0)</f>
        <v>92.927173913043475</v>
      </c>
      <c r="N60" s="8">
        <f>SUM(B60:M60)</f>
        <v>1152.4702738611818</v>
      </c>
    </row>
    <row r="61" spans="1:14">
      <c r="A61" s="6" t="s">
        <v>34</v>
      </c>
      <c r="B61" s="8">
        <f>IFERROR('Combined total CDM to Colco (7)'!B57/'Combined pigs sold to colco (7)'!B58,0)</f>
        <v>188.82777777777778</v>
      </c>
      <c r="C61" s="8">
        <f>IFERROR('Combined total CDM to Colco (7)'!C57/'Combined pigs sold to colco (7)'!C58,0)</f>
        <v>185.41875000000002</v>
      </c>
      <c r="D61" s="8">
        <f>IFERROR('Combined total CDM to Colco (7)'!D57/'Combined pigs sold to colco (7)'!D58,0)</f>
        <v>182.06190476190477</v>
      </c>
      <c r="E61" s="8">
        <f>IFERROR('Combined total CDM to Colco (7)'!E57/'Combined pigs sold to colco (7)'!E58,0)</f>
        <v>173.74166666666667</v>
      </c>
      <c r="F61" s="8">
        <f>IFERROR('Combined total CDM to Colco (7)'!F57/'Combined pigs sold to colco (7)'!F58,0)</f>
        <v>179.55</v>
      </c>
      <c r="G61" s="8">
        <f>IFERROR('Combined total CDM to Colco (7)'!G57/'Combined pigs sold to colco (7)'!G58,0)</f>
        <v>163.31666666666666</v>
      </c>
      <c r="H61" s="8">
        <f>IFERROR('Combined total CDM to Colco (7)'!H57/'Combined pigs sold to colco (7)'!H58,0)</f>
        <v>173.30625000000001</v>
      </c>
      <c r="I61" s="8">
        <f>IFERROR('Combined total CDM to Colco (7)'!I57/'Combined pigs sold to colco (7)'!I58,0)</f>
        <v>180.17272727272729</v>
      </c>
      <c r="J61" s="8">
        <f>IFERROR('Combined total CDM to Colco (7)'!J57/'Combined pigs sold to colco (7)'!J58,0)</f>
        <v>166.04615384615383</v>
      </c>
      <c r="K61" s="8">
        <f>IFERROR('Combined total CDM to Colco (7)'!K57/'Combined pigs sold to colco (7)'!K58,0)</f>
        <v>170.78823529411764</v>
      </c>
      <c r="L61" s="8">
        <f>IFERROR('Combined total CDM to Colco (7)'!L57/'Combined pigs sold to colco (7)'!L58,0)</f>
        <v>179.51250000000002</v>
      </c>
      <c r="M61" s="8">
        <f>IFERROR('Combined total CDM to Colco (7)'!M57/'Combined pigs sold to colco (7)'!M58,0)</f>
        <v>178.47777777777776</v>
      </c>
      <c r="N61" s="8">
        <f>SUM(B61:M61)</f>
        <v>2121.2204100637928</v>
      </c>
    </row>
    <row r="62" spans="1:14">
      <c r="A62" s="6" t="s">
        <v>35</v>
      </c>
      <c r="B62" s="8">
        <f>IFERROR('Combined total CDM to Colco (7)'!B58/'Combined pigs sold to colco (7)'!B59,0)</f>
        <v>54.9</v>
      </c>
      <c r="C62" s="8">
        <f>IFERROR('Combined total CDM to Colco (7)'!C58/'Combined pigs sold to colco (7)'!C59,0)</f>
        <v>82.86666666666666</v>
      </c>
      <c r="D62" s="8">
        <f>IFERROR('Combined total CDM to Colco (7)'!D58/'Combined pigs sold to colco (7)'!D59,0)</f>
        <v>101.35000000000001</v>
      </c>
      <c r="E62" s="8">
        <f>IFERROR('Combined total CDM to Colco (7)'!E58/'Combined pigs sold to colco (7)'!E59,0)</f>
        <v>99.5</v>
      </c>
      <c r="F62" s="8">
        <f>IFERROR('Combined total CDM to Colco (7)'!F58/'Combined pigs sold to colco (7)'!F59,0)</f>
        <v>99.52000000000001</v>
      </c>
      <c r="G62" s="8">
        <f>IFERROR('Combined total CDM to Colco (7)'!G58/'Combined pigs sold to colco (7)'!G59,0)</f>
        <v>129.78000000000003</v>
      </c>
      <c r="H62" s="8">
        <f>IFERROR('Combined total CDM to Colco (7)'!H58/'Combined pigs sold to colco (7)'!H59,0)</f>
        <v>78.25</v>
      </c>
      <c r="I62" s="8">
        <f>IFERROR('Combined total CDM to Colco (7)'!I58/'Combined pigs sold to colco (7)'!I59,0)</f>
        <v>134.04999999999998</v>
      </c>
      <c r="J62" s="8">
        <f>IFERROR('Combined total CDM to Colco (7)'!J58/'Combined pigs sold to colco (7)'!J59,0)</f>
        <v>84.112499999999997</v>
      </c>
      <c r="K62" s="8">
        <f>IFERROR('Combined total CDM to Colco (7)'!K58/'Combined pigs sold to colco (7)'!K59,0)</f>
        <v>108.25999999999999</v>
      </c>
      <c r="L62" s="8">
        <f>IFERROR('Combined total CDM to Colco (7)'!L58/'Combined pigs sold to colco (7)'!L59,0)</f>
        <v>129.75</v>
      </c>
      <c r="M62" s="8">
        <f>IFERROR('Combined total CDM to Colco (7)'!M58/'Combined pigs sold to colco (7)'!M59,0)</f>
        <v>91.228571428571428</v>
      </c>
      <c r="N62" s="8">
        <f>SUM(B62:M62)</f>
        <v>1193.5677380952382</v>
      </c>
    </row>
    <row r="63" spans="1:14">
      <c r="A63" s="6" t="s">
        <v>36</v>
      </c>
      <c r="B63" s="8"/>
      <c r="C63" s="8"/>
      <c r="D63" s="8"/>
      <c r="E63" s="8"/>
      <c r="F63" s="8"/>
      <c r="G63" s="8"/>
      <c r="H63" s="8"/>
      <c r="I63" s="8"/>
      <c r="J63" s="8"/>
      <c r="K63" s="8"/>
      <c r="L63" s="8">
        <f>IFERROR('[5]COMBINED CDM (5)'!L60/'[5]COMBINED PIGS SOLD (5)'!L60,0)</f>
        <v>0</v>
      </c>
      <c r="M63" s="8">
        <f>IFERROR('[5]COMBINED CDM (5)'!M60/'[5]COMBINED PIGS SOLD (5)'!M60,0)</f>
        <v>0</v>
      </c>
      <c r="N63" s="8"/>
    </row>
    <row r="64" spans="1:14">
      <c r="A64" s="6" t="s">
        <v>37</v>
      </c>
      <c r="B64" s="8"/>
      <c r="C64" s="8"/>
      <c r="D64" s="8"/>
      <c r="E64" s="8"/>
      <c r="F64" s="8"/>
      <c r="G64" s="8"/>
      <c r="H64" s="8"/>
      <c r="I64" s="8"/>
      <c r="J64" s="8"/>
      <c r="K64" s="8"/>
      <c r="L64" s="8">
        <f>IFERROR('[5]COMBINED CDM (5)'!L61/'[5]COMBINED PIGS SOLD (5)'!L61,0)</f>
        <v>0</v>
      </c>
      <c r="M64" s="8">
        <f>IFERROR('[5]COMBINED CDM (5)'!M61/'[5]COMBINED PIGS SOLD (5)'!M61,0)</f>
        <v>0</v>
      </c>
      <c r="N64" s="8"/>
    </row>
    <row r="65" spans="1:14">
      <c r="A65" s="2" t="s">
        <v>16</v>
      </c>
      <c r="B65" s="8"/>
      <c r="C65" s="8"/>
      <c r="D65" s="8"/>
      <c r="E65" s="8"/>
      <c r="F65" s="8"/>
      <c r="G65" s="8"/>
      <c r="H65" s="8"/>
      <c r="I65" s="8"/>
      <c r="J65" s="8"/>
      <c r="K65" s="8"/>
      <c r="L65" s="8">
        <f>IFERROR('[5]COMBINED CDM (5)'!L62/'[5]COMBINED PIGS SOLD (5)'!L62,0)</f>
        <v>0</v>
      </c>
      <c r="M65" s="8">
        <f>IFERROR('[5]COMBINED CDM (5)'!M62/'[5]COMBINED PIGS SOLD (5)'!M62,0)</f>
        <v>0</v>
      </c>
      <c r="N65" s="8">
        <f>SUM(B65:M65)</f>
        <v>0</v>
      </c>
    </row>
    <row r="66" spans="1:14">
      <c r="A66" s="2"/>
      <c r="B66" s="8"/>
      <c r="C66" s="8"/>
      <c r="D66" s="8"/>
      <c r="E66" s="8"/>
      <c r="F66" s="8"/>
      <c r="G66" s="8"/>
      <c r="H66" s="8"/>
      <c r="I66" s="8"/>
      <c r="J66" s="8"/>
      <c r="K66" s="8"/>
      <c r="L66" s="8"/>
      <c r="M66" s="8"/>
      <c r="N66" s="8"/>
    </row>
    <row r="67" spans="1:14">
      <c r="A67" s="2" t="s">
        <v>38</v>
      </c>
      <c r="B67" s="8">
        <f>IFERROR('Combined total CDM to Colco (7)'!B63/'Combined pigs sold to colco (7)'!B67,0)</f>
        <v>97.187012230634835</v>
      </c>
      <c r="C67" s="8">
        <f>IFERROR('Combined total CDM to Colco (7)'!C63/'Combined pigs sold to colco (7)'!C67,0)</f>
        <v>93.23204090328079</v>
      </c>
      <c r="D67" s="8">
        <f>IFERROR('Combined total CDM to Colco (7)'!D63/'Combined pigs sold to colco (7)'!D67,0)</f>
        <v>86.613361508452527</v>
      </c>
      <c r="E67" s="8">
        <f>IFERROR('Combined total CDM to Colco (7)'!E63/'Combined pigs sold to colco (7)'!E67,0)</f>
        <v>86.244880997355494</v>
      </c>
      <c r="F67" s="8">
        <f>IFERROR('Combined total CDM to Colco (7)'!F63/'Combined pigs sold to colco (7)'!F67,0)</f>
        <v>83.886947949526814</v>
      </c>
      <c r="G67" s="8">
        <f>IFERROR('Combined total CDM to Colco (7)'!G63/'Combined pigs sold to colco (7)'!G67,0)</f>
        <v>89.874289772727266</v>
      </c>
      <c r="H67" s="8">
        <f>IFERROR('Combined total CDM to Colco (7)'!H63/'Combined pigs sold to colco (7)'!H67,0)</f>
        <v>93.875212947189098</v>
      </c>
      <c r="I67" s="8">
        <f>IFERROR('Combined total CDM to Colco (7)'!I63/'Combined pigs sold to colco (7)'!I67,0)</f>
        <v>92.006981694338023</v>
      </c>
      <c r="J67" s="8">
        <f>IFERROR('Combined total CDM to Colco (7)'!J63/'Combined pigs sold to colco (7)'!J67,0)</f>
        <v>91.541893445764657</v>
      </c>
      <c r="K67" s="8">
        <f>IFERROR('Combined total CDM to Colco (7)'!K63/'Combined pigs sold to colco (7)'!K67,0)</f>
        <v>92.628807597608144</v>
      </c>
      <c r="L67" s="8">
        <f>IFERROR('Combined total CDM to Colco (7)'!L63/'Combined pigs sold to colco (7)'!L67,0)</f>
        <v>93.66398963730569</v>
      </c>
      <c r="M67" s="8">
        <f>IFERROR('Combined total CDM to Colco (7)'!M63/'Combined pigs sold to colco (7)'!M67,0)</f>
        <v>93.569508196721316</v>
      </c>
      <c r="N67" s="8"/>
    </row>
    <row r="68" spans="1:14">
      <c r="A68" s="2" t="s">
        <v>39</v>
      </c>
      <c r="B68" s="8">
        <f>IFERROR('Combined total CDM to Colco (7)'!B64/'Combined pigs sold to colco (7)'!B68,0)</f>
        <v>0</v>
      </c>
      <c r="C68" s="8">
        <f>IFERROR('Combined total CDM to Colco (7)'!C64/'Combined pigs sold to colco (7)'!C68,0)</f>
        <v>0</v>
      </c>
      <c r="D68" s="8">
        <f>IFERROR('Combined total CDM to Colco (7)'!D64/'Combined pigs sold to colco (7)'!D68,0)</f>
        <v>0</v>
      </c>
      <c r="E68" s="8">
        <f>IFERROR('Combined total CDM to Colco (7)'!E64/'Combined pigs sold to colco (7)'!E68,0)</f>
        <v>0</v>
      </c>
      <c r="F68" s="8">
        <f>IFERROR('Combined total CDM to Colco (7)'!F64/'Combined pigs sold to colco (7)'!F68,0)</f>
        <v>0</v>
      </c>
      <c r="G68" s="8">
        <f>IFERROR('Combined total CDM to Colco (7)'!G64/'Combined pigs sold to colco (7)'!G68,0)</f>
        <v>0</v>
      </c>
      <c r="H68" s="8">
        <f>IFERROR('Combined total CDM to Colco (7)'!H64/'Combined pigs sold to colco (7)'!H68,0)</f>
        <v>0</v>
      </c>
      <c r="I68" s="8">
        <f>IFERROR('Combined total CDM to Colco (7)'!I64/'Combined pigs sold to colco (7)'!I68,0)</f>
        <v>0</v>
      </c>
      <c r="J68" s="8">
        <f>IFERROR('Combined total CDM to Colco (7)'!J64/'Combined pigs sold to colco (7)'!J68,0)</f>
        <v>0</v>
      </c>
      <c r="K68" s="8">
        <f>IFERROR('Combined total CDM to Colco (7)'!K64/'Combined pigs sold to colco (7)'!K68,0)</f>
        <v>0</v>
      </c>
      <c r="L68" s="8">
        <f>IFERROR('Combined total CDM to Colco (7)'!L64/'Combined pigs sold to colco (7)'!L68,0)</f>
        <v>86.275000000000006</v>
      </c>
      <c r="M68" s="8">
        <f>IFERROR('Combined total CDM to Colco (7)'!M64/'Combined pigs sold to colco (7)'!M68,0)</f>
        <v>90.176288659793812</v>
      </c>
      <c r="N68" s="8"/>
    </row>
    <row r="69" spans="1:14">
      <c r="A69" s="2" t="s">
        <v>40</v>
      </c>
      <c r="B69" s="8">
        <f>IFERROR('Combined total CDM to Colco (7)'!B65/'Combined pigs sold to colco (7)'!B69,0)</f>
        <v>0</v>
      </c>
      <c r="C69" s="8">
        <f>IFERROR('Combined total CDM to Colco (7)'!C65/'Combined pigs sold to colco (7)'!C69,0)</f>
        <v>0</v>
      </c>
      <c r="D69" s="8">
        <f>IFERROR('Combined total CDM to Colco (7)'!D65/'Combined pigs sold to colco (7)'!D69,0)</f>
        <v>0</v>
      </c>
      <c r="E69" s="8">
        <f>IFERROR('Combined total CDM to Colco (7)'!E65/'Combined pigs sold to colco (7)'!E69,0)</f>
        <v>0</v>
      </c>
      <c r="F69" s="8">
        <f>IFERROR('Combined total CDM to Colco (7)'!F65/'Combined pigs sold to colco (7)'!F69,0)</f>
        <v>0</v>
      </c>
      <c r="G69" s="8">
        <f>IFERROR('Combined total CDM to Colco (7)'!G65/'Combined pigs sold to colco (7)'!G69,0)</f>
        <v>0</v>
      </c>
      <c r="H69" s="8">
        <f>IFERROR('Combined total CDM to Colco (7)'!H65/'Combined pigs sold to colco (7)'!H69,0)</f>
        <v>0</v>
      </c>
      <c r="I69" s="8">
        <f>IFERROR('Combined total CDM to Colco (7)'!I65/'Combined pigs sold to colco (7)'!I69,0)</f>
        <v>0</v>
      </c>
      <c r="J69" s="8">
        <f>IFERROR('Combined total CDM to Colco (7)'!J65/'Combined pigs sold to colco (7)'!J69,0)</f>
        <v>0</v>
      </c>
      <c r="K69" s="8">
        <f>IFERROR('Combined total CDM to Colco (7)'!K65/'Combined pigs sold to colco (7)'!K69,0)</f>
        <v>0</v>
      </c>
      <c r="L69" s="8">
        <f>IFERROR('Combined total CDM to Colco (7)'!L65/'Combined pigs sold to colco (7)'!L69,0)</f>
        <v>0</v>
      </c>
      <c r="M69" s="8">
        <f>IFERROR('Combined total CDM to Colco (7)'!M65/'Combined pigs sold to colco (7)'!M69,0)</f>
        <v>94.72558139534884</v>
      </c>
      <c r="N69" s="8"/>
    </row>
    <row r="70" spans="1:14">
      <c r="A70" s="2" t="s">
        <v>41</v>
      </c>
      <c r="B70" s="8">
        <f>IFERROR('Combined total CDM to Colco (7)'!B66/'Combined pigs sold to colco (7)'!B70,0)</f>
        <v>142.39249999999998</v>
      </c>
      <c r="C70" s="8">
        <f>IFERROR('Combined total CDM to Colco (7)'!C66/'Combined pigs sold to colco (7)'!C70,0)</f>
        <v>161.48571428571429</v>
      </c>
      <c r="D70" s="8">
        <f>IFERROR('Combined total CDM to Colco (7)'!D66/'Combined pigs sold to colco (7)'!D70,0)</f>
        <v>155.33571428571426</v>
      </c>
      <c r="E70" s="8">
        <f>IFERROR('Combined total CDM to Colco (7)'!E66/'Combined pigs sold to colco (7)'!E70,0)</f>
        <v>161.78333333333333</v>
      </c>
      <c r="F70" s="8">
        <f>IFERROR('Combined total CDM to Colco (7)'!F66/'Combined pigs sold to colco (7)'!F70,0)</f>
        <v>156.60357142857146</v>
      </c>
      <c r="G70" s="8">
        <f>IFERROR('Combined total CDM to Colco (7)'!G66/'Combined pigs sold to colco (7)'!G70,0)</f>
        <v>157.16216216216216</v>
      </c>
      <c r="H70" s="8">
        <f>IFERROR('Combined total CDM to Colco (7)'!H66/'Combined pigs sold to colco (7)'!H70,0)</f>
        <v>156.59777777777779</v>
      </c>
      <c r="I70" s="8">
        <f>IFERROR('Combined total CDM to Colco (7)'!I66/'Combined pigs sold to colco (7)'!I70,0)</f>
        <v>162.10312500000001</v>
      </c>
      <c r="J70" s="8">
        <f>IFERROR('Combined total CDM to Colco (7)'!J66/'Combined pigs sold to colco (7)'!J70,0)</f>
        <v>167.27619047619049</v>
      </c>
      <c r="K70" s="8">
        <f>IFERROR('Combined total CDM to Colco (7)'!K66/'Combined pigs sold to colco (7)'!K70,0)</f>
        <v>161.50624999999999</v>
      </c>
      <c r="L70" s="8">
        <f>IFERROR('Combined total CDM to Colco (7)'!L66/'Combined pigs sold to colco (7)'!L70,0)</f>
        <v>163.24800000000002</v>
      </c>
      <c r="M70" s="8">
        <f>IFERROR('Combined total CDM to Colco (7)'!M66/'Combined pigs sold to colco (7)'!M70,0)</f>
        <v>176.22340425531914</v>
      </c>
      <c r="N70" s="8"/>
    </row>
    <row r="71" spans="1:14">
      <c r="A71" s="2" t="s">
        <v>42</v>
      </c>
      <c r="B71" s="8">
        <f>IFERROR('Combined total CDM to Colco (7)'!B67/'Combined pigs sold to colco (7)'!B71,0)</f>
        <v>6.6909090909090905</v>
      </c>
      <c r="C71" s="8">
        <f>IFERROR('Combined total CDM to Colco (7)'!C67/'Combined pigs sold to colco (7)'!C71,0)</f>
        <v>52.693333333333342</v>
      </c>
      <c r="D71" s="8">
        <f>IFERROR('Combined total CDM to Colco (7)'!D67/'Combined pigs sold to colco (7)'!D71,0)</f>
        <v>64.970588235294116</v>
      </c>
      <c r="E71" s="8">
        <f>IFERROR('Combined total CDM to Colco (7)'!E67/'Combined pigs sold to colco (7)'!E71,0)</f>
        <v>50.873333333333335</v>
      </c>
      <c r="F71" s="8">
        <f>IFERROR('Combined total CDM to Colco (7)'!F67/'Combined pigs sold to colco (7)'!F71,0)</f>
        <v>42.147058823529413</v>
      </c>
      <c r="G71" s="8">
        <f>IFERROR('Combined total CDM to Colco (7)'!G67/'Combined pigs sold to colco (7)'!G71,0)</f>
        <v>43.5</v>
      </c>
      <c r="H71" s="8">
        <f>IFERROR('Combined total CDM to Colco (7)'!H67/'Combined pigs sold to colco (7)'!H71,0)</f>
        <v>41.672222222222224</v>
      </c>
      <c r="I71" s="8">
        <f>IFERROR('Combined total CDM to Colco (7)'!I67/'Combined pigs sold to colco (7)'!I71,0)</f>
        <v>129.34419956732438</v>
      </c>
      <c r="J71" s="8">
        <f>IFERROR('Combined total CDM to Colco (7)'!J67/'Combined pigs sold to colco (7)'!J71,0)</f>
        <v>131.27739068022575</v>
      </c>
      <c r="K71" s="8">
        <f>IFERROR('Combined total CDM to Colco (7)'!K67/'Combined pigs sold to colco (7)'!K71,0)</f>
        <v>324.39869852441188</v>
      </c>
      <c r="L71" s="8">
        <f>IFERROR('Combined total CDM to Colco (7)'!L67/'Combined pigs sold to colco (7)'!L71,0)</f>
        <v>270.55422667514273</v>
      </c>
      <c r="M71" s="8">
        <f>IFERROR('Combined total CDM to Colco (7)'!M67/'Combined pigs sold to colco (7)'!M71,0)</f>
        <v>277.44067648700593</v>
      </c>
      <c r="N71" s="8"/>
    </row>
    <row r="72" spans="1:14">
      <c r="A72" s="2" t="s">
        <v>43</v>
      </c>
      <c r="B72" s="8"/>
      <c r="C72" s="8"/>
      <c r="D72" s="8"/>
      <c r="E72" s="8"/>
      <c r="F72" s="8"/>
      <c r="G72" s="8"/>
      <c r="H72" s="8"/>
      <c r="I72" s="8"/>
      <c r="J72" s="8"/>
      <c r="K72" s="8"/>
      <c r="L72" s="8"/>
      <c r="M72" s="8"/>
      <c r="N72" s="8"/>
    </row>
    <row r="73" spans="1:14">
      <c r="A73" s="2" t="s">
        <v>44</v>
      </c>
      <c r="B73" s="8"/>
      <c r="C73" s="8"/>
      <c r="D73" s="8"/>
      <c r="E73" s="8"/>
      <c r="F73" s="8"/>
      <c r="G73" s="8"/>
      <c r="H73" s="8"/>
      <c r="I73" s="8"/>
      <c r="J73" s="8"/>
      <c r="K73" s="8"/>
      <c r="L73" s="8"/>
      <c r="M73" s="8"/>
      <c r="N73" s="8"/>
    </row>
    <row r="74" spans="1:14">
      <c r="A74" s="2" t="s">
        <v>16</v>
      </c>
      <c r="B74" s="8"/>
      <c r="C74" s="8"/>
      <c r="D74" s="8"/>
      <c r="E74" s="8"/>
      <c r="F74" s="8"/>
      <c r="G74" s="8"/>
      <c r="H74" s="8"/>
      <c r="I74" s="8"/>
      <c r="J74" s="8"/>
      <c r="K74" s="8"/>
      <c r="L74" s="8"/>
      <c r="M74" s="8"/>
      <c r="N74" s="8"/>
    </row>
    <row r="75" spans="1:14">
      <c r="A75" s="2"/>
      <c r="B75" s="8"/>
      <c r="C75" s="8"/>
      <c r="D75" s="8"/>
      <c r="E75" s="8"/>
      <c r="F75" s="8"/>
      <c r="G75" s="8"/>
      <c r="H75" s="8"/>
      <c r="I75" s="8"/>
      <c r="J75" s="8"/>
      <c r="K75" s="8"/>
      <c r="L75" s="8"/>
      <c r="M75" s="8"/>
      <c r="N75" s="8"/>
    </row>
    <row r="76" spans="1:14">
      <c r="A76" s="2"/>
      <c r="B76" s="8"/>
      <c r="C76" s="8"/>
      <c r="D76" s="8"/>
      <c r="E76" s="8"/>
      <c r="F76" s="8"/>
      <c r="G76" s="8"/>
      <c r="H76" s="8"/>
      <c r="I76" s="8"/>
      <c r="J76" s="8"/>
      <c r="K76" s="8"/>
      <c r="L76" s="8"/>
      <c r="M76" s="8"/>
      <c r="N76" s="8"/>
    </row>
    <row r="77" spans="1:14">
      <c r="A77" s="2" t="s">
        <v>45</v>
      </c>
      <c r="B77" s="8">
        <f>IFERROR('Combined total CDM to Colco (7)'!B73/'Combined pigs sold to colco (7)'!B77,0)</f>
        <v>0</v>
      </c>
      <c r="C77" s="8"/>
      <c r="D77" s="8"/>
      <c r="E77" s="8"/>
      <c r="F77" s="8"/>
      <c r="G77" s="8"/>
      <c r="H77" s="8"/>
      <c r="I77" s="8">
        <f>('Combined total CDM to Colco (7)'!I73+'Combined total CDM to Colco (7)'!I76)/('Combined pigs sold to colco (7)'!I77+'Combined pigs sold to colco (7)'!I80)</f>
        <v>169.89333333333335</v>
      </c>
      <c r="J77" s="8">
        <f>('Combined total CDM to Colco (7)'!J73+'Combined total CDM to Colco (7)'!J76)/('Combined pigs sold to colco (7)'!J77+'Combined pigs sold to colco (7)'!J80)</f>
        <v>88.413179347826087</v>
      </c>
      <c r="K77" s="8">
        <f>('Combined total CDM to Colco (7)'!K73+'Combined total CDM to Colco (7)'!K76)/('Combined pigs sold to colco (7)'!K77+'Combined pigs sold to colco (7)'!K80)</f>
        <v>87.785871964679913</v>
      </c>
      <c r="L77" s="8">
        <f>('Combined total CDM to Colco (7)'!L73+'Combined total CDM to Colco (7)'!L76)/('Combined pigs sold to colco (7)'!L77+'Combined pigs sold to colco (7)'!L80)</f>
        <v>91.779098360655752</v>
      </c>
      <c r="M77" s="8">
        <f>('Combined total CDM to Colco (7)'!M73+'Combined total CDM to Colco (7)'!M76)/('Combined pigs sold to colco (7)'!M77+'Combined pigs sold to colco (7)'!M80)</f>
        <v>88.918903436988558</v>
      </c>
      <c r="N77" s="8"/>
    </row>
    <row r="78" spans="1:14">
      <c r="A78" s="2" t="s">
        <v>46</v>
      </c>
      <c r="B78" s="8">
        <f>IFERROR('Combined total CDM to Colco (7)'!B74/'Combined pigs sold to colco (7)'!B78,0)</f>
        <v>0</v>
      </c>
      <c r="C78" s="8"/>
      <c r="D78" s="8"/>
      <c r="E78" s="8"/>
      <c r="F78" s="8"/>
      <c r="G78" s="8"/>
      <c r="H78" s="8"/>
      <c r="I78" s="8"/>
      <c r="J78" s="8"/>
      <c r="K78" s="8"/>
      <c r="L78" s="8"/>
      <c r="M78" s="8"/>
      <c r="N78" s="8"/>
    </row>
    <row r="79" spans="1:14">
      <c r="A79" s="2" t="s">
        <v>47</v>
      </c>
      <c r="B79" s="8">
        <f>IFERROR('Combined total CDM to Colco (7)'!B75/'Combined pigs sold to colco (7)'!B79,0)</f>
        <v>0</v>
      </c>
      <c r="C79" s="8"/>
      <c r="D79" s="8"/>
      <c r="E79" s="8"/>
      <c r="F79" s="8"/>
      <c r="G79" s="8"/>
      <c r="H79" s="8"/>
      <c r="I79" s="8"/>
      <c r="J79" s="8"/>
      <c r="K79" s="8"/>
      <c r="L79" s="8"/>
      <c r="M79" s="8"/>
      <c r="N79" s="8"/>
    </row>
    <row r="80" spans="1:14">
      <c r="A80" s="2" t="s">
        <v>48</v>
      </c>
      <c r="B80" s="8">
        <f>IFERROR('Combined total CDM to Colco (7)'!B76/'Combined pigs sold to colco (7)'!B80,0)</f>
        <v>157.1</v>
      </c>
      <c r="C80" s="8">
        <f>IFERROR('Combined total CDM to Colco (7)'!C76/'Combined pigs sold to colco (7)'!C80,0)</f>
        <v>0</v>
      </c>
      <c r="D80" s="8">
        <f>IFERROR('Combined total CDM to Colco (7)'!D76/'Combined pigs sold to colco (7)'!D80,0)</f>
        <v>188.80909090909091</v>
      </c>
      <c r="E80" s="8">
        <f>IFERROR('Combined total CDM to Colco (7)'!E76/'Combined pigs sold to colco (7)'!E80,0)</f>
        <v>200.78333333333333</v>
      </c>
      <c r="F80" s="8">
        <f>IFERROR('Combined total CDM to Colco (7)'!F76/'Combined pigs sold to colco (7)'!F80,0)</f>
        <v>134.83333333333334</v>
      </c>
      <c r="G80" s="8">
        <f>IFERROR('Combined total CDM to Colco (7)'!G76/'Combined pigs sold to colco (7)'!G80,0)</f>
        <v>169.30833333333334</v>
      </c>
      <c r="H80" s="8">
        <f>IFERROR('Combined total CDM to Colco (7)'!H76/'Combined pigs sold to colco (7)'!H80,0)</f>
        <v>159.33600000000001</v>
      </c>
      <c r="I80" s="8">
        <f>IFERROR('Combined total CDM to Colco (7)'!I76/'Combined pigs sold to colco (7)'!I80,0)</f>
        <v>169.89333333333335</v>
      </c>
      <c r="J80" s="8">
        <f>IFERROR('Combined total CDM to Colco (7)'!J76/'Combined pigs sold to colco (7)'!J80,0)</f>
        <v>164.67666666666668</v>
      </c>
      <c r="K80" s="8">
        <f>IFERROR('Combined total CDM to Colco (7)'!K76/'Combined pigs sold to colco (7)'!K80,0)</f>
        <v>185.88</v>
      </c>
      <c r="L80" s="8">
        <f>IFERROR('Combined total CDM to Colco (7)'!L76/'Combined pigs sold to colco (7)'!L80,0)</f>
        <v>176.8</v>
      </c>
      <c r="M80" s="8">
        <f>IFERROR('Combined total CDM to Colco (7)'!M76/'Combined pigs sold to colco (7)'!M80,0)</f>
        <v>177.91538461538462</v>
      </c>
      <c r="N80" s="8"/>
    </row>
    <row r="81" spans="1:14">
      <c r="A81" s="2" t="s">
        <v>49</v>
      </c>
      <c r="B81" s="8">
        <f>IFERROR('Combined total CDM to Colco (7)'!B77/'Combined pigs sold to colco (7)'!B81,0)</f>
        <v>0</v>
      </c>
      <c r="C81" s="8"/>
      <c r="D81" s="8"/>
      <c r="E81" s="8"/>
      <c r="F81" s="8"/>
      <c r="G81" s="8"/>
      <c r="H81" s="8"/>
      <c r="I81" s="8"/>
      <c r="J81" s="8"/>
      <c r="K81" s="8"/>
      <c r="L81" s="8"/>
      <c r="M81" s="8"/>
      <c r="N81" s="8"/>
    </row>
    <row r="82" spans="1:14">
      <c r="A82" s="2" t="s">
        <v>50</v>
      </c>
      <c r="B82" s="8"/>
      <c r="C82" s="8"/>
      <c r="D82" s="8"/>
      <c r="E82" s="8"/>
      <c r="F82" s="8"/>
      <c r="G82" s="8"/>
      <c r="H82" s="8"/>
      <c r="I82" s="8"/>
      <c r="J82" s="8"/>
      <c r="K82" s="8"/>
      <c r="L82" s="8"/>
      <c r="M82" s="8"/>
      <c r="N82" s="8"/>
    </row>
    <row r="83" spans="1:14">
      <c r="A83" s="2" t="s">
        <v>51</v>
      </c>
      <c r="B83" s="8"/>
      <c r="C83" s="8"/>
      <c r="D83" s="8"/>
      <c r="E83" s="8"/>
      <c r="F83" s="8"/>
      <c r="G83" s="8"/>
      <c r="H83" s="8"/>
      <c r="I83" s="8"/>
      <c r="J83" s="8"/>
      <c r="K83" s="8"/>
      <c r="L83" s="8"/>
      <c r="M83" s="8"/>
      <c r="N83" s="8"/>
    </row>
    <row r="84" spans="1:14">
      <c r="A84" s="2" t="s">
        <v>16</v>
      </c>
      <c r="B84" s="8"/>
      <c r="C84" s="8"/>
      <c r="D84" s="8"/>
      <c r="E84" s="8"/>
      <c r="F84" s="8"/>
      <c r="G84" s="8"/>
      <c r="H84" s="8"/>
      <c r="I84" s="8"/>
      <c r="J84" s="8"/>
      <c r="K84" s="8"/>
      <c r="L84" s="8"/>
      <c r="M84" s="8"/>
      <c r="N84" s="8"/>
    </row>
    <row r="85" spans="1:14">
      <c r="A85" s="2"/>
      <c r="B85" s="8"/>
      <c r="C85" s="8"/>
      <c r="D85" s="8"/>
      <c r="E85" s="8"/>
      <c r="F85" s="8"/>
      <c r="G85" s="8"/>
      <c r="H85" s="8"/>
      <c r="I85" s="8"/>
      <c r="J85" s="8"/>
      <c r="K85" s="8"/>
      <c r="L85" s="8"/>
      <c r="M85" s="8"/>
      <c r="N85" s="8"/>
    </row>
    <row r="86" spans="1:14">
      <c r="A86" s="2"/>
      <c r="B86" s="8"/>
      <c r="C86" s="8"/>
      <c r="D86" s="8"/>
      <c r="E86" s="8"/>
      <c r="F86" s="8"/>
      <c r="G86" s="8"/>
      <c r="H86" s="8"/>
      <c r="I86" s="8"/>
      <c r="J86" s="8"/>
      <c r="K86" s="8"/>
      <c r="L86" s="8"/>
      <c r="M86" s="8"/>
      <c r="N86" s="8"/>
    </row>
    <row r="87" spans="1:14">
      <c r="A87" s="2"/>
      <c r="B87" s="8"/>
      <c r="C87" s="8"/>
      <c r="D87" s="8"/>
      <c r="E87" s="8"/>
      <c r="F87" s="8"/>
      <c r="G87" s="8"/>
      <c r="H87" s="8"/>
      <c r="I87" s="8"/>
      <c r="J87" s="8"/>
      <c r="K87" s="8"/>
      <c r="L87" s="8"/>
      <c r="M87" s="8"/>
      <c r="N87" s="8"/>
    </row>
    <row r="88" spans="1:14">
      <c r="A88" s="2"/>
      <c r="B88" s="8"/>
      <c r="C88" s="8"/>
      <c r="D88" s="8"/>
      <c r="E88" s="8"/>
      <c r="F88" s="8"/>
      <c r="G88" s="8"/>
      <c r="H88" s="8"/>
      <c r="I88" s="8"/>
      <c r="J88" s="8"/>
      <c r="K88" s="8"/>
      <c r="L88" s="8"/>
      <c r="M88" s="8"/>
      <c r="N88" s="8"/>
    </row>
    <row r="89" spans="1:14">
      <c r="A89" s="2"/>
      <c r="B89" s="8"/>
      <c r="C89" s="8"/>
      <c r="D89" s="8"/>
      <c r="E89" s="8"/>
      <c r="F89" s="8"/>
      <c r="G89" s="8"/>
      <c r="H89" s="8"/>
      <c r="I89" s="8"/>
      <c r="J89" s="8"/>
      <c r="K89" s="8"/>
      <c r="L89" s="8"/>
      <c r="M89" s="8"/>
      <c r="N89" s="8"/>
    </row>
    <row r="90" spans="1:14">
      <c r="A90" s="2"/>
      <c r="B90" s="8"/>
      <c r="C90" s="8"/>
      <c r="D90" s="8"/>
      <c r="E90" s="8"/>
      <c r="F90" s="8"/>
      <c r="G90" s="8"/>
      <c r="H90" s="8"/>
      <c r="I90" s="8"/>
      <c r="J90" s="8"/>
      <c r="K90" s="8"/>
      <c r="L90" s="8"/>
      <c r="M90" s="8"/>
      <c r="N90" s="8"/>
    </row>
    <row r="91" spans="1:14">
      <c r="A91" s="2"/>
      <c r="B91" s="8"/>
      <c r="C91" s="8"/>
      <c r="D91" s="8"/>
      <c r="E91" s="8"/>
      <c r="F91" s="8"/>
      <c r="G91" s="8"/>
      <c r="H91" s="8"/>
      <c r="I91" s="8"/>
      <c r="J91" s="8"/>
      <c r="K91" s="8"/>
      <c r="L91" s="8"/>
      <c r="M91" s="8"/>
      <c r="N91" s="8"/>
    </row>
    <row r="92" spans="1:14">
      <c r="A92" s="2"/>
      <c r="B92" s="8"/>
      <c r="C92" s="8"/>
      <c r="D92" s="8"/>
      <c r="E92" s="8"/>
      <c r="F92" s="8"/>
      <c r="G92" s="8"/>
      <c r="H92" s="8"/>
      <c r="I92" s="8"/>
      <c r="J92" s="8"/>
      <c r="K92" s="8"/>
      <c r="L92" s="8"/>
      <c r="M92" s="8"/>
      <c r="N92" s="8"/>
    </row>
    <row r="93" spans="1:14">
      <c r="A93" s="14"/>
      <c r="B93" s="11">
        <f>'Combined total CDM to Colco (7)'!B74/'Combined pigs sold to colco (7)'!B63</f>
        <v>0</v>
      </c>
      <c r="C93" s="11">
        <f>'Combined total CDM to Colco (7)'!C74/'Combined pigs sold to colco (7)'!C63</f>
        <v>0</v>
      </c>
      <c r="D93" s="11">
        <f>'Combined total CDM to Colco (7)'!D74/'Combined pigs sold to colco (7)'!D63</f>
        <v>0</v>
      </c>
      <c r="E93" s="11">
        <f>'Combined total CDM to Colco (7)'!E74/'Combined pigs sold to colco (7)'!E63</f>
        <v>0</v>
      </c>
      <c r="F93" s="11">
        <f>'Combined total CDM to Colco (7)'!F74/'Combined pigs sold to colco (7)'!F63</f>
        <v>0</v>
      </c>
      <c r="G93" s="11">
        <f>'Combined total CDM to Colco (7)'!G74/'Combined pigs sold to colco (7)'!G63</f>
        <v>0</v>
      </c>
      <c r="H93" s="11">
        <f>'Combined total CDM to Colco (7)'!H74/'Combined pigs sold to colco (7)'!H63</f>
        <v>0</v>
      </c>
      <c r="I93" s="11">
        <f>'Combined total CDM to Colco (7)'!I74/'Combined pigs sold to colco (7)'!I63</f>
        <v>0</v>
      </c>
      <c r="J93" s="11">
        <f>'Combined total CDM to Colco (7)'!J74/'Combined pigs sold to colco (7)'!J63</f>
        <v>0</v>
      </c>
      <c r="K93" s="11">
        <f>'Combined total CDM to Colco (7)'!K74/'Combined pigs sold to colco (7)'!K63</f>
        <v>0</v>
      </c>
      <c r="L93" s="11">
        <f>'Combined total CDM to Colco (7)'!L74/'Combined pigs sold to colco (7)'!L63</f>
        <v>0</v>
      </c>
      <c r="M93" s="11">
        <f>'Combined total CDM to Colco (7)'!M74/'Combined pigs sold to colco (7)'!M63</f>
        <v>0</v>
      </c>
      <c r="N93" s="12">
        <f>SUM(N58:N65)</f>
        <v>6651.2142991037135</v>
      </c>
    </row>
    <row r="94" spans="1:14">
      <c r="A94" s="15"/>
      <c r="B94" s="16"/>
      <c r="C94" s="16"/>
      <c r="D94" s="16"/>
      <c r="E94" s="16"/>
      <c r="F94" s="16"/>
      <c r="G94" s="16"/>
      <c r="H94" s="16"/>
      <c r="I94" s="16"/>
      <c r="J94" s="16"/>
      <c r="K94" s="16"/>
      <c r="L94" s="16"/>
      <c r="M94" s="16"/>
      <c r="N94" s="16"/>
    </row>
    <row r="95" spans="1:14">
      <c r="A95" s="17" t="s">
        <v>52</v>
      </c>
      <c r="B95" s="12" t="e">
        <f>'Combined total CDM to Colco (7)'!B86/'Combined pigs sold to colco (7)'!B65</f>
        <v>#DIV/0!</v>
      </c>
      <c r="C95" s="12" t="e">
        <f>'Combined total CDM to Colco (7)'!C86/'Combined pigs sold to colco (7)'!C65</f>
        <v>#DIV/0!</v>
      </c>
      <c r="D95" s="12" t="e">
        <f>'Combined total CDM to Colco (7)'!D86/'Combined pigs sold to colco (7)'!D65</f>
        <v>#DIV/0!</v>
      </c>
      <c r="E95" s="12">
        <f t="shared" ref="E95:N95" si="3">+E36+E46+E56+E93</f>
        <v>269.01476994226579</v>
      </c>
      <c r="F95" s="12">
        <f t="shared" si="3"/>
        <v>271.30257072930999</v>
      </c>
      <c r="G95" s="12">
        <f t="shared" si="3"/>
        <v>267.5822670667589</v>
      </c>
      <c r="H95" s="12">
        <f t="shared" si="3"/>
        <v>270.01208821902873</v>
      </c>
      <c r="I95" s="12">
        <f t="shared" si="3"/>
        <v>269.42691684209831</v>
      </c>
      <c r="J95" s="12">
        <f t="shared" si="3"/>
        <v>265.65900060502895</v>
      </c>
      <c r="K95" s="12">
        <f t="shared" si="3"/>
        <v>272.16268741160786</v>
      </c>
      <c r="L95" s="12">
        <f t="shared" si="3"/>
        <v>271.96173352668177</v>
      </c>
      <c r="M95" s="12">
        <f t="shared" ref="M95" si="4">+M36+M46+M56+M93</f>
        <v>276.22561877794135</v>
      </c>
      <c r="N95" s="12">
        <f t="shared" si="3"/>
        <v>23012.867231200878</v>
      </c>
    </row>
    <row r="96" spans="1:14">
      <c r="A96" s="2"/>
      <c r="B96" s="16"/>
      <c r="C96" s="16"/>
      <c r="D96" s="16"/>
      <c r="E96" s="16"/>
      <c r="F96" s="16"/>
      <c r="G96" s="16"/>
      <c r="H96" s="16"/>
      <c r="I96" s="16"/>
      <c r="J96" s="16"/>
      <c r="K96" s="16"/>
      <c r="L96" s="16"/>
      <c r="M96" s="16"/>
      <c r="N96" s="16">
        <f>+N95-'[6]IS (Actual)'!$M$54</f>
        <v>-104107.13276879911</v>
      </c>
    </row>
    <row r="97" spans="1:14">
      <c r="A97" s="2"/>
      <c r="B97" s="2"/>
      <c r="C97" s="2"/>
      <c r="D97" s="2"/>
      <c r="E97" s="2"/>
      <c r="F97" s="2"/>
      <c r="G97" s="2"/>
      <c r="H97" s="2"/>
      <c r="I97" s="2"/>
      <c r="J97" s="2"/>
      <c r="K97" s="2"/>
      <c r="L97" s="2"/>
      <c r="M97" s="2"/>
      <c r="N97" s="2"/>
    </row>
    <row r="98" spans="1:14">
      <c r="A98" s="2" t="s">
        <v>53</v>
      </c>
      <c r="B98" s="106">
        <f>SUM('Combined total CDM to Colco (7)'!B26+'Combined total CDM to Colco (7)'!B36+'Combined total CDM to Colco (7)'!B46+'Combined total CDM to Colco (7)'!B56)/SUM('Combined pigs sold to colco (7)'!B27+'Combined pigs sold to colco (7)'!B37+'Combined pigs sold to colco (7)'!B47+'Combined pigs sold to colco (7)'!B57)</f>
        <v>97.610502958579872</v>
      </c>
      <c r="C98" s="106">
        <f>SUM('Combined total CDM to Colco (7)'!C26+'Combined total CDM to Colco (7)'!C36+'Combined total CDM to Colco (7)'!C46+'Combined total CDM to Colco (7)'!C56)/SUM('Combined pigs sold to colco (7)'!C27+'Combined pigs sold to colco (7)'!C37+'Combined pigs sold to colco (7)'!C47+'Combined pigs sold to colco (7)'!C57)</f>
        <v>99.472742336371169</v>
      </c>
      <c r="D98" s="106">
        <f>SUM('Combined total CDM to Colco (7)'!D26+'Combined total CDM to Colco (7)'!D36+'Combined total CDM to Colco (7)'!D46+'Combined total CDM to Colco (7)'!D56)/SUM('Combined pigs sold to colco (7)'!D27+'Combined pigs sold to colco (7)'!D37+'Combined pigs sold to colco (7)'!D47+'Combined pigs sold to colco (7)'!D57)</f>
        <v>97.121529745042494</v>
      </c>
      <c r="E98" s="106">
        <f>SUM('Combined total CDM to Colco (7)'!E26+'Combined total CDM to Colco (7)'!E36+'Combined total CDM to Colco (7)'!E46+'Combined total CDM to Colco (7)'!E56)/SUM('Combined pigs sold to colco (7)'!E27+'Combined pigs sold to colco (7)'!E37+'Combined pigs sold to colco (7)'!E47+'Combined pigs sold to colco (7)'!E57)</f>
        <v>97.59374550682962</v>
      </c>
      <c r="F98" s="106">
        <f>SUM('Combined total CDM to Colco (7)'!F26+'Combined total CDM to Colco (7)'!F36+'Combined total CDM to Colco (7)'!F46+'Combined total CDM to Colco (7)'!F56)/SUM('Combined pigs sold to colco (7)'!F27+'Combined pigs sold to colco (7)'!F37+'Combined pigs sold to colco (7)'!F47+'Combined pigs sold to colco (7)'!F57)</f>
        <v>96.983666933546843</v>
      </c>
      <c r="G98" s="106">
        <f>SUM('Combined total CDM to Colco (7)'!G26+'Combined total CDM to Colco (7)'!G36+'Combined total CDM to Colco (7)'!G46+'Combined total CDM to Colco (7)'!G56)/SUM('Combined pigs sold to colco (7)'!G27+'Combined pigs sold to colco (7)'!G37+'Combined pigs sold to colco (7)'!G47+'Combined pigs sold to colco (7)'!G57)</f>
        <v>94.891309987029828</v>
      </c>
      <c r="H98" s="106">
        <f>SUM('Combined total CDM to Colco (7)'!H26+'Combined total CDM to Colco (7)'!H36+'Combined total CDM to Colco (7)'!H46+'Combined total CDM to Colco (7)'!H56)/SUM('Combined pigs sold to colco (7)'!H27+'Combined pigs sold to colco (7)'!H37+'Combined pigs sold to colco (7)'!H47+'Combined pigs sold to colco (7)'!H57)</f>
        <v>95.531928181108498</v>
      </c>
      <c r="I98" s="106">
        <f>SUM('Combined total CDM to Colco (7)'!I26+'Combined total CDM to Colco (7)'!I36+'Combined total CDM to Colco (7)'!I46+'Combined total CDM to Colco (7)'!I56)/SUM('Combined pigs sold to colco (7)'!I27+'Combined pigs sold to colco (7)'!I37+'Combined pigs sold to colco (7)'!I47+'Combined pigs sold to colco (7)'!I57)</f>
        <v>97.550263752825927</v>
      </c>
      <c r="J98" s="106">
        <f>SUM('Combined total CDM to Colco (7)'!J26+'Combined total CDM to Colco (7)'!J36+'Combined total CDM to Colco (7)'!J46+'Combined total CDM to Colco (7)'!J56)/SUM('Combined pigs sold to colco (7)'!J27+'Combined pigs sold to colco (7)'!J37+'Combined pigs sold to colco (7)'!J47+'Combined pigs sold to colco (7)'!J57)</f>
        <v>98.794126506024099</v>
      </c>
      <c r="K98" s="106">
        <f>SUM('Combined total CDM to Colco (7)'!K26+'Combined total CDM to Colco (7)'!K36+'Combined total CDM to Colco (7)'!K46+'Combined total CDM to Colco (7)'!K56)/SUM('Combined pigs sold to colco (7)'!K27+'Combined pigs sold to colco (7)'!K37+'Combined pigs sold to colco (7)'!K47+'Combined pigs sold to colco (7)'!K57)</f>
        <v>97.475618374558309</v>
      </c>
      <c r="L98" s="106">
        <f>SUM('Combined total CDM to Colco (7)'!L26+'Combined total CDM to Colco (7)'!L36+'Combined total CDM to Colco (7)'!L46+'Combined total CDM to Colco (7)'!L56)/SUM('Combined pigs sold to colco (7)'!L27+'Combined pigs sold to colco (7)'!L37+'Combined pigs sold to colco (7)'!L47+'Combined pigs sold to colco (7)'!L57)</f>
        <v>99.562111352133059</v>
      </c>
      <c r="M98" s="106">
        <f>SUM('Combined total CDM to Colco (7)'!M26+'Combined total CDM to Colco (7)'!M36+'Combined total CDM to Colco (7)'!M46+'Combined total CDM to Colco (7)'!M56)/SUM('Combined pigs sold to colco (7)'!M27+'Combined pigs sold to colco (7)'!M37+'Combined pigs sold to colco (7)'!M47+'Combined pigs sold to colco (7)'!M57)</f>
        <v>98.350152905198783</v>
      </c>
      <c r="N98" s="2"/>
    </row>
    <row r="99" spans="1:14">
      <c r="A99" s="2" t="s">
        <v>54</v>
      </c>
      <c r="B99" s="106">
        <f>SUM('Combined total CDM to Colco (7)'!B25+'Combined total CDM to Colco (7)'!B35+'Combined total CDM to Colco (7)'!B45+'Combined total CDM to Colco (7)'!B55)/SUM('Combined pigs sold to colco (7)'!B26+'Combined pigs sold to colco (7)'!B36+'Combined pigs sold to colco (7)'!B46+'Combined pigs sold to colco (7)'!B56)</f>
        <v>92.305631399317406</v>
      </c>
      <c r="C99" s="106">
        <f>SUM('Combined total CDM to Colco (7)'!C25+'Combined total CDM to Colco (7)'!C35+'Combined total CDM to Colco (7)'!C45+'Combined total CDM to Colco (7)'!C55)/SUM('Combined pigs sold to colco (7)'!C26+'Combined pigs sold to colco (7)'!C36+'Combined pigs sold to colco (7)'!C46+'Combined pigs sold to colco (7)'!C56)</f>
        <v>95.428646748681899</v>
      </c>
      <c r="D99" s="106">
        <f>SUM('Combined total CDM to Colco (7)'!D25+'Combined total CDM to Colco (7)'!D35+'Combined total CDM to Colco (7)'!D45+'Combined total CDM to Colco (7)'!D55)/SUM('Combined pigs sold to colco (7)'!D26+'Combined pigs sold to colco (7)'!D36+'Combined pigs sold to colco (7)'!D46+'Combined pigs sold to colco (7)'!D56)</f>
        <v>91.492604006163319</v>
      </c>
      <c r="E99" s="106">
        <f>SUM('Combined total CDM to Colco (7)'!E25+'Combined total CDM to Colco (7)'!E35+'Combined total CDM to Colco (7)'!E45+'Combined total CDM to Colco (7)'!E55)/SUM('Combined pigs sold to colco (7)'!E26+'Combined pigs sold to colco (7)'!E36+'Combined pigs sold to colco (7)'!E46+'Combined pigs sold to colco (7)'!E56)</f>
        <v>87.775280898876403</v>
      </c>
      <c r="F99" s="106">
        <f>SUM('Combined total CDM to Colco (7)'!F25+'Combined total CDM to Colco (7)'!F35+'Combined total CDM to Colco (7)'!F45+'Combined total CDM to Colco (7)'!F55)/SUM('Combined pigs sold to colco (7)'!F26+'Combined pigs sold to colco (7)'!F36+'Combined pigs sold to colco (7)'!F46+'Combined pigs sold to colco (7)'!F56)</f>
        <v>87.291962174940892</v>
      </c>
      <c r="G99" s="106">
        <f>SUM('Combined total CDM to Colco (7)'!G25+'Combined total CDM to Colco (7)'!G35+'Combined total CDM to Colco (7)'!G45+'Combined total CDM to Colco (7)'!G55)/SUM('Combined pigs sold to colco (7)'!G26+'Combined pigs sold to colco (7)'!G36+'Combined pigs sold to colco (7)'!G46+'Combined pigs sold to colco (7)'!G56)</f>
        <v>86.352105263157895</v>
      </c>
      <c r="H99" s="106">
        <f>SUM('Combined total CDM to Colco (7)'!H25+'Combined total CDM to Colco (7)'!H35+'Combined total CDM to Colco (7)'!H45+'Combined total CDM to Colco (7)'!H55)/SUM('Combined pigs sold to colco (7)'!H26+'Combined pigs sold to colco (7)'!H36+'Combined pigs sold to colco (7)'!H46+'Combined pigs sold to colco (7)'!H56)</f>
        <v>84.033806818181816</v>
      </c>
      <c r="I99" s="106">
        <f>SUM('Combined total CDM to Colco (7)'!I25+'Combined total CDM to Colco (7)'!I35+'Combined total CDM to Colco (7)'!I45+'Combined total CDM to Colco (7)'!I55)/SUM('Combined pigs sold to colco (7)'!I26+'Combined pigs sold to colco (7)'!I36+'Combined pigs sold to colco (7)'!I46+'Combined pigs sold to colco (7)'!I56)</f>
        <v>85.530085959885383</v>
      </c>
      <c r="J99" s="106">
        <f>SUM('Combined total CDM to Colco (7)'!J25+'Combined total CDM to Colco (7)'!J35+'Combined total CDM to Colco (7)'!J45+'Combined total CDM to Colco (7)'!J55)/SUM('Combined pigs sold to colco (7)'!J26+'Combined pigs sold to colco (7)'!J36+'Combined pigs sold to colco (7)'!J46+'Combined pigs sold to colco (7)'!J56)</f>
        <v>86.95751072961373</v>
      </c>
      <c r="K99" s="106">
        <f>SUM('Combined total CDM to Colco (7)'!K25+'Combined total CDM to Colco (7)'!K35+'Combined total CDM to Colco (7)'!K45+'Combined total CDM to Colco (7)'!K55)/SUM('Combined pigs sold to colco (7)'!K26+'Combined pigs sold to colco (7)'!K36+'Combined pigs sold to colco (7)'!K46+'Combined pigs sold to colco (7)'!K56)</f>
        <v>84.715007898894157</v>
      </c>
      <c r="L99" s="106">
        <f>SUM('Combined total CDM to Colco (7)'!L25+'Combined total CDM to Colco (7)'!L35+'Combined total CDM to Colco (7)'!L45+'Combined total CDM to Colco (7)'!L55)/SUM('Combined pigs sold to colco (7)'!L26+'Combined pigs sold to colco (7)'!L36+'Combined pigs sold to colco (7)'!L46+'Combined pigs sold to colco (7)'!L56)</f>
        <v>88.426098901098911</v>
      </c>
      <c r="M99" s="106">
        <f>SUM('Combined total CDM to Colco (7)'!M25+'Combined total CDM to Colco (7)'!M35+'Combined total CDM to Colco (7)'!M45+'Combined total CDM to Colco (7)'!M55)/SUM('Combined pigs sold to colco (7)'!M26+'Combined pigs sold to colco (7)'!M36+'Combined pigs sold to colco (7)'!M46+'Combined pigs sold to colco (7)'!M56)</f>
        <v>88.71980306345732</v>
      </c>
      <c r="N99" s="2"/>
    </row>
  </sheetData>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B6576-C0B4-4F23-8CE8-660CD47C9242}">
  <sheetPr codeName="Sheet2">
    <tabColor rgb="FF00B0F0"/>
  </sheetPr>
  <dimension ref="A2:X101"/>
  <sheetViews>
    <sheetView zoomScale="90" zoomScaleNormal="90" workbookViewId="0">
      <selection sqref="A1:M21"/>
    </sheetView>
  </sheetViews>
  <sheetFormatPr defaultColWidth="9" defaultRowHeight="15"/>
  <cols>
    <col min="1" max="1" width="30.7109375" style="19" customWidth="1"/>
    <col min="2" max="2" width="10.28515625" style="19" bestFit="1" customWidth="1"/>
    <col min="3" max="3" width="8.28515625" style="19" customWidth="1"/>
    <col min="4" max="4" width="9.42578125" style="19" customWidth="1"/>
    <col min="5" max="6" width="8.85546875" style="19" customWidth="1"/>
    <col min="7" max="7" width="8.42578125" style="19" customWidth="1"/>
    <col min="8" max="8" width="9.42578125" style="19" customWidth="1"/>
    <col min="9" max="9" width="9.85546875" style="19" customWidth="1"/>
    <col min="10" max="10" width="9.28515625" style="19" customWidth="1"/>
    <col min="11" max="11" width="9.7109375" style="19" customWidth="1"/>
    <col min="12" max="12" width="8.42578125" style="19" customWidth="1"/>
    <col min="13" max="13" width="9.7109375" style="19" customWidth="1"/>
    <col min="14" max="14" width="9.5703125" style="19" bestFit="1" customWidth="1"/>
    <col min="15" max="16" width="9" style="19"/>
    <col min="17" max="17" width="10.28515625" style="19" bestFit="1" customWidth="1"/>
    <col min="18" max="18" width="19.28515625" style="19" customWidth="1"/>
    <col min="19" max="19" width="12.7109375" style="19" customWidth="1"/>
    <col min="20" max="16384" width="9" style="19"/>
  </cols>
  <sheetData>
    <row r="2" spans="1:24">
      <c r="N2" s="20" t="s">
        <v>55</v>
      </c>
    </row>
    <row r="3" spans="1:24" ht="18.75">
      <c r="A3" s="18" t="s">
        <v>56</v>
      </c>
      <c r="N3" s="21" t="s">
        <v>57</v>
      </c>
    </row>
    <row r="4" spans="1:24">
      <c r="N4" s="37" t="s">
        <v>58</v>
      </c>
    </row>
    <row r="9" spans="1:24">
      <c r="Q9" s="130"/>
    </row>
    <row r="11" spans="1:24">
      <c r="R11" s="130"/>
      <c r="S11" s="130"/>
    </row>
    <row r="12" spans="1:24">
      <c r="Q12" s="130"/>
      <c r="T12" s="130"/>
    </row>
    <row r="13" spans="1:24">
      <c r="Q13" s="130"/>
      <c r="T13" s="130"/>
    </row>
    <row r="14" spans="1:24">
      <c r="N14" s="30"/>
      <c r="Q14" s="130"/>
      <c r="T14" s="130"/>
      <c r="X14" s="130"/>
    </row>
    <row r="15" spans="1:24">
      <c r="N15" s="30"/>
      <c r="Q15" s="130"/>
      <c r="T15" s="130"/>
    </row>
    <row r="16" spans="1:24">
      <c r="Q16" s="130"/>
      <c r="T16" s="130"/>
      <c r="X16" s="130"/>
    </row>
    <row r="17" spans="1:21">
      <c r="Q17" s="130"/>
      <c r="T17" s="130"/>
    </row>
    <row r="18" spans="1:21">
      <c r="A18" s="38"/>
      <c r="B18" s="42">
        <v>45839</v>
      </c>
      <c r="C18" s="42">
        <v>45870</v>
      </c>
      <c r="D18" s="42">
        <v>45901</v>
      </c>
      <c r="E18" s="42">
        <v>45931</v>
      </c>
      <c r="F18" s="42">
        <v>45962</v>
      </c>
      <c r="G18" s="42">
        <v>45992</v>
      </c>
      <c r="H18" s="42">
        <v>46023</v>
      </c>
      <c r="I18" s="42">
        <v>46054</v>
      </c>
      <c r="J18" s="42">
        <v>46082</v>
      </c>
      <c r="K18" s="42">
        <v>46113</v>
      </c>
      <c r="L18" s="42">
        <v>46143</v>
      </c>
      <c r="M18" s="42">
        <v>46174</v>
      </c>
      <c r="Q18" s="130"/>
      <c r="T18" s="130"/>
    </row>
    <row r="19" spans="1:21" ht="15.75" thickBot="1">
      <c r="A19" s="43" t="s">
        <v>59</v>
      </c>
      <c r="B19" s="161">
        <f t="shared" ref="B19:F19" si="0">SUM(B25:B28,B35:B38,B55:B58,B45:B48,B67:B70,B77:B80)</f>
        <v>12702</v>
      </c>
      <c r="C19" s="161">
        <f t="shared" si="0"/>
        <v>12574</v>
      </c>
      <c r="D19" s="161">
        <f t="shared" si="0"/>
        <v>16281</v>
      </c>
      <c r="E19" s="161">
        <f t="shared" si="0"/>
        <v>13615</v>
      </c>
      <c r="F19" s="161">
        <f t="shared" si="0"/>
        <v>12833</v>
      </c>
      <c r="G19" s="161">
        <f t="shared" ref="G19:M19" si="1">SUM(G25:G28,G35:G38,G55:G58,G45:G48,G67:G70,G77:G80)</f>
        <v>16244</v>
      </c>
      <c r="H19" s="161">
        <f t="shared" si="1"/>
        <v>13100</v>
      </c>
      <c r="I19" s="161">
        <f t="shared" si="1"/>
        <v>13661</v>
      </c>
      <c r="J19" s="161">
        <f t="shared" si="1"/>
        <v>17690</v>
      </c>
      <c r="K19" s="161">
        <f t="shared" si="1"/>
        <v>14840</v>
      </c>
      <c r="L19" s="161">
        <f t="shared" si="1"/>
        <v>14725</v>
      </c>
      <c r="M19" s="161">
        <f t="shared" si="1"/>
        <v>19340</v>
      </c>
      <c r="N19" s="30">
        <f>SUM(B19:M19)</f>
        <v>177605</v>
      </c>
      <c r="P19" s="30"/>
      <c r="Q19" s="30"/>
    </row>
    <row r="20" spans="1:21">
      <c r="A20" s="43" t="s">
        <v>60</v>
      </c>
      <c r="B20" s="172">
        <f>'[4]Combined pigs sold to colco (7)'!B19</f>
        <v>10100</v>
      </c>
      <c r="C20" s="172">
        <f>'[4]Combined pigs sold to colco (7)'!C19</f>
        <v>9313</v>
      </c>
      <c r="D20" s="172">
        <f>'[4]Combined pigs sold to colco (7)'!D19</f>
        <v>13268</v>
      </c>
      <c r="E20" s="172">
        <f>'[4]Combined pigs sold to colco (7)'!E19</f>
        <v>10526</v>
      </c>
      <c r="F20" s="172">
        <f>'[4]Combined pigs sold to colco (7)'!F19</f>
        <v>10633</v>
      </c>
      <c r="G20" s="172">
        <f>'[4]Combined pigs sold to colco (7)'!G19</f>
        <v>12264</v>
      </c>
      <c r="H20" s="172">
        <f>'[4]Combined pigs sold to colco (7)'!H19</f>
        <v>11208</v>
      </c>
      <c r="I20" s="172">
        <f>'[4]Combined pigs sold to colco (7)'!I19</f>
        <v>10775</v>
      </c>
      <c r="J20" s="172">
        <f>'[4]Combined pigs sold to colco (7)'!J19</f>
        <v>13912</v>
      </c>
      <c r="K20" s="172">
        <f>'[4]Combined pigs sold to colco (7)'!K19</f>
        <v>11022</v>
      </c>
      <c r="L20" s="172">
        <f>'[4]Combined pigs sold to colco (7)'!L19</f>
        <v>11602</v>
      </c>
      <c r="M20" s="172">
        <f>'[4]Combined pigs sold to colco (7)'!M19</f>
        <v>13399</v>
      </c>
      <c r="N20" s="30">
        <f>SUM(B20:M20)</f>
        <v>138022</v>
      </c>
      <c r="O20" s="128">
        <f>N19-N20</f>
        <v>39583</v>
      </c>
      <c r="P20" s="140">
        <f>O20/52</f>
        <v>761.21153846153845</v>
      </c>
      <c r="Q20" s="140"/>
    </row>
    <row r="21" spans="1:21" ht="15.75" thickBot="1">
      <c r="A21" s="43" t="s">
        <v>61</v>
      </c>
      <c r="B21" s="161">
        <f>'[3]Combined pigs sold to colco (7)'!B21</f>
        <v>12656.394999999999</v>
      </c>
      <c r="C21" s="161">
        <f>'[3]Combined pigs sold to colco (7)'!C21</f>
        <v>13012.060000000001</v>
      </c>
      <c r="D21" s="161">
        <f>'[3]Combined pigs sold to colco (7)'!D21</f>
        <v>16042.489</v>
      </c>
      <c r="E21" s="161">
        <f>'[3]Combined pigs sold to colco (7)'!E21</f>
        <v>13241.776000000002</v>
      </c>
      <c r="F21" s="161">
        <f>'[3]Combined pigs sold to colco (7)'!F21</f>
        <v>13202.782000000001</v>
      </c>
      <c r="G21" s="161">
        <f>'[3]Combined pigs sold to colco (7)'!G21</f>
        <v>16360.742</v>
      </c>
      <c r="H21" s="161">
        <f>'[3]Combined pigs sold to colco (7)'!H21</f>
        <v>13231.300000000001</v>
      </c>
      <c r="I21" s="161">
        <f>'[3]Combined pigs sold to colco (7)'!I21</f>
        <v>13356.296</v>
      </c>
      <c r="J21" s="161">
        <f>'[3]Combined pigs sold to colco (7)'!J21</f>
        <v>17291.66</v>
      </c>
      <c r="K21" s="161">
        <f>'[3]Combined pigs sold to colco (7)'!K21</f>
        <v>13833.328000000003</v>
      </c>
      <c r="L21" s="161">
        <f>'[3]Combined pigs sold to colco (7)'!L21</f>
        <v>13833.328000000003</v>
      </c>
      <c r="M21" s="161">
        <f>'[3]Combined pigs sold to colco (7)'!M21</f>
        <v>17060.024000000001</v>
      </c>
      <c r="N21" s="30">
        <f>SUM(B21:M21)</f>
        <v>173122.18000000002</v>
      </c>
      <c r="O21" s="30">
        <f>N19-N21</f>
        <v>4482.8199999999779</v>
      </c>
      <c r="P21" s="140">
        <f>O21/52</f>
        <v>86.208076923076504</v>
      </c>
      <c r="Q21" s="148"/>
      <c r="R21" s="130"/>
    </row>
    <row r="22" spans="1:21">
      <c r="A22" s="28"/>
      <c r="B22" s="163"/>
      <c r="C22" s="163"/>
      <c r="D22" s="163"/>
      <c r="E22" s="163"/>
      <c r="F22" s="163"/>
      <c r="G22" s="163"/>
      <c r="H22" s="163"/>
      <c r="I22" s="163"/>
      <c r="J22" s="163"/>
      <c r="K22" s="163"/>
      <c r="L22" s="163"/>
      <c r="M22" s="163"/>
    </row>
    <row r="23" spans="1:21">
      <c r="A23" s="28"/>
      <c r="B23" s="163"/>
      <c r="C23" s="163"/>
      <c r="D23" s="163"/>
      <c r="E23" s="163"/>
      <c r="F23" s="163"/>
      <c r="G23" s="163"/>
      <c r="H23" s="163"/>
      <c r="I23" s="163"/>
      <c r="J23" s="163"/>
      <c r="K23" s="163"/>
      <c r="L23" s="163"/>
      <c r="M23" s="163"/>
    </row>
    <row r="24" spans="1:21" ht="18.75">
      <c r="A24" s="31"/>
      <c r="B24" s="42">
        <v>45839</v>
      </c>
      <c r="C24" s="42">
        <v>45870</v>
      </c>
      <c r="D24" s="42">
        <v>45901</v>
      </c>
      <c r="E24" s="42">
        <v>45931</v>
      </c>
      <c r="F24" s="42">
        <v>45962</v>
      </c>
      <c r="G24" s="42">
        <v>45992</v>
      </c>
      <c r="H24" s="42">
        <v>46023</v>
      </c>
      <c r="I24" s="42">
        <v>46054</v>
      </c>
      <c r="J24" s="42">
        <v>46082</v>
      </c>
      <c r="K24" s="42">
        <v>46113</v>
      </c>
      <c r="L24" s="42">
        <v>46143</v>
      </c>
      <c r="M24" s="42">
        <v>46174</v>
      </c>
      <c r="N24" s="44"/>
      <c r="O24" s="44"/>
      <c r="P24" s="44"/>
      <c r="Q24" s="44">
        <v>216</v>
      </c>
      <c r="R24" s="44" t="s">
        <v>62</v>
      </c>
      <c r="S24" s="44"/>
      <c r="T24" s="34"/>
      <c r="U24" s="34"/>
    </row>
    <row r="25" spans="1:21" ht="15.75" thickBot="1">
      <c r="A25" s="31" t="s">
        <v>9</v>
      </c>
      <c r="B25" s="168">
        <f>[7]CCC!$C$28-[7]CCC!$C$17</f>
        <v>3896</v>
      </c>
      <c r="C25" s="168">
        <f>[8]CCC!$C$27</f>
        <v>3563</v>
      </c>
      <c r="D25" s="166">
        <f>[9]CCC!$C$27-[9]CCC!$C$16</f>
        <v>4601</v>
      </c>
      <c r="E25" s="166">
        <f>[10]CCC!$C$27-[10]CCC!$C$28</f>
        <v>3790</v>
      </c>
      <c r="F25" s="166">
        <f>[11]CCC!$C$26-[11]CCC!$C$16</f>
        <v>3671</v>
      </c>
      <c r="G25" s="166">
        <f>[12]CCC!$C$27-[12]CCC!$C$17</f>
        <v>4763</v>
      </c>
      <c r="H25" s="166">
        <f>[13]CCC!$C$27-[13]CCC!$C$17</f>
        <v>3708</v>
      </c>
      <c r="I25" s="166">
        <f>[14]CCC!$C$26-[14]CCC!$C$16</f>
        <v>3874</v>
      </c>
      <c r="J25" s="166">
        <f>[15]CCC!$C$28-[15]CCC!$C$17</f>
        <v>4840</v>
      </c>
      <c r="K25" s="166">
        <f>_xlfn.XLOOKUP(" Total:",[16]CCC!$A$1:$A$65536,[16]CCC!$C$1:$C$65536,0)-_xlfn.XLOOKUP("PCSAS",[16]CCC!$A$1:$A$65536,[16]CCC!$C$1:$C$65536,0)</f>
        <v>3856</v>
      </c>
      <c r="L25" s="166">
        <f>_xlfn.XLOOKUP(" Total:",[17]CCC!$A$1:$A$65536,[17]CCC!$C$1:$C$65536,0)-_xlfn.XLOOKUP("PCSAS",[17]CCC!$A$1:$A$65536,[17]CCC!$C$1:$C$65536,0)</f>
        <v>4032</v>
      </c>
      <c r="M25" s="166">
        <f>_xlfn.XLOOKUP(" Total:",[18]CCC!$A$1:$A$65536,[18]CCC!$C$1:$C$65536,0)-_xlfn.XLOOKUP("PCSAS",[18]CCC!$A$1:$A$65536,[18]CCC!$C$1:$C$65536,0)</f>
        <v>5204</v>
      </c>
      <c r="Q25" s="19">
        <v>104</v>
      </c>
      <c r="R25" s="130" t="s">
        <v>63</v>
      </c>
    </row>
    <row r="26" spans="1:21" ht="15.75" thickBot="1">
      <c r="A26" s="31" t="s">
        <v>10</v>
      </c>
      <c r="B26" s="168">
        <f>'[7]CCC Extension'!$C$13</f>
        <v>0</v>
      </c>
      <c r="C26" s="168">
        <f>'[8]CCC Extension'!$C$18</f>
        <v>0</v>
      </c>
      <c r="D26" s="166">
        <v>0</v>
      </c>
      <c r="E26" s="166">
        <v>0</v>
      </c>
      <c r="F26" s="166"/>
      <c r="G26" s="166">
        <f>'[12]CCC Extension'!$C$7</f>
        <v>0</v>
      </c>
      <c r="H26" s="166"/>
      <c r="I26" s="166">
        <v>0</v>
      </c>
      <c r="J26" s="166"/>
      <c r="K26" s="166"/>
      <c r="L26" s="166">
        <f>_xlfn.XLOOKUP(" Total:",'[17]CCC Ext'!$A$1:$A$65536,'[17]CCC Ext'!$C$1:$C$65536,0)-_xlfn.XLOOKUP("PCSAS",'[17]CCC Ext'!$A$1:$A$65536,'[17]CCC Ext'!$C$1:$C$65536,0)</f>
        <v>50</v>
      </c>
      <c r="M26" s="166">
        <f>_xlfn.XLOOKUP(" Total:",'[18]CCC Ext'!$A$1:$A$65536,'[18]CCC Ext'!$C$1:$C$65536,0)-_xlfn.XLOOKUP("PCSAS",'[18]CCC Ext'!$A$1:$A$65536,'[18]CCC Ext'!$C$1:$C$65536,0)</f>
        <v>0</v>
      </c>
      <c r="Q26" s="144">
        <f>SUM(Q24:Q25)</f>
        <v>320</v>
      </c>
      <c r="R26" s="130" t="s">
        <v>64</v>
      </c>
    </row>
    <row r="27" spans="1:21">
      <c r="A27" s="31" t="s">
        <v>11</v>
      </c>
      <c r="B27" s="168">
        <f>'[7]Learig CCC'!$C$24</f>
        <v>802</v>
      </c>
      <c r="C27" s="168">
        <f>'[8]Learig CCC'!$C$22</f>
        <v>824</v>
      </c>
      <c r="D27" s="166">
        <f>'[9]Learig CCC'!$C$22</f>
        <v>1066</v>
      </c>
      <c r="E27" s="166">
        <f>'[10]Learig CCC'!$C$24</f>
        <v>1023</v>
      </c>
      <c r="F27" s="166">
        <f>'[11]Learig CCC'!$C$22</f>
        <v>905</v>
      </c>
      <c r="G27" s="166">
        <f>'[12]Learig CCC'!$C$24</f>
        <v>1071</v>
      </c>
      <c r="H27" s="166">
        <f>'[13]Learig CCC'!$C$24</f>
        <v>972</v>
      </c>
      <c r="I27" s="166">
        <f>'[14]Learig CCC'!$C$23</f>
        <v>990</v>
      </c>
      <c r="J27" s="166">
        <f>'[15]Learig CCC'!$C$24</f>
        <v>1560</v>
      </c>
      <c r="K27" s="166">
        <f>_xlfn.XLOOKUP(" Total:",'[16]Learig CCC'!$A$1:$A$65536,'[16]Learig CCC'!$C$1:$C$65536,0)-_xlfn.XLOOKUP("PCSAS",'[16]Learig CCC'!$A$1:$A$65536,'[16]Learig CCC'!$C$1:$C$65536,0)</f>
        <v>1191</v>
      </c>
      <c r="L27" s="166">
        <f>_xlfn.XLOOKUP(" Total:",'[17]Learig CCC'!$A$1:$A$65536,'[17]Learig CCC'!$C$1:$C$65536,0)-_xlfn.XLOOKUP("PCSAS",'[17]Learig CCC'!$A$1:$A$65536,'[17]Learig CCC'!$C$1:$C$65536,0)</f>
        <v>1004</v>
      </c>
      <c r="M27" s="166">
        <f>_xlfn.XLOOKUP(" Total:",'[18]Learig CCC'!$A$1:$A$65536,'[18]Learig CCC'!$C$1:$C$65536,0)-_xlfn.XLOOKUP("PCSAS",'[18]Learig CCC'!$A$1:$A$65536,'[18]Learig CCC'!$C$1:$C$65536,0)</f>
        <v>1571</v>
      </c>
    </row>
    <row r="28" spans="1:21">
      <c r="A28" s="31" t="s">
        <v>12</v>
      </c>
      <c r="B28" s="168">
        <f>[7]CCC!$C$17</f>
        <v>49</v>
      </c>
      <c r="C28" s="168">
        <v>0</v>
      </c>
      <c r="D28" s="166">
        <f>[9]CCC!$C$16</f>
        <v>3</v>
      </c>
      <c r="E28" s="166">
        <f>[10]CCC!$C$28</f>
        <v>0</v>
      </c>
      <c r="F28" s="166">
        <f>[11]CCC!$C$16</f>
        <v>46</v>
      </c>
      <c r="G28" s="166">
        <f>[12]CCC!$C$17</f>
        <v>28</v>
      </c>
      <c r="H28" s="166">
        <f>[13]CCC!$C$17</f>
        <v>10</v>
      </c>
      <c r="I28" s="166">
        <f>[14]CCC!$C$16</f>
        <v>13</v>
      </c>
      <c r="J28" s="166">
        <f>[15]CCC!$C$17</f>
        <v>18</v>
      </c>
      <c r="K28" s="166">
        <f>+_xlfn.XLOOKUP("PCSAS",[16]CCC!$A$1:$A$65536,[16]CCC!$C$1:$C$65536,0)</f>
        <v>42</v>
      </c>
      <c r="L28" s="166">
        <f>+_xlfn.XLOOKUP("PCSAS",[17]CCC!$A$1:$A$65536,[17]CCC!$C$1:$C$65536,0)</f>
        <v>32</v>
      </c>
      <c r="M28" s="166">
        <f>+_xlfn.XLOOKUP("PCSAS",[18]CCC!$A$1:$A$65536,[18]CCC!$C$1:$C$65536,0)</f>
        <v>51</v>
      </c>
      <c r="O28" s="30">
        <v>1884</v>
      </c>
      <c r="P28" s="130" t="s">
        <v>65</v>
      </c>
    </row>
    <row r="29" spans="1:21">
      <c r="A29" s="31" t="s">
        <v>13</v>
      </c>
      <c r="B29" s="168">
        <f>-'[19]Summary Total Pigs'!$Z$18-'[19]Summary Total Pigs'!$AA$18</f>
        <v>35</v>
      </c>
      <c r="C29" s="168">
        <f>-'[20]Summary Total Pigs'!$Z$18-'[20]Summary Total Pigs'!$AA$18</f>
        <v>38</v>
      </c>
      <c r="D29" s="168">
        <f>-'[21]Summary Total Pigs'!$Z$18-'[21]Summary Total Pigs'!$AA$18</f>
        <v>45</v>
      </c>
      <c r="E29" s="168">
        <f>-'[22]Summary Total Pigs'!$Z$18-'[22]Summary Total Pigs'!$AA$18</f>
        <v>35</v>
      </c>
      <c r="F29" s="168">
        <f>-'[23]Summary Total Pigs'!$Z$18</f>
        <v>51</v>
      </c>
      <c r="G29" s="168">
        <f>-'[24]Summary Total Pigs'!$Z$18</f>
        <v>53</v>
      </c>
      <c r="H29" s="168">
        <f>-'[25]Summary Total Pigs'!$Z$18</f>
        <v>61</v>
      </c>
      <c r="I29" s="168">
        <f>-'[26]Summary Total Pigs'!$Z$18</f>
        <v>33</v>
      </c>
      <c r="J29" s="168">
        <f>-'[27]Summary Total Pigs'!$Z$18</f>
        <v>66</v>
      </c>
      <c r="K29" s="168">
        <f>-'[28]Summary Total Pigs'!$Z$18</f>
        <v>55</v>
      </c>
      <c r="L29" s="168">
        <f>-'[29]Summary Total Pigs'!$Z$18</f>
        <v>47</v>
      </c>
      <c r="M29" s="168">
        <f>-'[30]Summary Total Pigs'!$Z$18</f>
        <v>55</v>
      </c>
      <c r="N29" s="30"/>
      <c r="O29" s="29"/>
    </row>
    <row r="30" spans="1:21">
      <c r="A30" s="31" t="s">
        <v>14</v>
      </c>
      <c r="B30" s="168">
        <f>-'[19]Grasmere Pig Cost'!$AU$23</f>
        <v>254</v>
      </c>
      <c r="C30" s="168">
        <f>-'[20]Grasmere Pig Cost'!$AU$23</f>
        <v>276</v>
      </c>
      <c r="D30" s="168">
        <f>-'[21]Grasmere Pig Cost'!$AU$23</f>
        <v>354</v>
      </c>
      <c r="E30" s="168">
        <f>-'[22]Grasmere Pig Cost'!$AU$23</f>
        <v>239</v>
      </c>
      <c r="F30" s="168">
        <f>-'[23]Grasmere Pig Cost'!$AV$23</f>
        <v>58</v>
      </c>
      <c r="G30" s="168">
        <f>-'[24]Grasmere Pig Cost'!$AV$23</f>
        <v>0</v>
      </c>
      <c r="H30" s="168">
        <f>-'[25]Grasmere Pig Cost'!$AV$23</f>
        <v>0</v>
      </c>
      <c r="I30" s="168">
        <f>-'[26]Grasmere Pig Cost'!$AV$23</f>
        <v>0</v>
      </c>
      <c r="J30" s="168">
        <f>-'[27]Grasmere Pig Cost'!$AV$23</f>
        <v>0</v>
      </c>
      <c r="K30" s="168">
        <f>-'[28]Grasmere Pig Cost'!$AV$23</f>
        <v>0</v>
      </c>
      <c r="L30" s="168">
        <f>-'[29]Grasmere Pig Cost'!$AV$23</f>
        <v>0</v>
      </c>
      <c r="M30" s="168">
        <f>-'[30]Grasmere Pig Cost'!$AV$23</f>
        <v>0</v>
      </c>
      <c r="N30" s="30"/>
      <c r="O30" s="29"/>
      <c r="P30" s="30"/>
      <c r="Q30" s="30"/>
      <c r="R30" s="30"/>
    </row>
    <row r="31" spans="1:21">
      <c r="A31" s="31" t="s">
        <v>15</v>
      </c>
      <c r="B31" s="168">
        <f>-'[19]Summary Total Pigs'!$AC$18</f>
        <v>1</v>
      </c>
      <c r="C31" s="168">
        <f>-'[20]Summary Total Pigs'!$AC$18</f>
        <v>19</v>
      </c>
      <c r="D31" s="168">
        <f>-'[21]Summary Total Pigs'!$AC$18</f>
        <v>22</v>
      </c>
      <c r="E31" s="168">
        <f>-'[22]Summary Total Pigs'!$AC$18</f>
        <v>11</v>
      </c>
      <c r="F31" s="168">
        <f>-'[23]Grasmere Pig Cost'!$AV$27</f>
        <v>26</v>
      </c>
      <c r="G31" s="168">
        <f>-'[24]Grasmere Pig Cost'!$AV$27</f>
        <v>39</v>
      </c>
      <c r="H31" s="168">
        <f>-'[25]Grasmere Pig Cost'!$AV$27</f>
        <v>38</v>
      </c>
      <c r="I31" s="168">
        <f>-'[26]Grasmere Pig Cost'!$AV$27</f>
        <v>0</v>
      </c>
      <c r="J31" s="168">
        <f>-'[27]Grasmere Pig Cost'!$AV$27</f>
        <v>94</v>
      </c>
      <c r="K31" s="168">
        <f>-'[28]Grasmere Pig Cost'!$AV$27</f>
        <v>46</v>
      </c>
      <c r="L31" s="168">
        <f>-'[29]Grasmere Pig Cost'!$AV$27</f>
        <v>22</v>
      </c>
      <c r="M31" s="168">
        <f>-'[30]Grasmere Pig Cost'!$AV$27</f>
        <v>21</v>
      </c>
      <c r="N31" s="30"/>
      <c r="O31" s="145" t="s">
        <v>66</v>
      </c>
      <c r="P31" s="30">
        <v>1204</v>
      </c>
      <c r="Q31" s="30"/>
      <c r="R31" s="29"/>
    </row>
    <row r="32" spans="1:21">
      <c r="A32" s="31" t="s">
        <v>16</v>
      </c>
      <c r="B32" s="168">
        <f>-'[19]Summary Total Pigs'!$AB$18</f>
        <v>0</v>
      </c>
      <c r="C32" s="168">
        <f>-'[20]Summary Total Pigs'!$AB$18</f>
        <v>0</v>
      </c>
      <c r="D32" s="168">
        <f>-'[21]Summary Total Pigs'!$AB$18</f>
        <v>0</v>
      </c>
      <c r="E32" s="168">
        <f>-'[22]Summary Total Pigs'!$AB$18</f>
        <v>0</v>
      </c>
      <c r="F32" s="168">
        <f>-'[31]Summary Total Pigs'!$AB$18</f>
        <v>0</v>
      </c>
      <c r="G32" s="168">
        <f>-'[32]Summary Total Pigs'!$AB$18</f>
        <v>0</v>
      </c>
      <c r="H32" s="168">
        <f>-'[25]Summary Total Pigs'!$AB$18</f>
        <v>0</v>
      </c>
      <c r="I32" s="168">
        <f>-'[26]Summary Total Pigs'!$AB$18</f>
        <v>0</v>
      </c>
      <c r="J32" s="168">
        <f>-'[27]Summary Total Pigs'!$AB$18</f>
        <v>0</v>
      </c>
      <c r="K32" s="168">
        <f>-'[28]Summary Total Pigs'!$AB$18</f>
        <v>0</v>
      </c>
      <c r="L32" s="168">
        <f>-'[29]Summary Total Pigs'!$AB$18</f>
        <v>0</v>
      </c>
      <c r="M32" s="168">
        <f>-'[30]Summary Total Pigs'!$AB$18</f>
        <v>0</v>
      </c>
      <c r="N32" s="30"/>
      <c r="O32" s="145" t="s">
        <v>67</v>
      </c>
      <c r="P32" s="19">
        <v>580</v>
      </c>
    </row>
    <row r="33" spans="1:17" s="37" customFormat="1">
      <c r="A33" s="32"/>
      <c r="B33" s="164">
        <f t="shared" ref="B33:K33" si="2">SUM(B25:B32)</f>
        <v>5037</v>
      </c>
      <c r="C33" s="164">
        <f t="shared" si="2"/>
        <v>4720</v>
      </c>
      <c r="D33" s="164">
        <f t="shared" si="2"/>
        <v>6091</v>
      </c>
      <c r="E33" s="164">
        <f t="shared" si="2"/>
        <v>5098</v>
      </c>
      <c r="F33" s="164">
        <f>SUM(F25:F32)</f>
        <v>4757</v>
      </c>
      <c r="G33" s="164">
        <f t="shared" si="2"/>
        <v>5954</v>
      </c>
      <c r="H33" s="164">
        <f t="shared" si="2"/>
        <v>4789</v>
      </c>
      <c r="I33" s="164">
        <f t="shared" si="2"/>
        <v>4910</v>
      </c>
      <c r="J33" s="164">
        <f t="shared" si="2"/>
        <v>6578</v>
      </c>
      <c r="K33" s="164">
        <f t="shared" si="2"/>
        <v>5190</v>
      </c>
      <c r="L33" s="164">
        <f t="shared" ref="L33:M33" si="3">SUM(L25:L32)</f>
        <v>5187</v>
      </c>
      <c r="M33" s="164">
        <f t="shared" si="3"/>
        <v>6902</v>
      </c>
      <c r="O33" s="41" t="s">
        <v>68</v>
      </c>
      <c r="P33" s="37">
        <v>614</v>
      </c>
    </row>
    <row r="34" spans="1:17" s="24" customFormat="1">
      <c r="A34" s="33"/>
      <c r="B34" s="166"/>
      <c r="C34" s="166"/>
      <c r="D34" s="166"/>
      <c r="E34" s="166"/>
      <c r="F34" s="166"/>
      <c r="G34" s="166"/>
      <c r="H34" s="166"/>
      <c r="I34" s="166"/>
      <c r="J34" s="166"/>
      <c r="K34" s="166"/>
      <c r="L34" s="166"/>
      <c r="M34" s="166"/>
      <c r="O34" s="24" t="s">
        <v>69</v>
      </c>
      <c r="P34" s="24">
        <v>260</v>
      </c>
    </row>
    <row r="35" spans="1:17">
      <c r="A35" s="31" t="s">
        <v>17</v>
      </c>
      <c r="B35" s="168">
        <f>[7]Richlands!$C$27-[7]Richlands!$C$17</f>
        <v>2023</v>
      </c>
      <c r="C35" s="168">
        <f>[8]Richlands!$C$23-[8]Richlands!$C$14</f>
        <v>1966</v>
      </c>
      <c r="D35" s="166">
        <f>[9]Richlands!$C$28-[9]Richlands!$C$17</f>
        <v>2507</v>
      </c>
      <c r="E35" s="166">
        <f>[10]Richlands!$C$24-[10]Richlands!$C$15</f>
        <v>2038</v>
      </c>
      <c r="F35" s="166">
        <f>[11]Richlands!$C$24-[11]Richlands!$C$15</f>
        <v>1967</v>
      </c>
      <c r="G35" s="166">
        <f>[12]Richlands!$C$23-[12]Richlands!$C$15</f>
        <v>2523</v>
      </c>
      <c r="H35" s="166">
        <f>[13]Richlands!$C$23-[13]Richlands!$C$16</f>
        <v>2059</v>
      </c>
      <c r="I35" s="166">
        <f>[14]Richlands!$C$24-[14]Richlands!$C$15</f>
        <v>2036</v>
      </c>
      <c r="J35" s="166">
        <f>[15]Richlands!$C$26-[15]Richlands!$C$18</f>
        <v>2750</v>
      </c>
      <c r="K35" s="166">
        <f>_xlfn.XLOOKUP(" Total:",[16]Richlands!$A$1:$A$65536,[16]Richlands!$C$1:$C$65536,0)-_xlfn.XLOOKUP("PCSAS",[16]Richlands!$A$1:$A$65536,[16]Richlands!$C$1:$C$65536,0)</f>
        <v>1998</v>
      </c>
      <c r="L35" s="166">
        <f>_xlfn.XLOOKUP(" Total:",[17]Richlands!$A$1:$A$65536,[17]Richlands!$C$1:$C$65536,0)-_xlfn.XLOOKUP("PCSAS",[17]Richlands!$A$1:$A$65536,[17]Richlands!$C$1:$C$65536,0)</f>
        <v>2185</v>
      </c>
      <c r="M35" s="166">
        <f>_xlfn.XLOOKUP(" Total:",[18]Richlands!$A$1:$A$65536,[18]Richlands!$C$1:$C$65536,0)-_xlfn.XLOOKUP("PCSAS",[18]Richlands!$A$1:$A$65536,[18]Richlands!$C$1:$C$65536,0)</f>
        <v>2780</v>
      </c>
      <c r="O35" s="29"/>
      <c r="P35" s="30">
        <f>SUM(P31:P34)</f>
        <v>2658</v>
      </c>
      <c r="Q35" s="30">
        <f>P35*26</f>
        <v>69108</v>
      </c>
    </row>
    <row r="36" spans="1:17">
      <c r="A36" s="31" t="s">
        <v>18</v>
      </c>
      <c r="B36" s="168">
        <f>'[7]Richlands Extension'!$C$19</f>
        <v>131</v>
      </c>
      <c r="C36" s="168">
        <f>'[8]Richlands Extension'!$C$19</f>
        <v>260</v>
      </c>
      <c r="D36" s="166">
        <f>'[9]Richlands Extension'!$C$20</f>
        <v>187</v>
      </c>
      <c r="E36" s="166">
        <f>'[10]Richlands Extension'!$C$19</f>
        <v>155</v>
      </c>
      <c r="F36" s="166">
        <f>'[11]Richlands Extension'!$C$14</f>
        <v>15</v>
      </c>
      <c r="G36" s="166">
        <f>'[12]Richlands Extension'!$C$21</f>
        <v>280</v>
      </c>
      <c r="H36" s="166">
        <f>'[13]Richlands Extension'!$C$21</f>
        <v>344</v>
      </c>
      <c r="I36" s="166">
        <f>'[14]Richlands Extension'!$C$20</f>
        <v>403</v>
      </c>
      <c r="J36" s="166">
        <f>'[15]Richlands Extension'!$C$21</f>
        <v>417</v>
      </c>
      <c r="K36" s="166">
        <f>_xlfn.XLOOKUP(" Total:",'[16]Richlands Extension'!$A$1:$A$65536,'[16]Richlands Extension'!$C$1:$C$65536,0)-_xlfn.XLOOKUP("PCSAS",'[16]Richlands Extension'!$A$1:$A$65536,'[16]Richlands Extension'!$C$1:$C$65536,0)</f>
        <v>234</v>
      </c>
      <c r="L36" s="166">
        <f>_xlfn.XLOOKUP(" Total:",'[17]Richlands Extension'!$A$1:$A$65536,'[17]Richlands Extension'!$C$1:$C$65536,0)-_xlfn.XLOOKUP("PCSAS",'[17]Richlands Extension'!$A$1:$A$65536,'[17]Richlands Extension'!$C$1:$C$65536,0)</f>
        <v>328</v>
      </c>
      <c r="M36" s="166">
        <f>_xlfn.XLOOKUP(" Total:",'[18]Richlands Extension'!$A$1:$A$65536,'[18]Richlands Extension'!$C$1:$C$65536,0)-_xlfn.XLOOKUP("PCSAS",'[18]Richlands Extension'!$A$1:$A$65536,'[18]Richlands Extension'!$C$1:$C$65536,0)</f>
        <v>95</v>
      </c>
      <c r="Q36" s="130" t="s">
        <v>70</v>
      </c>
    </row>
    <row r="37" spans="1:17">
      <c r="A37" s="31" t="s">
        <v>19</v>
      </c>
      <c r="B37" s="168">
        <f>'[7]Learig Richlands'!$C$22</f>
        <v>312</v>
      </c>
      <c r="C37" s="168">
        <f>'[8]Learig Richlands'!$C$22</f>
        <v>286</v>
      </c>
      <c r="D37" s="166">
        <f>'[9]Learig Richlands'!$C$20</f>
        <v>365</v>
      </c>
      <c r="E37" s="166">
        <f>'[10]Learig Richlands'!$C$20</f>
        <v>117</v>
      </c>
      <c r="F37" s="166">
        <f>'[11]Learig Richlands'!$C$19</f>
        <v>206</v>
      </c>
      <c r="G37" s="166">
        <f>'[12]Learig Richlands'!$C$19</f>
        <v>257</v>
      </c>
      <c r="H37" s="166">
        <f>'[13]Learig Richlands'!$C$18</f>
        <v>97</v>
      </c>
      <c r="I37" s="166">
        <f>'[14]Learig Richlands'!$C$18</f>
        <v>198</v>
      </c>
      <c r="J37" s="166"/>
      <c r="K37" s="166">
        <f>_xlfn.XLOOKUP(" Total:",'[16]Learig Richlands'!$A$1:$A$65536,'[16]Learig Richlands'!$C$1:$C$65536,0)-_xlfn.XLOOKUP("PCSAS",'[16]Learig Richlands'!$A$1:$A$65536,'[16]Learig Richlands'!$C$1:$C$65536,0)</f>
        <v>74</v>
      </c>
      <c r="L37" s="166">
        <f>_xlfn.XLOOKUP(" Total:",'[17]Learig Richlands'!$A$1:$A$65536,'[17]Learig Richlands'!$C$1:$C$65536,0)-_xlfn.XLOOKUP("PCSAS",'[17]Learig Richlands'!$A$1:$A$65536,'[17]Learig Richlands'!$C$1:$C$65536,0)</f>
        <v>0</v>
      </c>
      <c r="M37" s="166">
        <f>_xlfn.XLOOKUP(" Total:",'[18]Learig Richlands'!$A$1:$A$65536,'[18]Learig Richlands'!$C$1:$C$65536,0)-_xlfn.XLOOKUP("PCSAS",'[18]Learig Richlands'!$A$1:$A$65536,'[18]Learig Richlands'!$C$1:$C$65536,0)</f>
        <v>299</v>
      </c>
      <c r="Q37" s="130" t="s">
        <v>71</v>
      </c>
    </row>
    <row r="38" spans="1:17">
      <c r="A38" s="31" t="s">
        <v>20</v>
      </c>
      <c r="B38" s="168">
        <f>[7]Richlands!$C$17</f>
        <v>21</v>
      </c>
      <c r="C38" s="168">
        <f>[8]Richlands!$C$14</f>
        <v>20</v>
      </c>
      <c r="D38" s="166">
        <f>[9]Richlands!$C$17</f>
        <v>44</v>
      </c>
      <c r="E38" s="166">
        <f>[10]Richlands!$C$15</f>
        <v>41</v>
      </c>
      <c r="F38" s="166">
        <f>[11]Richlands!$C$15</f>
        <v>56</v>
      </c>
      <c r="G38" s="166">
        <f>[12]Richlands!$C$15</f>
        <v>17</v>
      </c>
      <c r="H38" s="166">
        <f>[13]Richlands!$C$16</f>
        <v>39</v>
      </c>
      <c r="I38" s="166">
        <f>[14]Richlands!$C$15</f>
        <v>43</v>
      </c>
      <c r="J38" s="166">
        <f>[15]Richlands!$C$18</f>
        <v>39</v>
      </c>
      <c r="K38" s="166">
        <f>_xlfn.XLOOKUP("PCSAS",[16]Richlands!$A$1:$A$65536,[16]Richlands!$C$1:$C$65536,0)</f>
        <v>34</v>
      </c>
      <c r="L38" s="166">
        <f>_xlfn.XLOOKUP("PCSAS",[17]Richlands!$A$1:$A$65536,[17]Richlands!$C$1:$C$65536,0)</f>
        <v>21</v>
      </c>
      <c r="M38" s="166">
        <f>_xlfn.XLOOKUP("PCSAS",[18]Richlands!$A$1:$A$65536,[18]Richlands!$C$1:$C$65536,0)</f>
        <v>51</v>
      </c>
    </row>
    <row r="39" spans="1:17">
      <c r="A39" s="31" t="s">
        <v>21</v>
      </c>
      <c r="B39" s="168">
        <f>-'[19]Summary Total Pigs'!$Z$114-'[19]Summary Total Pigs'!$AA$114</f>
        <v>11</v>
      </c>
      <c r="C39" s="168">
        <f>-'[20]Summary Total Pigs'!$Z$114-'[20]Summary Total Pigs'!$AA$114</f>
        <v>12</v>
      </c>
      <c r="D39" s="168">
        <f>-'[21]Summary Total Pigs'!$Z$114-'[21]Summary Total Pigs'!$AA$114</f>
        <v>16</v>
      </c>
      <c r="E39" s="168">
        <f>-'[22]Summary Total Pigs'!$Z$114-'[22]Summary Total Pigs'!$AA$114</f>
        <v>12</v>
      </c>
      <c r="F39" s="168">
        <f>-'[33]Summary Total Pigs'!$Z$114-'[33]Summary Total Pigs'!$AA$114</f>
        <v>7</v>
      </c>
      <c r="G39" s="168">
        <f>-'[34]Summary Total Pigs'!$Z$114-'[34]Summary Total Pigs'!$AA$114</f>
        <v>19</v>
      </c>
      <c r="H39" s="168">
        <f>-'[35]Summary Total Pigs'!$Z$114-'[35]Summary Total Pigs'!$AA$114</f>
        <v>12</v>
      </c>
      <c r="I39" s="168">
        <f>-'[36]Summary Total Pigs'!$Z$114-'[36]Summary Total Pigs'!$AA$114</f>
        <v>18</v>
      </c>
      <c r="J39" s="168">
        <f>-'[27]Summary Total Pigs'!$Z$114-'[27]Summary Total Pigs'!$AA$114</f>
        <v>15</v>
      </c>
      <c r="K39" s="168">
        <f>-'[28]Summary Total Pigs'!$Z$114-'[28]Summary Total Pigs'!$AA$114</f>
        <v>9</v>
      </c>
      <c r="L39" s="168">
        <f>-'[29]Summary Total Pigs'!$Z$114-'[29]Summary Total Pigs'!$AA$114</f>
        <v>18</v>
      </c>
      <c r="M39" s="168">
        <f>-'[30]Summary Total Pigs'!$Z$114-'[30]Summary Total Pigs'!$AA$114</f>
        <v>17</v>
      </c>
      <c r="N39" s="30"/>
      <c r="O39" s="29"/>
    </row>
    <row r="40" spans="1:17">
      <c r="A40" s="31" t="s">
        <v>22</v>
      </c>
      <c r="B40" s="168">
        <f>'[19]Summary Total Pigs'!$D$111</f>
        <v>46</v>
      </c>
      <c r="C40" s="168">
        <f>'[20]Summary Total Pigs'!$D$111</f>
        <v>45</v>
      </c>
      <c r="D40" s="168">
        <f>'[21]Summary Total Pigs'!$D$111</f>
        <v>56</v>
      </c>
      <c r="E40" s="168">
        <f>'[22]Summary Total Pigs'!$D$111</f>
        <v>48</v>
      </c>
      <c r="F40" s="168">
        <f>'[23]Summary Total Pigs'!$D$111</f>
        <v>43</v>
      </c>
      <c r="G40" s="168">
        <f>'[24]Summary Total Pigs'!$D$111</f>
        <v>56</v>
      </c>
      <c r="H40" s="168">
        <f>'[25]Summary Total Pigs'!$D$111</f>
        <v>50</v>
      </c>
      <c r="I40" s="168">
        <f>'[26]Summary Total Pigs'!$D$111</f>
        <v>53</v>
      </c>
      <c r="J40" s="168">
        <f>'[27]Summary Total Pigs'!$D$111</f>
        <v>66</v>
      </c>
      <c r="K40" s="168">
        <f>'[28]Summary Total Pigs'!$D$111</f>
        <v>50</v>
      </c>
      <c r="L40" s="168">
        <f>'[29]Summary Total Pigs'!$D$111</f>
        <v>49</v>
      </c>
      <c r="M40" s="168">
        <f>'[30]Summary Total Pigs'!$D$111</f>
        <v>66</v>
      </c>
    </row>
    <row r="41" spans="1:17">
      <c r="A41" s="31" t="s">
        <v>23</v>
      </c>
      <c r="B41" s="168"/>
      <c r="C41" s="168"/>
      <c r="D41" s="168"/>
      <c r="E41" s="168"/>
      <c r="F41" s="168"/>
      <c r="G41" s="168"/>
      <c r="H41" s="168"/>
      <c r="I41" s="168"/>
      <c r="J41" s="168"/>
      <c r="K41" s="168"/>
      <c r="L41" s="168"/>
      <c r="M41" s="168"/>
    </row>
    <row r="42" spans="1:17">
      <c r="A42" s="31" t="s">
        <v>16</v>
      </c>
      <c r="B42" s="168">
        <f>-'[37]Summary Total Pigs'!$AA$114</f>
        <v>0</v>
      </c>
      <c r="C42" s="168">
        <f>-'[37]Summary Total Pigs'!$AA$114</f>
        <v>0</v>
      </c>
      <c r="D42" s="168"/>
      <c r="E42" s="168"/>
      <c r="F42" s="168"/>
      <c r="G42" s="168"/>
      <c r="H42" s="168"/>
      <c r="I42" s="168"/>
      <c r="J42" s="168"/>
      <c r="K42" s="168"/>
      <c r="L42" s="168"/>
      <c r="M42" s="168"/>
    </row>
    <row r="43" spans="1:17" s="37" customFormat="1">
      <c r="A43" s="32"/>
      <c r="B43" s="164">
        <f t="shared" ref="B43:K43" si="4">SUM(B35:B42)</f>
        <v>2544</v>
      </c>
      <c r="C43" s="164">
        <f t="shared" si="4"/>
        <v>2589</v>
      </c>
      <c r="D43" s="164">
        <f t="shared" si="4"/>
        <v>3175</v>
      </c>
      <c r="E43" s="164">
        <f t="shared" si="4"/>
        <v>2411</v>
      </c>
      <c r="F43" s="164">
        <f t="shared" si="4"/>
        <v>2294</v>
      </c>
      <c r="G43" s="164">
        <f t="shared" si="4"/>
        <v>3152</v>
      </c>
      <c r="H43" s="164">
        <f t="shared" si="4"/>
        <v>2601</v>
      </c>
      <c r="I43" s="164">
        <f t="shared" si="4"/>
        <v>2751</v>
      </c>
      <c r="J43" s="164">
        <f t="shared" si="4"/>
        <v>3287</v>
      </c>
      <c r="K43" s="164">
        <f t="shared" si="4"/>
        <v>2399</v>
      </c>
      <c r="L43" s="164">
        <f t="shared" ref="L43:M43" si="5">SUM(L35:L42)</f>
        <v>2601</v>
      </c>
      <c r="M43" s="164">
        <f t="shared" si="5"/>
        <v>3308</v>
      </c>
    </row>
    <row r="44" spans="1:17" s="24" customFormat="1">
      <c r="A44" s="33"/>
      <c r="B44" s="166"/>
      <c r="C44" s="166"/>
      <c r="D44" s="166"/>
      <c r="E44" s="166"/>
      <c r="F44" s="166"/>
      <c r="G44" s="166"/>
      <c r="H44" s="166"/>
      <c r="I44" s="166"/>
      <c r="J44" s="166"/>
      <c r="K44" s="166"/>
      <c r="L44" s="166"/>
      <c r="M44" s="166"/>
    </row>
    <row r="45" spans="1:17">
      <c r="A45" s="31" t="s">
        <v>24</v>
      </c>
      <c r="B45" s="168">
        <f>[7]LionsHead!$C$28-[7]LionsHead!$C$17</f>
        <v>2274</v>
      </c>
      <c r="C45" s="168">
        <f>[8]LionsHead!$C$25-[8]LionsHead!$C$14</f>
        <v>2166</v>
      </c>
      <c r="D45" s="166">
        <f>[9]LionsHead!$C$27-[9]LionsHead!$C$16</f>
        <v>2734</v>
      </c>
      <c r="E45" s="166">
        <f>[10]LionsHead!$C$25-[10]LionsHead!$C$16</f>
        <v>2360</v>
      </c>
      <c r="F45" s="166">
        <f>[11]LionsHead!$C$21-[11]LionsHead!$C$14</f>
        <v>2126</v>
      </c>
      <c r="G45" s="166">
        <f>[12]LionsHead!$C$25-[12]LionsHead!$C$16</f>
        <v>2661</v>
      </c>
      <c r="H45" s="166">
        <f>[13]LionsHead!$C$24-[13]LionsHead!$C$15</f>
        <v>2328</v>
      </c>
      <c r="I45" s="166">
        <f>[14]LionsHead!$C$24-[14]LionsHead!$C$16</f>
        <v>2286</v>
      </c>
      <c r="J45" s="166">
        <f>[15]LionsHead!$C$28-[15]LionsHead!$C$17</f>
        <v>2986</v>
      </c>
      <c r="K45" s="166">
        <f>_xlfn.XLOOKUP(" Total:",[16]LionsHead!$A$1:$A$65536,[16]LionsHead!$C$1:$C$65536,0)-_xlfn.XLOOKUP("PCSAS",[16]LionsHead!$A$1:$A$65536,[16]LionsHead!$C$1:$C$65536,0)</f>
        <v>2357</v>
      </c>
      <c r="L45" s="166">
        <f>_xlfn.XLOOKUP(" Total:",[17]LionsHead!$A$1:$A$65536,[17]LionsHead!$C$1:$C$65536,0)-_xlfn.XLOOKUP("PCSAS",[17]LionsHead!$A$1:$A$65536,[17]LionsHead!$C$1:$C$65536,0)</f>
        <v>2281</v>
      </c>
      <c r="M45" s="166">
        <f>_xlfn.XLOOKUP(" Total:",[18]LionsHead!$A$1:$A$65536,[18]LionsHead!$C$1:$C$65536,0)-_xlfn.XLOOKUP("PCSAS",[18]LionsHead!$A$1:$A$65536,[18]LionsHead!$C$1:$C$65536,0)</f>
        <v>2982</v>
      </c>
    </row>
    <row r="46" spans="1:17">
      <c r="A46" s="31" t="s">
        <v>25</v>
      </c>
      <c r="B46" s="168">
        <f>'[7]LionsHead Extension'!$C$24</f>
        <v>386</v>
      </c>
      <c r="C46" s="168">
        <f>'[8]LionsHead Extension'!$C$19</f>
        <v>127</v>
      </c>
      <c r="D46" s="166">
        <f>'[9]LionsHead Extension'!$C$20</f>
        <v>291</v>
      </c>
      <c r="E46" s="166">
        <f>'[10]LionsHead Extension'!$C$20</f>
        <v>146</v>
      </c>
      <c r="F46" s="166">
        <f>'[11]LionsHead Extension'!$C$20</f>
        <v>273</v>
      </c>
      <c r="G46" s="166">
        <f>'[12]LionsHead Extension'!$C$21</f>
        <v>272</v>
      </c>
      <c r="H46" s="166">
        <f>'[13]LionsHead Extension'!$C$20</f>
        <v>243</v>
      </c>
      <c r="I46" s="166">
        <f>'[14]LionsHead Extension'!$C$20</f>
        <v>226</v>
      </c>
      <c r="J46" s="166">
        <f>'[15]LionsHead Extension'!$C$22</f>
        <v>351</v>
      </c>
      <c r="K46" s="166">
        <f>_xlfn.XLOOKUP(" Total:",'[16]LionsHead Extension'!$A$1:$A$65536,'[16]LionsHead Extension'!$C$1:$C$65536,0)-_xlfn.XLOOKUP("PCSAS",'[16]LionsHead Extension'!$A$1:$A$65536,'[16]LionsHead Extension'!$C$1:$C$65536,0)</f>
        <v>300</v>
      </c>
      <c r="L46" s="166">
        <f>_xlfn.XLOOKUP(" Total:",'[17]LionsHead Extension'!$A$1:$A$65536,'[17]LionsHead Extension'!$C$1:$C$65536,0)-_xlfn.XLOOKUP("PCSAS",'[17]LionsHead Extension'!$A$1:$A$65536,'[17]LionsHead Extension'!$C$1:$C$65536,0)</f>
        <v>267</v>
      </c>
      <c r="M46" s="166">
        <f>_xlfn.XLOOKUP(" Total:",'[18]LionsHead Extension'!$A$1:$A$65536,'[18]LionsHead Extension'!$C$1:$C$65536,0)-_xlfn.XLOOKUP("PCSAS",'[18]LionsHead Extension'!$A$1:$A$65536,'[18]LionsHead Extension'!$C$1:$C$65536,0)</f>
        <v>393</v>
      </c>
    </row>
    <row r="47" spans="1:17">
      <c r="A47" s="31" t="s">
        <v>26</v>
      </c>
      <c r="B47" s="168">
        <f>'[7]Learig L Head'!$C$12</f>
        <v>0</v>
      </c>
      <c r="C47" s="168">
        <f>'[8]Learig L Head'!$C$13</f>
        <v>0</v>
      </c>
      <c r="D47" s="166">
        <v>0</v>
      </c>
      <c r="E47" s="166">
        <v>0</v>
      </c>
      <c r="F47" s="166">
        <v>0</v>
      </c>
      <c r="G47" s="166">
        <f>'[12]Learig L Head'!$C$10</f>
        <v>0</v>
      </c>
      <c r="H47" s="166"/>
      <c r="I47" s="166">
        <v>0</v>
      </c>
      <c r="J47" s="166"/>
      <c r="K47" s="166">
        <v>0</v>
      </c>
      <c r="L47" s="166">
        <v>0</v>
      </c>
      <c r="M47" s="166">
        <v>0</v>
      </c>
    </row>
    <row r="48" spans="1:17">
      <c r="A48" s="31" t="s">
        <v>27</v>
      </c>
      <c r="B48" s="168">
        <f>[7]LionsHead!$C$17</f>
        <v>18</v>
      </c>
      <c r="C48" s="168">
        <f>[8]LionsHead!$C$14</f>
        <v>5</v>
      </c>
      <c r="D48" s="166">
        <f>[9]LionsHead!$C$16</f>
        <v>7</v>
      </c>
      <c r="E48" s="166">
        <f>[10]LionsHead!$C$16</f>
        <v>34</v>
      </c>
      <c r="F48" s="166">
        <f>[11]LionsHead!$C$14</f>
        <v>24</v>
      </c>
      <c r="G48" s="166">
        <f>[12]LionsHead!$C$16</f>
        <v>18</v>
      </c>
      <c r="H48" s="166">
        <f>[13]LionsHead!$C$15</f>
        <v>25</v>
      </c>
      <c r="I48" s="166">
        <f>[14]LionsHead!$C$16</f>
        <v>36</v>
      </c>
      <c r="J48" s="166">
        <f>[15]LionsHead!$C$17</f>
        <v>32</v>
      </c>
      <c r="K48" s="166">
        <f>_xlfn.XLOOKUP("PCSAS",[16]LionsHead!$A$1:$A$65536,[16]LionsHead!$C$1:$C$65536,0)</f>
        <v>25</v>
      </c>
      <c r="L48" s="166">
        <f>_xlfn.XLOOKUP("PCSAS",[17]LionsHead!$A$1:$A$65536,[17]LionsHead!$C$1:$C$65536,0)</f>
        <v>31</v>
      </c>
      <c r="M48" s="166">
        <f>_xlfn.XLOOKUP("PCSAS",[18]LionsHead!$A$1:$A$65536,[18]LionsHead!$C$1:$C$65536,0)</f>
        <v>28</v>
      </c>
    </row>
    <row r="49" spans="1:15">
      <c r="A49" s="31" t="s">
        <v>28</v>
      </c>
      <c r="B49" s="168">
        <f>-'[19]Summary Total Pigs'!$Z$56-'[19]Summary Total Pigs'!$Z$75</f>
        <v>30</v>
      </c>
      <c r="C49" s="168">
        <f>-'[20]Summary Total Pigs'!$Z$56-'[20]Summary Total Pigs'!$Z$75</f>
        <v>45</v>
      </c>
      <c r="D49" s="168">
        <f>-'[21]Summary Total Pigs'!$Z$56-'[21]Summary Total Pigs'!$Z$75</f>
        <v>29</v>
      </c>
      <c r="E49" s="168">
        <f>-'[22]Summary Total Pigs'!$Z$56-'[22]Summary Total Pigs'!$Z$75</f>
        <v>22</v>
      </c>
      <c r="F49" s="168">
        <f>-'[23]Summary Total Pigs'!$Z$56-'[23]Summary Total Pigs'!$AA$56</f>
        <v>22</v>
      </c>
      <c r="G49" s="168">
        <f>-'[24]Summary Total Pigs'!$Z$56-'[24]Summary Total Pigs'!$AA$56</f>
        <v>32</v>
      </c>
      <c r="H49" s="168">
        <f>-'[25]Summary Total Pigs'!$Z$56-'[25]Summary Total Pigs'!$AA$56</f>
        <v>22</v>
      </c>
      <c r="I49" s="168">
        <f>-'[26]Summary Total Pigs'!$Z$56-'[26]Summary Total Pigs'!$AA$56</f>
        <v>30</v>
      </c>
      <c r="J49" s="168">
        <f>-'[27]Summary Total Pigs'!$Z$56-'[27]Summary Total Pigs'!$AA$56</f>
        <v>25</v>
      </c>
      <c r="K49" s="168">
        <f>-'[28]Summary Total Pigs'!$Z$56-'[28]Summary Total Pigs'!$AA$56</f>
        <v>20</v>
      </c>
      <c r="L49" s="168">
        <f>-'[29]Summary Total Pigs'!$Z$56-'[29]Summary Total Pigs'!$AA$56</f>
        <v>19</v>
      </c>
      <c r="M49" s="168">
        <f>-'[30]Summary Total Pigs'!$Z$56-'[30]Summary Total Pigs'!$AA$56</f>
        <v>26</v>
      </c>
      <c r="N49" s="30"/>
      <c r="O49" s="29"/>
    </row>
    <row r="50" spans="1:15">
      <c r="A50" s="31" t="s">
        <v>29</v>
      </c>
      <c r="B50" s="168">
        <v>0</v>
      </c>
      <c r="C50" s="168">
        <v>0</v>
      </c>
      <c r="D50" s="168">
        <v>0</v>
      </c>
      <c r="E50" s="168">
        <v>0</v>
      </c>
      <c r="F50" s="168">
        <v>0</v>
      </c>
      <c r="G50" s="168">
        <v>0</v>
      </c>
      <c r="H50" s="168">
        <v>0</v>
      </c>
      <c r="I50" s="168">
        <v>0</v>
      </c>
      <c r="J50" s="168">
        <v>0</v>
      </c>
      <c r="K50" s="168">
        <v>0</v>
      </c>
      <c r="L50" s="168">
        <v>0</v>
      </c>
      <c r="M50" s="168">
        <v>0</v>
      </c>
    </row>
    <row r="51" spans="1:15">
      <c r="A51" s="31" t="s">
        <v>30</v>
      </c>
      <c r="B51" s="168">
        <f>-'[37]Summary Total Pigs'!$AB$56</f>
        <v>0</v>
      </c>
      <c r="C51" s="168">
        <f>-'[37]Summary Total Pigs'!$AB$56</f>
        <v>0</v>
      </c>
      <c r="D51" s="168">
        <f>-'[37]Summary Total Pigs'!$AB$56</f>
        <v>0</v>
      </c>
      <c r="E51" s="168">
        <f>-'[37]Summary Total Pigs'!$AB$56</f>
        <v>0</v>
      </c>
      <c r="F51" s="168">
        <v>0</v>
      </c>
      <c r="G51" s="168">
        <v>0</v>
      </c>
      <c r="H51" s="168"/>
      <c r="I51" s="168"/>
      <c r="J51" s="168"/>
      <c r="K51" s="168"/>
      <c r="L51" s="168"/>
      <c r="M51" s="168"/>
    </row>
    <row r="52" spans="1:15">
      <c r="A52" s="31" t="s">
        <v>16</v>
      </c>
      <c r="B52" s="168">
        <f>'[37]Summary Total Pigs'!$AA$56</f>
        <v>0</v>
      </c>
      <c r="C52" s="168">
        <f>'[37]Summary Total Pigs'!$AA$56</f>
        <v>0</v>
      </c>
      <c r="D52" s="168">
        <f>'[37]Summary Total Pigs'!$AA$56</f>
        <v>0</v>
      </c>
      <c r="E52" s="168">
        <f>'[37]Summary Total Pigs'!$AA$56</f>
        <v>0</v>
      </c>
      <c r="F52" s="168">
        <v>0</v>
      </c>
      <c r="G52" s="168">
        <v>0</v>
      </c>
      <c r="H52" s="168"/>
      <c r="I52" s="168"/>
      <c r="J52" s="168"/>
      <c r="K52" s="168"/>
      <c r="L52" s="168"/>
      <c r="M52" s="168"/>
    </row>
    <row r="53" spans="1:15" s="37" customFormat="1">
      <c r="A53" s="32"/>
      <c r="B53" s="164">
        <f t="shared" ref="B53:K53" si="6">SUM(B45:B52)</f>
        <v>2708</v>
      </c>
      <c r="C53" s="164">
        <f t="shared" si="6"/>
        <v>2343</v>
      </c>
      <c r="D53" s="164">
        <f t="shared" si="6"/>
        <v>3061</v>
      </c>
      <c r="E53" s="164">
        <f t="shared" si="6"/>
        <v>2562</v>
      </c>
      <c r="F53" s="164">
        <f t="shared" si="6"/>
        <v>2445</v>
      </c>
      <c r="G53" s="164">
        <f t="shared" si="6"/>
        <v>2983</v>
      </c>
      <c r="H53" s="164">
        <f t="shared" si="6"/>
        <v>2618</v>
      </c>
      <c r="I53" s="164">
        <f t="shared" si="6"/>
        <v>2578</v>
      </c>
      <c r="J53" s="164">
        <f t="shared" si="6"/>
        <v>3394</v>
      </c>
      <c r="K53" s="164">
        <f t="shared" si="6"/>
        <v>2702</v>
      </c>
      <c r="L53" s="164">
        <f t="shared" ref="L53:M53" si="7">SUM(L45:L52)</f>
        <v>2598</v>
      </c>
      <c r="M53" s="164">
        <f t="shared" si="7"/>
        <v>3429</v>
      </c>
    </row>
    <row r="54" spans="1:15" s="24" customFormat="1">
      <c r="A54" s="33"/>
      <c r="B54" s="168"/>
      <c r="C54" s="166"/>
      <c r="D54" s="166"/>
      <c r="E54" s="166"/>
      <c r="F54" s="166"/>
      <c r="G54" s="166"/>
      <c r="H54" s="166"/>
      <c r="I54" s="166"/>
      <c r="J54" s="166"/>
      <c r="K54" s="166"/>
      <c r="L54" s="166"/>
      <c r="M54" s="166"/>
    </row>
    <row r="55" spans="1:15">
      <c r="A55" s="31" t="s">
        <v>31</v>
      </c>
      <c r="B55" s="168">
        <f>'[7]Villa Franca'!$C$24-'[7]Villa Franca'!$C$14</f>
        <v>707</v>
      </c>
      <c r="C55" s="168">
        <f>'[8]Villa Franca'!$C$26-'[8]Villa Franca'!$C$16</f>
        <v>701</v>
      </c>
      <c r="D55" s="166">
        <f>'[9]Villa Franca'!$C$24-'[9]Villa Franca'!$C$14</f>
        <v>835</v>
      </c>
      <c r="E55" s="166">
        <f>'[10]Villa Franca'!$C$25-'[10]Villa Franca'!$C$14</f>
        <v>744</v>
      </c>
      <c r="F55" s="166">
        <f>'[11]Villa Franca'!$C$26-'[11]Villa Franca'!$C$15</f>
        <v>691</v>
      </c>
      <c r="G55" s="166">
        <f>'[12]Villa Franca'!$C$25-'[12]Villa Franca'!$C$14</f>
        <v>1055</v>
      </c>
      <c r="H55" s="166">
        <f>'[13]Villa Franca'!$C$23-'[13]Villa Franca'!$C$14</f>
        <v>507</v>
      </c>
      <c r="I55" s="166">
        <f>'[14]Villa Franca'!$C$25-'[14]Villa Franca'!$C$15</f>
        <v>941</v>
      </c>
      <c r="J55" s="166">
        <f>'[15]Villa Franca'!$C$24-'[15]Villa Franca'!$C$15</f>
        <v>701</v>
      </c>
      <c r="K55" s="166">
        <f>_xlfn.XLOOKUP(" Total:",'[16]Villa Franca'!$A$1:$A$65536,'[16]Villa Franca'!$C$1:$C$65536,0)-_xlfn.XLOOKUP("PCSAS",'[16]Villa Franca'!$A$1:$A$65536,'[16]Villa Franca'!$C$1:$C$65536,0)</f>
        <v>650</v>
      </c>
      <c r="L55" s="166">
        <f>_xlfn.XLOOKUP(" Total:",'[17]Villa Franca'!$A$1:$A$65536,'[17]Villa Franca'!$C$1:$C$65536,0)-_xlfn.XLOOKUP("PCSAS",'[17]Villa Franca'!$A$1:$A$65536,'[17]Villa Franca'!$C$1:$C$65536,0)</f>
        <v>647</v>
      </c>
      <c r="M55" s="166">
        <f>_xlfn.XLOOKUP(" Total:",'[18]Villa Franca'!$A$1:$A$65536,'[18]Villa Franca'!$C$1:$C$65536,0)-_xlfn.XLOOKUP("PCSAS",'[18]Villa Franca'!$A$1:$A$65536,'[18]Villa Franca'!$C$1:$C$65536,0)</f>
        <v>900</v>
      </c>
    </row>
    <row r="56" spans="1:15">
      <c r="A56" s="31" t="s">
        <v>32</v>
      </c>
      <c r="B56" s="168">
        <f>'[7]Villa Franca Extension'!$C$19</f>
        <v>69</v>
      </c>
      <c r="C56" s="168">
        <f>'[8]Villa Franca Extension'!$C$21</f>
        <v>182</v>
      </c>
      <c r="D56" s="166">
        <f>'[9]Villa Franca Extension'!$C$21</f>
        <v>171</v>
      </c>
      <c r="E56" s="166">
        <f>'[10]Villa Franca Extension'!$C$22</f>
        <v>233</v>
      </c>
      <c r="F56" s="166">
        <f>'[11]Villa Franca Extension'!$C$17</f>
        <v>135</v>
      </c>
      <c r="G56" s="166">
        <f>'[12]Villa Franca Extension'!$C$20</f>
        <v>208</v>
      </c>
      <c r="H56" s="166">
        <f>'[13]Villa Franca Extension'!$C$18</f>
        <v>117</v>
      </c>
      <c r="I56" s="166">
        <f>'[14]Villa Franca Extension'!$C$18</f>
        <v>69</v>
      </c>
      <c r="J56" s="166">
        <f>'[15]Villa Franca Extension'!$C$19</f>
        <v>164</v>
      </c>
      <c r="K56" s="166">
        <f>_xlfn.XLOOKUP(" Total:",'[16]Villa Franca Extension'!$A$1:$A$65536,'[16]Villa Franca Extension'!$C$1:$C$65536,0)-_xlfn.XLOOKUP("PCSAS",'[16]Villa Franca Extension'!$A$1:$A$65536,'[16]Villa Franca Extension'!$C$1:$C$65536,0)</f>
        <v>99</v>
      </c>
      <c r="L56" s="166">
        <f>_xlfn.XLOOKUP(" Total:",'[17]Villa Franca Extension'!$A$1:$A$65536,'[17]Villa Franca Extension'!$C$1:$C$65536,0)-_xlfn.XLOOKUP("PCSAS",'[17]Villa Franca Extension'!$A$1:$A$65536,'[17]Villa Franca Extension'!$C$1:$C$65536,0)</f>
        <v>83</v>
      </c>
      <c r="M56" s="166">
        <f>_xlfn.XLOOKUP(" Total:",'[18]Villa Franca Extension'!$A$1:$A$65536,'[18]Villa Franca Extension'!$C$1:$C$65536,0)-_xlfn.XLOOKUP("PCSAS",'[18]Villa Franca Extension'!$A$1:$A$65536,'[18]Villa Franca Extension'!$C$1:$C$65536,0)</f>
        <v>426</v>
      </c>
    </row>
    <row r="57" spans="1:15">
      <c r="A57" s="31" t="s">
        <v>33</v>
      </c>
      <c r="B57" s="168">
        <f>'[7]Learig Villa'!$C$21</f>
        <v>238</v>
      </c>
      <c r="C57" s="168">
        <f>'[8]Learig Villa'!$C$19</f>
        <v>97</v>
      </c>
      <c r="D57" s="166">
        <f>'[9]Learig Villa'!$C$19</f>
        <v>334</v>
      </c>
      <c r="E57" s="166">
        <f>'[10]Learig Villa'!$C$23</f>
        <v>251</v>
      </c>
      <c r="F57" s="166">
        <f>'[11]Learig Villa'!$C$19</f>
        <v>138</v>
      </c>
      <c r="G57" s="166">
        <f>'[12]Learig Villa'!$C$21</f>
        <v>214</v>
      </c>
      <c r="H57" s="166">
        <f>'[13]Learig Villa'!$C$18</f>
        <v>212</v>
      </c>
      <c r="I57" s="166">
        <f>'[14]Learig Villa'!$C$19</f>
        <v>139</v>
      </c>
      <c r="J57" s="166">
        <f>'[15]Learig Villa'!$C$23</f>
        <v>432</v>
      </c>
      <c r="K57" s="166">
        <f>_xlfn.XLOOKUP(" Total:",'[16]Learig Villa'!$A$1:$A$65536,'[16]Learig Villa'!$C$1:$C$65536,0)-_xlfn.XLOOKUP("PCSAS",'[16]Learig Villa'!$A$1:$A$65536,'[16]Learig Villa'!$C$1:$C$65536,0)</f>
        <v>150</v>
      </c>
      <c r="L57" s="166">
        <f>_xlfn.XLOOKUP(" Total:",'[17]Learig Villa'!$A$1:$A$65536,'[17]Learig Villa'!$C$1:$C$65536,0)-_xlfn.XLOOKUP("PCSAS",'[17]Learig Villa'!$A$1:$A$65536,'[17]Learig Villa'!$C$1:$C$65536,0)</f>
        <v>379</v>
      </c>
      <c r="M57" s="166">
        <f>_xlfn.XLOOKUP(" Total:",'[18]Learig Villa'!$A$1:$A$65536,'[18]Learig Villa'!$C$1:$C$65536,0)-_xlfn.XLOOKUP("PCSAS",'[18]Learig Villa'!$A$1:$A$65536,'[18]Learig Villa'!$C$1:$C$65536,0)</f>
        <v>92</v>
      </c>
    </row>
    <row r="58" spans="1:15">
      <c r="A58" s="31" t="s">
        <v>34</v>
      </c>
      <c r="B58" s="168">
        <f>'[7]Villa Franca'!$C$14</f>
        <v>18</v>
      </c>
      <c r="C58" s="168">
        <f>'[8]Villa Franca'!$C$16</f>
        <v>16</v>
      </c>
      <c r="D58" s="166">
        <f>'[9]Villa Franca'!$C$14</f>
        <v>21</v>
      </c>
      <c r="E58" s="166">
        <f>'[10]Villa Franca'!$C$14</f>
        <v>12</v>
      </c>
      <c r="F58" s="167">
        <f>'[11]Villa Franca'!$C$15</f>
        <v>4</v>
      </c>
      <c r="G58" s="166">
        <f>'[12]Villa Franca'!$C$14</f>
        <v>12</v>
      </c>
      <c r="H58" s="166">
        <f>'[13]Villa Franca'!$C$14</f>
        <v>16</v>
      </c>
      <c r="I58" s="166">
        <f>'[14]Villa Franca'!$C$15</f>
        <v>11</v>
      </c>
      <c r="J58" s="166">
        <f>'[15]Villa Franca'!$C$15</f>
        <v>13</v>
      </c>
      <c r="K58" s="166">
        <f>_xlfn.XLOOKUP("PCSAS",'[16]Villa Franca'!$A$1:$A$65536,'[16]Villa Franca'!$C$1:$C$65536,0)</f>
        <v>17</v>
      </c>
      <c r="L58" s="166">
        <f>_xlfn.XLOOKUP("PCSAS",'[17]Villa Franca'!$A$1:$A$65536,'[17]Villa Franca'!$C$1:$C$65536,0)</f>
        <v>8</v>
      </c>
      <c r="M58" s="166">
        <f>_xlfn.XLOOKUP("PCSAS",'[18]Villa Franca'!$A$1:$A$65536,'[18]Villa Franca'!$C$1:$C$65536,0)</f>
        <v>9</v>
      </c>
    </row>
    <row r="59" spans="1:15">
      <c r="A59" s="31" t="s">
        <v>35</v>
      </c>
      <c r="B59" s="168">
        <f>-'[19]Summary Total Pigs'!$Z$95-'[19]Summary Total Pigs'!$AA$95</f>
        <v>7</v>
      </c>
      <c r="C59" s="168">
        <f>-'[20]Summary Total Pigs'!$Z$95-'[20]Summary Total Pigs'!$AA$95</f>
        <v>6</v>
      </c>
      <c r="D59" s="168">
        <f>-'[21]Summary Total Pigs'!$Z$95-'[21]Summary Total Pigs'!$AA$95</f>
        <v>6</v>
      </c>
      <c r="E59" s="168">
        <f>-'[22]Summary Total Pigs'!$Z$95-'[22]Summary Total Pigs'!$AA$95</f>
        <v>5</v>
      </c>
      <c r="F59" s="168">
        <f>-'[23]Summary Total Pigs'!$Z$95-'[23]Summary Total Pigs'!$AA$95</f>
        <v>5</v>
      </c>
      <c r="G59" s="168">
        <f>-'[24]Summary Total Pigs'!$Z$95-'[24]Summary Total Pigs'!$AA$95</f>
        <v>5</v>
      </c>
      <c r="H59" s="168">
        <f>-'[25]Summary Total Pigs'!$Z$95-'[25]Summary Total Pigs'!$AA$95</f>
        <v>6</v>
      </c>
      <c r="I59" s="168">
        <f>-'[26]Summary Total Pigs'!$Z$95-'[26]Summary Total Pigs'!$AA$95</f>
        <v>4</v>
      </c>
      <c r="J59" s="168">
        <f>-'[27]Summary Total Pigs'!$Z$95-'[27]Summary Total Pigs'!$AA$95</f>
        <v>8</v>
      </c>
      <c r="K59" s="168">
        <f>-'[28]Summary Total Pigs'!$Z$95-'[28]Summary Total Pigs'!$AA$95</f>
        <v>5</v>
      </c>
      <c r="L59" s="168">
        <f>-'[29]Summary Total Pigs'!$Z$95-'[29]Summary Total Pigs'!$AA$95</f>
        <v>4</v>
      </c>
      <c r="M59" s="168">
        <f>-'[30]Summary Total Pigs'!$Z$95-'[30]Summary Total Pigs'!$AA$95</f>
        <v>7</v>
      </c>
      <c r="N59" s="30"/>
      <c r="O59" s="29"/>
    </row>
    <row r="60" spans="1:15">
      <c r="A60" s="31" t="s">
        <v>36</v>
      </c>
      <c r="B60" s="168">
        <f>'[38]Summary Total Pigs'!$D$92</f>
        <v>0</v>
      </c>
      <c r="C60" s="168">
        <f>'[39]Summary Total Pigs'!$D$92</f>
        <v>0</v>
      </c>
      <c r="D60" s="168">
        <f>'[40]Summary Total Pigs'!$D$92</f>
        <v>0</v>
      </c>
      <c r="E60" s="168">
        <f>'[41]Summary Total Pigs'!$D$92</f>
        <v>0</v>
      </c>
      <c r="F60" s="168"/>
      <c r="G60" s="168"/>
      <c r="H60" s="168"/>
      <c r="I60" s="168"/>
      <c r="J60" s="168"/>
      <c r="K60" s="168"/>
      <c r="L60" s="168"/>
      <c r="M60" s="168"/>
    </row>
    <row r="61" spans="1:15">
      <c r="A61" s="31" t="s">
        <v>37</v>
      </c>
      <c r="B61" s="168">
        <f>-'[38]Summary Total Pigs'!$AB$95</f>
        <v>0</v>
      </c>
      <c r="C61" s="168">
        <f>-'[39]Summary Total Pigs'!$AB$95</f>
        <v>0</v>
      </c>
      <c r="D61" s="168">
        <f>-'[40]Summary Total Pigs'!$AB$95</f>
        <v>0</v>
      </c>
      <c r="E61" s="168"/>
      <c r="F61" s="168"/>
      <c r="G61" s="168"/>
      <c r="H61" s="168">
        <v>0</v>
      </c>
      <c r="I61" s="168"/>
      <c r="J61" s="168"/>
      <c r="K61" s="168"/>
      <c r="L61" s="168"/>
      <c r="M61" s="168"/>
    </row>
    <row r="62" spans="1:15">
      <c r="A62" s="34" t="s">
        <v>16</v>
      </c>
      <c r="B62" s="168">
        <f>-'[38]Summary Total Pigs'!$AA$95</f>
        <v>0</v>
      </c>
      <c r="C62" s="168">
        <f>-'[39]Summary Total Pigs'!$AA$95</f>
        <v>0</v>
      </c>
      <c r="D62" s="168">
        <f>-'[40]Summary Total Pigs'!$AA$95</f>
        <v>0</v>
      </c>
      <c r="E62" s="168"/>
      <c r="F62" s="168"/>
      <c r="G62" s="168"/>
      <c r="H62" s="168">
        <v>0</v>
      </c>
      <c r="I62" s="168"/>
      <c r="J62" s="168"/>
      <c r="K62" s="168"/>
      <c r="L62" s="168"/>
      <c r="M62" s="168"/>
    </row>
    <row r="63" spans="1:15" s="37" customFormat="1">
      <c r="A63" s="35"/>
      <c r="B63" s="164">
        <f t="shared" ref="B63:K63" si="8">SUM(B55:B62)</f>
        <v>1039</v>
      </c>
      <c r="C63" s="164">
        <f t="shared" si="8"/>
        <v>1002</v>
      </c>
      <c r="D63" s="164">
        <f t="shared" si="8"/>
        <v>1367</v>
      </c>
      <c r="E63" s="164">
        <f t="shared" si="8"/>
        <v>1245</v>
      </c>
      <c r="F63" s="164">
        <f t="shared" si="8"/>
        <v>973</v>
      </c>
      <c r="G63" s="164">
        <f t="shared" si="8"/>
        <v>1494</v>
      </c>
      <c r="H63" s="164">
        <f t="shared" si="8"/>
        <v>858</v>
      </c>
      <c r="I63" s="164">
        <f t="shared" si="8"/>
        <v>1164</v>
      </c>
      <c r="J63" s="164">
        <f>SUM(J55:J62)</f>
        <v>1318</v>
      </c>
      <c r="K63" s="164">
        <f t="shared" si="8"/>
        <v>921</v>
      </c>
      <c r="L63" s="164">
        <f t="shared" ref="L63:M63" si="9">SUM(L55:L62)</f>
        <v>1121</v>
      </c>
      <c r="M63" s="164">
        <f t="shared" si="9"/>
        <v>1434</v>
      </c>
    </row>
    <row r="64" spans="1:15" s="24" customFormat="1">
      <c r="A64" s="36"/>
      <c r="B64" s="170"/>
      <c r="C64" s="170"/>
      <c r="D64" s="170"/>
      <c r="E64" s="170"/>
      <c r="F64" s="170"/>
      <c r="G64" s="170"/>
      <c r="H64" s="170"/>
      <c r="I64" s="170"/>
      <c r="J64" s="170"/>
      <c r="K64" s="170"/>
      <c r="L64" s="170"/>
      <c r="M64" s="170"/>
    </row>
    <row r="65" spans="1:13" s="37" customFormat="1">
      <c r="A65" s="32"/>
      <c r="B65" s="164"/>
      <c r="C65" s="164"/>
      <c r="D65" s="164"/>
      <c r="E65" s="164"/>
      <c r="F65" s="164"/>
      <c r="G65" s="164"/>
      <c r="H65" s="164"/>
      <c r="I65" s="164"/>
      <c r="J65" s="164"/>
      <c r="K65" s="164"/>
      <c r="L65" s="164"/>
      <c r="M65" s="164"/>
    </row>
    <row r="66" spans="1:13">
      <c r="A66" s="34"/>
      <c r="B66" s="170"/>
      <c r="C66" s="170"/>
      <c r="D66" s="170"/>
      <c r="E66" s="170"/>
      <c r="F66" s="170"/>
      <c r="G66" s="170"/>
      <c r="H66" s="170"/>
      <c r="I66" s="170"/>
      <c r="J66" s="170"/>
      <c r="K66" s="170"/>
      <c r="L66" s="170"/>
      <c r="M66" s="170"/>
    </row>
    <row r="67" spans="1:13">
      <c r="A67" s="31" t="s">
        <v>38</v>
      </c>
      <c r="B67" s="259">
        <f>'[7]Porta Farm'!$C$26-'[7]Porta Farm'!$C$15</f>
        <v>1717</v>
      </c>
      <c r="C67" s="259">
        <f>'[8]Porta Farm'!$C$26-'[8]Porta Farm'!$C$15</f>
        <v>2347</v>
      </c>
      <c r="D67" s="259">
        <f>'[9]Porta Farm'!$C$25-'[9]Porta Farm'!$C$15</f>
        <v>3076</v>
      </c>
      <c r="E67" s="259">
        <f>'[10]Porta Farm'!$C$25-'[10]Porta Farm'!$C$17</f>
        <v>2647</v>
      </c>
      <c r="F67" s="170">
        <f>'[11]Porta Farm'!$C$22-'[11]Porta Farm'!$C$16</f>
        <v>2536</v>
      </c>
      <c r="G67" s="170">
        <f>'[12]Porta Farm'!$C$25-'[12]Porta Farm'!$C$15</f>
        <v>2816</v>
      </c>
      <c r="H67" s="170">
        <f>'[13]Porta Farm'!$C$25-'[13]Porta Farm'!$C$15</f>
        <v>2348</v>
      </c>
      <c r="I67" s="170">
        <f>'[14]Porta Farm'!$C$24-'[14]Porta Farm'!$C$15</f>
        <v>2349</v>
      </c>
      <c r="J67" s="170">
        <f>'[15]Porta Farm'!$C$25-'[15]Porta Farm'!$C$15</f>
        <v>2609</v>
      </c>
      <c r="K67" s="166">
        <f>_xlfn.XLOOKUP(" Total:",'[16]Porta Farm'!$A$1:$A$65536,'[16]Porta Farm'!$C$1:$C$65536,0)-_xlfn.XLOOKUP("PCSAS",'[16]Porta Farm'!$A$1:$A$65536,'[16]Porta Farm'!$C$1:$C$65536,0)</f>
        <v>2843</v>
      </c>
      <c r="L67" s="166">
        <f>_xlfn.XLOOKUP(" Total:",'[17]Porta Farm'!$A$1:$A$65536,'[17]Porta Farm'!$C$1:$C$65536,0)-_xlfn.XLOOKUP("PCSAS",'[17]Porta Farm'!$A$1:$A$65536,'[17]Porta Farm'!$C$1:$C$65536,0)</f>
        <v>2316</v>
      </c>
      <c r="M67" s="166">
        <f>_xlfn.XLOOKUP(" Total:",'[18]Porta Farm'!$A$1:$A$65536,'[18]Porta Farm'!$C$1:$C$65536,0)-_xlfn.XLOOKUP("PCSAS",'[18]Porta Farm'!$A$1:$A$65536,'[18]Porta Farm'!$C$1:$C$65536,0)</f>
        <v>3050</v>
      </c>
    </row>
    <row r="68" spans="1:13">
      <c r="A68" s="31" t="s">
        <v>39</v>
      </c>
      <c r="B68" s="259">
        <v>0</v>
      </c>
      <c r="C68" s="259">
        <v>0</v>
      </c>
      <c r="D68" s="259">
        <v>0</v>
      </c>
      <c r="E68" s="259">
        <v>0</v>
      </c>
      <c r="F68" s="170">
        <v>0</v>
      </c>
      <c r="G68" s="170">
        <v>0</v>
      </c>
      <c r="H68" s="170"/>
      <c r="I68" s="170">
        <v>0</v>
      </c>
      <c r="J68" s="170">
        <v>0</v>
      </c>
      <c r="K68" s="166">
        <v>0</v>
      </c>
      <c r="L68" s="166">
        <f>_xlfn.XLOOKUP(" Total:",'[17]Porta Ext'!$A$1:$A$65536,'[17]Porta Ext'!$C$1:$C$65536,0)-_xlfn.XLOOKUP("PCSAS",'[17]Porta Ext'!$A$1:$A$65536,'[17]Porta Ext'!$C$1:$C$65536,0)</f>
        <v>60</v>
      </c>
      <c r="M68" s="166">
        <f>_xlfn.XLOOKUP(" Total:",'[18]Porta Ext'!$A$1:$A$65536,'[18]Porta Ext'!$C$1:$C$65536,0)-_xlfn.XLOOKUP("PCSAS",'[18]Porta Ext'!$A$1:$A$65536,'[18]Porta Ext'!$C$1:$C$65536,0)</f>
        <v>97</v>
      </c>
    </row>
    <row r="69" spans="1:13">
      <c r="A69" s="31" t="s">
        <v>40</v>
      </c>
      <c r="B69" s="259">
        <v>0</v>
      </c>
      <c r="C69" s="259">
        <v>0</v>
      </c>
      <c r="D69" s="259">
        <v>0</v>
      </c>
      <c r="E69" s="259">
        <v>0</v>
      </c>
      <c r="F69" s="170">
        <v>0</v>
      </c>
      <c r="G69" s="170">
        <v>0</v>
      </c>
      <c r="H69" s="170"/>
      <c r="I69" s="170">
        <v>0</v>
      </c>
      <c r="J69" s="170">
        <v>0</v>
      </c>
      <c r="K69" s="166">
        <v>0</v>
      </c>
      <c r="L69" s="166">
        <v>0</v>
      </c>
      <c r="M69" s="166">
        <f>_xlfn.XLOOKUP(" Total:",'[18]Porta Learig'!$A$1:$A$65536,'[18]Porta Learig'!$C$1:$C$65536,0)-_xlfn.XLOOKUP("PCSAS",'[18]Porta Learig'!$A$1:$A$65536,'[18]Porta Learig'!$C$1:$C$65536,0)</f>
        <v>43</v>
      </c>
    </row>
    <row r="70" spans="1:13">
      <c r="A70" s="31" t="s">
        <v>41</v>
      </c>
      <c r="B70" s="259">
        <f>'[7]Porta Farm'!$C$15</f>
        <v>40</v>
      </c>
      <c r="C70" s="259">
        <f>'[8]Porta Farm'!$C$15</f>
        <v>14</v>
      </c>
      <c r="D70" s="259">
        <f>'[9]Porta Farm'!$C$15</f>
        <v>28</v>
      </c>
      <c r="E70" s="259">
        <f>'[10]Porta Farm'!$C$17</f>
        <v>18</v>
      </c>
      <c r="F70" s="170">
        <f>'[11]Porta Farm'!$C$16</f>
        <v>28</v>
      </c>
      <c r="G70" s="170">
        <f>'[12]Porta Farm'!$C$15</f>
        <v>37</v>
      </c>
      <c r="H70" s="170">
        <f>'[13]Porta Farm'!$C$15</f>
        <v>45</v>
      </c>
      <c r="I70" s="170">
        <f>'[14]Porta Farm'!$C$15</f>
        <v>32</v>
      </c>
      <c r="J70" s="170">
        <f>'[15]Porta Farm'!$C$15</f>
        <v>42</v>
      </c>
      <c r="K70" s="166">
        <f>_xlfn.XLOOKUP("PCSAS",'[16]Porta Farm'!$A$1:$A$65536,'[16]Porta Farm'!$C$1:$C$65536,0)</f>
        <v>64</v>
      </c>
      <c r="L70" s="166">
        <f>_xlfn.XLOOKUP("PCSAS",'[17]Porta Farm'!$A$1:$A$65536,'[17]Porta Farm'!$C$1:$C$65536,0)</f>
        <v>25</v>
      </c>
      <c r="M70" s="166">
        <f>_xlfn.XLOOKUP("PCSAS",'[18]Porta Farm'!$A$1:$A$65536,'[18]Porta Farm'!$C$1:$C$65536,0)</f>
        <v>47</v>
      </c>
    </row>
    <row r="71" spans="1:13">
      <c r="A71" s="31" t="s">
        <v>42</v>
      </c>
      <c r="B71" s="259">
        <f>-'[19]Summary Total Pigs'!$Z$152-'[19]Summary Total Pigs'!$AA$152</f>
        <v>11</v>
      </c>
      <c r="C71" s="259">
        <f>-'[20]Summary Total Pigs'!$Z$152-'[20]Summary Total Pigs'!$AA$152</f>
        <v>15</v>
      </c>
      <c r="D71" s="259">
        <f>-'[21]Summary Total Pigs'!$Z$152-'[21]Summary Total Pigs'!$AA$152</f>
        <v>17</v>
      </c>
      <c r="E71" s="259">
        <f>-'[22]Summary Total Pigs'!$Z$152-'[22]Summary Total Pigs'!$AA$152</f>
        <v>15</v>
      </c>
      <c r="F71" s="170">
        <f>-'[23]Summary Total Pigs'!$Z$152-'[23]Summary Total Pigs'!$AA$152</f>
        <v>17</v>
      </c>
      <c r="G71" s="170">
        <f>-'[24]Summary Total Pigs'!$Z$152-'[24]Summary Total Pigs'!$AA$152</f>
        <v>22</v>
      </c>
      <c r="H71" s="170">
        <f>-'[25]Summary Total Pigs'!$Z$152-'[25]Summary Total Pigs'!$AA$152</f>
        <v>18</v>
      </c>
      <c r="I71" s="170">
        <f>-'[26]Summary Total Pigs'!$Z$152-'[26]Summary Total Pigs'!$AA$152</f>
        <v>17</v>
      </c>
      <c r="J71" s="170">
        <f>-'[27]Summary Total Pigs'!$Z$152-'[27]Summary Total Pigs'!$AA$152</f>
        <v>22</v>
      </c>
      <c r="K71" s="170">
        <f>-'[28]Summary Total Pigs'!$Z$152-'[28]Summary Total Pigs'!$AA$152</f>
        <v>19</v>
      </c>
      <c r="L71" s="170">
        <f>-'[29]Summary Total Pigs'!$Z$152-'[29]Summary Total Pigs'!$AA$152</f>
        <v>17</v>
      </c>
      <c r="M71" s="170">
        <f>-'[30]Summary Total Pigs'!$Z$152-'[30]Summary Total Pigs'!$AA$152</f>
        <v>24</v>
      </c>
    </row>
    <row r="72" spans="1:13">
      <c r="A72" s="31" t="s">
        <v>43</v>
      </c>
      <c r="B72" s="170">
        <v>0</v>
      </c>
      <c r="C72" s="170">
        <v>0</v>
      </c>
      <c r="D72" s="170">
        <v>0</v>
      </c>
      <c r="E72" s="170"/>
      <c r="F72" s="170"/>
      <c r="G72" s="170"/>
      <c r="H72" s="170"/>
      <c r="I72" s="170"/>
      <c r="J72" s="170"/>
      <c r="K72" s="170"/>
      <c r="L72" s="170"/>
      <c r="M72" s="170"/>
    </row>
    <row r="73" spans="1:13">
      <c r="A73" s="31" t="s">
        <v>44</v>
      </c>
      <c r="B73" s="170">
        <v>0</v>
      </c>
      <c r="C73" s="170">
        <v>0</v>
      </c>
      <c r="D73" s="170"/>
      <c r="E73" s="170"/>
      <c r="F73" s="170"/>
      <c r="G73" s="170"/>
      <c r="H73" s="170"/>
      <c r="I73" s="170"/>
      <c r="J73" s="170"/>
      <c r="K73" s="170"/>
      <c r="L73" s="170"/>
      <c r="M73" s="170"/>
    </row>
    <row r="74" spans="1:13">
      <c r="A74" s="34" t="s">
        <v>16</v>
      </c>
      <c r="B74" s="170"/>
      <c r="C74" s="170"/>
      <c r="D74" s="170"/>
      <c r="E74" s="170"/>
      <c r="F74" s="170"/>
      <c r="G74" s="170"/>
      <c r="H74" s="170"/>
      <c r="I74" s="170"/>
      <c r="J74" s="170"/>
      <c r="K74" s="170"/>
      <c r="L74" s="170"/>
      <c r="M74" s="170"/>
    </row>
    <row r="75" spans="1:13" s="37" customFormat="1">
      <c r="A75" s="35"/>
      <c r="B75" s="576">
        <f>SUM(B67:B73)</f>
        <v>1768</v>
      </c>
      <c r="C75" s="576">
        <f t="shared" ref="C75:K75" si="10">SUM(C67:C73)</f>
        <v>2376</v>
      </c>
      <c r="D75" s="576">
        <f t="shared" si="10"/>
        <v>3121</v>
      </c>
      <c r="E75" s="576">
        <f t="shared" si="10"/>
        <v>2680</v>
      </c>
      <c r="F75" s="576">
        <f t="shared" si="10"/>
        <v>2581</v>
      </c>
      <c r="G75" s="576">
        <f t="shared" si="10"/>
        <v>2875</v>
      </c>
      <c r="H75" s="576">
        <f t="shared" si="10"/>
        <v>2411</v>
      </c>
      <c r="I75" s="576">
        <f t="shared" si="10"/>
        <v>2398</v>
      </c>
      <c r="J75" s="576">
        <f t="shared" si="10"/>
        <v>2673</v>
      </c>
      <c r="K75" s="576">
        <f t="shared" si="10"/>
        <v>2926</v>
      </c>
      <c r="L75" s="576">
        <f t="shared" ref="L75:M75" si="11">SUM(L67:L73)</f>
        <v>2418</v>
      </c>
      <c r="M75" s="576">
        <f t="shared" si="11"/>
        <v>3261</v>
      </c>
    </row>
    <row r="76" spans="1:13">
      <c r="A76" s="34"/>
      <c r="B76" s="170"/>
      <c r="C76" s="170"/>
      <c r="D76" s="170"/>
      <c r="E76" s="170"/>
      <c r="F76" s="170"/>
      <c r="G76" s="170"/>
      <c r="H76" s="170"/>
      <c r="I76" s="170"/>
      <c r="J76" s="170"/>
      <c r="K76" s="170"/>
      <c r="L76" s="170"/>
      <c r="M76" s="170"/>
    </row>
    <row r="77" spans="1:13">
      <c r="A77" s="31" t="s">
        <v>45</v>
      </c>
      <c r="B77" s="170"/>
      <c r="C77" s="170"/>
      <c r="D77" s="170"/>
      <c r="E77" s="170"/>
      <c r="F77" s="170"/>
      <c r="G77" s="170"/>
      <c r="H77" s="170">
        <f>[13]Multiplier!$C$16-[13]Multiplier!$C$12</f>
        <v>5</v>
      </c>
      <c r="I77" s="170">
        <f>[14]Multiplier!$C$13-[14]Multiplier!$C$11</f>
        <v>0</v>
      </c>
      <c r="J77" s="170">
        <f>[15]Multiplier!$C$23-[15]Multiplier!$C$15</f>
        <v>706</v>
      </c>
      <c r="K77" s="166">
        <f>_xlfn.XLOOKUP(" Total:",[16]Multiplier!$A$1:$A$65536,[16]Multiplier!$C$1:$C$65536,0)-_xlfn.XLOOKUP("PCSAS",[16]Multiplier!$A$1:$A$65536,[16]Multiplier!$C$1:$C$65536,0)</f>
        <v>881</v>
      </c>
      <c r="L77" s="166">
        <f>_xlfn.XLOOKUP(" Total:",[17]Multiplier!$A$1:$A$65536,[17]Multiplier!$C$1:$C$65536,0)-_xlfn.XLOOKUP("PCSAS",[17]Multiplier!$A$1:$A$65536,[17]Multiplier!$C$1:$C$65536,0)</f>
        <v>950</v>
      </c>
      <c r="M77" s="166">
        <f>_xlfn.XLOOKUP(" Total:",[18]Multiplier!$A$1:$A$65536,[18]Multiplier!$C$1:$C$65536,0)-_xlfn.XLOOKUP("PCSAS",[18]Multiplier!$A$1:$A$65536,[18]Multiplier!$C$1:$C$65536,0)</f>
        <v>1196</v>
      </c>
    </row>
    <row r="78" spans="1:13">
      <c r="A78" s="31" t="s">
        <v>46</v>
      </c>
      <c r="B78" s="170"/>
      <c r="C78" s="170"/>
      <c r="D78" s="170"/>
      <c r="E78" s="170"/>
      <c r="F78" s="170"/>
      <c r="G78" s="170"/>
      <c r="H78" s="170"/>
      <c r="I78" s="170"/>
      <c r="J78" s="170"/>
      <c r="K78" s="166">
        <v>0</v>
      </c>
      <c r="L78" s="166">
        <v>0</v>
      </c>
      <c r="M78" s="166">
        <v>0</v>
      </c>
    </row>
    <row r="79" spans="1:13">
      <c r="A79" s="31" t="s">
        <v>47</v>
      </c>
      <c r="B79" s="170"/>
      <c r="C79" s="170"/>
      <c r="D79" s="170"/>
      <c r="E79" s="170"/>
      <c r="F79" s="170"/>
      <c r="G79" s="170"/>
      <c r="H79" s="170"/>
      <c r="I79" s="170"/>
      <c r="J79" s="170"/>
      <c r="K79" s="166">
        <v>0</v>
      </c>
      <c r="L79" s="166">
        <v>0</v>
      </c>
      <c r="M79" s="166">
        <v>0</v>
      </c>
    </row>
    <row r="80" spans="1:13">
      <c r="A80" s="31" t="s">
        <v>48</v>
      </c>
      <c r="B80" s="170">
        <f>[7]Multiplier!$C$14</f>
        <v>1</v>
      </c>
      <c r="C80" s="170">
        <v>0</v>
      </c>
      <c r="D80" s="170">
        <f>[9]Multiplier!$C$13</f>
        <v>11</v>
      </c>
      <c r="E80" s="170">
        <f>[10]Multiplier!$C$13</f>
        <v>6</v>
      </c>
      <c r="F80" s="170">
        <f>[11]Multiplier!$C$16</f>
        <v>12</v>
      </c>
      <c r="G80" s="170">
        <f>[12]Multiplier!$C$13</f>
        <v>12</v>
      </c>
      <c r="H80" s="170">
        <f>[13]Multiplier!$C$12</f>
        <v>25</v>
      </c>
      <c r="I80" s="170">
        <f>[14]Multiplier!$C$11</f>
        <v>15</v>
      </c>
      <c r="J80" s="170">
        <f>[15]Multiplier!$C$15</f>
        <v>30</v>
      </c>
      <c r="K80" s="166">
        <f>_xlfn.XLOOKUP("PCSAS",[16]Multiplier!$A$1:$A$65536,[16]Multiplier!$C$1:$C$65536,0)</f>
        <v>25</v>
      </c>
      <c r="L80" s="166">
        <f>_xlfn.XLOOKUP("PCSAS",[17]Multiplier!$A$1:$A$65536,[17]Multiplier!$C$1:$C$65536,0)</f>
        <v>26</v>
      </c>
      <c r="M80" s="166">
        <f>_xlfn.XLOOKUP("PCSAS",[18]Multiplier!$A$1:$A$65536,[18]Multiplier!$C$1:$C$65536,0)</f>
        <v>26</v>
      </c>
    </row>
    <row r="81" spans="1:13">
      <c r="A81" s="31" t="s">
        <v>49</v>
      </c>
      <c r="B81" s="170"/>
      <c r="C81" s="170"/>
      <c r="D81" s="170"/>
      <c r="E81" s="170"/>
      <c r="F81" s="170"/>
      <c r="G81" s="170"/>
      <c r="H81" s="170"/>
      <c r="I81" s="170"/>
      <c r="J81" s="170"/>
      <c r="K81" s="170"/>
      <c r="L81" s="170"/>
      <c r="M81" s="170"/>
    </row>
    <row r="82" spans="1:13">
      <c r="A82" s="31" t="s">
        <v>50</v>
      </c>
      <c r="B82" s="170"/>
      <c r="C82" s="170"/>
      <c r="D82" s="170"/>
      <c r="E82" s="170"/>
      <c r="F82" s="170">
        <f>-SUM('[23]Multiplier Pig Cost '!$AV$23)</f>
        <v>213</v>
      </c>
      <c r="G82" s="170">
        <f>-SUM('[24]Multiplier Pig Cost '!$AV$23)</f>
        <v>375</v>
      </c>
      <c r="H82" s="170">
        <f>-SUM('[25]Multiplier Pig Cost '!$AV$23)</f>
        <v>309</v>
      </c>
      <c r="I82" s="170">
        <f>-SUM('[26]Multiplier Pig Cost '!$AV$23)</f>
        <v>315</v>
      </c>
      <c r="J82" s="170">
        <f>-SUM('[27]Multiplier Pig Cost '!$AV$23)</f>
        <v>404</v>
      </c>
      <c r="K82" s="170">
        <f>-SUM('[28]Multiplier Pig Cost '!$AV$23)</f>
        <v>316</v>
      </c>
      <c r="L82" s="170">
        <f>-SUM('[29]Multiplier Pig Cost '!$AV$23)</f>
        <v>312</v>
      </c>
      <c r="M82" s="170">
        <f>-SUM('[30]Multiplier Pig Cost '!$AV$23)</f>
        <v>393</v>
      </c>
    </row>
    <row r="83" spans="1:13">
      <c r="A83" s="31" t="s">
        <v>51</v>
      </c>
      <c r="B83" s="170"/>
      <c r="C83" s="170"/>
      <c r="D83" s="170"/>
      <c r="E83" s="170"/>
      <c r="F83" s="170"/>
      <c r="G83" s="170"/>
      <c r="H83" s="170"/>
      <c r="I83" s="170"/>
      <c r="J83" s="170"/>
      <c r="K83" s="170"/>
      <c r="L83" s="170"/>
      <c r="M83" s="170"/>
    </row>
    <row r="84" spans="1:13">
      <c r="A84" s="34" t="s">
        <v>16</v>
      </c>
      <c r="B84" s="170"/>
      <c r="C84" s="170"/>
      <c r="D84" s="170"/>
      <c r="E84" s="170"/>
      <c r="F84" s="170"/>
      <c r="G84" s="170"/>
      <c r="H84" s="170"/>
      <c r="I84" s="170"/>
      <c r="J84" s="170"/>
      <c r="K84" s="170"/>
      <c r="L84" s="170"/>
      <c r="M84" s="170"/>
    </row>
    <row r="85" spans="1:13" hidden="1">
      <c r="A85" s="34"/>
      <c r="B85" s="170"/>
      <c r="C85" s="170"/>
      <c r="D85" s="170"/>
      <c r="E85" s="170"/>
      <c r="F85" s="170"/>
      <c r="G85" s="170"/>
      <c r="H85" s="170"/>
      <c r="I85" s="170"/>
      <c r="J85" s="170"/>
      <c r="K85" s="170"/>
      <c r="L85" s="170"/>
      <c r="M85" s="170"/>
    </row>
    <row r="86" spans="1:13" hidden="1">
      <c r="A86" s="34"/>
      <c r="B86" s="170"/>
      <c r="C86" s="170"/>
      <c r="D86" s="170"/>
      <c r="E86" s="170"/>
      <c r="F86" s="170"/>
      <c r="G86" s="170"/>
      <c r="H86" s="170"/>
      <c r="I86" s="170"/>
      <c r="J86" s="170"/>
      <c r="K86" s="170"/>
      <c r="L86" s="170"/>
      <c r="M86" s="170"/>
    </row>
    <row r="87" spans="1:13" hidden="1">
      <c r="A87" s="34"/>
      <c r="B87" s="170"/>
      <c r="C87" s="170"/>
      <c r="D87" s="170"/>
      <c r="E87" s="170"/>
      <c r="F87" s="170"/>
      <c r="G87" s="170"/>
      <c r="H87" s="170"/>
      <c r="I87" s="170"/>
      <c r="J87" s="170"/>
      <c r="K87" s="170"/>
      <c r="L87" s="170"/>
      <c r="M87" s="170"/>
    </row>
    <row r="88" spans="1:13" hidden="1">
      <c r="A88" s="34"/>
      <c r="B88" s="170"/>
      <c r="C88" s="170"/>
      <c r="D88" s="170"/>
      <c r="E88" s="170"/>
      <c r="F88" s="170"/>
      <c r="G88" s="170"/>
      <c r="H88" s="170"/>
      <c r="I88" s="170"/>
      <c r="J88" s="170"/>
      <c r="K88" s="170"/>
      <c r="L88" s="170"/>
      <c r="M88" s="170"/>
    </row>
    <row r="89" spans="1:13" hidden="1">
      <c r="A89" s="34"/>
      <c r="B89" s="170"/>
      <c r="C89" s="170"/>
      <c r="D89" s="170"/>
      <c r="E89" s="170"/>
      <c r="F89" s="170"/>
      <c r="G89" s="170"/>
      <c r="H89" s="170"/>
      <c r="I89" s="170"/>
      <c r="J89" s="170"/>
      <c r="K89" s="170"/>
      <c r="L89" s="170"/>
      <c r="M89" s="170"/>
    </row>
    <row r="90" spans="1:13" hidden="1">
      <c r="A90" s="34"/>
      <c r="B90" s="170"/>
      <c r="C90" s="170"/>
      <c r="D90" s="170"/>
      <c r="E90" s="170"/>
      <c r="F90" s="170"/>
      <c r="G90" s="170"/>
      <c r="H90" s="170"/>
      <c r="I90" s="170"/>
      <c r="J90" s="170"/>
      <c r="K90" s="170"/>
      <c r="L90" s="170"/>
      <c r="M90" s="170"/>
    </row>
    <row r="91" spans="1:13">
      <c r="A91" s="34"/>
      <c r="B91" s="170">
        <f>SUM(B80:B84)</f>
        <v>1</v>
      </c>
      <c r="C91" s="170">
        <f t="shared" ref="C91:K91" si="12">SUM(C80:C84)</f>
        <v>0</v>
      </c>
      <c r="D91" s="170">
        <f t="shared" si="12"/>
        <v>11</v>
      </c>
      <c r="E91" s="170">
        <f t="shared" si="12"/>
        <v>6</v>
      </c>
      <c r="F91" s="170">
        <f t="shared" si="12"/>
        <v>225</v>
      </c>
      <c r="G91" s="170">
        <f t="shared" si="12"/>
        <v>387</v>
      </c>
      <c r="H91" s="170">
        <f t="shared" si="12"/>
        <v>334</v>
      </c>
      <c r="I91" s="170">
        <f t="shared" si="12"/>
        <v>330</v>
      </c>
      <c r="J91" s="170">
        <f t="shared" si="12"/>
        <v>434</v>
      </c>
      <c r="K91" s="170">
        <f t="shared" si="12"/>
        <v>341</v>
      </c>
      <c r="L91" s="170">
        <f t="shared" ref="L91:M91" si="13">SUM(L80:L84)</f>
        <v>338</v>
      </c>
      <c r="M91" s="170">
        <f t="shared" si="13"/>
        <v>419</v>
      </c>
    </row>
    <row r="92" spans="1:13">
      <c r="A92" s="34" t="s">
        <v>72</v>
      </c>
      <c r="B92" s="162">
        <f>SUM(B25+B26+B27+B28+B35+B36+B37+B38+B45+B46+B47+B48+B55+B56+B57+B58+B67+B68+B69+B70+B77+B78+B79+B80)</f>
        <v>12702</v>
      </c>
      <c r="C92" s="162">
        <f>SUM(C25+C26+C27+C28+C35+C36+C37+C38+C45+C46+C47+C48+C55+C56+C57+C58+C67+C68+C69+C70+C77+C78+C79+C80)</f>
        <v>12574</v>
      </c>
      <c r="D92" s="162">
        <f>SUM(D25+D26+D27+D28+D35+D36+D37+D38+D45+D46+D47+D48+D55+D56+D57+D58+D67+D68+D69+D70+D77+D78+D79+D80)</f>
        <v>16281</v>
      </c>
      <c r="E92" s="162">
        <f t="shared" ref="E92:H92" si="14">SUM(E25+E26+E27+E28+E35+E36+E37+E38+E45+E46+E47+E48+E55+E56+E57+E59)</f>
        <v>10937</v>
      </c>
      <c r="F92" s="162">
        <f>SUM(F25+F26+F27+F28+F35+F36+F37+F38+F45+F46+F47+F48+F55+F56+F57+F58+F67+F68+F69+F70+F77+F78+F79+F80)</f>
        <v>12833</v>
      </c>
      <c r="G92" s="162">
        <f t="shared" si="14"/>
        <v>13372</v>
      </c>
      <c r="H92" s="162">
        <f t="shared" si="14"/>
        <v>10667</v>
      </c>
      <c r="I92" s="162">
        <f>SUM(I25+I26+I27+I28+I35+I36+I37+I38+I45+I46+I47+I48+I55+I56+I57+I58+I67+I68+I69+I70+I77+I78+I79+I80)</f>
        <v>13661</v>
      </c>
      <c r="J92" s="162">
        <f>SUM(J25+J26+J27+J28+J35+J36+J37+J38+J45+J46+J47+J48+J55+J56+J57+J58+J67+J68+J69+J70+J77+J78+J79+J80)</f>
        <v>17690</v>
      </c>
      <c r="K92" s="162">
        <f t="shared" ref="K92" si="15">SUM(K25+K26+K27+K28+K35+K36+K37+K38+K45+K46+K47+K48+K55+K56+K57+K58+K67+K68+K69+K70+K77+K78+K79+K80)</f>
        <v>14840</v>
      </c>
      <c r="L92" s="162">
        <f t="shared" ref="L92:M92" si="16">SUM(L25+L26+L27+L28+L35+L36+L37+L38+L45+L46+L47+L48+L55+L56+L57+L58+L67+L68+L69+L70+L77+L78+L79+L80)</f>
        <v>14725</v>
      </c>
      <c r="M92" s="162">
        <f t="shared" si="16"/>
        <v>19340</v>
      </c>
    </row>
    <row r="93" spans="1:13">
      <c r="B93" s="171"/>
      <c r="C93" s="171"/>
      <c r="D93" s="171"/>
      <c r="E93" s="171"/>
      <c r="F93" s="171"/>
      <c r="G93" s="171"/>
      <c r="H93" s="171"/>
      <c r="I93" s="171"/>
      <c r="J93" s="171"/>
      <c r="K93" s="171"/>
      <c r="L93" s="171"/>
      <c r="M93" s="171"/>
    </row>
    <row r="94" spans="1:13">
      <c r="B94" s="171"/>
      <c r="C94" s="171"/>
      <c r="D94" s="171"/>
      <c r="E94" s="171"/>
      <c r="F94" s="171"/>
      <c r="G94" s="171"/>
      <c r="H94" s="171"/>
      <c r="I94" s="171"/>
      <c r="J94" s="171"/>
      <c r="K94" s="171"/>
      <c r="L94" s="171"/>
      <c r="M94" s="171"/>
    </row>
    <row r="95" spans="1:13">
      <c r="A95" s="19" t="s">
        <v>53</v>
      </c>
      <c r="B95" s="171">
        <f t="shared" ref="B95:K95" si="17">B27+B37+B47+B57</f>
        <v>1352</v>
      </c>
      <c r="C95" s="171">
        <f t="shared" si="17"/>
        <v>1207</v>
      </c>
      <c r="D95" s="171">
        <f t="shared" si="17"/>
        <v>1765</v>
      </c>
      <c r="E95" s="171">
        <f t="shared" si="17"/>
        <v>1391</v>
      </c>
      <c r="F95" s="171">
        <f t="shared" si="17"/>
        <v>1249</v>
      </c>
      <c r="G95" s="171">
        <f t="shared" si="17"/>
        <v>1542</v>
      </c>
      <c r="H95" s="171">
        <f t="shared" si="17"/>
        <v>1281</v>
      </c>
      <c r="I95" s="171">
        <f>I27+I37+I47+I57+I69+I79</f>
        <v>1327</v>
      </c>
      <c r="J95" s="171">
        <f t="shared" si="17"/>
        <v>1992</v>
      </c>
      <c r="K95" s="171">
        <f t="shared" si="17"/>
        <v>1415</v>
      </c>
      <c r="L95" s="171">
        <f t="shared" ref="L95" si="18">L27+L37+L47+L57</f>
        <v>1383</v>
      </c>
      <c r="M95" s="171">
        <f>M27+M37+M47+M57+M69+M79</f>
        <v>2005</v>
      </c>
    </row>
    <row r="96" spans="1:13">
      <c r="A96" s="19" t="s">
        <v>73</v>
      </c>
      <c r="B96" s="171">
        <f t="shared" ref="B96:K96" si="19">B26+B36+B46+B56</f>
        <v>586</v>
      </c>
      <c r="C96" s="171">
        <f t="shared" si="19"/>
        <v>569</v>
      </c>
      <c r="D96" s="171">
        <f t="shared" si="19"/>
        <v>649</v>
      </c>
      <c r="E96" s="171">
        <f t="shared" si="19"/>
        <v>534</v>
      </c>
      <c r="F96" s="171">
        <f t="shared" si="19"/>
        <v>423</v>
      </c>
      <c r="G96" s="171">
        <f t="shared" si="19"/>
        <v>760</v>
      </c>
      <c r="H96" s="171">
        <f t="shared" si="19"/>
        <v>704</v>
      </c>
      <c r="I96" s="171">
        <f>I26+I36+I46+I56+I68+I78</f>
        <v>698</v>
      </c>
      <c r="J96" s="171">
        <f t="shared" si="19"/>
        <v>932</v>
      </c>
      <c r="K96" s="171">
        <f t="shared" si="19"/>
        <v>633</v>
      </c>
      <c r="L96" s="171">
        <f t="shared" ref="L96" si="20">L26+L36+L46+L56</f>
        <v>728</v>
      </c>
      <c r="M96" s="171">
        <f>M26+M36+M46+M56+M68+M78</f>
        <v>1011</v>
      </c>
    </row>
    <row r="101" spans="12:12">
      <c r="L101" s="30">
        <f>+L92-[17]Summary.!$C$28</f>
        <v>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AA79-F875-4043-90BA-9310BEE82D24}">
  <sheetPr codeName="Sheet3">
    <tabColor rgb="FF00B0F0"/>
  </sheetPr>
  <dimension ref="A2:V101"/>
  <sheetViews>
    <sheetView topLeftCell="A64" zoomScale="80" zoomScaleNormal="80" workbookViewId="0">
      <selection activeCell="N21" sqref="N21"/>
    </sheetView>
  </sheetViews>
  <sheetFormatPr defaultColWidth="7.7109375" defaultRowHeight="19.5" customHeight="1"/>
  <cols>
    <col min="1" max="1" width="37" style="19" bestFit="1" customWidth="1"/>
    <col min="2" max="2" width="12.42578125" style="19" customWidth="1"/>
    <col min="3" max="3" width="12" style="19" bestFit="1" customWidth="1"/>
    <col min="4" max="4" width="12.85546875" style="19" bestFit="1" customWidth="1"/>
    <col min="5" max="5" width="12.7109375" style="19" customWidth="1"/>
    <col min="6" max="7" width="12.85546875" style="19" bestFit="1" customWidth="1"/>
    <col min="8" max="8" width="12.42578125" style="19" bestFit="1" customWidth="1"/>
    <col min="9" max="9" width="12.42578125" style="19" customWidth="1"/>
    <col min="10" max="10" width="13.7109375" style="19" customWidth="1"/>
    <col min="11" max="12" width="12.85546875" style="19" bestFit="1" customWidth="1"/>
    <col min="13" max="13" width="12.7109375" style="19" customWidth="1"/>
    <col min="14" max="14" width="20.7109375" style="24" customWidth="1"/>
    <col min="15" max="15" width="18" style="19" bestFit="1" customWidth="1"/>
    <col min="16" max="16" width="11.5703125" style="19" customWidth="1"/>
    <col min="17" max="17" width="10.140625" style="19" customWidth="1"/>
    <col min="18" max="18" width="11.42578125" style="19" customWidth="1"/>
    <col min="19" max="19" width="10.85546875" style="19" customWidth="1"/>
    <col min="20" max="20" width="11.42578125" style="19" customWidth="1"/>
    <col min="21" max="21" width="11.28515625" style="19" customWidth="1"/>
    <col min="22" max="22" width="11.5703125" style="19" customWidth="1"/>
    <col min="23" max="16384" width="7.7109375" style="19"/>
  </cols>
  <sheetData>
    <row r="2" spans="1:15" ht="19.5" customHeight="1">
      <c r="A2" s="18" t="s">
        <v>74</v>
      </c>
      <c r="N2" s="20" t="s">
        <v>55</v>
      </c>
    </row>
    <row r="3" spans="1:15" ht="19.5" customHeight="1">
      <c r="N3" s="21" t="s">
        <v>75</v>
      </c>
    </row>
    <row r="14" spans="1:15" ht="19.5" customHeight="1">
      <c r="O14" s="30">
        <f>J18-[16]Summary.!$E$29</f>
        <v>1611298.2200000002</v>
      </c>
    </row>
    <row r="17" spans="1:22" ht="19.5" customHeight="1" thickBot="1">
      <c r="A17" s="375"/>
      <c r="B17" s="376">
        <v>45839</v>
      </c>
      <c r="C17" s="376">
        <v>45870</v>
      </c>
      <c r="D17" s="376">
        <v>45901</v>
      </c>
      <c r="E17" s="376">
        <v>45931</v>
      </c>
      <c r="F17" s="376">
        <v>45962</v>
      </c>
      <c r="G17" s="376">
        <v>45992</v>
      </c>
      <c r="H17" s="376">
        <v>46023</v>
      </c>
      <c r="I17" s="376">
        <v>46054</v>
      </c>
      <c r="J17" s="376">
        <v>46082</v>
      </c>
      <c r="K17" s="376">
        <v>46113</v>
      </c>
      <c r="L17" s="376">
        <v>46143</v>
      </c>
      <c r="M17" s="376">
        <v>46174</v>
      </c>
    </row>
    <row r="18" spans="1:22" ht="19.5" customHeight="1" thickBot="1">
      <c r="A18" s="377" t="s">
        <v>59</v>
      </c>
      <c r="B18" s="378">
        <f t="shared" ref="B18:H18" si="0">SUM(B24+B25+B26+B27+B34+B35+B36+B37+B44+B45+B46+B47+B54+B55+B56+B57+B63+B64+B65+B66+B73+B74+B75+B76)</f>
        <v>1215463.2000000002</v>
      </c>
      <c r="C18" s="378">
        <f t="shared" si="0"/>
        <v>1195438.1000000001</v>
      </c>
      <c r="D18" s="378">
        <f t="shared" si="0"/>
        <v>1506419.5</v>
      </c>
      <c r="E18" s="378">
        <f t="shared" si="0"/>
        <v>1245267.5</v>
      </c>
      <c r="F18" s="378">
        <f t="shared" si="0"/>
        <v>1167318</v>
      </c>
      <c r="G18" s="378">
        <f t="shared" si="0"/>
        <v>1474122.5000000002</v>
      </c>
      <c r="H18" s="378">
        <f t="shared" si="0"/>
        <v>1217593.8</v>
      </c>
      <c r="I18" s="378">
        <f>SUM(I24+I25+I26+I27+I34+I35+I36+I37+I44+I45+I46+I47+I54+I55+I56+I57+I63+I64+I65+I66+I73+I74+I75+I76)</f>
        <v>1260277</v>
      </c>
      <c r="J18" s="378">
        <f>SUM(J24+J25+J26+J27+J34+J35+J36+J37+J44+J45+J46+J47+J54+J55+J56+J57+J63+J64+J65+J66+J73+J74+J75+J76)</f>
        <v>1611298.2200000002</v>
      </c>
      <c r="K18" s="378">
        <f t="shared" ref="K18:M18" si="1">SUM(K24+K25+K26+K27+K34+K35+K36+K37+K44+K45+K46+K47+K54+K55+K56+K57+K63+K64+K65+K66+K73+K74+K75+K76)</f>
        <v>1377302.2</v>
      </c>
      <c r="L18" s="378">
        <f t="shared" si="1"/>
        <v>1368458.2000000002</v>
      </c>
      <c r="M18" s="378">
        <f t="shared" si="1"/>
        <v>1812956.3000000005</v>
      </c>
      <c r="N18" s="374">
        <f>SUM(B18:M18)</f>
        <v>16451914.520000003</v>
      </c>
      <c r="P18" s="27"/>
    </row>
    <row r="19" spans="1:22" ht="18" customHeight="1" thickBot="1">
      <c r="A19" s="379" t="s">
        <v>76</v>
      </c>
      <c r="B19" s="380">
        <f>'[3]Combined total CDM to Colco (7)'!B24</f>
        <v>1175743.4250150735</v>
      </c>
      <c r="C19" s="380">
        <f>'[3]Combined total CDM to Colco (7)'!C24</f>
        <v>1209149.7915001935</v>
      </c>
      <c r="D19" s="380">
        <f>'[3]Combined total CDM to Colco (7)'!D24</f>
        <v>1453513.0342879905</v>
      </c>
      <c r="E19" s="380">
        <f>'[3]Combined total CDM to Colco (7)'!E24</f>
        <v>1199663.7496776844</v>
      </c>
      <c r="F19" s="380">
        <f>'[3]Combined total CDM to Colco (7)'!F24</f>
        <v>1196354.5086271053</v>
      </c>
      <c r="G19" s="380">
        <f>'[3]Combined total CDM to Colco (7)'!G24</f>
        <v>1482668.3631143211</v>
      </c>
      <c r="H19" s="380">
        <f>'[3]Combined total CDM to Colco (7)'!H24</f>
        <v>1198721.9520033416</v>
      </c>
      <c r="I19" s="380">
        <f>'[3]Combined total CDM to Colco (7)'!I24</f>
        <v>1209662.4787687059</v>
      </c>
      <c r="J19" s="380">
        <f>'[3]Combined total CDM to Colco (7)'!J24</f>
        <v>1564791.296371605</v>
      </c>
      <c r="K19" s="380">
        <f>'[3]Combined total CDM to Colco (7)'!K24</f>
        <v>1283270.328414015</v>
      </c>
      <c r="L19" s="380">
        <f>'[3]Combined total CDM to Colco (7)'!L24</f>
        <v>1283270.328414015</v>
      </c>
      <c r="M19" s="381">
        <f>'[3]Combined total CDM to Colco (7)'!M24</f>
        <v>1582776.7564486819</v>
      </c>
      <c r="N19" s="374">
        <f>SUM(B19:M19)</f>
        <v>15839586.012642736</v>
      </c>
      <c r="O19" s="385">
        <f>N18-N19</f>
        <v>612328.50735726766</v>
      </c>
      <c r="P19" s="27" t="s">
        <v>4</v>
      </c>
    </row>
    <row r="20" spans="1:22" s="156" customFormat="1" ht="19.5" customHeight="1" thickBot="1">
      <c r="A20" s="382" t="s">
        <v>60</v>
      </c>
      <c r="B20" s="383">
        <f>'[4]Combined total CDM to Colco (7)'!B23</f>
        <v>924163.30000000016</v>
      </c>
      <c r="C20" s="383">
        <f>'[4]Combined total CDM to Colco (7)'!C23</f>
        <v>886846.80000000028</v>
      </c>
      <c r="D20" s="383">
        <f>'[4]Combined total CDM to Colco (7)'!D23</f>
        <v>1273189.5000000005</v>
      </c>
      <c r="E20" s="383">
        <f>'[4]Combined total CDM to Colco (7)'!E23</f>
        <v>1011221.3200000001</v>
      </c>
      <c r="F20" s="383">
        <f>'[4]Combined total CDM to Colco (7)'!F23</f>
        <v>1000724.2</v>
      </c>
      <c r="G20" s="383">
        <f>'[4]Combined total CDM to Colco (7)'!G23</f>
        <v>1129937.0400000005</v>
      </c>
      <c r="H20" s="383">
        <f>'[4]Combined total CDM to Colco (7)'!H23</f>
        <v>1056919.3</v>
      </c>
      <c r="I20" s="383">
        <f>'[4]Combined total CDM to Colco (7)'!I23</f>
        <v>1010683.9999999998</v>
      </c>
      <c r="J20" s="383">
        <f>'[4]Combined total CDM to Colco (7)'!J23</f>
        <v>1270671.4999999998</v>
      </c>
      <c r="K20" s="383">
        <f>'[4]Combined total CDM to Colco (7)'!K23</f>
        <v>981968.77368421049</v>
      </c>
      <c r="L20" s="383">
        <f>'[4]Combined total CDM to Colco (7)'!L23</f>
        <v>1047240.0000000001</v>
      </c>
      <c r="M20" s="384">
        <f>'[4]Combined total CDM to Colco (7)'!M23</f>
        <v>1272560.2</v>
      </c>
      <c r="N20" s="374">
        <f>SUM(B20:M20)</f>
        <v>12866125.933684211</v>
      </c>
      <c r="O20" s="386">
        <f>N18-N20</f>
        <v>3585788.5863157921</v>
      </c>
      <c r="P20" s="206" t="s">
        <v>77</v>
      </c>
      <c r="Q20" s="157"/>
      <c r="R20" s="157"/>
      <c r="S20" s="157"/>
      <c r="T20" s="157"/>
      <c r="U20" s="157"/>
      <c r="V20" s="157"/>
    </row>
    <row r="21" spans="1:22" s="34" customFormat="1" ht="19.5" customHeight="1">
      <c r="B21" s="162"/>
      <c r="C21" s="162"/>
      <c r="D21" s="162"/>
      <c r="E21" s="162"/>
      <c r="F21" s="162"/>
      <c r="G21" s="162"/>
      <c r="H21" s="162"/>
      <c r="I21" s="162"/>
      <c r="J21" s="162"/>
      <c r="K21" s="162"/>
      <c r="L21" s="162"/>
      <c r="M21" s="162"/>
      <c r="N21" s="158"/>
      <c r="P21" s="159"/>
      <c r="Q21" s="159"/>
      <c r="R21" s="159"/>
      <c r="S21" s="159"/>
      <c r="T21" s="159"/>
      <c r="U21" s="159"/>
      <c r="V21" s="159"/>
    </row>
    <row r="22" spans="1:22" ht="19.5" customHeight="1">
      <c r="A22" s="28"/>
      <c r="B22" s="163"/>
      <c r="C22" s="163"/>
      <c r="D22" s="163"/>
      <c r="E22" s="163"/>
      <c r="F22" s="163"/>
      <c r="G22" s="163"/>
      <c r="H22" s="163"/>
      <c r="I22" s="163"/>
      <c r="J22" s="163"/>
      <c r="K22" s="163"/>
      <c r="L22" s="163"/>
      <c r="M22" s="163"/>
    </row>
    <row r="23" spans="1:22" ht="19.5" customHeight="1">
      <c r="A23" s="31"/>
      <c r="B23" s="42">
        <v>45839</v>
      </c>
      <c r="C23" s="42">
        <v>45870</v>
      </c>
      <c r="D23" s="42">
        <v>45901</v>
      </c>
      <c r="E23" s="42">
        <v>45931</v>
      </c>
      <c r="F23" s="42">
        <v>45962</v>
      </c>
      <c r="G23" s="42">
        <v>45992</v>
      </c>
      <c r="H23" s="42">
        <v>46023</v>
      </c>
      <c r="I23" s="42">
        <v>46054</v>
      </c>
      <c r="J23" s="42">
        <v>46082</v>
      </c>
      <c r="K23" s="42">
        <v>46113</v>
      </c>
      <c r="L23" s="42">
        <v>46143</v>
      </c>
      <c r="M23" s="42">
        <v>46174</v>
      </c>
    </row>
    <row r="24" spans="1:22" ht="19.5" customHeight="1">
      <c r="A24" s="31" t="s">
        <v>9</v>
      </c>
      <c r="B24" s="168">
        <f>[7]CCC!$E$28-[7]CCC!$E$17</f>
        <v>378373.2</v>
      </c>
      <c r="C24" s="168">
        <f>[8]CCC!$E$27</f>
        <v>342487.2</v>
      </c>
      <c r="D24" s="166">
        <f>[9]CCC!$E$27-[9]CCC!$E$16</f>
        <v>435961.2</v>
      </c>
      <c r="E24" s="166">
        <f>[10]CCC!$E$27-[10]CCC!$E$28</f>
        <v>351020.10000000003</v>
      </c>
      <c r="F24" s="166">
        <f>[11]CCC!$E$26-[11]CCC!$E$16</f>
        <v>338142.3</v>
      </c>
      <c r="G24" s="166">
        <f>[12]CCC!$E$27-[12]CCC!$E$17</f>
        <v>427420.00000000006</v>
      </c>
      <c r="H24" s="166">
        <f>[13]CCC!$E$27-[13]CCC!$E$17</f>
        <v>352852.9</v>
      </c>
      <c r="I24" s="166">
        <f>[14]CCC!$E$26-[14]CCC!$E$16</f>
        <v>364729.3</v>
      </c>
      <c r="J24" s="166">
        <f>[15]CCC!$E$28-[15]CCC!$E$17</f>
        <v>447422.82</v>
      </c>
      <c r="K24" s="166">
        <f>_xlfn.XLOOKUP(" Total:",[16]CCC!$A$1:$A$65536,[16]CCC!$E$1:$E$65536,0)-_xlfn.XLOOKUP("PCSAS",[16]CCC!$A$1:$A$65536,[16]CCC!$E$1:$E$65536,0)</f>
        <v>368780.30000000005</v>
      </c>
      <c r="L24" s="166">
        <f>_xlfn.XLOOKUP(" Total:",[17]CCC!$A$1:$A$65536,[17]CCC!$E$1:$E$65536,0)-_xlfn.XLOOKUP("PCSAS",[17]CCC!$A$1:$A$65536,[17]CCC!$E$1:$E$65536,0)</f>
        <v>383322.7</v>
      </c>
      <c r="M24" s="166">
        <f>_xlfn.XLOOKUP(" Total:",[18]CCC!$A$1:$A$65536,[18]CCC!$E$1:$E$65536,0)-_xlfn.XLOOKUP("PCSAS",[18]CCC!$A$1:$A$65536,[18]CCC!$E$1:$E$65536,0)</f>
        <v>498813.4</v>
      </c>
    </row>
    <row r="25" spans="1:22" ht="19.5" customHeight="1">
      <c r="A25" s="31" t="s">
        <v>10</v>
      </c>
      <c r="B25" s="168">
        <f>'[7]CCC Extension'!$E$13</f>
        <v>0</v>
      </c>
      <c r="C25" s="168">
        <f>'[8]CCC Extension'!$E$18</f>
        <v>0</v>
      </c>
      <c r="D25" s="166">
        <v>0</v>
      </c>
      <c r="E25" s="166">
        <v>0</v>
      </c>
      <c r="F25" s="166"/>
      <c r="G25" s="166">
        <f>'[12]CCC Extension'!$E$7</f>
        <v>0</v>
      </c>
      <c r="H25" s="166"/>
      <c r="I25" s="166">
        <v>0</v>
      </c>
      <c r="J25" s="166"/>
      <c r="K25" s="166"/>
      <c r="L25" s="166">
        <f>_xlfn.XLOOKUP(" Total:",'[17]CCC Ext'!$A$1:$A$65536,'[17]CCC Ext'!$E$1:$E$65536,0)-_xlfn.XLOOKUP("PCSAS",'[17]CCC Ext'!$A$1:$A$65536,'[17]CCC Ext'!$E$1:$E$65536,0)</f>
        <v>4063.6</v>
      </c>
      <c r="M25" s="166">
        <f>_xlfn.XLOOKUP(" Total:",'[18]CCC Ext'!$A$1:$A$65536,'[18]CCC Ext'!$E$1:$E$65536,0)-_xlfn.XLOOKUP("PCSAS",'[18]CCC Ext'!$A$1:$A$65536,'[18]CCC Ext'!$E$1:$E$65536,0)</f>
        <v>0</v>
      </c>
    </row>
    <row r="26" spans="1:22" ht="19.5" customHeight="1">
      <c r="A26" s="31" t="s">
        <v>11</v>
      </c>
      <c r="B26" s="168">
        <f>'[7]Learig CCC'!$E$24</f>
        <v>78886</v>
      </c>
      <c r="C26" s="168">
        <f>'[8]Learig CCC'!$E$22</f>
        <v>81799.5</v>
      </c>
      <c r="D26" s="166">
        <f>'[9]Learig CCC'!$E$22</f>
        <v>103819.3</v>
      </c>
      <c r="E26" s="166">
        <f>'[10]Learig CCC'!$E$24</f>
        <v>99547.7</v>
      </c>
      <c r="F26" s="166">
        <f>'[11]Learig CCC'!$E$22</f>
        <v>88266.6</v>
      </c>
      <c r="G26" s="166">
        <f>'[12]Learig CCC'!$E$24</f>
        <v>102456.5</v>
      </c>
      <c r="H26" s="166">
        <f>'[13]Learig CCC'!$E$24</f>
        <v>94024.5</v>
      </c>
      <c r="I26" s="166">
        <f>'[14]Learig CCC'!$E$23</f>
        <v>97851.400000000009</v>
      </c>
      <c r="J26" s="166">
        <f>'[15]Learig CCC'!$E$24</f>
        <v>154979.5</v>
      </c>
      <c r="K26" s="166">
        <f>_xlfn.XLOOKUP(" Total:",'[16]Learig CCC'!$A$1:$A$65536,'[16]Learig CCC'!$E$1:$E$65536,0)-_xlfn.XLOOKUP("PCSAS",'[16]Learig CCC'!$A$1:$A$65536,'[16]Learig CCC'!$E$1:$E$65536,0)</f>
        <v>116751.90000000001</v>
      </c>
      <c r="L26" s="166">
        <f>_xlfn.XLOOKUP(" Total:",'[17]Learig CCC'!$A$1:$A$65536,'[17]Learig CCC'!$E$1:$E$65536,0)-_xlfn.XLOOKUP("PCSAS",'[17]Learig CCC'!$A$1:$A$65536,'[17]Learig CCC'!$E$1:$E$65536,0)</f>
        <v>100896.1</v>
      </c>
      <c r="M26" s="166">
        <f>_xlfn.XLOOKUP(" Total:",'[18]Learig CCC'!$A$1:$A$65536,'[18]Learig CCC'!$E$1:$E$65536,0)-_xlfn.XLOOKUP("PCSAS",'[18]Learig CCC'!$A$1:$A$65536,'[18]Learig CCC'!$E$1:$E$65536,0)</f>
        <v>155614.1</v>
      </c>
      <c r="O26" s="29"/>
    </row>
    <row r="27" spans="1:22" ht="19.5" customHeight="1">
      <c r="A27" s="31" t="s">
        <v>12</v>
      </c>
      <c r="B27" s="168">
        <f>[7]CCC!$E$17</f>
        <v>7594.7</v>
      </c>
      <c r="C27" s="168">
        <v>0</v>
      </c>
      <c r="D27" s="166">
        <f>[9]CCC!$E$16</f>
        <v>583.20000000000005</v>
      </c>
      <c r="E27" s="166">
        <f>[10]CCC!$E$28</f>
        <v>0</v>
      </c>
      <c r="F27" s="166">
        <f>[11]CCC!$E$16</f>
        <v>8049</v>
      </c>
      <c r="G27" s="166">
        <f>[12]CCC!$E$17</f>
        <v>4131.6000000000004</v>
      </c>
      <c r="H27" s="166">
        <f>[13]CCC!$E$17</f>
        <v>1693.1000000000001</v>
      </c>
      <c r="I27" s="166">
        <f>[14]CCC!$E$16</f>
        <v>2183.1999999999998</v>
      </c>
      <c r="J27" s="166">
        <f>[15]CCC!$E$17</f>
        <v>2930.4</v>
      </c>
      <c r="K27" s="166">
        <f>+_xlfn.XLOOKUP("PCSAS",[16]CCC!$A$1:$A$65536,[16]CCC!$E$1:$E$65536,0)</f>
        <v>7071.6</v>
      </c>
      <c r="L27" s="166">
        <f>+_xlfn.XLOOKUP("PCSAS",[17]CCC!$A$1:$A$65536,[17]CCC!$E$1:$E$65536,0)</f>
        <v>5747.9000000000005</v>
      </c>
      <c r="M27" s="166">
        <f>+_xlfn.XLOOKUP("PCSAS",[18]CCC!$A$1:$A$65536,[18]CCC!$E$1:$E$65536,0)</f>
        <v>9139.5</v>
      </c>
    </row>
    <row r="28" spans="1:22" ht="19.5" customHeight="1">
      <c r="A28" s="31" t="s">
        <v>13</v>
      </c>
      <c r="B28" s="165">
        <f>'[42]Rations &amp; lunches'!$H$25</f>
        <v>4930.1000000000004</v>
      </c>
      <c r="C28" s="165">
        <f>'[43]Rations &amp; lunches'!$H$25</f>
        <v>4833.6000000000004</v>
      </c>
      <c r="D28" s="166">
        <f>'[44]Rations &amp; lunches'!$H$25</f>
        <v>6623.5</v>
      </c>
      <c r="E28" s="166">
        <f>'[45]Rations &amp; lunches'!$H$25</f>
        <v>4958.2000000000007</v>
      </c>
      <c r="F28" s="166">
        <f>'[46]Rations &amp; lunches'!$H$29-F77</f>
        <v>4112.7404967462298</v>
      </c>
      <c r="G28" s="166">
        <f>'[47]Rations &amp; lunches'!$H$25-G77</f>
        <v>4897.3439610737869</v>
      </c>
      <c r="H28" s="166">
        <f>'[48]Rations &amp; lunches'!$H$25-'[48]Rations &amp; lunches'!$C$269-'[48]Rations &amp; lunches'!$D$269</f>
        <v>4501.109119614096</v>
      </c>
      <c r="I28" s="166">
        <f>'[49]Rations &amp; lunches'!$H$25-'[49]Rations &amp; lunches'!$H$24-I77</f>
        <v>4284.0333214386519</v>
      </c>
      <c r="J28" s="166">
        <f>'[50]Rations &amp; lunches'!$H$25-J77</f>
        <v>5935.4447651271385</v>
      </c>
      <c r="K28" s="166">
        <f>'[51]Rations &amp; lunches'!$H$25-K77</f>
        <v>4646.6225167024104</v>
      </c>
      <c r="L28" s="166">
        <f>'[52]Rations &amp; lunches'!$H$25-L77</f>
        <v>4583.0014061598522</v>
      </c>
      <c r="M28" s="166">
        <f>'[53]Rations &amp; lunches'!$H$25-M77</f>
        <v>5783.9953516759433</v>
      </c>
    </row>
    <row r="29" spans="1:22" ht="19.5" customHeight="1">
      <c r="A29" s="31" t="s">
        <v>14</v>
      </c>
      <c r="B29" s="165">
        <v>0</v>
      </c>
      <c r="C29" s="165"/>
      <c r="D29" s="166"/>
      <c r="E29" s="165"/>
      <c r="F29" s="166"/>
      <c r="G29" s="166"/>
      <c r="H29" s="166"/>
      <c r="I29" s="166"/>
      <c r="J29" s="166"/>
      <c r="K29" s="166"/>
      <c r="L29" s="166"/>
      <c r="M29" s="166"/>
    </row>
    <row r="30" spans="1:22" ht="19.5" customHeight="1">
      <c r="A30" s="31" t="s">
        <v>15</v>
      </c>
      <c r="B30" s="165">
        <v>0</v>
      </c>
      <c r="C30" s="165"/>
      <c r="D30" s="166"/>
      <c r="E30" s="165"/>
      <c r="F30" s="166"/>
      <c r="G30" s="166"/>
      <c r="H30" s="166"/>
      <c r="I30" s="166"/>
      <c r="J30" s="166"/>
      <c r="K30" s="166"/>
      <c r="L30" s="166"/>
      <c r="M30" s="166"/>
    </row>
    <row r="31" spans="1:22" ht="19.5" customHeight="1">
      <c r="A31" s="31" t="s">
        <v>16</v>
      </c>
      <c r="B31" s="165">
        <v>0</v>
      </c>
      <c r="C31" s="165"/>
      <c r="D31" s="166"/>
      <c r="E31" s="165"/>
      <c r="F31" s="166"/>
      <c r="G31" s="166"/>
      <c r="H31" s="166"/>
      <c r="I31" s="166"/>
      <c r="J31" s="166"/>
      <c r="K31" s="166"/>
      <c r="L31" s="166"/>
      <c r="M31" s="166"/>
    </row>
    <row r="32" spans="1:22" ht="19.5" customHeight="1">
      <c r="A32" s="32"/>
      <c r="B32" s="164">
        <f>SUM(B24:B31)</f>
        <v>469784</v>
      </c>
      <c r="C32" s="164">
        <f t="shared" ref="C32:K32" si="2">SUM(C24:C31)</f>
        <v>429120.3</v>
      </c>
      <c r="D32" s="164">
        <f t="shared" si="2"/>
        <v>546987.19999999995</v>
      </c>
      <c r="E32" s="164">
        <f t="shared" si="2"/>
        <v>455526.00000000006</v>
      </c>
      <c r="F32" s="164">
        <f t="shared" si="2"/>
        <v>438570.64049674623</v>
      </c>
      <c r="G32" s="164">
        <f t="shared" si="2"/>
        <v>538905.44396107376</v>
      </c>
      <c r="H32" s="164">
        <f t="shared" si="2"/>
        <v>453071.60911961412</v>
      </c>
      <c r="I32" s="164">
        <f t="shared" si="2"/>
        <v>469047.93332143867</v>
      </c>
      <c r="J32" s="164">
        <f t="shared" si="2"/>
        <v>611268.16476512724</v>
      </c>
      <c r="K32" s="164">
        <f t="shared" si="2"/>
        <v>497250.42251670244</v>
      </c>
      <c r="L32" s="164">
        <f t="shared" ref="L32:M32" si="3">SUM(L24:L31)</f>
        <v>498613.30140615988</v>
      </c>
      <c r="M32" s="164">
        <f t="shared" si="3"/>
        <v>669350.9953516759</v>
      </c>
    </row>
    <row r="33" spans="1:13" ht="19.5" customHeight="1">
      <c r="A33" s="33"/>
      <c r="B33" s="166"/>
      <c r="C33" s="166"/>
      <c r="D33" s="166"/>
      <c r="E33" s="166"/>
      <c r="F33" s="166"/>
      <c r="G33" s="166"/>
      <c r="H33" s="166"/>
      <c r="I33" s="166"/>
      <c r="J33" s="166"/>
      <c r="K33" s="166"/>
      <c r="L33" s="166"/>
      <c r="M33" s="166"/>
    </row>
    <row r="34" spans="1:13" ht="19.5" customHeight="1">
      <c r="A34" s="31" t="s">
        <v>17</v>
      </c>
      <c r="B34" s="168">
        <f>[7]Richlands!$E$27-[7]Richlands!$E$17</f>
        <v>184160.9</v>
      </c>
      <c r="C34" s="168">
        <f>[8]Richlands!$E$23-[8]Richlands!$E$14</f>
        <v>183024.3</v>
      </c>
      <c r="D34" s="166">
        <f>[9]Richlands!$E$28-[9]Richlands!$E$17</f>
        <v>227973.40000000002</v>
      </c>
      <c r="E34" s="166">
        <f>[10]Richlands!$E$24-[10]Richlands!$E$15</f>
        <v>182111.6</v>
      </c>
      <c r="F34" s="166">
        <f>[11]Richlands!$E$24-[11]Richlands!$E$15</f>
        <v>173509.7</v>
      </c>
      <c r="G34" s="166">
        <f>[12]Richlands!$E$23-[12]Richlands!$E$15</f>
        <v>223557.4</v>
      </c>
      <c r="H34" s="166">
        <f>[13]Richlands!$E$23-[13]Richlands!$E$16</f>
        <v>181654.7</v>
      </c>
      <c r="I34" s="166">
        <f>[14]Richlands!$E$24-[14]Richlands!$E$15</f>
        <v>179011</v>
      </c>
      <c r="J34" s="166">
        <f>[15]Richlands!$E$26-[15]Richlands!$E$18</f>
        <v>233647.7</v>
      </c>
      <c r="K34" s="166">
        <f>_xlfn.XLOOKUP(" Total:",[16]Richlands!$A$1:$A$65536,[16]Richlands!$E$1:$E$65536,0)-_xlfn.XLOOKUP("PCSAS",[16]Richlands!$A$1:$A$65536,[16]Richlands!$E$1:$E$65536,0)</f>
        <v>178693.4</v>
      </c>
      <c r="L34" s="166">
        <f>_xlfn.XLOOKUP(" Total:",[17]Richlands!$A$1:$A$65536,[17]Richlands!$E$1:$E$65536,0)-_xlfn.XLOOKUP("PCSAS",[17]Richlands!$A$1:$A$65536,[17]Richlands!$E$1:$E$65536,0)</f>
        <v>190395.1</v>
      </c>
      <c r="M34" s="166">
        <f>_xlfn.XLOOKUP(" Total:",[18]Richlands!$A$1:$A$65536,[18]Richlands!$E$1:$E$65536,0)-_xlfn.XLOOKUP("PCSAS",[18]Richlands!$A$1:$A$65536,[18]Richlands!$E$1:$E$65536,0)</f>
        <v>249640.3</v>
      </c>
    </row>
    <row r="35" spans="1:13" ht="19.5" customHeight="1">
      <c r="A35" s="31" t="s">
        <v>18</v>
      </c>
      <c r="B35" s="168">
        <f>'[7]Richlands Extension'!$E$19</f>
        <v>11962.1</v>
      </c>
      <c r="C35" s="168">
        <f>'[8]Richlands Extension'!$E$19</f>
        <v>24930.3</v>
      </c>
      <c r="D35" s="166">
        <f>'[9]Richlands Extension'!$E$20</f>
        <v>17190.599999999999</v>
      </c>
      <c r="E35" s="166">
        <f>'[10]Richlands Extension'!$E$19</f>
        <v>13617.4</v>
      </c>
      <c r="F35" s="166">
        <f>'[11]Richlands Extension'!$E$14</f>
        <v>1368.6000000000001</v>
      </c>
      <c r="G35" s="166">
        <f>'[12]Richlands Extension'!$E$21</f>
        <v>23988.3</v>
      </c>
      <c r="H35" s="166">
        <f>'[13]Richlands Extension'!$E$21</f>
        <v>28572.799999999999</v>
      </c>
      <c r="I35" s="166">
        <f>'[14]Richlands Extension'!$E$20</f>
        <v>34491.5</v>
      </c>
      <c r="J35" s="166">
        <f>'[15]Richlands Extension'!$E$21</f>
        <v>37139.599999999999</v>
      </c>
      <c r="K35" s="166">
        <f>_xlfn.XLOOKUP(" Total:",'[16]Richlands Extension'!$A$1:$A$65536,'[16]Richlands Extension'!$E$1:$E$65536,0)-_xlfn.XLOOKUP("PCSAS",'[16]Richlands Extension'!$A$1:$A$65536,'[16]Richlands Extension'!$E$1:$E$65536,0)</f>
        <v>20056.900000000001</v>
      </c>
      <c r="L35" s="166">
        <f>_xlfn.XLOOKUP(" Total:",'[17]Richlands Extension'!$A$1:$A$65536,'[17]Richlands Extension'!$E$1:$E$65536,0)-_xlfn.XLOOKUP("PCSAS",'[17]Richlands Extension'!$A$1:$A$65536,'[17]Richlands Extension'!$E$1:$E$65536,0)</f>
        <v>29381.200000000001</v>
      </c>
      <c r="M35" s="166">
        <f>_xlfn.XLOOKUP(" Total:",'[18]Richlands Extension'!$A$1:$A$65536,'[18]Richlands Extension'!$E$1:$E$65536,0)-_xlfn.XLOOKUP("PCSAS",'[18]Richlands Extension'!$A$1:$A$65536,'[18]Richlands Extension'!$E$1:$E$65536,0)</f>
        <v>8465.7999999999993</v>
      </c>
    </row>
    <row r="36" spans="1:13" ht="19.5" customHeight="1">
      <c r="A36" s="31" t="s">
        <v>19</v>
      </c>
      <c r="B36" s="168">
        <f>'[7]Learig Richlands'!$E$22</f>
        <v>30186</v>
      </c>
      <c r="C36" s="168">
        <f>'[8]Learig Richlands'!$E$22</f>
        <v>28634.3</v>
      </c>
      <c r="D36" s="166">
        <f>'[9]Learig Richlands'!$E$20</f>
        <v>35142.5</v>
      </c>
      <c r="E36" s="166">
        <f>'[10]Learig Richlands'!$E$20</f>
        <v>11588.9</v>
      </c>
      <c r="F36" s="166">
        <f>'[11]Learig Richlands'!$E$19</f>
        <v>19634.7</v>
      </c>
      <c r="G36" s="166">
        <f>'[12]Learig Richlands'!$E$19</f>
        <v>23004.3</v>
      </c>
      <c r="H36" s="166">
        <f>'[13]Learig Richlands'!$E$18</f>
        <v>8983</v>
      </c>
      <c r="I36" s="166">
        <f>'[14]Learig Richlands'!$E$18</f>
        <v>18156.3</v>
      </c>
      <c r="J36" s="166"/>
      <c r="K36" s="166">
        <f>_xlfn.XLOOKUP(" Total:",'[16]Learig Richlands'!$A$1:$A$65536,'[16]Learig Richlands'!$E$1:$E$65536,0)-_xlfn.XLOOKUP("PCSAS",'[16]Learig Richlands'!$A$1:$A$65536,'[16]Learig Richlands'!$E$1:$E$65536,0)</f>
        <v>7153.3</v>
      </c>
      <c r="L36" s="166">
        <f>_xlfn.XLOOKUP(" Total:",'[17]Learig Richlands'!$A$1:$A$65536,'[17]Learig Richlands'!$E$1:$E$65536,0)-_xlfn.XLOOKUP("PCSAS",'[17]Learig Richlands'!$A$1:$A$65536,'[17]Learig Richlands'!$E$1:$E$65536,0)</f>
        <v>0</v>
      </c>
      <c r="M36" s="166">
        <f>_xlfn.XLOOKUP(" Total:",'[18]Learig Richlands'!$A$1:$A$65536,'[18]Learig Richlands'!$E$1:$E$65536,0)-_xlfn.XLOOKUP("PCSAS",'[18]Learig Richlands'!$A$1:$A$65536,'[18]Learig Richlands'!$E$1:$E$65536,0)</f>
        <v>28799.600000000002</v>
      </c>
    </row>
    <row r="37" spans="1:13" ht="19.5" customHeight="1">
      <c r="A37" s="31" t="s">
        <v>20</v>
      </c>
      <c r="B37" s="168">
        <f>[7]Richlands!$E$17</f>
        <v>3687.6</v>
      </c>
      <c r="C37" s="168">
        <f>[8]Richlands!$E$14</f>
        <v>3456.7000000000003</v>
      </c>
      <c r="D37" s="166">
        <f>[9]Richlands!$E$17</f>
        <v>7641.4000000000005</v>
      </c>
      <c r="E37" s="166">
        <f>[10]Richlands!$E$15</f>
        <v>6945.2</v>
      </c>
      <c r="F37" s="166">
        <f>[11]Richlands!$E$15</f>
        <v>9416.6</v>
      </c>
      <c r="G37" s="166">
        <f>[12]Richlands!$E$15</f>
        <v>2672.5</v>
      </c>
      <c r="H37" s="166">
        <f>[13]Richlands!$E$16</f>
        <v>6767.9000000000005</v>
      </c>
      <c r="I37" s="166">
        <f>[14]Richlands!$E$15</f>
        <v>7226.6</v>
      </c>
      <c r="J37" s="166">
        <f>[15]Richlands!$E$18</f>
        <v>6723.9000000000005</v>
      </c>
      <c r="K37" s="166">
        <f>_xlfn.XLOOKUP("PCSAS",[16]Richlands!$A$1:$A$65536,[16]Richlands!$E$1:$E$65536,0)</f>
        <v>5338.7</v>
      </c>
      <c r="L37" s="166">
        <f>_xlfn.XLOOKUP("PCSAS",[17]Richlands!$A$1:$A$65536,[17]Richlands!$E$1:$E$65536,0)</f>
        <v>3611.5</v>
      </c>
      <c r="M37" s="166">
        <f>_xlfn.XLOOKUP("PCSAS",[18]Richlands!$A$1:$A$65536,[18]Richlands!$E$1:$E$65536,0)</f>
        <v>9086.7000000000007</v>
      </c>
    </row>
    <row r="38" spans="1:13" ht="19.5" customHeight="1">
      <c r="A38" s="31" t="s">
        <v>21</v>
      </c>
      <c r="B38" s="168">
        <f>'[42]Rations &amp; lunches'!$H$158</f>
        <v>729.7</v>
      </c>
      <c r="C38" s="168">
        <f>'[43]Rations &amp; lunches'!$H$158</f>
        <v>753.7</v>
      </c>
      <c r="D38" s="166">
        <f>'[44]Rations &amp; lunches'!$H$158</f>
        <v>1052.5999999999999</v>
      </c>
      <c r="E38" s="166">
        <f>'[45]Rations &amp; lunches'!$H$158</f>
        <v>723.7</v>
      </c>
      <c r="F38" s="166">
        <f>'[46]Rations &amp; lunches'!$H$158</f>
        <v>733.2</v>
      </c>
      <c r="G38" s="166">
        <f>'[47]Rations &amp; lunches'!$H$158</f>
        <v>1019</v>
      </c>
      <c r="H38" s="166">
        <f>'[48]Rations &amp; lunches'!$H$158</f>
        <v>727.7</v>
      </c>
      <c r="I38" s="166">
        <f>'[49]Rations &amp; lunches'!$H$158</f>
        <v>773.7</v>
      </c>
      <c r="J38" s="166">
        <f>'[50]Rations &amp; lunches'!$H$160</f>
        <v>935.2</v>
      </c>
      <c r="K38" s="166">
        <f>'[51]Rations &amp; lunches'!$H$160</f>
        <v>730.9</v>
      </c>
      <c r="L38" s="166">
        <f>'[52]Rations &amp; lunches'!$H$160</f>
        <v>767</v>
      </c>
      <c r="M38" s="166">
        <f>'[53]Rations &amp; lunches'!$H$160</f>
        <v>983.80000000000007</v>
      </c>
    </row>
    <row r="39" spans="1:13" ht="19.5" customHeight="1">
      <c r="A39" s="31" t="s">
        <v>22</v>
      </c>
      <c r="B39" s="168">
        <f>'[54]COMBINED CDM (5)'!B40</f>
        <v>0</v>
      </c>
      <c r="C39" s="166"/>
      <c r="D39" s="166"/>
      <c r="E39" s="166"/>
      <c r="F39" s="166"/>
      <c r="G39" s="166"/>
      <c r="H39" s="166"/>
      <c r="I39" s="166"/>
      <c r="J39" s="166"/>
      <c r="K39" s="166"/>
      <c r="L39" s="166"/>
      <c r="M39" s="166"/>
    </row>
    <row r="40" spans="1:13" ht="19.5" customHeight="1">
      <c r="A40" s="31" t="s">
        <v>23</v>
      </c>
      <c r="B40" s="168">
        <f>'[54]COMBINED CDM (5)'!B41</f>
        <v>0</v>
      </c>
      <c r="C40" s="166"/>
      <c r="D40" s="166"/>
      <c r="E40" s="166"/>
      <c r="F40" s="166"/>
      <c r="G40" s="166"/>
      <c r="H40" s="166"/>
      <c r="I40" s="166"/>
      <c r="J40" s="166"/>
      <c r="K40" s="166"/>
      <c r="L40" s="166"/>
      <c r="M40" s="166"/>
    </row>
    <row r="41" spans="1:13" ht="19.5" customHeight="1">
      <c r="A41" s="31" t="s">
        <v>16</v>
      </c>
      <c r="B41" s="168">
        <f>'[54]COMBINED CDM (5)'!B42</f>
        <v>0</v>
      </c>
      <c r="C41" s="166"/>
      <c r="D41" s="166"/>
      <c r="E41" s="166"/>
      <c r="F41" s="166"/>
      <c r="G41" s="166"/>
      <c r="H41" s="166"/>
      <c r="I41" s="166"/>
      <c r="J41" s="166"/>
      <c r="K41" s="166"/>
      <c r="L41" s="166"/>
      <c r="M41" s="166"/>
    </row>
    <row r="42" spans="1:13" ht="19.5" customHeight="1">
      <c r="A42" s="32"/>
      <c r="B42" s="164">
        <f t="shared" ref="B42:K42" si="4">SUM(B34:B41)</f>
        <v>230726.30000000002</v>
      </c>
      <c r="C42" s="164">
        <f t="shared" si="4"/>
        <v>240799.3</v>
      </c>
      <c r="D42" s="164">
        <f t="shared" si="4"/>
        <v>289000.5</v>
      </c>
      <c r="E42" s="164">
        <f t="shared" si="4"/>
        <v>214986.80000000002</v>
      </c>
      <c r="F42" s="164">
        <f t="shared" si="4"/>
        <v>204662.80000000005</v>
      </c>
      <c r="G42" s="164">
        <f t="shared" si="4"/>
        <v>274241.5</v>
      </c>
      <c r="H42" s="164">
        <f t="shared" si="4"/>
        <v>226706.1</v>
      </c>
      <c r="I42" s="164">
        <f t="shared" si="4"/>
        <v>239659.1</v>
      </c>
      <c r="J42" s="164">
        <f t="shared" si="4"/>
        <v>278446.40000000002</v>
      </c>
      <c r="K42" s="164">
        <f t="shared" si="4"/>
        <v>211973.19999999998</v>
      </c>
      <c r="L42" s="164">
        <f t="shared" ref="L42:M42" si="5">SUM(L34:L41)</f>
        <v>224154.80000000002</v>
      </c>
      <c r="M42" s="164">
        <f t="shared" si="5"/>
        <v>296976.19999999995</v>
      </c>
    </row>
    <row r="43" spans="1:13" ht="19.5" customHeight="1">
      <c r="A43" s="33"/>
      <c r="B43" s="166"/>
      <c r="C43" s="166"/>
      <c r="D43" s="166"/>
      <c r="E43" s="166"/>
      <c r="F43" s="166"/>
      <c r="G43" s="166"/>
      <c r="H43" s="166"/>
      <c r="I43" s="166"/>
      <c r="J43" s="166"/>
      <c r="K43" s="166"/>
      <c r="L43" s="166"/>
      <c r="M43" s="166"/>
    </row>
    <row r="44" spans="1:13" ht="19.5" customHeight="1">
      <c r="A44" s="31" t="s">
        <v>24</v>
      </c>
      <c r="B44" s="168">
        <f>[7]LionsHead!$E$28-[7]LionsHead!$E$17</f>
        <v>208812.2</v>
      </c>
      <c r="C44" s="168">
        <f>[8]LionsHead!$E$25-[8]LionsHead!$E$14</f>
        <v>198721.80000000002</v>
      </c>
      <c r="D44" s="166">
        <f>[9]LionsHead!$E$27-[9]LionsHead!$E$16</f>
        <v>247283.1</v>
      </c>
      <c r="E44" s="166">
        <f>[10]LionsHead!$E$25-[10]LionsHead!$E$16</f>
        <v>210741.6</v>
      </c>
      <c r="F44" s="166">
        <f>[11]LionsHead!$E$21-[11]LionsHead!$E$14</f>
        <v>190095.00000000003</v>
      </c>
      <c r="G44" s="166">
        <f>[12]LionsHead!$E$25-[12]LionsHead!$E$16</f>
        <v>239032</v>
      </c>
      <c r="H44" s="166">
        <f>[13]LionsHead!$E$24-[13]LionsHead!$E$15</f>
        <v>205065.7</v>
      </c>
      <c r="I44" s="166">
        <f>[14]LionsHead!$E$24-[14]LionsHead!$E$16</f>
        <v>196177</v>
      </c>
      <c r="J44" s="166">
        <f>[15]LionsHead!$E$28-[15]LionsHead!$E$17</f>
        <v>261599.09999999998</v>
      </c>
      <c r="K44" s="166">
        <f>_xlfn.XLOOKUP(" Total:",[16]LionsHead!$A$1:$A$65536,[16]LionsHead!$E$1:$E$65536,0)-_xlfn.XLOOKUP("PCSAS",[16]LionsHead!$A$1:$A$65536,[16]LionsHead!$E$1:$E$65536,0)</f>
        <v>206373.6</v>
      </c>
      <c r="L44" s="166">
        <f>_xlfn.XLOOKUP(" Total:",[17]LionsHead!$A$1:$A$65536,[17]LionsHead!$E$1:$E$65536,0)-_xlfn.XLOOKUP("PCSAS",[17]LionsHead!$A$1:$A$65536,[17]LionsHead!$E$1:$E$65536,0)</f>
        <v>201688.6</v>
      </c>
      <c r="M44" s="166">
        <f>_xlfn.XLOOKUP(" Total:",[18]LionsHead!$A$1:$A$65536,[18]LionsHead!$E$1:$E$65536,0)-_xlfn.XLOOKUP("PCSAS",[18]LionsHead!$A$1:$A$65536,[18]LionsHead!$E$1:$E$65536,0)</f>
        <v>264759.7</v>
      </c>
    </row>
    <row r="45" spans="1:13" ht="19.5" customHeight="1">
      <c r="A45" s="31" t="s">
        <v>25</v>
      </c>
      <c r="B45" s="168">
        <f>'[7]LionsHead Extension'!$E$24</f>
        <v>35859.9</v>
      </c>
      <c r="C45" s="168">
        <f>'[8]LionsHead Extension'!$E$19</f>
        <v>12219.7</v>
      </c>
      <c r="D45" s="166">
        <f>'[9]LionsHead Extension'!$E$20</f>
        <v>26540.600000000002</v>
      </c>
      <c r="E45" s="166">
        <f>'[10]LionsHead Extension'!$E$20</f>
        <v>13605</v>
      </c>
      <c r="F45" s="166">
        <f>'[11]LionsHead Extension'!$E$20</f>
        <v>24028.600000000002</v>
      </c>
      <c r="G45" s="166">
        <f>'[12]LionsHead Extension'!$E$21</f>
        <v>24319.200000000001</v>
      </c>
      <c r="H45" s="166">
        <f>'[13]LionsHead Extension'!$E$20</f>
        <v>20183.8</v>
      </c>
      <c r="I45" s="166">
        <f>'[14]LionsHead Extension'!$E$20</f>
        <v>19278.399999999994</v>
      </c>
      <c r="J45" s="166">
        <f>'[15]LionsHead Extension'!$E$22</f>
        <v>29832.3</v>
      </c>
      <c r="K45" s="166">
        <f>_xlfn.XLOOKUP(" Total:",'[16]LionsHead Extension'!$A$1:$A$65536,'[16]LionsHead Extension'!$E$1:$E$65536,0)-_xlfn.XLOOKUP("PCSAS",'[16]LionsHead Extension'!$A$1:$A$65536,'[16]LionsHead Extension'!$E$1:$E$65536,0)</f>
        <v>24928.100000000002</v>
      </c>
      <c r="L45" s="166">
        <f>_xlfn.XLOOKUP(" Total:",'[17]LionsHead Extension'!$A$1:$A$65536,'[17]LionsHead Extension'!$E$1:$E$65536,0)-_xlfn.XLOOKUP("PCSAS",'[17]LionsHead Extension'!$A$1:$A$65536,'[17]LionsHead Extension'!$E$1:$E$65536,0)</f>
        <v>23794</v>
      </c>
      <c r="M45" s="166">
        <f>_xlfn.XLOOKUP(" Total:",'[18]LionsHead Extension'!$A$1:$A$65536,'[18]LionsHead Extension'!$E$1:$E$65536,0)-_xlfn.XLOOKUP("PCSAS",'[18]LionsHead Extension'!$A$1:$A$65536,'[18]LionsHead Extension'!$E$1:$E$65536,0)</f>
        <v>35036.5</v>
      </c>
    </row>
    <row r="46" spans="1:13" ht="21" customHeight="1">
      <c r="A46" s="31" t="s">
        <v>26</v>
      </c>
      <c r="B46" s="168">
        <f>'[7]Learig L Head'!$E$12</f>
        <v>0</v>
      </c>
      <c r="C46" s="168">
        <f>'[8]Learig L Head'!$E$13</f>
        <v>0</v>
      </c>
      <c r="D46" s="166">
        <v>0</v>
      </c>
      <c r="E46" s="166">
        <v>0</v>
      </c>
      <c r="F46" s="166">
        <v>0</v>
      </c>
      <c r="G46" s="166">
        <f>'[12]Learig L Head'!$E$10</f>
        <v>0</v>
      </c>
      <c r="H46" s="166"/>
      <c r="I46" s="166">
        <v>0</v>
      </c>
      <c r="J46" s="166"/>
      <c r="K46" s="166">
        <v>0</v>
      </c>
      <c r="L46" s="166">
        <v>0</v>
      </c>
      <c r="M46" s="166">
        <v>0</v>
      </c>
    </row>
    <row r="47" spans="1:13" ht="19.5" customHeight="1">
      <c r="A47" s="31" t="s">
        <v>27</v>
      </c>
      <c r="B47" s="168">
        <f>[7]LionsHead!$E$17</f>
        <v>2987.9</v>
      </c>
      <c r="C47" s="168">
        <f>[8]LionsHead!$E$14</f>
        <v>866.30000000000007</v>
      </c>
      <c r="D47" s="166">
        <f>[9]LionsHead!$E$16</f>
        <v>1109.6000000000001</v>
      </c>
      <c r="E47" s="166">
        <f>[10]LionsHead!$E$16</f>
        <v>5675.1</v>
      </c>
      <c r="F47" s="166">
        <f>[11]LionsHead!$E$14</f>
        <v>3801.8</v>
      </c>
      <c r="G47" s="166">
        <f>[12]LionsHead!$E$16</f>
        <v>3024.1</v>
      </c>
      <c r="H47" s="166">
        <f>[13]LionsHead!$E$15</f>
        <v>4512.4000000000005</v>
      </c>
      <c r="I47" s="166">
        <f>[14]LionsHead!$E$16</f>
        <v>6281.1</v>
      </c>
      <c r="J47" s="166">
        <f>[15]LionsHead!$E$17</f>
        <v>5329.2</v>
      </c>
      <c r="K47" s="166">
        <f>_xlfn.XLOOKUP("PCSAS",[16]LionsHead!$A$1:$A$65536,[16]LionsHead!$E$1:$E$65536,0)</f>
        <v>4649.8</v>
      </c>
      <c r="L47" s="166">
        <f>_xlfn.XLOOKUP("PCSAS",[17]LionsHead!$A$1:$A$65536,[17]LionsHead!$E$1:$E$65536,0)</f>
        <v>5537.8</v>
      </c>
      <c r="M47" s="166">
        <f>_xlfn.XLOOKUP("PCSAS",[18]LionsHead!$A$1:$A$65536,[18]LionsHead!$E$1:$E$65536,0)</f>
        <v>4967.1000000000004</v>
      </c>
    </row>
    <row r="48" spans="1:13" ht="19.5" customHeight="1">
      <c r="A48" s="31" t="s">
        <v>28</v>
      </c>
      <c r="B48" s="168">
        <f>'[42]Rations &amp; lunches'!$H$125</f>
        <v>1766.9</v>
      </c>
      <c r="C48" s="168">
        <f>'[43]Rations &amp; lunches'!$H$125</f>
        <v>1743.49</v>
      </c>
      <c r="D48" s="166">
        <f>'[44]Rations &amp; lunches'!$H$125</f>
        <v>2215.8000000000002</v>
      </c>
      <c r="E48" s="166">
        <f>'[45]Rations &amp; lunches'!$H$125</f>
        <v>1818.2</v>
      </c>
      <c r="F48" s="166">
        <f>'[46]Rations &amp; lunches'!$H$125</f>
        <v>1858.6100000000001</v>
      </c>
      <c r="G48" s="166">
        <f>'[47]Rations &amp; lunches'!$H$125</f>
        <v>2289.25</v>
      </c>
      <c r="H48" s="166">
        <f>'[48]Rations &amp; lunches'!$H$125</f>
        <v>1261.5</v>
      </c>
      <c r="I48" s="166">
        <f>'[49]Rations &amp; lunches'!$H$125</f>
        <v>1984.1999999999998</v>
      </c>
      <c r="J48" s="166">
        <f>'[50]Rations &amp; lunches'!$H$125</f>
        <v>1984.1999999999998</v>
      </c>
      <c r="K48" s="166">
        <f>'[51]Rations &amp; lunches'!$H$125</f>
        <v>1809.3</v>
      </c>
      <c r="L48" s="166">
        <f>'[52]Rations &amp; lunches'!$H$125</f>
        <v>1900.7</v>
      </c>
      <c r="M48" s="166">
        <f>'[53]Rations &amp; lunches'!$H$125</f>
        <v>2033.4</v>
      </c>
    </row>
    <row r="49" spans="1:13" ht="19.5" customHeight="1">
      <c r="A49" s="31" t="s">
        <v>29</v>
      </c>
      <c r="B49" s="168">
        <f>'[54]COMBINED CDM (5)'!B50</f>
        <v>0</v>
      </c>
      <c r="C49" s="168"/>
      <c r="D49" s="168"/>
      <c r="E49" s="166"/>
      <c r="F49" s="168"/>
      <c r="G49" s="166"/>
      <c r="H49" s="166"/>
      <c r="I49" s="166"/>
      <c r="J49" s="166"/>
      <c r="K49" s="166"/>
      <c r="L49" s="166"/>
      <c r="M49" s="166"/>
    </row>
    <row r="50" spans="1:13" ht="19.5" customHeight="1">
      <c r="A50" s="31" t="s">
        <v>30</v>
      </c>
      <c r="B50" s="168">
        <f>'[54]COMBINED CDM (5)'!B51</f>
        <v>0</v>
      </c>
      <c r="C50" s="168"/>
      <c r="D50" s="168"/>
      <c r="E50" s="166"/>
      <c r="F50" s="168"/>
      <c r="G50" s="166"/>
      <c r="H50" s="166"/>
      <c r="I50" s="166"/>
      <c r="J50" s="166"/>
      <c r="K50" s="166"/>
      <c r="L50" s="166"/>
      <c r="M50" s="166"/>
    </row>
    <row r="51" spans="1:13" ht="19.5" customHeight="1">
      <c r="A51" s="31" t="s">
        <v>16</v>
      </c>
      <c r="B51" s="168">
        <f>'[54]COMBINED CDM (5)'!B52</f>
        <v>0</v>
      </c>
      <c r="C51" s="168"/>
      <c r="D51" s="168"/>
      <c r="E51" s="166"/>
      <c r="F51" s="168"/>
      <c r="G51" s="166"/>
      <c r="H51" s="166"/>
      <c r="I51" s="166"/>
      <c r="J51" s="166"/>
      <c r="K51" s="166"/>
      <c r="L51" s="166"/>
      <c r="M51" s="166"/>
    </row>
    <row r="52" spans="1:13" ht="19.5" customHeight="1">
      <c r="A52" s="32"/>
      <c r="B52" s="164">
        <f>SUM(B44:B51)</f>
        <v>249426.9</v>
      </c>
      <c r="C52" s="164">
        <f t="shared" ref="C52:K52" si="6">SUM(C44:C51)</f>
        <v>213551.29</v>
      </c>
      <c r="D52" s="164">
        <f t="shared" si="6"/>
        <v>277149.09999999998</v>
      </c>
      <c r="E52" s="164">
        <f t="shared" si="6"/>
        <v>231839.90000000002</v>
      </c>
      <c r="F52" s="164">
        <f t="shared" si="6"/>
        <v>219784.01</v>
      </c>
      <c r="G52" s="164">
        <f t="shared" si="6"/>
        <v>268664.55</v>
      </c>
      <c r="H52" s="164">
        <f t="shared" si="6"/>
        <v>231023.4</v>
      </c>
      <c r="I52" s="164">
        <f t="shared" si="6"/>
        <v>223720.7</v>
      </c>
      <c r="J52" s="164">
        <f t="shared" si="6"/>
        <v>298744.8</v>
      </c>
      <c r="K52" s="164">
        <f t="shared" si="6"/>
        <v>237760.8</v>
      </c>
      <c r="L52" s="164">
        <f t="shared" ref="L52:M52" si="7">SUM(L44:L51)</f>
        <v>232921.1</v>
      </c>
      <c r="M52" s="164">
        <f t="shared" si="7"/>
        <v>306796.7</v>
      </c>
    </row>
    <row r="53" spans="1:13" ht="19.5" customHeight="1">
      <c r="A53" s="33"/>
      <c r="B53" s="166"/>
      <c r="C53" s="166"/>
      <c r="D53" s="166"/>
      <c r="E53" s="166"/>
      <c r="F53" s="166"/>
      <c r="G53" s="166"/>
      <c r="H53" s="166"/>
      <c r="I53" s="166"/>
      <c r="J53" s="166"/>
      <c r="K53" s="166"/>
      <c r="L53" s="166"/>
      <c r="M53" s="166"/>
    </row>
    <row r="54" spans="1:13" ht="19.5" customHeight="1">
      <c r="A54" s="31" t="s">
        <v>31</v>
      </c>
      <c r="B54" s="168">
        <f>'[7]Villa Franca'!$E$24-'[7]Villa Franca'!$E$14</f>
        <v>67664.400000000009</v>
      </c>
      <c r="C54" s="168">
        <f>'[8]Villa Franca'!$E$26-'[8]Villa Franca'!$E$16</f>
        <v>68476.200000000012</v>
      </c>
      <c r="D54" s="166">
        <f>'[9]Villa Franca'!$E$24-'[9]Villa Franca'!$E$14</f>
        <v>78397.100000000006</v>
      </c>
      <c r="E54" s="166">
        <f>'[10]Villa Franca'!$E$25-'[10]Villa Franca'!$E$14</f>
        <v>71657.100000000006</v>
      </c>
      <c r="F54" s="166">
        <f>'[11]Villa Franca'!$E$26-'[11]Villa Franca'!$E$15</f>
        <v>66788.100000000006</v>
      </c>
      <c r="G54" s="166">
        <f>'[12]Villa Franca'!$E$25-'[12]Villa Franca'!$E$14</f>
        <v>99442.4</v>
      </c>
      <c r="H54" s="166">
        <f>'[13]Villa Franca'!$E$23-'[13]Villa Franca'!$E$14</f>
        <v>48843.1</v>
      </c>
      <c r="I54" s="166">
        <f>'[14]Villa Franca'!$E$25-'[14]Villa Franca'!$E$15</f>
        <v>89677.6</v>
      </c>
      <c r="J54" s="166">
        <f>'[15]Villa Franca'!$E$24-'[15]Villa Franca'!$E$15</f>
        <v>62713.700000000004</v>
      </c>
      <c r="K54" s="166">
        <f>_xlfn.XLOOKUP(" Total:",'[16]Villa Franca'!$A$1:$A$65536,'[16]Villa Franca'!$E$1:$E$65536,0)-_xlfn.XLOOKUP("PCSAS",'[16]Villa Franca'!$A$1:$A$65536,'[16]Villa Franca'!$E$1:$E$65536,0)</f>
        <v>58724.7</v>
      </c>
      <c r="L54" s="166">
        <f>_xlfn.XLOOKUP(" Total:",'[17]Villa Franca'!$A$1:$A$65536,'[17]Villa Franca'!$E$1:$E$65536,0)-_xlfn.XLOOKUP("PCSAS",'[17]Villa Franca'!$A$1:$A$65536,'[17]Villa Franca'!$E$1:$E$65536,0)</f>
        <v>58890</v>
      </c>
      <c r="M54" s="166">
        <f>_xlfn.XLOOKUP(" Total:",'[18]Villa Franca'!$A$1:$A$65536,'[18]Villa Franca'!$E$1:$E$65536,0)-_xlfn.XLOOKUP("PCSAS",'[18]Villa Franca'!$A$1:$A$65536,'[18]Villa Franca'!$E$1:$E$65536,0)</f>
        <v>85741.7</v>
      </c>
    </row>
    <row r="55" spans="1:13" ht="19.5" customHeight="1">
      <c r="A55" s="31" t="s">
        <v>32</v>
      </c>
      <c r="B55" s="168">
        <f>'[7]Villa Franca Extension'!$E$19</f>
        <v>6269.1</v>
      </c>
      <c r="C55" s="168">
        <f>'[8]Villa Franca Extension'!$E$21</f>
        <v>17148.900000000001</v>
      </c>
      <c r="D55" s="166">
        <f>'[9]Villa Franca Extension'!$E$21</f>
        <v>15647.5</v>
      </c>
      <c r="E55" s="166">
        <f>'[10]Villa Franca Extension'!$E$22</f>
        <v>19649.600000000002</v>
      </c>
      <c r="F55" s="166">
        <f>'[11]Villa Franca Extension'!$E$17</f>
        <v>11527.300000000001</v>
      </c>
      <c r="G55" s="166">
        <f>'[12]Villa Franca Extension'!$E$20</f>
        <v>17320.099999999999</v>
      </c>
      <c r="H55" s="166">
        <f>'[13]Villa Franca Extension'!$E$18</f>
        <v>10403.200000000001</v>
      </c>
      <c r="I55" s="166">
        <f>'[14]Villa Franca Extension'!$E$18</f>
        <v>5930.1</v>
      </c>
      <c r="J55" s="166">
        <f>'[15]Villa Franca Extension'!$E$19</f>
        <v>14072.5</v>
      </c>
      <c r="K55" s="166">
        <f>_xlfn.XLOOKUP(" Total:",'[16]Villa Franca Extension'!$A$1:$A$65536,'[16]Villa Franca Extension'!$E$1:$E$65536,0)-_xlfn.XLOOKUP("PCSAS",'[16]Villa Franca Extension'!$A$1:$A$65536,'[16]Villa Franca Extension'!$E$1:$E$65536,0)</f>
        <v>8639.6</v>
      </c>
      <c r="L55" s="166">
        <f>_xlfn.XLOOKUP(" Total:",'[17]Villa Franca Extension'!$A$1:$A$65536,'[17]Villa Franca Extension'!$E$1:$E$65536,0)-_xlfn.XLOOKUP("PCSAS",'[17]Villa Franca Extension'!$A$1:$A$65536,'[17]Villa Franca Extension'!$E$1:$E$65536,0)</f>
        <v>7135.4000000000005</v>
      </c>
      <c r="M55" s="166">
        <f>_xlfn.XLOOKUP(" Total:",'[18]Villa Franca Extension'!$A$1:$A$65536,'[18]Villa Franca Extension'!$E$1:$E$65536,0)-_xlfn.XLOOKUP("PCSAS",'[18]Villa Franca Extension'!$A$1:$A$65536,'[18]Villa Franca Extension'!$E$1:$E$65536,0)</f>
        <v>37587.599999999999</v>
      </c>
    </row>
    <row r="56" spans="1:13" ht="19.5" customHeight="1">
      <c r="A56" s="31" t="s">
        <v>33</v>
      </c>
      <c r="B56" s="168">
        <f>'[7]Learig Villa'!$E$21</f>
        <v>22897.4</v>
      </c>
      <c r="C56" s="168">
        <f>'[8]Learig Villa'!$E$19</f>
        <v>9629.8000000000011</v>
      </c>
      <c r="D56" s="166">
        <f>'[9]Learig Villa'!$E$19</f>
        <v>32457.7</v>
      </c>
      <c r="E56" s="166">
        <f>'[10]Learig Villa'!$E$23</f>
        <v>24616.3</v>
      </c>
      <c r="F56" s="166">
        <f>'[11]Learig Villa'!$E$19</f>
        <v>13231.300000000001</v>
      </c>
      <c r="G56" s="166">
        <f>'[12]Learig Villa'!$E$21</f>
        <v>20861.600000000002</v>
      </c>
      <c r="H56" s="166">
        <f>'[13]Learig Villa'!$E$18</f>
        <v>19368.900000000001</v>
      </c>
      <c r="I56" s="166">
        <f>'[14]Learig Villa'!$E$19</f>
        <v>13441.5</v>
      </c>
      <c r="J56" s="166">
        <f>'[15]Learig Villa'!$E$23</f>
        <v>41818.400000000001</v>
      </c>
      <c r="K56" s="166">
        <f>_xlfn.XLOOKUP(" Total:",'[16]Learig Villa'!$A$1:$A$65536,'[16]Learig Villa'!$E$1:$E$65536,0)-_xlfn.XLOOKUP("PCSAS",'[16]Learig Villa'!$A$1:$A$65536,'[16]Learig Villa'!$E$1:$E$65536,0)</f>
        <v>14022.800000000001</v>
      </c>
      <c r="L56" s="166">
        <f>_xlfn.XLOOKUP(" Total:",'[17]Learig Villa'!$A$1:$A$65536,'[17]Learig Villa'!$E$1:$E$65536,0)-_xlfn.XLOOKUP("PCSAS",'[17]Learig Villa'!$A$1:$A$65536,'[17]Learig Villa'!$E$1:$E$65536,0)</f>
        <v>36798.300000000003</v>
      </c>
      <c r="M56" s="166">
        <f>_xlfn.XLOOKUP(" Total:",'[18]Learig Villa'!$A$1:$A$65536,'[18]Learig Villa'!$E$1:$E$65536,0)-_xlfn.XLOOKUP("PCSAS",'[18]Learig Villa'!$A$1:$A$65536,'[18]Learig Villa'!$E$1:$E$65536,0)</f>
        <v>8549.2999999999993</v>
      </c>
    </row>
    <row r="57" spans="1:13" ht="19.5" customHeight="1">
      <c r="A57" s="31" t="s">
        <v>34</v>
      </c>
      <c r="B57" s="168">
        <f>'[7]Villa Franca'!$E$14</f>
        <v>3398.9</v>
      </c>
      <c r="C57" s="168">
        <f>'[8]Villa Franca'!$E$16</f>
        <v>2966.7000000000003</v>
      </c>
      <c r="D57" s="166">
        <f>'[9]Villa Franca'!$E$14</f>
        <v>3823.3</v>
      </c>
      <c r="E57" s="166">
        <f>'[10]Villa Franca'!$E$14</f>
        <v>2084.9</v>
      </c>
      <c r="F57" s="167">
        <f>'[11]Villa Franca'!$E$15</f>
        <v>718.2</v>
      </c>
      <c r="G57" s="166">
        <f>'[12]Villa Franca'!$E$14</f>
        <v>1959.8</v>
      </c>
      <c r="H57" s="166">
        <f>'[13]Villa Franca'!$E$14</f>
        <v>2772.9</v>
      </c>
      <c r="I57" s="166">
        <f>'[14]Villa Franca'!$E$15</f>
        <v>1981.9</v>
      </c>
      <c r="J57" s="166">
        <f>'[15]Villa Franca'!$E$15</f>
        <v>2158.6</v>
      </c>
      <c r="K57" s="166">
        <f>_xlfn.XLOOKUP("PCSAS",'[16]Villa Franca'!$A$1:$A$65536,'[16]Villa Franca'!$E$1:$E$65536,0)</f>
        <v>2903.4</v>
      </c>
      <c r="L57" s="166">
        <f>_xlfn.XLOOKUP("PCSAS",'[17]Villa Franca'!$A$1:$A$65536,'[17]Villa Franca'!$E$1:$E$65536,0)</f>
        <v>1436.1000000000001</v>
      </c>
      <c r="M57" s="166">
        <f>_xlfn.XLOOKUP("PCSAS",'[18]Villa Franca'!$A$1:$A$65536,'[18]Villa Franca'!$E$1:$E$65536,0)</f>
        <v>1606.3</v>
      </c>
    </row>
    <row r="58" spans="1:13" ht="19.5" customHeight="1">
      <c r="A58" s="31" t="s">
        <v>35</v>
      </c>
      <c r="B58" s="168">
        <f>'[42]Rations &amp; lunches'!$H$95</f>
        <v>384.3</v>
      </c>
      <c r="C58" s="168">
        <f>'[43]Rations &amp; lunches'!$H$95</f>
        <v>497.19999999999993</v>
      </c>
      <c r="D58" s="166">
        <f>'[44]Rations &amp; lunches'!$H$95</f>
        <v>608.1</v>
      </c>
      <c r="E58" s="166">
        <f>'[45]Rations &amp; lunches'!$H$95</f>
        <v>497.5</v>
      </c>
      <c r="F58" s="169">
        <f>'[46]Rations &amp; lunches'!$H$95</f>
        <v>497.6</v>
      </c>
      <c r="G58" s="147">
        <f>'[47]Rations &amp; lunches'!$H$95</f>
        <v>648.90000000000009</v>
      </c>
      <c r="H58" s="147">
        <f>'[48]Rations &amp; lunches'!$H$95</f>
        <v>469.5</v>
      </c>
      <c r="I58" s="147">
        <f>'[49]Rations &amp; lunches'!$H$95</f>
        <v>536.19999999999993</v>
      </c>
      <c r="J58" s="147">
        <f>'[50]Rations &amp; lunches'!$H$95</f>
        <v>672.9</v>
      </c>
      <c r="K58" s="147">
        <f>'[51]Rations &amp; lunches'!$H$95</f>
        <v>541.29999999999995</v>
      </c>
      <c r="L58" s="147">
        <f>'[52]Rations &amp; lunches'!$H$95</f>
        <v>519</v>
      </c>
      <c r="M58" s="147">
        <f>'[53]Rations &amp; lunches'!$H$95</f>
        <v>638.6</v>
      </c>
    </row>
    <row r="59" spans="1:13" ht="19.5" customHeight="1">
      <c r="A59" s="31" t="s">
        <v>36</v>
      </c>
      <c r="B59" s="168">
        <v>0</v>
      </c>
      <c r="C59" s="166"/>
      <c r="D59" s="166"/>
      <c r="E59" s="166"/>
      <c r="F59" s="166"/>
      <c r="G59" s="166"/>
      <c r="H59" s="166"/>
      <c r="I59" s="166"/>
      <c r="J59" s="166"/>
      <c r="K59" s="166"/>
      <c r="L59" s="166"/>
      <c r="M59" s="166"/>
    </row>
    <row r="60" spans="1:13" ht="19.5" customHeight="1">
      <c r="A60" s="31" t="s">
        <v>37</v>
      </c>
      <c r="B60" s="168">
        <v>0</v>
      </c>
      <c r="C60" s="166"/>
      <c r="D60" s="166"/>
      <c r="E60" s="166"/>
      <c r="F60" s="166"/>
      <c r="G60" s="166"/>
      <c r="H60" s="166"/>
      <c r="I60" s="166"/>
      <c r="J60" s="166"/>
      <c r="K60" s="166"/>
      <c r="L60" s="166"/>
      <c r="M60" s="166"/>
    </row>
    <row r="61" spans="1:13" ht="19.5" customHeight="1">
      <c r="A61" s="34" t="s">
        <v>16</v>
      </c>
      <c r="B61" s="168">
        <v>0</v>
      </c>
      <c r="C61" s="147"/>
      <c r="D61" s="147"/>
      <c r="E61" s="147"/>
      <c r="F61" s="147"/>
      <c r="G61" s="147"/>
      <c r="H61" s="147"/>
      <c r="I61" s="147"/>
      <c r="J61" s="147"/>
      <c r="K61" s="147"/>
      <c r="L61" s="147"/>
      <c r="M61" s="147"/>
    </row>
    <row r="62" spans="1:13" ht="19.5" customHeight="1">
      <c r="A62" s="34"/>
      <c r="B62" s="168"/>
      <c r="C62" s="147"/>
      <c r="D62" s="147"/>
      <c r="E62" s="147"/>
      <c r="F62" s="147"/>
      <c r="G62" s="147"/>
      <c r="H62" s="147"/>
      <c r="I62" s="147"/>
      <c r="J62" s="147"/>
      <c r="K62" s="147"/>
      <c r="L62" s="147"/>
      <c r="M62" s="147"/>
    </row>
    <row r="63" spans="1:13" ht="19.5" customHeight="1">
      <c r="A63" s="31" t="s">
        <v>38</v>
      </c>
      <c r="B63" s="259">
        <f>'[7]Porta Farm'!$E$26-'[7]Porta Farm'!$E$15</f>
        <v>166870.1</v>
      </c>
      <c r="C63" s="259">
        <f>'[8]Porta Farm'!$E$26-'[8]Porta Farm'!$E$15</f>
        <v>218815.6</v>
      </c>
      <c r="D63" s="170">
        <f>'[9]Porta Farm'!$E$25-'[9]Porta Farm'!$E$15</f>
        <v>266422.69999999995</v>
      </c>
      <c r="E63" s="259">
        <f>'[10]Porta Farm'!$E$25-'[10]Porta Farm'!$E$17</f>
        <v>228290.2</v>
      </c>
      <c r="F63" s="170">
        <f>'[11]Porta Farm'!$E$22-'[11]Porta Farm'!$E$16</f>
        <v>212737.30000000002</v>
      </c>
      <c r="G63" s="170">
        <f>'[12]Porta Farm'!$E$25-'[12]Porta Farm'!$E$15</f>
        <v>253086</v>
      </c>
      <c r="H63" s="170">
        <f>'[13]Porta Farm'!$E$25-'[13]Porta Farm'!$E$15</f>
        <v>220419</v>
      </c>
      <c r="I63" s="170">
        <f>'[14]Porta Farm'!$E$24-'[14]Porta Farm'!$E$15</f>
        <v>216124.40000000002</v>
      </c>
      <c r="J63" s="170">
        <f>'[15]Porta Farm'!$E$25-'[15]Porta Farm'!$E$15</f>
        <v>238832.8</v>
      </c>
      <c r="K63" s="166">
        <f>_xlfn.XLOOKUP(" Total:",'[16]Porta Farm'!$A$1:$A$65536,'[16]Porta Farm'!$E$1:$E$65536,0)-_xlfn.XLOOKUP("PCSAS",'[16]Porta Farm'!$A$1:$A$65536,'[16]Porta Farm'!$E$1:$E$65536,0)</f>
        <v>263343.69999999995</v>
      </c>
      <c r="L63" s="166">
        <f>_xlfn.XLOOKUP(" Total:",'[17]Porta Farm'!$A$1:$A$65536,'[17]Porta Farm'!$E$1:$E$65536,0)-_xlfn.XLOOKUP("PCSAS",'[17]Porta Farm'!$A$1:$A$65536,'[17]Porta Farm'!$E$1:$E$65536,0)</f>
        <v>216925.8</v>
      </c>
      <c r="M63" s="166">
        <f>_xlfn.XLOOKUP(" Total:",'[18]Porta Farm'!$A$1:$A$65536,'[18]Porta Farm'!$E$1:$E$65536,0)-_xlfn.XLOOKUP("PCSAS",'[18]Porta Farm'!$A$1:$A$65536,'[18]Porta Farm'!$E$1:$E$65536,0)</f>
        <v>285387</v>
      </c>
    </row>
    <row r="64" spans="1:13" ht="19.5" customHeight="1">
      <c r="A64" s="31" t="s">
        <v>39</v>
      </c>
      <c r="B64" s="259">
        <v>0</v>
      </c>
      <c r="C64" s="259">
        <v>0</v>
      </c>
      <c r="D64" s="170">
        <v>0</v>
      </c>
      <c r="E64" s="259">
        <v>0</v>
      </c>
      <c r="F64" s="170">
        <v>0</v>
      </c>
      <c r="G64" s="170">
        <v>0</v>
      </c>
      <c r="H64" s="170"/>
      <c r="I64" s="170">
        <v>0</v>
      </c>
      <c r="J64" s="170">
        <v>0</v>
      </c>
      <c r="K64" s="166">
        <v>0</v>
      </c>
      <c r="L64" s="166">
        <f>_xlfn.XLOOKUP(" Total:",'[17]Porta Ext'!$A$1:$A$65536,'[17]Porta Ext'!$E$1:$E$65536,0)-_xlfn.XLOOKUP("PCSAS",'[17]Porta Ext'!$A$1:$A$65536,'[17]Porta Ext'!$E$1:$E$65536,0)</f>
        <v>5176.5</v>
      </c>
      <c r="M64" s="166">
        <f>_xlfn.XLOOKUP(" Total:",'[18]Porta Ext'!$A$1:$A$65536,'[18]Porta Ext'!$E$1:$E$65536,0)-_xlfn.XLOOKUP("PCSAS",'[18]Porta Ext'!$A$1:$A$65536,'[18]Porta Ext'!$E$1:$E$65536,0)</f>
        <v>8747.1</v>
      </c>
    </row>
    <row r="65" spans="1:13" ht="19.5" customHeight="1">
      <c r="A65" s="31" t="s">
        <v>40</v>
      </c>
      <c r="B65" s="259">
        <v>0</v>
      </c>
      <c r="C65" s="259">
        <v>0</v>
      </c>
      <c r="D65" s="170">
        <v>0</v>
      </c>
      <c r="E65" s="259">
        <v>0</v>
      </c>
      <c r="F65" s="170">
        <v>0</v>
      </c>
      <c r="G65" s="170">
        <v>0</v>
      </c>
      <c r="H65" s="170"/>
      <c r="I65" s="170">
        <v>0</v>
      </c>
      <c r="J65" s="170">
        <v>0</v>
      </c>
      <c r="K65" s="166">
        <v>0</v>
      </c>
      <c r="L65" s="166">
        <v>0</v>
      </c>
      <c r="M65" s="166">
        <f>_xlfn.XLOOKUP(" Total:",'[18]Porta Learig'!$A$1:$A$65536,'[18]Porta Learig'!$E$1:$E$65536,0)-_xlfn.XLOOKUP("PCSAS",'[18]Porta Learig'!$A$1:$A$65536,'[18]Porta Learig'!$E$1:$E$65536,0)</f>
        <v>4073.2000000000003</v>
      </c>
    </row>
    <row r="66" spans="1:13" ht="19.5" customHeight="1">
      <c r="A66" s="31" t="s">
        <v>41</v>
      </c>
      <c r="B66" s="259">
        <f>'[7]Porta Farm'!$E$15</f>
        <v>5695.7</v>
      </c>
      <c r="C66" s="259">
        <f>'[8]Porta Farm'!$E$15</f>
        <v>2260.8000000000002</v>
      </c>
      <c r="D66" s="170">
        <f>'[9]Porta Farm'!$E$15</f>
        <v>4349.3999999999996</v>
      </c>
      <c r="E66" s="259">
        <f>'[10]Porta Farm'!$E$17</f>
        <v>2912.1</v>
      </c>
      <c r="F66" s="170">
        <f>'[11]Porta Farm'!$E$16</f>
        <v>4384.9000000000005</v>
      </c>
      <c r="G66" s="170">
        <f>'[12]Porta Farm'!$E$15</f>
        <v>5815</v>
      </c>
      <c r="H66" s="170">
        <f>'[13]Porta Farm'!$E$15</f>
        <v>7046.9000000000005</v>
      </c>
      <c r="I66" s="170">
        <f>'[14]Porta Farm'!$E$15</f>
        <v>5187.3</v>
      </c>
      <c r="J66" s="170">
        <f>'[15]Porta Farm'!$E$15</f>
        <v>7025.6</v>
      </c>
      <c r="K66" s="166">
        <f>_xlfn.XLOOKUP("PCSAS",'[16]Porta Farm'!$A$1:$A$65536,'[16]Porta Farm'!$E$1:$E$65536,0)</f>
        <v>10336.4</v>
      </c>
      <c r="L66" s="166">
        <f>_xlfn.XLOOKUP("PCSAS",'[17]Porta Farm'!$A$1:$A$65536,'[17]Porta Farm'!$E$1:$E$65536,0)</f>
        <v>4081.2000000000003</v>
      </c>
      <c r="M66" s="166">
        <f>_xlfn.XLOOKUP("PCSAS",'[18]Porta Farm'!$A$1:$A$65536,'[18]Porta Farm'!$E$1:$E$65536,0)</f>
        <v>8282.5</v>
      </c>
    </row>
    <row r="67" spans="1:13" ht="19.5" customHeight="1">
      <c r="A67" s="31" t="s">
        <v>42</v>
      </c>
      <c r="B67" s="259">
        <f>'[42]Rations &amp; lunches'!$H$7+'[42]Rations &amp; lunches'!$H$22</f>
        <v>73.599999999999994</v>
      </c>
      <c r="C67" s="259">
        <f>'[43]Rations &amp; lunches'!$H$217</f>
        <v>790.40000000000009</v>
      </c>
      <c r="D67" s="147">
        <f>'[44]Rations &amp; lunches'!$H$217</f>
        <v>1104.5</v>
      </c>
      <c r="E67" s="259">
        <f>'[45]Rations &amp; lunches'!$H$217</f>
        <v>763.1</v>
      </c>
      <c r="F67" s="170">
        <f>'[46]Rations &amp; lunches'!$H$219</f>
        <v>716.5</v>
      </c>
      <c r="G67" s="170">
        <f>'[47]Rations &amp; lunches'!$H$217</f>
        <v>957</v>
      </c>
      <c r="H67" s="170">
        <f>'[48]Rations &amp; lunches'!$H$217</f>
        <v>750.1</v>
      </c>
      <c r="I67" s="170">
        <f>'[49]Rations &amp; lunches'!$H$232</f>
        <v>2198.8513926445144</v>
      </c>
      <c r="J67" s="170">
        <f>'[50]Rations &amp; lunches'!$H$232</f>
        <v>2888.1025949649666</v>
      </c>
      <c r="K67" s="170">
        <f>'[51]Rations &amp; lunches'!$H$232</f>
        <v>6163.5752719638258</v>
      </c>
      <c r="L67" s="170">
        <f>'[52]Rations &amp; lunches'!$H$232</f>
        <v>4599.4218534774263</v>
      </c>
      <c r="M67" s="170">
        <f>'[53]Rations &amp; lunches'!$H$232</f>
        <v>6658.5762356881423</v>
      </c>
    </row>
    <row r="68" spans="1:13" ht="19.5" customHeight="1">
      <c r="A68" s="31" t="s">
        <v>43</v>
      </c>
      <c r="B68" s="168"/>
      <c r="C68" s="147"/>
      <c r="D68" s="147"/>
      <c r="E68" s="147"/>
      <c r="F68" s="147"/>
      <c r="G68" s="147"/>
      <c r="H68" s="147"/>
      <c r="I68" s="147"/>
      <c r="J68" s="147"/>
      <c r="K68" s="147"/>
      <c r="L68" s="147"/>
      <c r="M68" s="147"/>
    </row>
    <row r="69" spans="1:13" ht="19.5" customHeight="1">
      <c r="A69" s="31" t="s">
        <v>44</v>
      </c>
      <c r="B69" s="168"/>
      <c r="C69" s="147"/>
      <c r="D69" s="147"/>
      <c r="E69" s="147"/>
      <c r="F69" s="147"/>
      <c r="G69" s="147"/>
      <c r="H69" s="147"/>
      <c r="I69" s="147"/>
      <c r="J69" s="147"/>
      <c r="K69" s="147"/>
      <c r="L69" s="147"/>
      <c r="M69" s="147"/>
    </row>
    <row r="70" spans="1:13" ht="19.5" customHeight="1">
      <c r="A70" s="34" t="s">
        <v>16</v>
      </c>
      <c r="B70" s="168"/>
      <c r="C70" s="147"/>
      <c r="D70" s="147"/>
      <c r="E70" s="147"/>
      <c r="F70" s="147"/>
      <c r="G70" s="147"/>
      <c r="H70" s="147"/>
      <c r="I70" s="147"/>
      <c r="J70" s="147"/>
      <c r="K70" s="147"/>
      <c r="L70" s="147"/>
      <c r="M70" s="147"/>
    </row>
    <row r="71" spans="1:13" ht="19.5" customHeight="1">
      <c r="A71" s="34"/>
      <c r="B71" s="167">
        <f>SUM(B63:B70)</f>
        <v>172639.40000000002</v>
      </c>
      <c r="C71" s="167">
        <f t="shared" ref="C71:K71" si="8">SUM(C63:C70)</f>
        <v>221866.8</v>
      </c>
      <c r="D71" s="167">
        <f>SUM(D63:D70)</f>
        <v>271876.59999999998</v>
      </c>
      <c r="E71" s="167">
        <f t="shared" si="8"/>
        <v>231965.40000000002</v>
      </c>
      <c r="F71" s="167">
        <f t="shared" si="8"/>
        <v>217838.7</v>
      </c>
      <c r="G71" s="167">
        <f t="shared" si="8"/>
        <v>259858</v>
      </c>
      <c r="H71" s="167">
        <f t="shared" si="8"/>
        <v>228216</v>
      </c>
      <c r="I71" s="167">
        <f t="shared" si="8"/>
        <v>223510.55139264453</v>
      </c>
      <c r="J71" s="167">
        <f t="shared" si="8"/>
        <v>248746.50259496496</v>
      </c>
      <c r="K71" s="167">
        <f t="shared" si="8"/>
        <v>279843.67527196382</v>
      </c>
      <c r="L71" s="167">
        <f t="shared" ref="L71:M71" si="9">SUM(L63:L70)</f>
        <v>230782.92185347743</v>
      </c>
      <c r="M71" s="167">
        <f t="shared" si="9"/>
        <v>313148.37623568811</v>
      </c>
    </row>
    <row r="72" spans="1:13" ht="19.5" customHeight="1">
      <c r="A72" s="34"/>
      <c r="B72" s="167"/>
      <c r="C72" s="147"/>
      <c r="D72" s="147"/>
      <c r="E72" s="147"/>
      <c r="F72" s="147"/>
      <c r="G72" s="147"/>
      <c r="H72" s="147"/>
      <c r="I72" s="147"/>
      <c r="J72" s="147"/>
      <c r="K72" s="147"/>
      <c r="L72" s="147"/>
      <c r="M72" s="147"/>
    </row>
    <row r="73" spans="1:13" ht="19.5" customHeight="1">
      <c r="A73" s="34" t="s">
        <v>45</v>
      </c>
      <c r="B73" s="167"/>
      <c r="C73" s="147"/>
      <c r="D73" s="147"/>
      <c r="E73" s="147"/>
      <c r="F73" s="147"/>
      <c r="G73" s="147"/>
      <c r="H73" s="170">
        <f>[13]Multiplier!$E$16-[13]Multiplier!$E$12</f>
        <v>445.59999999999991</v>
      </c>
      <c r="I73" s="170">
        <f>[14]Multiplier!$E$13-[14]Multiplier!$E$11</f>
        <v>0</v>
      </c>
      <c r="J73" s="170">
        <f>[15]Multiplier!$E$23-[15]Multiplier!$E$15</f>
        <v>60131.799999999996</v>
      </c>
      <c r="K73" s="166">
        <f>_xlfn.XLOOKUP(" Total:",[16]Multiplier!$A$1:$A$65536,[16]Multiplier!$E$1:$E$65536,0)-_xlfn.XLOOKUP("PCSAS",[16]Multiplier!$A$1:$A$65536,[16]Multiplier!$E$1:$E$65536,0)</f>
        <v>74887</v>
      </c>
      <c r="L73" s="166">
        <f>_xlfn.XLOOKUP(" Total:",[17]Multiplier!$A$1:$A$65536,[17]Multiplier!$E$1:$E$65536,0)-_xlfn.XLOOKUP("PCSAS",[17]Multiplier!$A$1:$A$65536,[17]Multiplier!$E$1:$E$65536,0)</f>
        <v>84979.6</v>
      </c>
      <c r="M73" s="166">
        <f>_xlfn.XLOOKUP(" Total:",[18]Multiplier!$A$1:$A$65536,[18]Multiplier!$E$1:$E$65536,0)-_xlfn.XLOOKUP("PCSAS",[18]Multiplier!$A$1:$A$65536,[18]Multiplier!$E$1:$E$65536,0)</f>
        <v>104033.1</v>
      </c>
    </row>
    <row r="74" spans="1:13" ht="19.5" customHeight="1">
      <c r="A74" s="35" t="s">
        <v>46</v>
      </c>
      <c r="B74" s="164"/>
      <c r="C74" s="164"/>
      <c r="D74" s="164"/>
      <c r="E74" s="164"/>
      <c r="F74" s="164"/>
      <c r="G74" s="164"/>
      <c r="H74" s="170"/>
      <c r="I74" s="170"/>
      <c r="J74" s="170"/>
      <c r="K74" s="166">
        <v>0</v>
      </c>
      <c r="L74" s="166">
        <v>0</v>
      </c>
      <c r="M74" s="166">
        <v>0</v>
      </c>
    </row>
    <row r="75" spans="1:13" ht="19.5" customHeight="1">
      <c r="A75" s="36" t="s">
        <v>47</v>
      </c>
      <c r="B75" s="170"/>
      <c r="C75" s="170"/>
      <c r="D75" s="170"/>
      <c r="E75" s="170"/>
      <c r="F75" s="170"/>
      <c r="G75" s="170"/>
      <c r="H75" s="170"/>
      <c r="I75" s="170"/>
      <c r="J75" s="170"/>
      <c r="K75" s="166">
        <v>0</v>
      </c>
      <c r="L75" s="166">
        <v>0</v>
      </c>
      <c r="M75" s="166">
        <v>0</v>
      </c>
    </row>
    <row r="76" spans="1:13" ht="19.5" customHeight="1">
      <c r="A76" s="36" t="s">
        <v>48</v>
      </c>
      <c r="B76" s="170">
        <f>[7]Multiplier!$E$14</f>
        <v>157.1</v>
      </c>
      <c r="C76" s="170"/>
      <c r="D76" s="170">
        <f>[9]Multiplier!$E$13</f>
        <v>2076.9</v>
      </c>
      <c r="E76" s="170">
        <f>[10]Multiplier!$E$13</f>
        <v>1204.7</v>
      </c>
      <c r="F76" s="170">
        <f>[11]Multiplier!$E$16</f>
        <v>1618</v>
      </c>
      <c r="G76" s="170">
        <f>[12]Multiplier!$E$13</f>
        <v>2031.7</v>
      </c>
      <c r="H76" s="170">
        <f>[13]Multiplier!$E$12</f>
        <v>3983.4</v>
      </c>
      <c r="I76" s="170">
        <f>[14]Multiplier!$E$11</f>
        <v>2548.4</v>
      </c>
      <c r="J76" s="170">
        <f>[15]Multiplier!$E$15</f>
        <v>4940.3</v>
      </c>
      <c r="K76" s="166">
        <f>_xlfn.XLOOKUP("PCSAS",[16]Multiplier!$A$1:$A$65536,[16]Multiplier!$E$1:$E$65536,0)</f>
        <v>4647</v>
      </c>
      <c r="L76" s="166">
        <f>_xlfn.XLOOKUP("PCSAS",[17]Multiplier!$A$1:$A$65536,[17]Multiplier!$E$1:$E$65536,0)</f>
        <v>4596.8</v>
      </c>
      <c r="M76" s="166">
        <f>_xlfn.XLOOKUP("PCSAS",[18]Multiplier!$A$1:$A$65536,[18]Multiplier!$E$1:$E$65536,0)</f>
        <v>4625.8</v>
      </c>
    </row>
    <row r="77" spans="1:13" ht="19.5" customHeight="1">
      <c r="A77" s="36" t="s">
        <v>49</v>
      </c>
      <c r="B77" s="170"/>
      <c r="C77" s="170"/>
      <c r="D77" s="170"/>
      <c r="E77" s="170"/>
      <c r="F77" s="170">
        <f>'[46]Rations &amp; lunches'!$C$269+'[46]Rations &amp; lunches'!$D$269</f>
        <v>591.45950325377032</v>
      </c>
      <c r="G77" s="170">
        <f>'[47]Rations &amp; lunches'!$H$12+'[47]Rations &amp; lunches'!$C$269+'[47]Rations &amp; lunches'!$D$269</f>
        <v>676.65603892621186</v>
      </c>
      <c r="H77" s="170">
        <f>'[48]Rations &amp; lunches'!$C$269+'[48]Rations &amp; lunches'!$D$269</f>
        <v>787.89088038590376</v>
      </c>
      <c r="I77" s="170">
        <f>'[49]Rations &amp; lunches'!$C$269+'[49]Rations &amp; lunches'!$D$269</f>
        <v>447.26667856134827</v>
      </c>
      <c r="J77" s="170">
        <f>'[50]Rations &amp; lunches'!$C$269+'[50]Rations &amp; lunches'!$D$269</f>
        <v>789.45523487286175</v>
      </c>
      <c r="K77" s="170">
        <f>'[51]Rations &amp; lunches'!$C$269+'[51]Rations &amp; lunches'!$D$269</f>
        <v>621.37748329758949</v>
      </c>
      <c r="L77" s="170">
        <f>'[52]Rations &amp; lunches'!$C$269+'[52]Rations &amp; lunches'!$D$269</f>
        <v>549.39859384014835</v>
      </c>
      <c r="M77" s="170">
        <f>'[53]Rations &amp; lunches'!$C$269+'[53]Rations &amp; lunches'!$D$269</f>
        <v>639.70464832405742</v>
      </c>
    </row>
    <row r="78" spans="1:13" ht="19.5" customHeight="1">
      <c r="A78" s="36" t="s">
        <v>50</v>
      </c>
      <c r="B78" s="170"/>
      <c r="C78" s="170"/>
      <c r="D78" s="170"/>
      <c r="E78" s="170"/>
      <c r="F78" s="170"/>
      <c r="G78" s="170"/>
      <c r="H78" s="170"/>
      <c r="I78" s="170"/>
      <c r="J78" s="170"/>
      <c r="K78" s="170"/>
      <c r="L78" s="170"/>
      <c r="M78" s="170"/>
    </row>
    <row r="79" spans="1:13" ht="19.5" customHeight="1">
      <c r="A79" s="36" t="s">
        <v>51</v>
      </c>
      <c r="B79" s="170"/>
      <c r="C79" s="170"/>
      <c r="D79" s="170"/>
      <c r="E79" s="170"/>
      <c r="F79" s="170"/>
      <c r="G79" s="170"/>
      <c r="H79" s="170"/>
      <c r="I79" s="170"/>
      <c r="J79" s="170"/>
      <c r="K79" s="170"/>
      <c r="L79" s="170"/>
      <c r="M79" s="170"/>
    </row>
    <row r="80" spans="1:13" ht="19.5" customHeight="1">
      <c r="A80" s="36" t="s">
        <v>16</v>
      </c>
      <c r="B80" s="170"/>
      <c r="C80" s="170"/>
      <c r="D80" s="170"/>
      <c r="E80" s="170"/>
      <c r="F80" s="170"/>
      <c r="G80" s="170"/>
      <c r="H80" s="170"/>
      <c r="I80" s="170"/>
      <c r="J80" s="170"/>
      <c r="K80" s="170"/>
      <c r="L80" s="170"/>
      <c r="M80" s="170"/>
    </row>
    <row r="81" spans="1:13" ht="19.5" customHeight="1">
      <c r="A81" s="36"/>
      <c r="B81" s="170"/>
      <c r="C81" s="170"/>
      <c r="D81" s="170"/>
      <c r="E81" s="170"/>
      <c r="F81" s="170"/>
      <c r="G81" s="170"/>
      <c r="H81" s="170"/>
      <c r="I81" s="170"/>
      <c r="J81" s="170"/>
      <c r="K81" s="170"/>
      <c r="L81" s="170"/>
      <c r="M81" s="170"/>
    </row>
    <row r="82" spans="1:13" ht="19.5" customHeight="1">
      <c r="A82" s="36"/>
      <c r="B82" s="170"/>
      <c r="C82" s="170"/>
      <c r="D82" s="170"/>
      <c r="E82" s="170"/>
      <c r="F82" s="170"/>
      <c r="G82" s="170"/>
      <c r="H82" s="170"/>
      <c r="I82" s="170"/>
      <c r="J82" s="170"/>
      <c r="K82" s="170"/>
      <c r="L82" s="170"/>
      <c r="M82" s="170"/>
    </row>
    <row r="83" spans="1:13" ht="19.5" customHeight="1">
      <c r="A83" s="36"/>
      <c r="B83" s="170"/>
      <c r="C83" s="170"/>
      <c r="D83" s="170"/>
      <c r="E83" s="170"/>
      <c r="F83" s="170"/>
      <c r="G83" s="170"/>
      <c r="H83" s="170"/>
      <c r="I83" s="170"/>
      <c r="J83" s="170"/>
      <c r="K83" s="170"/>
      <c r="L83" s="170"/>
      <c r="M83" s="170"/>
    </row>
    <row r="84" spans="1:13" ht="19.5" customHeight="1">
      <c r="A84" s="36"/>
      <c r="B84" s="170"/>
      <c r="C84" s="170"/>
      <c r="D84" s="170"/>
      <c r="E84" s="170"/>
      <c r="F84" s="170"/>
      <c r="G84" s="170"/>
      <c r="H84" s="170"/>
      <c r="I84" s="170"/>
      <c r="J84" s="170"/>
      <c r="K84" s="170"/>
      <c r="L84" s="170"/>
      <c r="M84" s="170"/>
    </row>
    <row r="85" spans="1:13" ht="19.5" customHeight="1">
      <c r="A85" s="36"/>
      <c r="B85" s="170"/>
      <c r="C85" s="170"/>
      <c r="D85" s="170"/>
      <c r="E85" s="170"/>
      <c r="F85" s="170"/>
      <c r="G85" s="170"/>
      <c r="H85" s="170"/>
      <c r="I85" s="170"/>
      <c r="J85" s="170"/>
      <c r="K85" s="170"/>
      <c r="L85" s="170"/>
      <c r="M85" s="170"/>
    </row>
    <row r="86" spans="1:13" ht="19.5" customHeight="1">
      <c r="A86" s="32" t="s">
        <v>52</v>
      </c>
      <c r="B86" s="164"/>
      <c r="C86" s="164"/>
      <c r="D86" s="164"/>
      <c r="E86" s="164"/>
      <c r="F86" s="164"/>
      <c r="G86" s="164"/>
      <c r="H86" s="164"/>
      <c r="I86" s="164"/>
      <c r="J86" s="164"/>
      <c r="K86" s="164"/>
      <c r="L86" s="164"/>
      <c r="M86" s="164"/>
    </row>
    <row r="87" spans="1:13" ht="19.5" customHeight="1">
      <c r="A87" s="34"/>
      <c r="B87" s="170"/>
      <c r="C87" s="170"/>
      <c r="D87" s="170"/>
      <c r="E87" s="170"/>
      <c r="F87" s="170"/>
      <c r="G87" s="170"/>
      <c r="H87" s="170"/>
      <c r="I87" s="170"/>
      <c r="J87" s="170"/>
      <c r="K87" s="170"/>
      <c r="L87" s="170"/>
      <c r="M87" s="170"/>
    </row>
    <row r="88" spans="1:13" ht="19.5" customHeight="1">
      <c r="A88" s="34"/>
      <c r="B88" s="162"/>
      <c r="C88" s="162"/>
      <c r="D88" s="162"/>
      <c r="E88" s="162"/>
      <c r="F88" s="162"/>
      <c r="G88" s="162"/>
      <c r="H88" s="162"/>
      <c r="I88" s="162"/>
      <c r="J88" s="162"/>
      <c r="K88" s="162"/>
      <c r="L88" s="162"/>
      <c r="M88" s="162"/>
    </row>
    <row r="89" spans="1:13" ht="19.5" customHeight="1">
      <c r="A89" s="34" t="s">
        <v>78</v>
      </c>
      <c r="B89" s="162">
        <f t="shared" ref="B89:I89" si="10">B24+B25+B26+B27+B34+B35+B36+B37+B44+B45+B46+B47+B54+B55+B56+B57+B63+B64+B65+B66+B73+B74+B75+B76</f>
        <v>1215463.2000000002</v>
      </c>
      <c r="C89" s="162">
        <f t="shared" si="10"/>
        <v>1195438.1000000001</v>
      </c>
      <c r="D89" s="162">
        <f t="shared" si="10"/>
        <v>1506419.5</v>
      </c>
      <c r="E89" s="162">
        <f t="shared" si="10"/>
        <v>1245267.5</v>
      </c>
      <c r="F89" s="162">
        <f t="shared" si="10"/>
        <v>1167318</v>
      </c>
      <c r="G89" s="162">
        <f t="shared" si="10"/>
        <v>1474122.5000000002</v>
      </c>
      <c r="H89" s="162">
        <f t="shared" si="10"/>
        <v>1217593.8</v>
      </c>
      <c r="I89" s="162">
        <f t="shared" si="10"/>
        <v>1260277</v>
      </c>
      <c r="J89" s="162">
        <f>J24+J25+J26+J27+J34+J35+J36+J37+J44+J45+J46+J47+J54+J55+J56+J57+J63+J64+J65+J66+J73+J74+J75+J76</f>
        <v>1611298.2200000002</v>
      </c>
      <c r="K89" s="162">
        <f t="shared" ref="K89" si="11">K24+K25+K26+K27+K34+K35+K36+K37+K44+K45+K46+K47+K54+K55+K56+K57+K63+K64+K65+K66+K73+K74+K75+K76</f>
        <v>1377302.2</v>
      </c>
      <c r="L89" s="162">
        <f t="shared" ref="L89:M89" si="12">L24+L25+L26+L27+L34+L35+L36+L37+L44+L45+L46+L47+L54+L55+L56+L57+L63+L64+L65+L66+L73+L74+L75+L76</f>
        <v>1368458.2000000002</v>
      </c>
      <c r="M89" s="162">
        <f t="shared" si="12"/>
        <v>1812956.3000000005</v>
      </c>
    </row>
    <row r="90" spans="1:13" ht="19.5" customHeight="1">
      <c r="B90" s="171"/>
      <c r="C90" s="171"/>
      <c r="D90" s="171"/>
      <c r="E90" s="171"/>
      <c r="F90" s="171"/>
      <c r="G90" s="171"/>
      <c r="H90" s="171"/>
      <c r="I90" s="171"/>
      <c r="J90" s="171"/>
      <c r="K90" s="171"/>
      <c r="L90" s="171"/>
      <c r="M90" s="171"/>
    </row>
    <row r="91" spans="1:13" ht="19.5" customHeight="1">
      <c r="A91" s="19" t="s">
        <v>53</v>
      </c>
      <c r="B91" s="171">
        <f t="shared" ref="B91:K91" si="13">B26+B36+B46+B56</f>
        <v>131969.4</v>
      </c>
      <c r="C91" s="171">
        <f t="shared" si="13"/>
        <v>120063.6</v>
      </c>
      <c r="D91" s="171">
        <f t="shared" si="13"/>
        <v>171419.5</v>
      </c>
      <c r="E91" s="171">
        <f t="shared" si="13"/>
        <v>135752.9</v>
      </c>
      <c r="F91" s="171">
        <f t="shared" si="13"/>
        <v>121132.6</v>
      </c>
      <c r="G91" s="171">
        <f t="shared" si="13"/>
        <v>146322.4</v>
      </c>
      <c r="H91" s="171">
        <f t="shared" si="13"/>
        <v>122376.4</v>
      </c>
      <c r="I91" s="171">
        <f t="shared" si="13"/>
        <v>129449.20000000001</v>
      </c>
      <c r="J91" s="171">
        <f t="shared" si="13"/>
        <v>196797.9</v>
      </c>
      <c r="K91" s="171">
        <f t="shared" si="13"/>
        <v>137928</v>
      </c>
      <c r="L91" s="171">
        <f t="shared" ref="L91:M91" si="14">L26+L36+L46+L56</f>
        <v>137694.40000000002</v>
      </c>
      <c r="M91" s="171">
        <f t="shared" si="14"/>
        <v>192963</v>
      </c>
    </row>
    <row r="92" spans="1:13" ht="19.5" customHeight="1">
      <c r="A92" s="19" t="s">
        <v>73</v>
      </c>
      <c r="B92" s="171">
        <f t="shared" ref="B92:K92" si="15">B25+B35+B45+B55</f>
        <v>54091.1</v>
      </c>
      <c r="C92" s="171">
        <f t="shared" si="15"/>
        <v>54298.9</v>
      </c>
      <c r="D92" s="171">
        <f t="shared" si="15"/>
        <v>59378.7</v>
      </c>
      <c r="E92" s="171">
        <f t="shared" si="15"/>
        <v>46872</v>
      </c>
      <c r="F92" s="171">
        <f t="shared" si="15"/>
        <v>36924.5</v>
      </c>
      <c r="G92" s="171">
        <f t="shared" si="15"/>
        <v>65627.600000000006</v>
      </c>
      <c r="H92" s="171">
        <f t="shared" si="15"/>
        <v>59159.8</v>
      </c>
      <c r="I92" s="171">
        <f t="shared" si="15"/>
        <v>59699.999999999993</v>
      </c>
      <c r="J92" s="171">
        <f t="shared" si="15"/>
        <v>81044.399999999994</v>
      </c>
      <c r="K92" s="171">
        <f t="shared" si="15"/>
        <v>53624.6</v>
      </c>
      <c r="L92" s="171">
        <f t="shared" ref="L92:M92" si="16">L25+L35+L45+L55</f>
        <v>64374.200000000004</v>
      </c>
      <c r="M92" s="171">
        <f t="shared" si="16"/>
        <v>81089.899999999994</v>
      </c>
    </row>
    <row r="93" spans="1:13" ht="19.5" customHeight="1">
      <c r="B93" s="171"/>
      <c r="C93" s="171"/>
      <c r="D93" s="171"/>
      <c r="E93" s="171"/>
      <c r="F93" s="171"/>
      <c r="G93" s="171"/>
      <c r="H93" s="171"/>
      <c r="I93" s="171"/>
      <c r="J93" s="171"/>
      <c r="K93" s="171"/>
      <c r="L93" s="171"/>
      <c r="M93" s="171"/>
    </row>
    <row r="94" spans="1:13" ht="19.5" customHeight="1">
      <c r="B94" s="171"/>
      <c r="C94" s="171"/>
      <c r="D94" s="171"/>
      <c r="E94" s="171"/>
      <c r="F94" s="171"/>
      <c r="G94" s="171"/>
      <c r="H94" s="171"/>
      <c r="I94" s="171"/>
      <c r="J94" s="171"/>
      <c r="K94" s="171"/>
      <c r="L94" s="171"/>
      <c r="M94" s="171"/>
    </row>
    <row r="95" spans="1:13" ht="19.5" customHeight="1">
      <c r="A95" s="19" t="s">
        <v>79</v>
      </c>
      <c r="B95" s="171">
        <f t="shared" ref="B95:K95" si="17">B24+B25+B26+B27+B34+B35+B36+B37+B44+B45+B46+B47+B54+B55+B56+B57</f>
        <v>1042740.3</v>
      </c>
      <c r="C95" s="171">
        <f t="shared" si="17"/>
        <v>974361.70000000007</v>
      </c>
      <c r="D95" s="171">
        <f t="shared" si="17"/>
        <v>1233570.5000000002</v>
      </c>
      <c r="E95" s="171">
        <f t="shared" si="17"/>
        <v>1012860.5</v>
      </c>
      <c r="F95" s="171">
        <f t="shared" si="17"/>
        <v>948577.8</v>
      </c>
      <c r="G95" s="171">
        <f t="shared" si="17"/>
        <v>1213189.8000000003</v>
      </c>
      <c r="H95" s="171">
        <f t="shared" si="17"/>
        <v>985698.90000000014</v>
      </c>
      <c r="I95" s="171">
        <f t="shared" si="17"/>
        <v>1036416.9</v>
      </c>
      <c r="J95" s="171">
        <f t="shared" si="17"/>
        <v>1300367.72</v>
      </c>
      <c r="K95" s="171">
        <f t="shared" si="17"/>
        <v>1024088.1000000001</v>
      </c>
      <c r="L95" s="171">
        <f t="shared" ref="L95:M95" si="18">L24+L25+L26+L27+L34+L35+L36+L37+L44+L45+L46+L47+L54+L55+L56+L57</f>
        <v>1052698.3</v>
      </c>
      <c r="M95" s="171">
        <f t="shared" si="18"/>
        <v>1397807.6000000003</v>
      </c>
    </row>
    <row r="101" spans="12:12" ht="19.5" customHeight="1">
      <c r="L101" s="30">
        <f>+L89-[17]Summary.!$E$28</f>
        <v>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6182D-2EEC-41AB-AE49-98BC7A534F71}">
  <sheetPr codeName="Sheet4">
    <tabColor rgb="FF00B0F0"/>
  </sheetPr>
  <dimension ref="A2:AX38"/>
  <sheetViews>
    <sheetView tabSelected="1" topLeftCell="A7" zoomScale="80" zoomScaleNormal="80" workbookViewId="0">
      <pane xSplit="1" topLeftCell="AN1" activePane="topRight" state="frozen"/>
      <selection pane="topRight" activeCell="AU22" sqref="AU22:AW22"/>
      <selection activeCell="M19" sqref="M19:M21"/>
    </sheetView>
  </sheetViews>
  <sheetFormatPr defaultRowHeight="15"/>
  <cols>
    <col min="1" max="1" width="21.7109375" style="47" bestFit="1" customWidth="1"/>
    <col min="13" max="13" width="21.7109375" bestFit="1" customWidth="1"/>
    <col min="14" max="14" width="21.7109375" customWidth="1"/>
    <col min="15" max="27" width="0" hidden="1" customWidth="1"/>
    <col min="28" max="28" width="12" hidden="1" customWidth="1"/>
    <col min="29" max="29" width="13" hidden="1" customWidth="1"/>
    <col min="30" max="31" width="12" hidden="1" customWidth="1"/>
    <col min="32" max="35" width="13" hidden="1" customWidth="1"/>
    <col min="36" max="36" width="13" customWidth="1"/>
    <col min="37" max="37" width="11.42578125" bestFit="1" customWidth="1"/>
    <col min="38" max="38" width="22.5703125" bestFit="1" customWidth="1"/>
    <col min="39" max="39" width="11.42578125" bestFit="1" customWidth="1"/>
    <col min="40" max="50" width="15.140625" bestFit="1" customWidth="1"/>
  </cols>
  <sheetData>
    <row r="2" spans="20:40">
      <c r="T2" t="s">
        <v>80</v>
      </c>
    </row>
    <row r="3" spans="20:40">
      <c r="T3" t="s">
        <v>81</v>
      </c>
    </row>
    <row r="4" spans="20:40">
      <c r="T4" t="s">
        <v>82</v>
      </c>
    </row>
    <row r="8" spans="20:40">
      <c r="AN8" s="77"/>
    </row>
    <row r="17" spans="1:50">
      <c r="AN17" s="126"/>
    </row>
    <row r="20" spans="1:50" ht="15.75" thickBot="1">
      <c r="B20" s="724">
        <v>44743</v>
      </c>
      <c r="C20" s="55">
        <v>44774</v>
      </c>
      <c r="D20" s="55">
        <v>44805</v>
      </c>
      <c r="E20" s="54">
        <v>44835</v>
      </c>
      <c r="F20" s="54">
        <v>44866</v>
      </c>
      <c r="G20" s="54">
        <v>44896</v>
      </c>
      <c r="H20" s="54">
        <v>44927</v>
      </c>
      <c r="I20" s="54">
        <v>44958</v>
      </c>
      <c r="J20" s="54">
        <v>44986</v>
      </c>
      <c r="K20" s="54">
        <v>45017</v>
      </c>
      <c r="L20" s="54">
        <v>45047</v>
      </c>
      <c r="M20" s="54">
        <v>45078</v>
      </c>
      <c r="N20" s="54"/>
      <c r="O20" s="54">
        <v>45162</v>
      </c>
      <c r="P20" s="54">
        <v>45193</v>
      </c>
      <c r="Q20" s="54">
        <v>45223</v>
      </c>
      <c r="R20" s="54">
        <v>45254</v>
      </c>
      <c r="S20" s="54">
        <v>45284</v>
      </c>
      <c r="T20" s="54">
        <v>45315</v>
      </c>
      <c r="U20" s="54">
        <v>45346</v>
      </c>
      <c r="V20" s="54">
        <v>45375</v>
      </c>
      <c r="W20" s="54">
        <v>45406</v>
      </c>
      <c r="X20" s="54">
        <v>45436</v>
      </c>
      <c r="Y20" s="54">
        <v>45467</v>
      </c>
      <c r="Z20" s="54">
        <v>45497</v>
      </c>
      <c r="AA20" s="54">
        <v>45528</v>
      </c>
      <c r="AB20" s="54">
        <v>45559</v>
      </c>
      <c r="AC20" s="54">
        <v>45589</v>
      </c>
      <c r="AD20" s="54">
        <v>45620</v>
      </c>
      <c r="AE20" s="54">
        <v>45650</v>
      </c>
      <c r="AF20" s="54">
        <v>45681</v>
      </c>
      <c r="AG20" s="54">
        <v>45712</v>
      </c>
      <c r="AH20" s="54">
        <v>45740</v>
      </c>
      <c r="AI20" s="54">
        <v>45771</v>
      </c>
      <c r="AJ20" s="54">
        <v>45801</v>
      </c>
      <c r="AK20" s="54">
        <v>45832</v>
      </c>
      <c r="AL20" s="54"/>
      <c r="AM20" s="54">
        <v>45862</v>
      </c>
      <c r="AN20" s="54">
        <v>45893</v>
      </c>
      <c r="AO20" s="54">
        <v>45924</v>
      </c>
      <c r="AP20" s="54">
        <v>45954</v>
      </c>
      <c r="AQ20" s="54">
        <v>45985</v>
      </c>
      <c r="AR20" s="54">
        <v>46015</v>
      </c>
      <c r="AS20" s="54">
        <v>46046</v>
      </c>
      <c r="AT20" s="54">
        <v>46077</v>
      </c>
      <c r="AU20" s="54">
        <v>46105</v>
      </c>
      <c r="AV20" s="54">
        <v>46136</v>
      </c>
      <c r="AW20" s="54">
        <v>46166</v>
      </c>
      <c r="AX20" s="54">
        <v>46197</v>
      </c>
    </row>
    <row r="21" spans="1:50">
      <c r="B21" s="725">
        <v>4570</v>
      </c>
      <c r="C21" s="56">
        <v>4640</v>
      </c>
      <c r="D21" s="56">
        <v>4584</v>
      </c>
      <c r="E21" s="57">
        <v>4718</v>
      </c>
      <c r="F21" s="57">
        <v>4769</v>
      </c>
      <c r="G21" s="57">
        <v>4619</v>
      </c>
      <c r="H21" s="57">
        <v>4717</v>
      </c>
      <c r="I21" s="57">
        <v>4640</v>
      </c>
      <c r="J21" s="57">
        <v>4625</v>
      </c>
      <c r="K21" s="57">
        <v>4626</v>
      </c>
      <c r="L21" s="57">
        <v>4559</v>
      </c>
      <c r="M21" s="57">
        <v>4560</v>
      </c>
      <c r="N21" s="53" t="s">
        <v>83</v>
      </c>
      <c r="O21" s="58">
        <v>4510</v>
      </c>
      <c r="P21" s="58">
        <v>4556</v>
      </c>
      <c r="Q21" s="58">
        <v>4620</v>
      </c>
      <c r="R21" s="58">
        <v>4640</v>
      </c>
      <c r="S21" s="58">
        <v>4625</v>
      </c>
      <c r="T21" s="58">
        <v>4583</v>
      </c>
      <c r="U21" s="58">
        <v>4578</v>
      </c>
      <c r="V21" s="58">
        <v>4550</v>
      </c>
      <c r="W21" s="58">
        <v>4572</v>
      </c>
      <c r="X21" s="58">
        <f>SUM('[1]Grasmere Kgs sold per sow p (2)'!W19,'[1]Richlands kgs sold per sow  (2)'!X20,'[1]LH Kgs sold per sow per year'!X18,'[1]Villa Kgs sold per sow per year'!X19)</f>
        <v>4561.7</v>
      </c>
      <c r="Y21" s="58">
        <f>SUM('[1]Grasmere Kgs sold per sow p (2)'!X19,'[1]Richlands kgs sold per sow  (2)'!Y20,'[1]LH Kgs sold per sow per year'!Y18,'[1]Villa Kgs sold per sow per year'!Y19)</f>
        <v>4562</v>
      </c>
      <c r="Z21" s="58">
        <f>SUM('[1]Grasmere Kgs sold per sow p (2)'!Y19,'[1]Richlands kgs sold per sow  (2)'!Z20,'[1]LH Kgs sold per sow per year'!Z18,'[1]Villa Kgs sold per sow per year'!Z19)</f>
        <v>4608.3000000000011</v>
      </c>
      <c r="AA21" s="58">
        <v>4612</v>
      </c>
      <c r="AB21" s="58">
        <v>4637</v>
      </c>
      <c r="AC21" s="58">
        <v>4705</v>
      </c>
      <c r="AD21" s="58">
        <v>4686</v>
      </c>
      <c r="AE21" s="58">
        <v>4635</v>
      </c>
      <c r="AF21" s="58">
        <v>4563</v>
      </c>
      <c r="AG21" s="58">
        <v>4540</v>
      </c>
      <c r="AH21" s="58">
        <v>4530</v>
      </c>
      <c r="AI21" s="58">
        <v>4532</v>
      </c>
      <c r="AJ21" s="58">
        <v>4533</v>
      </c>
      <c r="AK21" s="58">
        <v>4520</v>
      </c>
      <c r="AL21" s="53" t="s">
        <v>83</v>
      </c>
      <c r="AM21" s="58">
        <v>5520</v>
      </c>
      <c r="AN21" s="58">
        <v>5518</v>
      </c>
      <c r="AO21" s="58">
        <v>5576</v>
      </c>
      <c r="AP21" s="58">
        <v>5627</v>
      </c>
      <c r="AQ21" s="58">
        <v>5627</v>
      </c>
      <c r="AR21" s="58">
        <v>5610</v>
      </c>
      <c r="AS21" s="58">
        <v>5637</v>
      </c>
      <c r="AT21" s="58">
        <v>5638</v>
      </c>
      <c r="AU21" s="58">
        <v>6098</v>
      </c>
      <c r="AV21" s="58">
        <v>6099</v>
      </c>
      <c r="AW21" s="58">
        <v>6043</v>
      </c>
      <c r="AX21" s="58">
        <v>6068</v>
      </c>
    </row>
    <row r="22" spans="1:50">
      <c r="B22" s="726">
        <v>1027904.65</v>
      </c>
      <c r="C22" s="49">
        <v>826510.6</v>
      </c>
      <c r="D22" s="49">
        <v>1070293.8500000001</v>
      </c>
      <c r="E22" s="48">
        <v>871485.00000000012</v>
      </c>
      <c r="F22" s="48">
        <v>841969.2</v>
      </c>
      <c r="G22" s="48">
        <v>1044011.9000000001</v>
      </c>
      <c r="H22" s="48">
        <v>760028.49999999977</v>
      </c>
      <c r="I22" s="48">
        <v>907090.79999999993</v>
      </c>
      <c r="J22" s="48">
        <v>1114600.9999999998</v>
      </c>
      <c r="K22" s="48">
        <v>904151.50000000012</v>
      </c>
      <c r="L22" s="48">
        <v>892547.7</v>
      </c>
      <c r="M22" s="48">
        <v>1123004.9999999998</v>
      </c>
      <c r="N22" s="53" t="s">
        <v>84</v>
      </c>
      <c r="O22" s="50">
        <f>SUM('[1]Combined total CDM to Colco (2)'!B25+'[1]Combined total CDM to Colco (2)'!B26+'[1]Combined total CDM to Colco (2)'!B27+'[1]Combined total CDM to Colco (2)'!B35+'[1]Combined total CDM to Colco (2)'!B36+'[1]Combined total CDM to Colco (2)'!B37+'[1]Combined total CDM to Colco (2)'!B45+'[1]Combined total CDM to Colco (2)'!B46+'[1]Combined total CDM to Colco (2)'!B47+'[1]Combined total CDM to Colco (2)'!B55+'[1]Combined total CDM to Colco (2)'!B56+'[1]Combined total CDM to Colco (2)'!B57)</f>
        <v>864781.29999999993</v>
      </c>
      <c r="P22" s="50">
        <f>SUM('[1]Combined total CDM to Colco (2)'!C25+'[1]Combined total CDM to Colco (2)'!C26+'[1]Combined total CDM to Colco (2)'!C27+'[1]Combined total CDM to Colco (2)'!C35+'[1]Combined total CDM to Colco (2)'!C36+'[1]Combined total CDM to Colco (2)'!C37+'[1]Combined total CDM to Colco (2)'!C45+'[1]Combined total CDM to Colco (2)'!C46+'[1]Combined total CDM to Colco (2)'!C47+'[1]Combined total CDM to Colco (2)'!C55+'[1]Combined total CDM to Colco (2)'!C56+'[1]Combined total CDM to Colco (2)'!C57)</f>
        <v>885303.5</v>
      </c>
      <c r="Q22" s="50">
        <f>'[2]Combined total CDM to Colco (7)'!B25</f>
        <v>882440.2</v>
      </c>
      <c r="R22" s="50">
        <f>'[2]Combined total CDM to Colco (7)'!C25</f>
        <v>900931.20000000007</v>
      </c>
      <c r="S22" s="50">
        <f>'[2]Combined total CDM to Colco (7)'!D25</f>
        <v>1151251.4000000001</v>
      </c>
      <c r="T22" s="50">
        <f>'[2]Combined total CDM to Colco (7)'!E25</f>
        <v>855802.60000000021</v>
      </c>
      <c r="U22" s="50">
        <f>'[2]Combined total CDM to Colco (7)'!F25</f>
        <v>822535.39999999979</v>
      </c>
      <c r="V22" s="50">
        <f>'[2]Combined total CDM to Colco (7)'!G25</f>
        <v>1072706.3999999999</v>
      </c>
      <c r="W22" s="50">
        <f>'[2]Combined total CDM to Colco (7)'!H25</f>
        <v>870671.79999999993</v>
      </c>
      <c r="X22" s="50">
        <f>'[2]Combined total CDM to Colco (7)'!I25</f>
        <v>903322.40600000008</v>
      </c>
      <c r="Y22" s="50">
        <f>'[2]Combined total CDM to Colco (7)'!J25</f>
        <v>1079465.7400000002</v>
      </c>
      <c r="Z22" s="50">
        <f>'[2]Combined total CDM to Colco (7)'!B29+'[2]Combined total CDM to Colco (7)'!B30+'[2]Combined total CDM to Colco (7)'!B31+'[2]Combined total CDM to Colco (7)'!B39+'[2]Combined total CDM to Colco (7)'!B40+'[2]Combined total CDM to Colco (7)'!B41+'[2]Combined total CDM to Colco (7)'!B49+'[2]Combined total CDM to Colco (7)'!B50+'[2]Combined total CDM to Colco (7)'!B51+'[2]Combined total CDM to Colco (7)'!B59+'[2]Combined total CDM to Colco (7)'!B60+'[2]Combined total CDM to Colco (7)'!B61</f>
        <v>913112.90000000014</v>
      </c>
      <c r="AA22" s="50">
        <f>'[2]Combined total CDM to Colco (7)'!C29+'[2]Combined total CDM to Colco (7)'!C30+'[2]Combined total CDM to Colco (7)'!C31+'[2]Combined total CDM to Colco (7)'!C39+'[2]Combined total CDM to Colco (7)'!C40+'[2]Combined total CDM to Colco (7)'!C41+'[2]Combined total CDM to Colco (7)'!C49+'[2]Combined total CDM to Colco (7)'!C50+'[2]Combined total CDM to Colco (7)'!C51+'[2]Combined total CDM to Colco (7)'!C59+'[2]Combined total CDM to Colco (7)'!C60+'[2]Combined total CDM to Colco (7)'!C61</f>
        <v>869073.40000000014</v>
      </c>
      <c r="AB22" s="50">
        <f>'[2]Combined total CDM to Colco (7)'!D29+'[2]Combined total CDM to Colco (7)'!D30+'[2]Combined total CDM to Colco (7)'!D31+'[2]Combined total CDM to Colco (7)'!D39+'[2]Combined total CDM to Colco (7)'!D40+'[2]Combined total CDM to Colco (7)'!D41+'[2]Combined total CDM to Colco (7)'!D49+'[2]Combined total CDM to Colco (7)'!D50+'[2]Combined total CDM to Colco (7)'!D51+'[2]Combined total CDM to Colco (7)'!D59+'[2]Combined total CDM to Colco (7)'!D60+'[2]Combined total CDM to Colco (7)'!D61</f>
        <v>1251448.7000000002</v>
      </c>
      <c r="AC22" s="50">
        <f>'[2]Combined total CDM to Colco (7)'!E29+'[2]Combined total CDM to Colco (7)'!E30+'[2]Combined total CDM to Colco (7)'!E31+'[2]Combined total CDM to Colco (7)'!E39+'[2]Combined total CDM to Colco (7)'!E40+'[2]Combined total CDM to Colco (7)'!E41+'[2]Combined total CDM to Colco (7)'!E49+'[2]Combined total CDM to Colco (7)'!E50+'[2]Combined total CDM to Colco (7)'!E51+'[2]Combined total CDM to Colco (7)'!E59+'[2]Combined total CDM to Colco (7)'!E60+'[2]Combined total CDM to Colco (7)'!E61</f>
        <v>994240.72000000009</v>
      </c>
      <c r="AD22" s="50">
        <f>'[2]Combined total CDM to Colco (7)'!F29+'[2]Combined total CDM to Colco (7)'!F30+'[2]Combined total CDM to Colco (7)'!F31+'[2]Combined total CDM to Colco (7)'!F39+'[2]Combined total CDM to Colco (7)'!F40+'[2]Combined total CDM to Colco (7)'!F41+'[2]Combined total CDM to Colco (7)'!F49+'[2]Combined total CDM to Colco (7)'!F50+'[2]Combined total CDM to Colco (7)'!F51+'[2]Combined total CDM to Colco (7)'!F59+'[2]Combined total CDM to Colco (7)'!F60+'[2]Combined total CDM to Colco (7)'!F61</f>
        <v>976117.4</v>
      </c>
      <c r="AE22" s="50">
        <f>'[2]Combined total CDM to Colco (7)'!G29+'[2]Combined total CDM to Colco (7)'!G30+'[2]Combined total CDM to Colco (7)'!G31+'[2]Combined total CDM to Colco (7)'!G39+'[2]Combined total CDM to Colco (7)'!G40+'[2]Combined total CDM to Colco (7)'!G41+'[2]Combined total CDM to Colco (7)'!G49+'[2]Combined total CDM to Colco (7)'!G50+'[2]Combined total CDM to Colco (7)'!G51+'[2]Combined total CDM to Colco (7)'!G59+'[2]Combined total CDM to Colco (7)'!G60+'[2]Combined total CDM to Colco (7)'!G61</f>
        <v>1102554.4400000002</v>
      </c>
      <c r="AF22" s="50">
        <f>'[2]Combined total CDM to Colco (7)'!H29+'[2]Combined total CDM to Colco (7)'!H30+'[2]Combined total CDM to Colco (7)'!H31+'[2]Combined total CDM to Colco (7)'!H39+'[2]Combined total CDM to Colco (7)'!H40+'[2]Combined total CDM to Colco (7)'!H41+'[2]Combined total CDM to Colco (7)'!H49+'[2]Combined total CDM to Colco (7)'!H50+'[2]Combined total CDM to Colco (7)'!H51+'[2]Combined total CDM to Colco (7)'!H59+'[2]Combined total CDM to Colco (7)'!H60+'[2]Combined total CDM to Colco (7)'!H61</f>
        <v>1021195</v>
      </c>
      <c r="AG22" s="50">
        <f>'[2]Combined total CDM to Colco (7)'!I29+'[2]Combined total CDM to Colco (7)'!I30+'[2]Combined total CDM to Colco (7)'!I31+'[2]Combined total CDM to Colco (7)'!I39+'[2]Combined total CDM to Colco (7)'!I40+'[2]Combined total CDM to Colco (7)'!I41+'[2]Combined total CDM to Colco (7)'!I49+'[2]Combined total CDM to Colco (7)'!I50+'[2]Combined total CDM to Colco (7)'!I51+'[2]Combined total CDM to Colco (7)'!I59+'[2]Combined total CDM to Colco (7)'!I60+'[2]Combined total CDM to Colco (7)'!I61</f>
        <v>987282.2999999997</v>
      </c>
      <c r="AH22" s="50">
        <f>'[2]Combined total CDM to Colco (7)'!J29+'[2]Combined total CDM to Colco (7)'!J30+'[2]Combined total CDM to Colco (7)'!J31+'[2]Combined total CDM to Colco (7)'!J39+'[2]Combined total CDM to Colco (7)'!J40+'[2]Combined total CDM to Colco (7)'!J41+'[2]Combined total CDM to Colco (7)'!J49+'[2]Combined total CDM to Colco (7)'!J50+'[2]Combined total CDM to Colco (7)'!J51+'[2]Combined total CDM to Colco (7)'!J59+'[2]Combined total CDM to Colco (7)'!J60+'[2]Combined total CDM to Colco (7)'!J61</f>
        <v>1241838.3999999997</v>
      </c>
      <c r="AI22" s="116">
        <f>'[2]Combined total CDM to Colco (7)'!K29+'[2]Combined total CDM to Colco (7)'!K30+'[2]Combined total CDM to Colco (7)'!K31+'[2]Combined total CDM to Colco (7)'!K39+'[2]Combined total CDM to Colco (7)'!K40+'[2]Combined total CDM to Colco (7)'!K41+'[2]Combined total CDM to Colco (7)'!K49+'[2]Combined total CDM to Colco (7)'!K50+'[2]Combined total CDM to Colco (7)'!K51+'[2]Combined total CDM to Colco (7)'!K59+'[2]Combined total CDM to Colco (7)'!K60+'[2]Combined total CDM to Colco (7)'!K61</f>
        <v>954546.27368421061</v>
      </c>
      <c r="AJ22" s="116">
        <f>'[2]Combined total CDM to Colco (7)'!L29+'[2]Combined total CDM to Colco (7)'!L30+'[2]Combined total CDM to Colco (7)'!L31+'[2]Combined total CDM to Colco (7)'!L39+'[2]Combined total CDM to Colco (7)'!L40+'[2]Combined total CDM to Colco (7)'!L41+'[2]Combined total CDM to Colco (7)'!L49+'[2]Combined total CDM to Colco (7)'!L50+'[2]Combined total CDM to Colco (7)'!L51+'[2]Combined total CDM to Colco (7)'!L59+'[2]Combined total CDM to Colco (7)'!L60+'[2]Combined total CDM to Colco (7)'!L61</f>
        <v>1020664.5</v>
      </c>
      <c r="AK22" s="116">
        <f>'[2]Combined total CDM to Colco (7)'!M29+'[2]Combined total CDM to Colco (7)'!M30+'[2]Combined total CDM to Colco (7)'!M31+'[2]Combined total CDM to Colco (7)'!M39+'[2]Combined total CDM to Colco (7)'!M40+'[2]Combined total CDM to Colco (7)'!M41+'[2]Combined total CDM to Colco (7)'!M49+'[2]Combined total CDM to Colco (7)'!M50+'[2]Combined total CDM to Colco (7)'!M51+'[2]Combined total CDM to Colco (7)'!M59+'[2]Combined total CDM to Colco (7)'!M60+'[2]Combined total CDM to Colco (7)'!M61</f>
        <v>1238051.7</v>
      </c>
      <c r="AL22" s="53" t="s">
        <v>84</v>
      </c>
      <c r="AM22" s="116">
        <f>'Combined total CDM to Colco (7)'!B18</f>
        <v>1215463.2000000002</v>
      </c>
      <c r="AN22" s="271">
        <f>'Combined total CDM to Colco (7)'!C18</f>
        <v>1195438.1000000001</v>
      </c>
      <c r="AO22" s="271">
        <f>'Combined total CDM to Colco (7)'!D18</f>
        <v>1506419.5</v>
      </c>
      <c r="AP22" s="271">
        <f>'Combined total CDM to Colco (7)'!E18</f>
        <v>1245267.5</v>
      </c>
      <c r="AQ22" s="271">
        <f>'Combined total CDM to Colco (7)'!F18</f>
        <v>1167318</v>
      </c>
      <c r="AR22" s="271">
        <f>'Combined total CDM to Colco (7)'!G18</f>
        <v>1474122.5000000002</v>
      </c>
      <c r="AS22" s="271">
        <f>'Combined total CDM to Colco (7)'!H18</f>
        <v>1217593.8</v>
      </c>
      <c r="AT22" s="271">
        <f>'Combined total CDM to Colco (7)'!I24+'Combined total CDM to Colco (7)'!I25+'Combined total CDM to Colco (7)'!I26+'Combined total CDM to Colco (7)'!I28+'Combined total CDM to Colco (7)'!I34+'Combined total CDM to Colco (7)'!I35+'Combined total CDM to Colco (7)'!I36+'Combined total CDM to Colco (7)'!I38+'Combined total CDM to Colco (7)'!I44+'Combined total CDM to Colco (7)'!I45+'Combined total CDM to Colco (7)'!I46+'Combined total CDM to Colco (7)'!I48+'Combined total CDM to Colco (7)'!I54+'Combined total CDM to Colco (7)'!I55+'Combined total CDM to Colco (7)'!I56+'Combined total CDM to Colco (7)'!I58+'Combined total CDM to Colco (7)'!I63+'Combined total CDM to Colco (7)'!I64+'Combined total CDM to Colco (7)'!I65+'Combined total CDM to Colco (7)'!I67+'Combined total CDM to Colco (7)'!I73+'Combined total CDM to Colco (7)'!I74+'Combined total CDM to Colco (7)'!I75+'Combined total CDM to Colco (7)'!I77</f>
        <v>1245092.7513926444</v>
      </c>
      <c r="AU22" s="271">
        <f>'Combined total CDM to Colco (7)'!J24+'Combined total CDM to Colco (7)'!J25+'Combined total CDM to Colco (7)'!J26+'Combined total CDM to Colco (7)'!J28+'Combined total CDM to Colco (7)'!J34+'Combined total CDM to Colco (7)'!J35+'Combined total CDM to Colco (7)'!J36+'Combined total CDM to Colco (7)'!J38+'Combined total CDM to Colco (7)'!J44+'Combined total CDM to Colco (7)'!J45+'Combined total CDM to Colco (7)'!J46+'Combined total CDM to Colco (7)'!J48+'Combined total CDM to Colco (7)'!J54+'Combined total CDM to Colco (7)'!J55+'Combined total CDM to Colco (7)'!J56+'Combined total CDM to Colco (7)'!J58+'Combined total CDM to Colco (7)'!J63+'Combined total CDM to Colco (7)'!J64+'Combined total CDM to Colco (7)'!J65+'Combined total CDM to Colco (7)'!J67+'Combined total CDM to Colco (7)'!J73+'Combined total CDM to Colco (7)'!J74+'Combined total CDM to Colco (7)'!J75+'Combined total CDM to Colco (7)'!J77</f>
        <v>1595395.5225949648</v>
      </c>
      <c r="AV22" s="271">
        <f>'Combined total CDM to Colco (7)'!K24+'Combined total CDM to Colco (7)'!K25+'Combined total CDM to Colco (7)'!K26+'Combined total CDM to Colco (7)'!K28+'Combined total CDM to Colco (7)'!K34+'Combined total CDM to Colco (7)'!K35+'Combined total CDM to Colco (7)'!K36+'Combined total CDM to Colco (7)'!K38+'Combined total CDM to Colco (7)'!K44+'Combined total CDM to Colco (7)'!K45+'Combined total CDM to Colco (7)'!K46+'Combined total CDM to Colco (7)'!K48+'Combined total CDM to Colco (7)'!K54+'Combined total CDM to Colco (7)'!K55+'Combined total CDM to Colco (7)'!K56+'Combined total CDM to Colco (7)'!K58+'Combined total CDM to Colco (7)'!K63+'Combined total CDM to Colco (7)'!K64+'Combined total CDM to Colco (7)'!K65+'Combined total CDM to Colco (7)'!K67+'Combined total CDM to Colco (7)'!K73+'Combined total CDM to Colco (7)'!K74+'Combined total CDM to Colco (7)'!K75+'Combined total CDM to Colco (7)'!K77</f>
        <v>1356868.3752719641</v>
      </c>
      <c r="AW22" s="271">
        <f>'Combined total CDM to Colco (7)'!L24+'Combined total CDM to Colco (7)'!L25+'Combined total CDM to Colco (7)'!L26+'Combined total CDM to Colco (7)'!L28+'Combined total CDM to Colco (7)'!L34+'Combined total CDM to Colco (7)'!L35+'Combined total CDM to Colco (7)'!L36+'Combined total CDM to Colco (7)'!L38+'Combined total CDM to Colco (7)'!L44+'Combined total CDM to Colco (7)'!L45+'Combined total CDM to Colco (7)'!L46+'Combined total CDM to Colco (7)'!L48+'Combined total CDM to Colco (7)'!L54+'Combined total CDM to Colco (7)'!L55+'Combined total CDM to Colco (7)'!L56+'Combined total CDM to Colco (7)'!L58+'Combined total CDM to Colco (7)'!L63+'Combined total CDM to Colco (7)'!L64+'Combined total CDM to Colco (7)'!L65+'Combined total CDM to Colco (7)'!L67+'Combined total CDM to Colco (7)'!L73+'Combined total CDM to Colco (7)'!L74+'Combined total CDM to Colco (7)'!L75+'Combined total CDM to Colco (7)'!L77</f>
        <v>1356365.4218534774</v>
      </c>
      <c r="AX22" s="271">
        <f>'Combined total CDM to Colco (7)'!M24+'Combined total CDM to Colco (7)'!M25+'Combined total CDM to Colco (7)'!M26+'Combined total CDM to Colco (7)'!M28+'Combined total CDM to Colco (7)'!M34+'Combined total CDM to Colco (7)'!M35+'Combined total CDM to Colco (7)'!M36+'Combined total CDM to Colco (7)'!M38+'Combined total CDM to Colco (7)'!M44+'Combined total CDM to Colco (7)'!M45+'Combined total CDM to Colco (7)'!M46+'Combined total CDM to Colco (7)'!M48+'Combined total CDM to Colco (7)'!M54+'Combined total CDM to Colco (7)'!M55+'Combined total CDM to Colco (7)'!M56+'Combined total CDM to Colco (7)'!M58+'Combined total CDM to Colco (7)'!M63+'Combined total CDM to Colco (7)'!M64+'Combined total CDM to Colco (7)'!M65+'Combined total CDM to Colco (7)'!M67+'Combined total CDM to Colco (7)'!M73+'Combined total CDM to Colco (7)'!M74+'Combined total CDM to Colco (7)'!M75+'Combined total CDM to Colco (7)'!M77</f>
        <v>1791986.4762356884</v>
      </c>
    </row>
    <row r="23" spans="1:50">
      <c r="B23" s="727">
        <v>4602.5</v>
      </c>
      <c r="C23" s="52">
        <v>4603.25</v>
      </c>
      <c r="D23" s="52">
        <v>4593</v>
      </c>
      <c r="E23" s="51">
        <v>4595.666666666667</v>
      </c>
      <c r="F23" s="51">
        <v>4602.166666666667</v>
      </c>
      <c r="G23" s="51">
        <v>4599.833333333333</v>
      </c>
      <c r="H23" s="51">
        <v>4610.75</v>
      </c>
      <c r="I23" s="51">
        <v>4617.916666666667</v>
      </c>
      <c r="J23" s="51">
        <v>4624.416666666667</v>
      </c>
      <c r="K23" s="51">
        <v>4632.25</v>
      </c>
      <c r="L23" s="51">
        <v>4634.083333333333</v>
      </c>
      <c r="M23" s="51">
        <v>4635.583333333333</v>
      </c>
      <c r="N23" s="53" t="s">
        <v>85</v>
      </c>
      <c r="O23" s="50">
        <f t="shared" ref="O23:Y23" si="0">AVERAGE(C21:O21)</f>
        <v>4630.583333333333</v>
      </c>
      <c r="P23" s="50">
        <f t="shared" si="0"/>
        <v>4623.583333333333</v>
      </c>
      <c r="Q23" s="50">
        <f t="shared" si="0"/>
        <v>4626.583333333333</v>
      </c>
      <c r="R23" s="50">
        <f t="shared" si="0"/>
        <v>4620.083333333333</v>
      </c>
      <c r="S23" s="50">
        <f t="shared" si="0"/>
        <v>4608.083333333333</v>
      </c>
      <c r="T23" s="50">
        <f t="shared" si="0"/>
        <v>4605.083333333333</v>
      </c>
      <c r="U23" s="50">
        <f t="shared" si="0"/>
        <v>4593.5</v>
      </c>
      <c r="V23" s="50">
        <f t="shared" si="0"/>
        <v>4586</v>
      </c>
      <c r="W23" s="160">
        <f t="shared" si="0"/>
        <v>4581.583333333333</v>
      </c>
      <c r="X23" s="50">
        <f t="shared" si="0"/>
        <v>4576.2249999999995</v>
      </c>
      <c r="Y23" s="50">
        <f t="shared" si="0"/>
        <v>4576.4749999999995</v>
      </c>
      <c r="Z23" s="50">
        <f t="shared" ref="Z23:AJ23" si="1">AVERAGE(O21:Z21)</f>
        <v>4580.5</v>
      </c>
      <c r="AA23" s="50">
        <f t="shared" si="1"/>
        <v>4589</v>
      </c>
      <c r="AB23" s="50">
        <f t="shared" si="1"/>
        <v>4595.75</v>
      </c>
      <c r="AC23" s="160">
        <f t="shared" si="1"/>
        <v>4602.833333333333</v>
      </c>
      <c r="AD23" s="160">
        <f t="shared" si="1"/>
        <v>4606.666666666667</v>
      </c>
      <c r="AE23" s="50">
        <f t="shared" si="1"/>
        <v>4607.5</v>
      </c>
      <c r="AF23" s="50">
        <f t="shared" si="1"/>
        <v>4605.833333333333</v>
      </c>
      <c r="AG23" s="50">
        <f t="shared" si="1"/>
        <v>4602.666666666667</v>
      </c>
      <c r="AH23" s="50">
        <f t="shared" si="1"/>
        <v>4601</v>
      </c>
      <c r="AI23" s="160">
        <f t="shared" si="1"/>
        <v>4597.666666666667</v>
      </c>
      <c r="AJ23" s="160">
        <f t="shared" si="1"/>
        <v>4595.2750000000005</v>
      </c>
      <c r="AK23" s="160">
        <f>AVERAGE(Z21:AK21)</f>
        <v>4591.7750000000005</v>
      </c>
      <c r="AL23" s="53" t="s">
        <v>85</v>
      </c>
      <c r="AM23" s="160">
        <f t="shared" ref="AM23:AU23" si="2">AVERAGE(AA21:AM21)</f>
        <v>4667.75</v>
      </c>
      <c r="AN23" s="160">
        <f t="shared" si="2"/>
        <v>4743.25</v>
      </c>
      <c r="AO23" s="160">
        <f t="shared" si="2"/>
        <v>4821.5</v>
      </c>
      <c r="AP23" s="160">
        <f t="shared" si="2"/>
        <v>4898.333333333333</v>
      </c>
      <c r="AQ23" s="160">
        <f t="shared" si="2"/>
        <v>4976.75</v>
      </c>
      <c r="AR23" s="160">
        <f t="shared" si="2"/>
        <v>5058</v>
      </c>
      <c r="AS23" s="160">
        <f t="shared" si="2"/>
        <v>5147.5</v>
      </c>
      <c r="AT23" s="160">
        <f t="shared" si="2"/>
        <v>5239</v>
      </c>
      <c r="AU23" s="160">
        <f t="shared" si="2"/>
        <v>5369.666666666667</v>
      </c>
      <c r="AV23" s="160">
        <f t="shared" ref="AV23" si="3">AVERAGE(AJ21:AV21)</f>
        <v>5500.25</v>
      </c>
      <c r="AW23" s="160">
        <f>AVERAGE(AK21:AW21)</f>
        <v>5626.083333333333</v>
      </c>
      <c r="AX23" s="160">
        <f t="shared" ref="AX23" si="4">AVERAGE(AM21:AX21)</f>
        <v>5755.083333333333</v>
      </c>
    </row>
    <row r="24" spans="1:50">
      <c r="B24" s="728">
        <v>10594379.700000001</v>
      </c>
      <c r="C24" s="61">
        <v>10661534.600000001</v>
      </c>
      <c r="D24" s="61">
        <v>10731963.499999998</v>
      </c>
      <c r="E24" s="62">
        <v>10884159.35</v>
      </c>
      <c r="F24" s="62">
        <v>10984994.75</v>
      </c>
      <c r="G24" s="62">
        <v>11045369.15</v>
      </c>
      <c r="H24" s="62">
        <v>10959063.65</v>
      </c>
      <c r="I24" s="62">
        <v>11049183.65</v>
      </c>
      <c r="J24" s="62">
        <v>11151527.65</v>
      </c>
      <c r="K24" s="62">
        <v>11294460.15</v>
      </c>
      <c r="L24" s="62">
        <v>11345921.75</v>
      </c>
      <c r="M24" s="62">
        <v>11383599.699999999</v>
      </c>
      <c r="N24" s="53" t="s">
        <v>86</v>
      </c>
      <c r="O24" s="63">
        <f t="shared" ref="O24:Y24" si="5">SUM(C22:O22)</f>
        <v>11220476.350000001</v>
      </c>
      <c r="P24" s="63">
        <f t="shared" si="5"/>
        <v>11279269.25</v>
      </c>
      <c r="Q24" s="63">
        <f t="shared" si="5"/>
        <v>11091415.6</v>
      </c>
      <c r="R24" s="63">
        <f t="shared" si="5"/>
        <v>11120861.799999999</v>
      </c>
      <c r="S24" s="63">
        <f t="shared" si="5"/>
        <v>11430143.999999998</v>
      </c>
      <c r="T24" s="63">
        <f t="shared" si="5"/>
        <v>11241934.699999999</v>
      </c>
      <c r="U24" s="63">
        <f t="shared" si="5"/>
        <v>11304441.6</v>
      </c>
      <c r="V24" s="63">
        <f t="shared" si="5"/>
        <v>11470057.200000001</v>
      </c>
      <c r="W24" s="63">
        <f t="shared" si="5"/>
        <v>11226128.000000002</v>
      </c>
      <c r="X24" s="63">
        <f t="shared" si="5"/>
        <v>11225298.905999999</v>
      </c>
      <c r="Y24" s="63">
        <f t="shared" si="5"/>
        <v>11412216.946</v>
      </c>
      <c r="Z24" s="63">
        <f t="shared" ref="Z24:AJ24" si="6">SUM(O22:Z22)</f>
        <v>11202324.846000001</v>
      </c>
      <c r="AA24" s="63">
        <f t="shared" si="6"/>
        <v>11206616.946</v>
      </c>
      <c r="AB24" s="63">
        <f t="shared" si="6"/>
        <v>11572762.146000002</v>
      </c>
      <c r="AC24" s="63">
        <f t="shared" si="6"/>
        <v>11684562.666000003</v>
      </c>
      <c r="AD24" s="63">
        <f t="shared" si="6"/>
        <v>11759748.866000004</v>
      </c>
      <c r="AE24" s="63">
        <f t="shared" si="6"/>
        <v>11711051.906000001</v>
      </c>
      <c r="AF24" s="63">
        <f t="shared" si="6"/>
        <v>11876444.306</v>
      </c>
      <c r="AG24" s="63">
        <f t="shared" si="6"/>
        <v>12041191.205999998</v>
      </c>
      <c r="AH24" s="63">
        <f t="shared" si="6"/>
        <v>12210323.206</v>
      </c>
      <c r="AI24" s="236">
        <f t="shared" si="6"/>
        <v>12294197.679684211</v>
      </c>
      <c r="AJ24" s="236">
        <f t="shared" si="6"/>
        <v>12411539.773684213</v>
      </c>
      <c r="AK24" s="236">
        <f>SUM(Z22:AK22)</f>
        <v>12570125.733684212</v>
      </c>
      <c r="AL24" s="53" t="s">
        <v>86</v>
      </c>
      <c r="AM24" s="236">
        <f t="shared" ref="AM24:AU24" si="7">SUM(AA22:AM22)</f>
        <v>12872476.033684213</v>
      </c>
      <c r="AN24" s="712">
        <f t="shared" si="7"/>
        <v>13198840.73368421</v>
      </c>
      <c r="AO24" s="712">
        <f t="shared" si="7"/>
        <v>13453811.533684211</v>
      </c>
      <c r="AP24" s="712">
        <f t="shared" si="7"/>
        <v>13704838.313684208</v>
      </c>
      <c r="AQ24" s="712">
        <f t="shared" si="7"/>
        <v>13896038.91368421</v>
      </c>
      <c r="AR24" s="712">
        <f t="shared" si="7"/>
        <v>14267606.97368421</v>
      </c>
      <c r="AS24" s="712">
        <f t="shared" si="7"/>
        <v>14464005.773684211</v>
      </c>
      <c r="AT24" s="712">
        <f t="shared" si="7"/>
        <v>14721816.225076856</v>
      </c>
      <c r="AU24" s="712">
        <f t="shared" si="7"/>
        <v>15075373.34767182</v>
      </c>
      <c r="AV24" s="712">
        <f t="shared" ref="AV24" si="8">SUM(AJ22:AV22)</f>
        <v>15477695.449259574</v>
      </c>
      <c r="AW24" s="712">
        <f>SUM(AK22:AW22)</f>
        <v>15813396.371113051</v>
      </c>
      <c r="AX24" s="712">
        <f t="shared" ref="AX24" si="9">SUM(AM22:AX22)</f>
        <v>16367331.147348739</v>
      </c>
    </row>
    <row r="25" spans="1:50" ht="15.75" thickBot="1">
      <c r="B25" s="729"/>
      <c r="C25" s="719"/>
      <c r="D25" s="719"/>
      <c r="E25" s="720"/>
      <c r="F25" s="720"/>
      <c r="G25" s="720"/>
      <c r="H25" s="720"/>
      <c r="I25" s="720"/>
      <c r="J25" s="720"/>
      <c r="K25" s="720"/>
      <c r="L25" s="720"/>
      <c r="M25" s="720"/>
      <c r="N25" s="53"/>
      <c r="O25" s="721"/>
      <c r="P25" s="721"/>
      <c r="Q25" s="721"/>
      <c r="R25" s="721"/>
      <c r="S25" s="721"/>
      <c r="T25" s="721"/>
      <c r="U25" s="721"/>
      <c r="V25" s="721"/>
      <c r="W25" s="721"/>
      <c r="X25" s="721"/>
      <c r="Y25" s="721"/>
      <c r="Z25" s="721"/>
      <c r="AA25" s="721"/>
      <c r="AB25" s="721"/>
      <c r="AC25" s="721"/>
      <c r="AD25" s="721"/>
      <c r="AE25" s="721"/>
      <c r="AF25" s="721"/>
      <c r="AG25" s="721"/>
      <c r="AH25" s="721"/>
      <c r="AI25" s="722"/>
      <c r="AJ25" s="722"/>
      <c r="AK25" s="722"/>
      <c r="AL25" s="722"/>
      <c r="AM25" s="722"/>
      <c r="AN25" s="723"/>
      <c r="AO25" s="723"/>
      <c r="AP25" s="723"/>
      <c r="AQ25" s="723"/>
      <c r="AR25" s="723"/>
      <c r="AS25" s="723"/>
      <c r="AT25" s="723"/>
      <c r="AU25" s="723"/>
      <c r="AV25" s="723"/>
      <c r="AW25" s="723"/>
      <c r="AX25" s="723"/>
    </row>
    <row r="26" spans="1:50" ht="16.5" thickBot="1">
      <c r="A26" s="730"/>
      <c r="B26" s="69">
        <v>44743</v>
      </c>
      <c r="C26" s="70">
        <v>44774</v>
      </c>
      <c r="D26" s="70">
        <v>44805</v>
      </c>
      <c r="E26" s="71">
        <v>44835</v>
      </c>
      <c r="F26" s="71">
        <v>44866</v>
      </c>
      <c r="G26" s="71">
        <v>44896</v>
      </c>
      <c r="H26" s="71">
        <v>44927</v>
      </c>
      <c r="I26" s="71">
        <v>44958</v>
      </c>
      <c r="J26" s="71">
        <v>44986</v>
      </c>
      <c r="K26" s="71">
        <v>45017</v>
      </c>
      <c r="L26" s="71">
        <v>45047</v>
      </c>
      <c r="M26" s="71">
        <v>45078</v>
      </c>
      <c r="N26" s="53"/>
      <c r="O26" s="71">
        <v>45162</v>
      </c>
      <c r="P26" s="71">
        <v>45193</v>
      </c>
      <c r="Q26" s="71">
        <v>45223</v>
      </c>
      <c r="R26" s="71">
        <v>45254</v>
      </c>
      <c r="S26" s="71">
        <v>45284</v>
      </c>
      <c r="T26" s="71">
        <v>45315</v>
      </c>
      <c r="U26" s="71">
        <v>45346</v>
      </c>
      <c r="V26" s="71">
        <v>45375</v>
      </c>
      <c r="W26" s="71">
        <v>45406</v>
      </c>
      <c r="X26" s="71">
        <v>45436</v>
      </c>
      <c r="Y26" s="71">
        <v>45467</v>
      </c>
      <c r="Z26" s="71">
        <v>45497</v>
      </c>
      <c r="AA26" s="71">
        <v>45528</v>
      </c>
      <c r="AB26" s="71">
        <v>45559</v>
      </c>
      <c r="AC26" s="71">
        <v>45589</v>
      </c>
      <c r="AD26" s="71">
        <v>45620</v>
      </c>
      <c r="AE26" s="71">
        <v>45650</v>
      </c>
      <c r="AF26" s="71">
        <v>45681</v>
      </c>
      <c r="AG26" s="71">
        <v>45712</v>
      </c>
      <c r="AH26" s="71">
        <v>45740</v>
      </c>
      <c r="AI26" s="71">
        <v>45771</v>
      </c>
      <c r="AJ26" s="71">
        <v>45801</v>
      </c>
      <c r="AK26" s="71">
        <v>45832</v>
      </c>
      <c r="AL26" s="731"/>
      <c r="AM26" s="731">
        <v>45862</v>
      </c>
      <c r="AN26" s="731">
        <v>45893</v>
      </c>
      <c r="AO26" s="731">
        <v>45924</v>
      </c>
      <c r="AP26" s="731">
        <v>45954</v>
      </c>
      <c r="AQ26" s="731">
        <v>45985</v>
      </c>
      <c r="AR26" s="731">
        <v>46015</v>
      </c>
      <c r="AS26" s="731">
        <v>46046</v>
      </c>
      <c r="AT26" s="731">
        <v>46077</v>
      </c>
      <c r="AU26" s="731">
        <v>46105</v>
      </c>
      <c r="AV26" s="731">
        <v>46136</v>
      </c>
      <c r="AW26" s="731">
        <v>46166</v>
      </c>
      <c r="AX26" s="731">
        <v>46197</v>
      </c>
    </row>
    <row r="27" spans="1:50" ht="18.75">
      <c r="A27" s="53" t="s">
        <v>87</v>
      </c>
      <c r="B27" s="64">
        <f t="shared" ref="B27:M27" si="10">B24/B23</f>
        <v>2301.8750027159153</v>
      </c>
      <c r="C27" s="65">
        <f t="shared" si="10"/>
        <v>2316.0885461358826</v>
      </c>
      <c r="D27" s="65">
        <f t="shared" si="10"/>
        <v>2336.591225778358</v>
      </c>
      <c r="E27" s="66">
        <f t="shared" si="10"/>
        <v>2368.3526546746934</v>
      </c>
      <c r="F27" s="66">
        <f t="shared" si="10"/>
        <v>2386.9180639553833</v>
      </c>
      <c r="G27" s="66">
        <f t="shared" si="10"/>
        <v>2401.2542084858151</v>
      </c>
      <c r="H27" s="66">
        <f t="shared" si="10"/>
        <v>2376.850544922193</v>
      </c>
      <c r="I27" s="66">
        <f t="shared" si="10"/>
        <v>2392.6771415681674</v>
      </c>
      <c r="J27" s="66">
        <f t="shared" si="10"/>
        <v>2411.4452597624927</v>
      </c>
      <c r="K27" s="66">
        <f t="shared" si="10"/>
        <v>2438.2233579793838</v>
      </c>
      <c r="L27" s="66">
        <f t="shared" si="10"/>
        <v>2448.363772051287</v>
      </c>
      <c r="M27" s="66">
        <f t="shared" si="10"/>
        <v>2455.6995056357523</v>
      </c>
      <c r="N27" s="53" t="s">
        <v>87</v>
      </c>
      <c r="O27" s="67">
        <v>2423.1237281120093</v>
      </c>
      <c r="P27" s="67">
        <v>2439.508155651281</v>
      </c>
      <c r="Q27" s="67">
        <v>2452.3876222554445</v>
      </c>
      <c r="R27" s="67">
        <v>2447.6097689435619</v>
      </c>
      <c r="S27" s="67">
        <v>2444.1530860625353</v>
      </c>
      <c r="T27" s="67">
        <v>2445.7287707424766</v>
      </c>
      <c r="U27" s="67">
        <v>2472.2559486230543</v>
      </c>
      <c r="V27" s="67">
        <v>2470.2186873092019</v>
      </c>
      <c r="W27" s="67">
        <v>2460.1187668018706</v>
      </c>
      <c r="X27" s="67">
        <v>2460.0577419160995</v>
      </c>
      <c r="Y27" s="67">
        <v>2458.3361735833805</v>
      </c>
      <c r="Z27" s="68">
        <v>2454.2431546774369</v>
      </c>
      <c r="AA27" s="235">
        <v>2464.5312856831561</v>
      </c>
      <c r="AB27" s="235">
        <f t="shared" ref="AB27:AK27" si="11">AB24/AB23</f>
        <v>2518.1444042865696</v>
      </c>
      <c r="AC27" s="235">
        <f t="shared" si="11"/>
        <v>2538.5587136908434</v>
      </c>
      <c r="AD27" s="235">
        <f t="shared" si="11"/>
        <v>2552.7674817655579</v>
      </c>
      <c r="AE27" s="235">
        <f t="shared" si="11"/>
        <v>2541.7367131850247</v>
      </c>
      <c r="AF27" s="235">
        <f t="shared" si="11"/>
        <v>2578.5657982992584</v>
      </c>
      <c r="AG27" s="235">
        <f t="shared" si="11"/>
        <v>2616.1336629490147</v>
      </c>
      <c r="AH27" s="235">
        <f t="shared" si="11"/>
        <v>2653.8411662682024</v>
      </c>
      <c r="AI27" s="235">
        <f t="shared" si="11"/>
        <v>2674.0080503916934</v>
      </c>
      <c r="AJ27" s="235">
        <f t="shared" si="11"/>
        <v>2700.9351504935421</v>
      </c>
      <c r="AK27" s="235">
        <f t="shared" si="11"/>
        <v>2737.5308532504773</v>
      </c>
      <c r="AL27" s="738" t="s">
        <v>87</v>
      </c>
      <c r="AM27" s="739">
        <f t="shared" ref="AM27:AR27" si="12">AM24/AM23</f>
        <v>2757.7475301128406</v>
      </c>
      <c r="AN27" s="739">
        <f t="shared" si="12"/>
        <v>2782.6576152815496</v>
      </c>
      <c r="AO27" s="739">
        <f t="shared" si="12"/>
        <v>2790.3788310036734</v>
      </c>
      <c r="AP27" s="739">
        <f t="shared" si="12"/>
        <v>2797.8574304901413</v>
      </c>
      <c r="AQ27" s="739">
        <f t="shared" si="12"/>
        <v>2792.1914730866952</v>
      </c>
      <c r="AR27" s="739">
        <f t="shared" si="12"/>
        <v>2820.8001134211568</v>
      </c>
      <c r="AS27" s="739">
        <f>AS24/AS23</f>
        <v>2809.9088438434601</v>
      </c>
      <c r="AT27" s="739">
        <f t="shared" ref="AT27:AU27" si="13">AT24/AT23</f>
        <v>2810.0431809652332</v>
      </c>
      <c r="AU27" s="739">
        <f t="shared" si="13"/>
        <v>2807.506365573</v>
      </c>
      <c r="AV27" s="739">
        <f t="shared" ref="AV27:AW27" si="14">AV24/AV23</f>
        <v>2813.9985362955454</v>
      </c>
      <c r="AW27" s="739">
        <f t="shared" si="14"/>
        <v>2810.7291403634354</v>
      </c>
      <c r="AX27" s="739">
        <f t="shared" ref="AX27" si="15">AX24/AX23</f>
        <v>2843.9781319150443</v>
      </c>
    </row>
    <row r="28" spans="1:50" ht="19.5" thickBot="1">
      <c r="A28" s="53" t="s">
        <v>88</v>
      </c>
      <c r="B28" s="60">
        <v>2400</v>
      </c>
      <c r="C28" s="46">
        <v>2400</v>
      </c>
      <c r="D28" s="46">
        <v>2400</v>
      </c>
      <c r="E28" s="45">
        <v>2400</v>
      </c>
      <c r="F28" s="45">
        <v>2500</v>
      </c>
      <c r="G28" s="45">
        <v>2500</v>
      </c>
      <c r="H28" s="45">
        <v>2500</v>
      </c>
      <c r="I28" s="45">
        <v>2500</v>
      </c>
      <c r="J28" s="45">
        <v>2500</v>
      </c>
      <c r="K28" s="45">
        <v>2500</v>
      </c>
      <c r="L28" s="45">
        <v>2500</v>
      </c>
      <c r="M28" s="45">
        <v>2500</v>
      </c>
      <c r="N28" s="53" t="s">
        <v>88</v>
      </c>
      <c r="O28" s="45">
        <v>2500</v>
      </c>
      <c r="P28" s="45">
        <v>2500</v>
      </c>
      <c r="Q28" s="45">
        <v>2500</v>
      </c>
      <c r="R28" s="45">
        <v>2500</v>
      </c>
      <c r="S28" s="45">
        <v>2500</v>
      </c>
      <c r="T28" s="45">
        <v>2500</v>
      </c>
      <c r="U28" s="45">
        <v>2600</v>
      </c>
      <c r="V28" s="45">
        <v>2600</v>
      </c>
      <c r="W28" s="45">
        <v>2600</v>
      </c>
      <c r="X28" s="45">
        <v>2600</v>
      </c>
      <c r="Y28" s="45">
        <v>2600</v>
      </c>
      <c r="Z28" s="45">
        <v>2600</v>
      </c>
      <c r="AA28" s="45">
        <v>2600</v>
      </c>
      <c r="AB28" s="45">
        <v>2600</v>
      </c>
      <c r="AC28" s="45">
        <v>2600</v>
      </c>
      <c r="AD28" s="45">
        <v>2600</v>
      </c>
      <c r="AE28" s="45">
        <v>2600</v>
      </c>
      <c r="AF28" s="45">
        <v>2600</v>
      </c>
      <c r="AG28" s="45">
        <v>2982</v>
      </c>
      <c r="AH28" s="45">
        <v>2982</v>
      </c>
      <c r="AI28" s="45">
        <v>2982</v>
      </c>
      <c r="AJ28" s="45">
        <v>2982</v>
      </c>
      <c r="AK28" s="45">
        <v>2982</v>
      </c>
      <c r="AL28" s="738" t="s">
        <v>88</v>
      </c>
      <c r="AM28" s="740">
        <v>3000</v>
      </c>
      <c r="AN28" s="740">
        <v>3000</v>
      </c>
      <c r="AO28" s="740">
        <v>3000</v>
      </c>
      <c r="AP28" s="740">
        <v>3000</v>
      </c>
      <c r="AQ28" s="740">
        <v>3000</v>
      </c>
      <c r="AR28" s="740">
        <v>3000</v>
      </c>
      <c r="AS28" s="740">
        <v>3000</v>
      </c>
      <c r="AT28" s="740">
        <v>3000</v>
      </c>
      <c r="AU28" s="740">
        <v>3000</v>
      </c>
      <c r="AV28" s="740">
        <v>3000</v>
      </c>
      <c r="AW28" s="740">
        <v>3000</v>
      </c>
      <c r="AX28" s="740">
        <v>3000</v>
      </c>
    </row>
    <row r="29" spans="1:50">
      <c r="AA29" s="77"/>
      <c r="AB29" s="77"/>
      <c r="AC29" s="77"/>
      <c r="AD29" s="126"/>
      <c r="AF29" s="126"/>
      <c r="AG29" s="126"/>
      <c r="AH29" s="126"/>
      <c r="AI29" s="126"/>
      <c r="AJ29" s="126"/>
      <c r="AK29" s="126"/>
      <c r="AL29" s="126"/>
    </row>
    <row r="31" spans="1:50">
      <c r="B31">
        <v>44743</v>
      </c>
      <c r="C31">
        <v>44774</v>
      </c>
      <c r="D31">
        <v>44805</v>
      </c>
      <c r="E31">
        <v>44835</v>
      </c>
      <c r="F31">
        <v>44866</v>
      </c>
      <c r="G31">
        <v>44896</v>
      </c>
      <c r="H31">
        <v>44927</v>
      </c>
      <c r="I31">
        <v>44958</v>
      </c>
      <c r="J31">
        <v>44986</v>
      </c>
      <c r="K31">
        <v>45017</v>
      </c>
      <c r="L31">
        <v>45047</v>
      </c>
      <c r="M31">
        <v>45078</v>
      </c>
      <c r="N31">
        <v>45108</v>
      </c>
      <c r="O31">
        <v>45139</v>
      </c>
      <c r="P31">
        <v>45170</v>
      </c>
      <c r="Q31">
        <v>45200</v>
      </c>
      <c r="R31">
        <v>45231</v>
      </c>
      <c r="S31">
        <v>45261</v>
      </c>
      <c r="T31">
        <v>45292</v>
      </c>
      <c r="U31">
        <v>45323</v>
      </c>
      <c r="V31">
        <v>45352</v>
      </c>
      <c r="W31">
        <v>45383</v>
      </c>
      <c r="X31">
        <v>45413</v>
      </c>
      <c r="Y31">
        <v>45444</v>
      </c>
      <c r="Z31">
        <v>45292</v>
      </c>
      <c r="AA31">
        <v>45323</v>
      </c>
      <c r="AB31">
        <v>45352</v>
      </c>
      <c r="AC31">
        <v>45383</v>
      </c>
      <c r="AD31">
        <v>45413</v>
      </c>
      <c r="AE31">
        <v>45444</v>
      </c>
    </row>
    <row r="32" spans="1:50">
      <c r="A32" s="47" t="s">
        <v>87</v>
      </c>
      <c r="B32">
        <v>2301.8750027159153</v>
      </c>
      <c r="C32">
        <v>2316.0885461358826</v>
      </c>
      <c r="D32">
        <v>2336.591225778358</v>
      </c>
      <c r="E32">
        <v>2368.3526546746934</v>
      </c>
      <c r="F32">
        <v>2386.9180639553833</v>
      </c>
      <c r="G32">
        <v>2401.2542084858151</v>
      </c>
      <c r="H32">
        <v>2376.850544922193</v>
      </c>
      <c r="I32">
        <v>2392.6771415681674</v>
      </c>
      <c r="J32">
        <v>2411.4452597624927</v>
      </c>
      <c r="K32">
        <v>2438.2233579793838</v>
      </c>
      <c r="L32">
        <v>2448.363772051287</v>
      </c>
      <c r="M32">
        <v>2455.6995056357523</v>
      </c>
      <c r="N32">
        <v>2423.1237281120093</v>
      </c>
      <c r="O32">
        <v>2439.508155651281</v>
      </c>
      <c r="P32">
        <v>2452.3876222554445</v>
      </c>
      <c r="Q32">
        <v>2447.6097689435619</v>
      </c>
      <c r="R32">
        <v>2444.1530860625353</v>
      </c>
      <c r="S32">
        <v>2445.7287707424766</v>
      </c>
      <c r="T32">
        <v>2472.2559486230543</v>
      </c>
      <c r="U32">
        <v>2470.2186873092019</v>
      </c>
      <c r="V32">
        <v>2460.1187668018706</v>
      </c>
      <c r="W32">
        <v>2460.0577419160995</v>
      </c>
      <c r="X32">
        <v>2458.3361735833805</v>
      </c>
      <c r="Y32">
        <v>2454.2431546774369</v>
      </c>
      <c r="Z32">
        <v>2464.5312856831561</v>
      </c>
      <c r="AN32" s="126"/>
    </row>
    <row r="33" spans="1:40">
      <c r="A33" s="47" t="s">
        <v>88</v>
      </c>
      <c r="B33">
        <v>2400</v>
      </c>
      <c r="C33">
        <v>2400</v>
      </c>
      <c r="D33">
        <v>2400</v>
      </c>
      <c r="E33">
        <v>2400</v>
      </c>
      <c r="F33">
        <v>2500</v>
      </c>
      <c r="G33">
        <v>2500</v>
      </c>
      <c r="H33">
        <v>2500</v>
      </c>
      <c r="I33">
        <v>2500</v>
      </c>
      <c r="J33">
        <v>2500</v>
      </c>
      <c r="K33">
        <v>2500</v>
      </c>
      <c r="L33">
        <v>2500</v>
      </c>
      <c r="M33">
        <v>2500</v>
      </c>
      <c r="N33">
        <v>2500</v>
      </c>
      <c r="O33">
        <v>2500</v>
      </c>
      <c r="P33">
        <v>2500</v>
      </c>
      <c r="Q33">
        <v>2500</v>
      </c>
      <c r="R33">
        <v>2500</v>
      </c>
      <c r="S33">
        <v>2500</v>
      </c>
      <c r="T33">
        <v>2600</v>
      </c>
      <c r="U33">
        <v>2600</v>
      </c>
      <c r="V33">
        <v>2600</v>
      </c>
      <c r="W33">
        <v>2600</v>
      </c>
      <c r="X33">
        <v>2600</v>
      </c>
      <c r="Y33">
        <v>2600</v>
      </c>
      <c r="Z33">
        <v>2600</v>
      </c>
      <c r="AA33">
        <v>2600</v>
      </c>
      <c r="AB33">
        <v>2600</v>
      </c>
      <c r="AC33">
        <v>2600</v>
      </c>
      <c r="AD33">
        <v>2600</v>
      </c>
      <c r="AE33">
        <v>2600</v>
      </c>
    </row>
    <row r="38" spans="1:40">
      <c r="AN38" s="12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AB95C-11E2-4580-B68E-563EE9BA65CD}">
  <sheetPr codeName="Sheet5">
    <tabColor rgb="FF00B0F0"/>
  </sheetPr>
  <dimension ref="A1:BE25"/>
  <sheetViews>
    <sheetView zoomScale="90" zoomScaleNormal="90" workbookViewId="0">
      <selection activeCell="O14" sqref="O14"/>
    </sheetView>
  </sheetViews>
  <sheetFormatPr defaultColWidth="9" defaultRowHeight="15"/>
  <cols>
    <col min="2" max="2" width="6.5703125" customWidth="1"/>
    <col min="3" max="3" width="7" customWidth="1"/>
    <col min="4" max="5" width="7.7109375" customWidth="1"/>
    <col min="6" max="6" width="7.42578125" bestFit="1" customWidth="1"/>
    <col min="7" max="7" width="8.140625" customWidth="1"/>
    <col min="8" max="8" width="7" customWidth="1"/>
    <col min="9" max="9" width="6.85546875" customWidth="1"/>
    <col min="10" max="10" width="8.28515625" customWidth="1"/>
    <col min="11" max="11" width="7.42578125" customWidth="1"/>
    <col min="12" max="12" width="8.42578125" customWidth="1"/>
    <col min="13" max="14" width="6.85546875" customWidth="1"/>
    <col min="17" max="17" width="12.28515625" customWidth="1"/>
    <col min="18" max="18" width="10.5703125" bestFit="1" customWidth="1"/>
    <col min="19" max="20" width="9" style="219"/>
    <col min="22" max="22" width="9" style="219"/>
    <col min="23" max="23" width="8.85546875" style="219" bestFit="1" customWidth="1"/>
    <col min="24" max="26" width="9" style="219"/>
    <col min="27" max="28" width="10.140625" style="219" customWidth="1"/>
    <col min="29" max="29" width="10.140625" style="217" customWidth="1"/>
    <col min="30" max="30" width="13.28515625" style="217" bestFit="1" customWidth="1"/>
    <col min="31" max="31" width="14.5703125" customWidth="1"/>
    <col min="32" max="32" width="12" customWidth="1"/>
    <col min="35" max="35" width="14.7109375" customWidth="1"/>
    <col min="36" max="36" width="12.7109375" customWidth="1"/>
    <col min="37" max="37" width="12.7109375" style="217" customWidth="1"/>
    <col min="38" max="38" width="14.85546875" customWidth="1"/>
    <col min="45" max="45" width="13.28515625" customWidth="1"/>
    <col min="46" max="46" width="14.28515625" customWidth="1"/>
  </cols>
  <sheetData>
    <row r="1" spans="1:57">
      <c r="R1" t="s">
        <v>89</v>
      </c>
      <c r="Y1" s="541"/>
    </row>
    <row r="2" spans="1:57" ht="18.75">
      <c r="A2" s="72" t="s">
        <v>90</v>
      </c>
      <c r="R2" s="218">
        <v>45839</v>
      </c>
      <c r="S2" s="218">
        <v>45870</v>
      </c>
      <c r="T2" s="218">
        <v>45901</v>
      </c>
      <c r="U2" s="390">
        <v>45931</v>
      </c>
      <c r="V2" s="218">
        <v>45962</v>
      </c>
      <c r="W2" s="218">
        <v>45992</v>
      </c>
      <c r="X2" s="218">
        <v>46023</v>
      </c>
      <c r="Y2" s="218">
        <v>46054</v>
      </c>
      <c r="Z2" s="218">
        <v>46082</v>
      </c>
      <c r="AA2" s="218">
        <v>46113</v>
      </c>
      <c r="AB2" s="218">
        <v>46143</v>
      </c>
      <c r="AC2" s="220">
        <v>46174</v>
      </c>
      <c r="AJ2" s="218"/>
      <c r="AK2" s="220"/>
    </row>
    <row r="3" spans="1:57">
      <c r="Q3" t="s">
        <v>62</v>
      </c>
      <c r="R3" s="219">
        <v>2096</v>
      </c>
      <c r="S3" s="219">
        <v>2096</v>
      </c>
      <c r="T3" s="219">
        <v>2096</v>
      </c>
      <c r="U3">
        <v>2096</v>
      </c>
      <c r="V3" s="219">
        <v>2096</v>
      </c>
      <c r="W3" s="219">
        <v>2096</v>
      </c>
      <c r="X3" s="219">
        <v>2096</v>
      </c>
      <c r="Y3" s="219">
        <v>2096</v>
      </c>
      <c r="Z3" s="219">
        <v>2096</v>
      </c>
      <c r="AA3" s="219">
        <v>2096</v>
      </c>
      <c r="AB3" s="219">
        <v>2096</v>
      </c>
      <c r="AC3" s="217">
        <v>2096</v>
      </c>
      <c r="AJ3" s="219"/>
      <c r="BA3" s="217"/>
      <c r="BB3" s="217"/>
      <c r="BC3" s="217"/>
      <c r="BD3" s="217"/>
      <c r="BE3" s="217"/>
    </row>
    <row r="4" spans="1:57">
      <c r="Q4" t="s">
        <v>91</v>
      </c>
      <c r="R4" s="219">
        <v>989</v>
      </c>
      <c r="S4" s="219">
        <v>989</v>
      </c>
      <c r="T4" s="219">
        <v>989</v>
      </c>
      <c r="U4">
        <v>989</v>
      </c>
      <c r="V4" s="219">
        <v>989</v>
      </c>
      <c r="W4" s="219">
        <v>989</v>
      </c>
      <c r="X4" s="219">
        <v>989</v>
      </c>
      <c r="Y4" s="219">
        <v>989</v>
      </c>
      <c r="Z4" s="219">
        <v>989</v>
      </c>
      <c r="AA4" s="219">
        <v>989</v>
      </c>
      <c r="AB4" s="219">
        <v>989</v>
      </c>
      <c r="AC4" s="217">
        <v>989</v>
      </c>
      <c r="AJ4" s="219"/>
      <c r="BA4" s="217"/>
      <c r="BB4" s="217"/>
      <c r="BC4" s="217"/>
      <c r="BD4" s="217"/>
      <c r="BE4" s="217"/>
    </row>
    <row r="5" spans="1:57">
      <c r="Q5" t="s">
        <v>92</v>
      </c>
      <c r="R5" s="219">
        <v>1021</v>
      </c>
      <c r="S5" s="219">
        <v>1021</v>
      </c>
      <c r="T5" s="219">
        <v>1021</v>
      </c>
      <c r="U5">
        <v>1021</v>
      </c>
      <c r="V5" s="219">
        <v>1021</v>
      </c>
      <c r="W5" s="219">
        <v>1021</v>
      </c>
      <c r="X5" s="219">
        <v>1021</v>
      </c>
      <c r="Y5" s="219">
        <v>1021</v>
      </c>
      <c r="Z5" s="219">
        <v>1021</v>
      </c>
      <c r="AA5" s="219">
        <v>1021</v>
      </c>
      <c r="AB5" s="219">
        <v>1021</v>
      </c>
      <c r="AC5" s="217">
        <v>1021</v>
      </c>
      <c r="AJ5" s="219"/>
      <c r="BA5" s="217"/>
      <c r="BB5" s="217"/>
      <c r="BC5" s="217"/>
      <c r="BD5" s="217"/>
      <c r="BE5" s="217"/>
    </row>
    <row r="6" spans="1:57">
      <c r="Q6" t="s">
        <v>93</v>
      </c>
      <c r="R6" s="219">
        <v>410</v>
      </c>
      <c r="S6" s="219">
        <v>410</v>
      </c>
      <c r="T6" s="219">
        <v>410</v>
      </c>
      <c r="U6">
        <v>410</v>
      </c>
      <c r="V6" s="219">
        <v>410</v>
      </c>
      <c r="W6" s="219">
        <v>410</v>
      </c>
      <c r="X6" s="219">
        <v>410</v>
      </c>
      <c r="Y6" s="219">
        <v>410</v>
      </c>
      <c r="Z6" s="219">
        <v>410</v>
      </c>
      <c r="AA6" s="219">
        <v>410</v>
      </c>
      <c r="AB6" s="219">
        <v>410</v>
      </c>
      <c r="AC6" s="217">
        <v>410</v>
      </c>
      <c r="AJ6" s="219"/>
      <c r="BA6" s="217"/>
      <c r="BB6" s="217"/>
      <c r="BC6" s="217"/>
      <c r="BD6" s="217"/>
      <c r="BE6" s="217"/>
    </row>
    <row r="7" spans="1:57">
      <c r="Q7" t="s">
        <v>94</v>
      </c>
      <c r="R7" s="219">
        <v>1004</v>
      </c>
      <c r="S7" s="219">
        <v>1004</v>
      </c>
      <c r="T7" s="219">
        <v>1004</v>
      </c>
      <c r="U7">
        <v>1004</v>
      </c>
      <c r="V7" s="219">
        <v>1004</v>
      </c>
      <c r="W7" s="219">
        <v>1004</v>
      </c>
      <c r="X7" s="219">
        <v>1004</v>
      </c>
      <c r="Y7" s="219">
        <v>1004</v>
      </c>
      <c r="Z7" s="219">
        <v>1004</v>
      </c>
      <c r="AA7" s="219">
        <v>1004</v>
      </c>
      <c r="AB7" s="219">
        <v>1004</v>
      </c>
      <c r="AC7" s="217">
        <v>1004</v>
      </c>
      <c r="AJ7" s="219"/>
    </row>
    <row r="8" spans="1:57">
      <c r="Q8" t="s">
        <v>95</v>
      </c>
      <c r="R8" s="219"/>
      <c r="W8" s="219">
        <v>460</v>
      </c>
      <c r="X8" s="219">
        <v>460</v>
      </c>
      <c r="Y8" s="219">
        <v>460</v>
      </c>
      <c r="Z8" s="219">
        <v>460</v>
      </c>
      <c r="AA8" s="219">
        <v>460</v>
      </c>
      <c r="AB8" s="219">
        <v>460</v>
      </c>
      <c r="AC8" s="217">
        <v>460</v>
      </c>
    </row>
    <row r="9" spans="1:57">
      <c r="R9" s="219">
        <f>SUM(R3:R8)</f>
        <v>5520</v>
      </c>
      <c r="S9" s="219">
        <f t="shared" ref="S9:AB9" si="0">SUM(S3:S8)</f>
        <v>5520</v>
      </c>
      <c r="T9" s="219">
        <f t="shared" si="0"/>
        <v>5520</v>
      </c>
      <c r="U9" s="219">
        <f t="shared" si="0"/>
        <v>5520</v>
      </c>
      <c r="V9" s="219">
        <f t="shared" si="0"/>
        <v>5520</v>
      </c>
      <c r="W9" s="219">
        <f t="shared" si="0"/>
        <v>5980</v>
      </c>
      <c r="X9" s="219">
        <f t="shared" si="0"/>
        <v>5980</v>
      </c>
      <c r="Y9" s="219">
        <f t="shared" si="0"/>
        <v>5980</v>
      </c>
      <c r="Z9" s="219">
        <f t="shared" si="0"/>
        <v>5980</v>
      </c>
      <c r="AA9" s="219">
        <f t="shared" si="0"/>
        <v>5980</v>
      </c>
      <c r="AB9" s="219">
        <f t="shared" si="0"/>
        <v>5980</v>
      </c>
      <c r="AC9" s="217">
        <f t="shared" ref="AC9" si="1">SUM(AC3:AC8)</f>
        <v>5980</v>
      </c>
    </row>
    <row r="10" spans="1:57">
      <c r="R10" s="219"/>
    </row>
    <row r="11" spans="1:57" ht="15.75" thickBot="1">
      <c r="R11" s="219"/>
      <c r="Z11" s="241"/>
      <c r="AB11" s="241"/>
      <c r="AK11"/>
    </row>
    <row r="12" spans="1:57" ht="15.75" thickBot="1">
      <c r="Q12" s="336"/>
      <c r="R12" s="277">
        <v>45839</v>
      </c>
      <c r="S12" s="277">
        <v>45870</v>
      </c>
      <c r="T12" s="277">
        <v>45901</v>
      </c>
      <c r="U12" s="425">
        <v>45931</v>
      </c>
      <c r="V12" s="277">
        <v>45962</v>
      </c>
      <c r="W12" s="277">
        <v>45992</v>
      </c>
      <c r="X12" s="277">
        <v>46023</v>
      </c>
      <c r="Y12" s="277">
        <v>46054</v>
      </c>
      <c r="Z12" s="277">
        <v>46082</v>
      </c>
      <c r="AA12" s="277">
        <v>46113</v>
      </c>
      <c r="AB12" s="277">
        <v>46143</v>
      </c>
      <c r="AC12" s="232">
        <v>46174</v>
      </c>
      <c r="AD12" s="238" t="s">
        <v>96</v>
      </c>
      <c r="AK12"/>
    </row>
    <row r="13" spans="1:57" ht="15.75" thickBot="1">
      <c r="Q13" s="152" t="s">
        <v>62</v>
      </c>
      <c r="R13" s="237">
        <v>91</v>
      </c>
      <c r="S13" s="237">
        <v>91</v>
      </c>
      <c r="T13" s="237">
        <v>91</v>
      </c>
      <c r="U13" s="152">
        <v>94</v>
      </c>
      <c r="V13" s="237">
        <v>95</v>
      </c>
      <c r="W13" s="237">
        <v>95</v>
      </c>
      <c r="X13" s="237">
        <v>95</v>
      </c>
      <c r="Y13" s="542">
        <v>93</v>
      </c>
      <c r="Z13" s="237">
        <v>91</v>
      </c>
      <c r="AA13" s="237">
        <v>94</v>
      </c>
      <c r="AB13" s="237">
        <v>94</v>
      </c>
      <c r="AC13" s="233">
        <v>95</v>
      </c>
      <c r="AD13" s="540">
        <f>AVERAGE(R13:AC13)</f>
        <v>93.25</v>
      </c>
      <c r="AK13"/>
    </row>
    <row r="14" spans="1:57" ht="15.75" thickBot="1">
      <c r="Q14" s="301" t="s">
        <v>91</v>
      </c>
      <c r="R14" s="237">
        <v>91</v>
      </c>
      <c r="S14" s="237">
        <v>94</v>
      </c>
      <c r="T14" s="237">
        <v>94</v>
      </c>
      <c r="U14" s="152">
        <v>95</v>
      </c>
      <c r="V14" s="237">
        <v>94</v>
      </c>
      <c r="W14" s="237">
        <v>94</v>
      </c>
      <c r="X14" s="237">
        <v>95</v>
      </c>
      <c r="Y14" s="542">
        <v>93</v>
      </c>
      <c r="Z14" s="237">
        <v>92</v>
      </c>
      <c r="AA14" s="237">
        <v>93</v>
      </c>
      <c r="AB14" s="237">
        <v>93</v>
      </c>
      <c r="AC14" s="233">
        <v>93</v>
      </c>
      <c r="AD14" s="540">
        <f t="shared" ref="AD14:AD16" si="2">AVERAGE(R14:AC14)</f>
        <v>93.416666666666671</v>
      </c>
      <c r="AK14"/>
    </row>
    <row r="15" spans="1:57" ht="15.75" thickBot="1">
      <c r="Q15" s="301" t="s">
        <v>92</v>
      </c>
      <c r="R15" s="246">
        <v>88</v>
      </c>
      <c r="S15" s="237">
        <v>88</v>
      </c>
      <c r="T15" s="237">
        <v>92</v>
      </c>
      <c r="U15" s="152">
        <v>94</v>
      </c>
      <c r="V15" s="237">
        <v>96</v>
      </c>
      <c r="W15" s="237">
        <v>91</v>
      </c>
      <c r="X15" s="237">
        <v>94</v>
      </c>
      <c r="Y15" s="542">
        <v>94</v>
      </c>
      <c r="Z15" s="237">
        <v>92</v>
      </c>
      <c r="AA15" s="237">
        <v>93</v>
      </c>
      <c r="AB15" s="237">
        <v>90</v>
      </c>
      <c r="AC15" s="531">
        <v>91</v>
      </c>
      <c r="AD15" s="540">
        <f t="shared" si="2"/>
        <v>91.916666666666671</v>
      </c>
      <c r="AK15"/>
    </row>
    <row r="16" spans="1:57" ht="15.75" thickBot="1">
      <c r="Q16" s="301" t="s">
        <v>93</v>
      </c>
      <c r="R16" s="237">
        <v>94</v>
      </c>
      <c r="S16" s="237">
        <v>94</v>
      </c>
      <c r="T16" s="237">
        <v>89</v>
      </c>
      <c r="U16" s="152">
        <v>100</v>
      </c>
      <c r="V16" s="237">
        <v>92</v>
      </c>
      <c r="W16" s="237">
        <v>96</v>
      </c>
      <c r="X16" s="237">
        <v>98</v>
      </c>
      <c r="Y16" s="542">
        <v>93</v>
      </c>
      <c r="Z16" s="237">
        <v>94</v>
      </c>
      <c r="AA16" s="237">
        <v>97</v>
      </c>
      <c r="AB16" s="237">
        <v>95</v>
      </c>
      <c r="AC16" s="233">
        <v>95</v>
      </c>
      <c r="AD16" s="540">
        <f t="shared" si="2"/>
        <v>94.75</v>
      </c>
      <c r="AK16"/>
    </row>
    <row r="17" spans="1:37" ht="15.75" thickBot="1">
      <c r="Q17" s="301" t="s">
        <v>97</v>
      </c>
      <c r="R17" s="237">
        <v>89</v>
      </c>
      <c r="S17" s="237">
        <v>92</v>
      </c>
      <c r="T17" s="237">
        <v>95</v>
      </c>
      <c r="U17" s="152">
        <v>95</v>
      </c>
      <c r="V17" s="237">
        <v>96</v>
      </c>
      <c r="W17" s="237">
        <v>94</v>
      </c>
      <c r="X17" s="237">
        <v>93</v>
      </c>
      <c r="Y17" s="543">
        <v>93</v>
      </c>
      <c r="Z17" s="237">
        <v>94</v>
      </c>
      <c r="AA17" s="237">
        <v>93</v>
      </c>
      <c r="AB17" s="237">
        <v>95</v>
      </c>
      <c r="AC17" s="233">
        <v>96</v>
      </c>
      <c r="AD17" s="540">
        <f>AVERAGE(R17:AC17)</f>
        <v>93.75</v>
      </c>
      <c r="AK17"/>
    </row>
    <row r="18" spans="1:37" ht="15.75" thickBot="1">
      <c r="A18" s="301"/>
      <c r="B18" s="302">
        <v>45863</v>
      </c>
      <c r="C18" s="302">
        <v>45894</v>
      </c>
      <c r="D18" s="302">
        <v>45925</v>
      </c>
      <c r="E18" s="302">
        <v>45955</v>
      </c>
      <c r="F18" s="302">
        <v>45986</v>
      </c>
      <c r="G18" s="302">
        <v>46016</v>
      </c>
      <c r="H18" s="302">
        <v>46047</v>
      </c>
      <c r="I18" s="302">
        <v>46078</v>
      </c>
      <c r="J18" s="302">
        <v>46106</v>
      </c>
      <c r="K18" s="302">
        <v>46137</v>
      </c>
      <c r="L18" s="302">
        <v>46167</v>
      </c>
      <c r="M18" s="302">
        <v>46198</v>
      </c>
      <c r="N18" s="229"/>
      <c r="Q18" s="301" t="s">
        <v>95</v>
      </c>
      <c r="R18" s="237"/>
      <c r="S18" s="237"/>
      <c r="T18" s="237"/>
      <c r="U18" s="152"/>
      <c r="V18" s="237"/>
      <c r="W18" s="237">
        <v>97.2</v>
      </c>
      <c r="X18" s="237">
        <v>94.9</v>
      </c>
      <c r="Y18" s="543">
        <v>93.8</v>
      </c>
      <c r="Z18" s="237">
        <v>93</v>
      </c>
      <c r="AA18" s="237">
        <v>93</v>
      </c>
      <c r="AB18" s="237">
        <v>93</v>
      </c>
      <c r="AC18" s="233">
        <v>88.2</v>
      </c>
      <c r="AD18" s="540">
        <f>AVERAGE(R18:AC18)</f>
        <v>93.300000000000026</v>
      </c>
    </row>
    <row r="19" spans="1:37" ht="15.75" thickBot="1">
      <c r="A19" s="303" t="s">
        <v>59</v>
      </c>
      <c r="B19" s="304">
        <f t="shared" ref="B19:M19" si="3">+R19</f>
        <v>90.30416666666666</v>
      </c>
      <c r="C19" s="304">
        <f t="shared" si="3"/>
        <v>91.387318840579709</v>
      </c>
      <c r="D19" s="304">
        <f t="shared" si="3"/>
        <v>92.301449275362316</v>
      </c>
      <c r="E19" s="304">
        <f t="shared" si="3"/>
        <v>94.806702898550725</v>
      </c>
      <c r="F19" s="304">
        <f t="shared" si="3"/>
        <v>94.964855072463763</v>
      </c>
      <c r="G19" s="304">
        <f t="shared" si="3"/>
        <v>94.221571906354512</v>
      </c>
      <c r="H19" s="304">
        <f t="shared" si="3"/>
        <v>94.691471571906348</v>
      </c>
      <c r="I19" s="304">
        <f t="shared" si="3"/>
        <v>93.232274247491645</v>
      </c>
      <c r="J19" s="304">
        <f t="shared" si="3"/>
        <v>92.199331103678929</v>
      </c>
      <c r="K19" s="304">
        <f t="shared" si="3"/>
        <v>93.624749163879599</v>
      </c>
      <c r="L19" s="304">
        <f t="shared" si="3"/>
        <v>93.311204013377932</v>
      </c>
      <c r="M19" s="304">
        <f t="shared" si="3"/>
        <v>93.631103678929762</v>
      </c>
      <c r="N19" s="389">
        <f>AVERAGE(B19:M19)</f>
        <v>93.223016536603495</v>
      </c>
      <c r="O19" s="73"/>
      <c r="P19" s="74"/>
      <c r="Q19" s="300" t="s">
        <v>98</v>
      </c>
      <c r="R19" s="242">
        <f>(R13*R3+R14*R4+R15*R5+R16*R6+R17*R7+R18*R8)/R9</f>
        <v>90.30416666666666</v>
      </c>
      <c r="S19" s="242">
        <f t="shared" ref="S19:AA19" si="4">(S13*S3+S14*S4+S15*S5+S16*S6+S17*S7+S18*S8)/S9</f>
        <v>91.387318840579709</v>
      </c>
      <c r="T19" s="242">
        <f t="shared" si="4"/>
        <v>92.301449275362316</v>
      </c>
      <c r="U19" s="242">
        <f t="shared" si="4"/>
        <v>94.806702898550725</v>
      </c>
      <c r="V19" s="242">
        <f t="shared" si="4"/>
        <v>94.964855072463763</v>
      </c>
      <c r="W19" s="242">
        <f t="shared" si="4"/>
        <v>94.221571906354512</v>
      </c>
      <c r="X19" s="242">
        <f t="shared" si="4"/>
        <v>94.691471571906348</v>
      </c>
      <c r="Y19" s="242">
        <f t="shared" si="4"/>
        <v>93.232274247491645</v>
      </c>
      <c r="Z19" s="242">
        <f t="shared" si="4"/>
        <v>92.199331103678929</v>
      </c>
      <c r="AA19" s="242">
        <f t="shared" si="4"/>
        <v>93.624749163879599</v>
      </c>
      <c r="AB19" s="242">
        <f>(AB13*AB3+AB14*AB4+AB15*AB5+AB16*AB6+AB17*AB7+AB18*AB8)/AB9</f>
        <v>93.311204013377932</v>
      </c>
      <c r="AC19" s="294">
        <f>(AC13*AC3+AC14*AC4+AC15*AC5+AC16*AC6+AC17*AC7+AC18*AC8)/AC9</f>
        <v>93.631103678929762</v>
      </c>
      <c r="AD19" s="540">
        <f>AVERAGE(R19:AC19)</f>
        <v>93.223016536603495</v>
      </c>
    </row>
    <row r="20" spans="1:37" ht="15.75" thickBot="1">
      <c r="A20" s="303" t="s">
        <v>60</v>
      </c>
      <c r="B20" s="304">
        <v>88.934121664887925</v>
      </c>
      <c r="C20" s="304">
        <v>89.322945570971186</v>
      </c>
      <c r="D20" s="304">
        <v>93.11910352187833</v>
      </c>
      <c r="E20" s="305">
        <v>93.421679064824659</v>
      </c>
      <c r="F20" s="305">
        <v>94.174599786552832</v>
      </c>
      <c r="G20" s="305">
        <v>93.158804695837773</v>
      </c>
      <c r="H20" s="305">
        <v>89.252934898612594</v>
      </c>
      <c r="I20" s="305">
        <v>90.178111667594138</v>
      </c>
      <c r="J20" s="305">
        <v>90.176533333333339</v>
      </c>
      <c r="K20" s="305">
        <v>90.875338264477719</v>
      </c>
      <c r="L20" s="305">
        <v>92.844488544109694</v>
      </c>
      <c r="M20" s="305">
        <v>91.297103548153515</v>
      </c>
      <c r="N20" s="389">
        <f t="shared" ref="N20:N21" si="5">AVERAGE(B20:M20)</f>
        <v>91.396313713436143</v>
      </c>
      <c r="O20" s="296">
        <f>N19-N20</f>
        <v>1.8267028231673521</v>
      </c>
      <c r="P20" s="292" t="s">
        <v>99</v>
      </c>
      <c r="Q20" s="47"/>
    </row>
    <row r="21" spans="1:37" ht="15.75" thickBot="1">
      <c r="A21" s="303" t="s">
        <v>100</v>
      </c>
      <c r="B21" s="305">
        <v>92.4</v>
      </c>
      <c r="C21" s="305">
        <v>92.4</v>
      </c>
      <c r="D21" s="305">
        <v>92.4</v>
      </c>
      <c r="E21" s="305">
        <v>92.4</v>
      </c>
      <c r="F21" s="305">
        <v>92.4</v>
      </c>
      <c r="G21" s="305">
        <v>92.4</v>
      </c>
      <c r="H21" s="305">
        <v>92.4</v>
      </c>
      <c r="I21" s="305">
        <v>92.4</v>
      </c>
      <c r="J21" s="305">
        <v>92.4</v>
      </c>
      <c r="K21" s="305">
        <v>92.4</v>
      </c>
      <c r="L21" s="305">
        <v>92.4</v>
      </c>
      <c r="M21" s="305">
        <v>92.4</v>
      </c>
      <c r="N21" s="389">
        <f t="shared" si="5"/>
        <v>92.399999999999991</v>
      </c>
      <c r="O21" s="296">
        <f>N19-N21</f>
        <v>0.82301653660350382</v>
      </c>
      <c r="P21" s="292" t="s">
        <v>101</v>
      </c>
    </row>
    <row r="22" spans="1:37">
      <c r="B22" s="77"/>
      <c r="C22" s="77"/>
      <c r="D22" s="77"/>
      <c r="E22" s="77"/>
      <c r="F22" s="77"/>
      <c r="G22" s="77"/>
      <c r="H22" s="77"/>
      <c r="I22" s="77"/>
      <c r="J22" s="77"/>
      <c r="K22" s="77"/>
      <c r="L22" s="77"/>
      <c r="M22" s="77"/>
      <c r="N22" s="77"/>
      <c r="O22" s="73"/>
      <c r="P22" s="77"/>
    </row>
    <row r="25" spans="1:37">
      <c r="Q25" s="77"/>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42D85-0718-4885-9BA2-001AD5D35724}">
  <sheetPr codeName="Sheet6">
    <tabColor rgb="FF00B0F0"/>
  </sheetPr>
  <dimension ref="A1:AD27"/>
  <sheetViews>
    <sheetView zoomScale="90" zoomScaleNormal="90" workbookViewId="0">
      <selection sqref="A1:M21"/>
    </sheetView>
  </sheetViews>
  <sheetFormatPr defaultRowHeight="15"/>
  <cols>
    <col min="13" max="14" width="10.7109375" customWidth="1"/>
    <col min="17" max="17" width="10.5703125" bestFit="1" customWidth="1"/>
    <col min="19" max="28" width="8.85546875" style="219"/>
    <col min="29" max="30" width="8.85546875" style="217"/>
    <col min="37" max="37" width="15.42578125" customWidth="1"/>
  </cols>
  <sheetData>
    <row r="1" spans="1:30">
      <c r="R1" t="s">
        <v>89</v>
      </c>
    </row>
    <row r="2" spans="1:30" ht="18.75">
      <c r="A2" s="72" t="s">
        <v>90</v>
      </c>
      <c r="R2" s="218">
        <v>45839</v>
      </c>
      <c r="S2" s="218">
        <v>45870</v>
      </c>
      <c r="T2" s="218">
        <v>45901</v>
      </c>
      <c r="U2" s="218">
        <v>45931</v>
      </c>
      <c r="V2" s="218">
        <v>45962</v>
      </c>
      <c r="W2" s="218">
        <v>45992</v>
      </c>
      <c r="X2" s="218">
        <v>46023</v>
      </c>
      <c r="Y2" s="218">
        <v>46054</v>
      </c>
      <c r="Z2" s="218">
        <v>46082</v>
      </c>
      <c r="AA2" s="218">
        <v>46113</v>
      </c>
      <c r="AB2" s="218">
        <v>46143</v>
      </c>
      <c r="AC2" s="220">
        <v>46174</v>
      </c>
    </row>
    <row r="3" spans="1:30">
      <c r="Q3" t="s">
        <v>62</v>
      </c>
      <c r="R3" s="219">
        <v>2098</v>
      </c>
      <c r="S3" s="219">
        <v>2098</v>
      </c>
      <c r="T3" s="219">
        <v>2098</v>
      </c>
      <c r="U3" s="219">
        <v>2098</v>
      </c>
      <c r="V3" s="219">
        <v>2098</v>
      </c>
      <c r="W3" s="219">
        <v>2098</v>
      </c>
      <c r="X3" s="219">
        <v>2098</v>
      </c>
      <c r="Y3" s="219">
        <v>2098</v>
      </c>
      <c r="Z3" s="219">
        <v>2098</v>
      </c>
      <c r="AA3" s="219">
        <v>2098</v>
      </c>
      <c r="AB3" s="219">
        <v>2098</v>
      </c>
      <c r="AC3" s="217">
        <v>2098</v>
      </c>
    </row>
    <row r="4" spans="1:30">
      <c r="Q4" t="s">
        <v>91</v>
      </c>
      <c r="R4" s="219">
        <v>986</v>
      </c>
      <c r="S4" s="219">
        <v>986</v>
      </c>
      <c r="T4" s="219">
        <v>986</v>
      </c>
      <c r="U4" s="219">
        <v>986</v>
      </c>
      <c r="V4" s="219">
        <v>986</v>
      </c>
      <c r="W4" s="219">
        <v>986</v>
      </c>
      <c r="X4" s="219">
        <v>986</v>
      </c>
      <c r="Y4" s="219">
        <v>986</v>
      </c>
      <c r="Z4" s="219">
        <v>986</v>
      </c>
      <c r="AA4" s="219">
        <v>986</v>
      </c>
      <c r="AB4" s="219">
        <v>986</v>
      </c>
      <c r="AC4" s="217">
        <v>986</v>
      </c>
    </row>
    <row r="5" spans="1:30">
      <c r="Q5" t="s">
        <v>92</v>
      </c>
      <c r="R5" s="219">
        <v>1020</v>
      </c>
      <c r="S5" s="219">
        <v>1020</v>
      </c>
      <c r="T5" s="219">
        <v>1020</v>
      </c>
      <c r="U5" s="219">
        <v>1020</v>
      </c>
      <c r="V5" s="219">
        <v>1020</v>
      </c>
      <c r="W5" s="219">
        <v>1020</v>
      </c>
      <c r="X5" s="219">
        <v>1020</v>
      </c>
      <c r="Y5" s="219">
        <v>1020</v>
      </c>
      <c r="Z5" s="219">
        <v>1020</v>
      </c>
      <c r="AA5" s="219">
        <v>1020</v>
      </c>
      <c r="AB5" s="219">
        <v>1020</v>
      </c>
      <c r="AC5" s="217">
        <v>1020</v>
      </c>
    </row>
    <row r="6" spans="1:30">
      <c r="Q6" t="s">
        <v>93</v>
      </c>
      <c r="R6" s="219">
        <v>416</v>
      </c>
      <c r="S6" s="219">
        <v>416</v>
      </c>
      <c r="T6" s="219">
        <v>416</v>
      </c>
      <c r="U6" s="219">
        <v>416</v>
      </c>
      <c r="V6" s="219">
        <v>416</v>
      </c>
      <c r="W6" s="219">
        <v>416</v>
      </c>
      <c r="X6" s="219">
        <v>416</v>
      </c>
      <c r="Y6" s="219">
        <v>416</v>
      </c>
      <c r="Z6" s="219">
        <v>416</v>
      </c>
      <c r="AA6" s="219">
        <v>416</v>
      </c>
      <c r="AB6" s="219">
        <v>416</v>
      </c>
      <c r="AC6" s="217">
        <v>416</v>
      </c>
    </row>
    <row r="7" spans="1:30">
      <c r="Q7" t="s">
        <v>97</v>
      </c>
      <c r="R7" s="219">
        <v>1004</v>
      </c>
      <c r="S7" s="219">
        <v>1004</v>
      </c>
      <c r="T7" s="219">
        <v>1004</v>
      </c>
      <c r="U7" s="219">
        <v>1004</v>
      </c>
      <c r="V7" s="219">
        <v>1004</v>
      </c>
      <c r="W7" s="219">
        <v>1004</v>
      </c>
      <c r="X7" s="219">
        <v>1004</v>
      </c>
      <c r="Y7" s="219">
        <v>1004</v>
      </c>
      <c r="Z7" s="219">
        <v>1004</v>
      </c>
      <c r="AA7" s="219">
        <v>1004</v>
      </c>
      <c r="AB7" s="219">
        <v>1004</v>
      </c>
      <c r="AC7" s="217">
        <v>1004</v>
      </c>
    </row>
    <row r="8" spans="1:30">
      <c r="Q8" t="s">
        <v>95</v>
      </c>
      <c r="R8" s="219"/>
      <c r="W8" s="219">
        <v>460</v>
      </c>
      <c r="X8" s="219">
        <v>460</v>
      </c>
      <c r="Y8" s="219">
        <v>460</v>
      </c>
      <c r="Z8" s="219">
        <v>460</v>
      </c>
      <c r="AA8" s="219">
        <v>460</v>
      </c>
      <c r="AB8" s="219">
        <v>460</v>
      </c>
      <c r="AC8" s="217">
        <v>460</v>
      </c>
    </row>
    <row r="9" spans="1:30">
      <c r="R9" s="219">
        <f>SUM(R3:R8)</f>
        <v>5524</v>
      </c>
      <c r="S9" s="219">
        <f t="shared" ref="S9:AB9" si="0">SUM(S3:S8)</f>
        <v>5524</v>
      </c>
      <c r="T9" s="219">
        <f t="shared" si="0"/>
        <v>5524</v>
      </c>
      <c r="U9" s="219">
        <f t="shared" si="0"/>
        <v>5524</v>
      </c>
      <c r="V9" s="219">
        <f t="shared" si="0"/>
        <v>5524</v>
      </c>
      <c r="W9" s="219">
        <f t="shared" si="0"/>
        <v>5984</v>
      </c>
      <c r="X9" s="219">
        <f t="shared" si="0"/>
        <v>5984</v>
      </c>
      <c r="Y9" s="219">
        <f t="shared" si="0"/>
        <v>5984</v>
      </c>
      <c r="Z9" s="219">
        <f t="shared" si="0"/>
        <v>5984</v>
      </c>
      <c r="AA9" s="219">
        <f t="shared" si="0"/>
        <v>5984</v>
      </c>
      <c r="AB9" s="219">
        <f t="shared" si="0"/>
        <v>5984</v>
      </c>
      <c r="AC9" s="217">
        <f t="shared" ref="AC9" si="1">SUM(AC3:AC8)</f>
        <v>5984</v>
      </c>
    </row>
    <row r="10" spans="1:30">
      <c r="R10" s="219"/>
    </row>
    <row r="11" spans="1:30">
      <c r="R11" s="219"/>
    </row>
    <row r="12" spans="1:30" ht="15.75" thickBot="1">
      <c r="R12" s="241"/>
      <c r="S12" s="241"/>
      <c r="T12" s="241"/>
      <c r="U12" s="241"/>
      <c r="V12" s="241"/>
      <c r="W12" s="241"/>
      <c r="X12" s="241"/>
      <c r="Y12" s="241"/>
      <c r="Z12" s="241"/>
      <c r="AA12" s="241"/>
      <c r="AB12" s="241"/>
      <c r="AC12" s="284"/>
    </row>
    <row r="13" spans="1:30" ht="15.75" thickBot="1">
      <c r="Q13" s="283"/>
      <c r="R13" s="285">
        <v>45839</v>
      </c>
      <c r="S13" s="285">
        <v>45870</v>
      </c>
      <c r="T13" s="285">
        <v>45901</v>
      </c>
      <c r="U13" s="285">
        <v>45931</v>
      </c>
      <c r="V13" s="285">
        <v>45962</v>
      </c>
      <c r="W13" s="285">
        <v>45992</v>
      </c>
      <c r="X13" s="285">
        <v>46023</v>
      </c>
      <c r="Y13" s="285">
        <v>46054</v>
      </c>
      <c r="Z13" s="285">
        <v>46082</v>
      </c>
      <c r="AA13" s="285">
        <v>46113</v>
      </c>
      <c r="AB13" s="285">
        <v>46143</v>
      </c>
      <c r="AC13" s="693">
        <v>46174</v>
      </c>
      <c r="AD13" s="75" t="s">
        <v>102</v>
      </c>
    </row>
    <row r="14" spans="1:30" ht="15.75" thickBot="1">
      <c r="Q14" s="281" t="s">
        <v>62</v>
      </c>
      <c r="R14" s="278">
        <v>15</v>
      </c>
      <c r="S14" s="243">
        <v>15.2</v>
      </c>
      <c r="T14" s="243">
        <v>15.4</v>
      </c>
      <c r="U14" s="243">
        <v>15.4</v>
      </c>
      <c r="V14" s="243">
        <v>14.8</v>
      </c>
      <c r="W14" s="243">
        <v>15.4</v>
      </c>
      <c r="X14" s="243">
        <v>15.4</v>
      </c>
      <c r="Y14" s="243">
        <v>15.3</v>
      </c>
      <c r="Z14" s="243">
        <v>15.4</v>
      </c>
      <c r="AA14" s="243">
        <v>14.7</v>
      </c>
      <c r="AB14" s="243">
        <v>15.3</v>
      </c>
      <c r="AC14" s="694">
        <v>15.5</v>
      </c>
      <c r="AD14" s="149">
        <f>AVERAGE(R14:AC14)</f>
        <v>15.233333333333334</v>
      </c>
    </row>
    <row r="15" spans="1:30" ht="15.75" thickBot="1">
      <c r="Q15" s="281" t="s">
        <v>91</v>
      </c>
      <c r="R15" s="278">
        <v>14.9</v>
      </c>
      <c r="S15" s="243">
        <v>14.9</v>
      </c>
      <c r="T15" s="243">
        <v>15.5</v>
      </c>
      <c r="U15" s="243">
        <v>15</v>
      </c>
      <c r="V15" s="243">
        <v>15.3</v>
      </c>
      <c r="W15" s="243">
        <v>15.2</v>
      </c>
      <c r="X15" s="243">
        <v>15</v>
      </c>
      <c r="Y15" s="243">
        <v>15.3</v>
      </c>
      <c r="Z15" s="243">
        <v>15.2</v>
      </c>
      <c r="AA15" s="243">
        <v>14.3</v>
      </c>
      <c r="AB15" s="243">
        <v>15.3</v>
      </c>
      <c r="AC15" s="694">
        <v>15.4</v>
      </c>
      <c r="AD15" s="149">
        <f>AVERAGE(R15:AC15)</f>
        <v>15.108333333333334</v>
      </c>
    </row>
    <row r="16" spans="1:30" ht="15.75" thickBot="1">
      <c r="Q16" s="281" t="s">
        <v>92</v>
      </c>
      <c r="R16" s="279">
        <v>14.6</v>
      </c>
      <c r="S16" s="243">
        <v>14.7</v>
      </c>
      <c r="T16" s="243">
        <v>15.3</v>
      </c>
      <c r="U16" s="243">
        <v>15.7</v>
      </c>
      <c r="V16" s="243">
        <v>15.3</v>
      </c>
      <c r="W16" s="243">
        <v>15.2</v>
      </c>
      <c r="X16" s="243">
        <v>15.3</v>
      </c>
      <c r="Y16" s="246">
        <v>15.2</v>
      </c>
      <c r="Z16" s="246">
        <v>15.5</v>
      </c>
      <c r="AA16" s="244">
        <v>15.7</v>
      </c>
      <c r="AB16" s="244">
        <v>15.3</v>
      </c>
      <c r="AC16" s="531">
        <v>15.5</v>
      </c>
      <c r="AD16" s="149">
        <f>AVERAGE(R16:AC16)</f>
        <v>15.275</v>
      </c>
    </row>
    <row r="17" spans="1:30" ht="15.75" thickBot="1">
      <c r="Q17" s="281" t="s">
        <v>93</v>
      </c>
      <c r="R17" s="245">
        <v>14.5</v>
      </c>
      <c r="S17" s="243">
        <v>15.2</v>
      </c>
      <c r="T17" s="243">
        <v>15.1</v>
      </c>
      <c r="U17" s="243">
        <v>16.100000000000001</v>
      </c>
      <c r="V17" s="243">
        <v>15.5</v>
      </c>
      <c r="W17" s="243">
        <v>15.5</v>
      </c>
      <c r="X17" s="530">
        <v>15.9</v>
      </c>
      <c r="Y17" s="246">
        <v>16</v>
      </c>
      <c r="Z17" s="246">
        <v>15.3</v>
      </c>
      <c r="AA17" s="245">
        <v>15.2</v>
      </c>
      <c r="AB17" s="245">
        <v>15.5</v>
      </c>
      <c r="AC17" s="577">
        <v>15.5</v>
      </c>
      <c r="AD17" s="223">
        <f>AVERAGE(R17:AC17)</f>
        <v>15.441666666666668</v>
      </c>
    </row>
    <row r="18" spans="1:30" ht="15.75" thickBot="1">
      <c r="A18" s="337"/>
      <c r="B18" s="302">
        <v>45863</v>
      </c>
      <c r="C18" s="302">
        <v>45894</v>
      </c>
      <c r="D18" s="302">
        <v>45925</v>
      </c>
      <c r="E18" s="302">
        <v>45955</v>
      </c>
      <c r="F18" s="302">
        <v>45986</v>
      </c>
      <c r="G18" s="302">
        <v>46016</v>
      </c>
      <c r="H18" s="302">
        <v>46047</v>
      </c>
      <c r="I18" s="302">
        <v>46078</v>
      </c>
      <c r="J18" s="302">
        <v>46106</v>
      </c>
      <c r="K18" s="302">
        <v>46137</v>
      </c>
      <c r="L18" s="302">
        <v>46167</v>
      </c>
      <c r="M18" s="302">
        <v>46198</v>
      </c>
      <c r="N18" s="229"/>
      <c r="Q18" s="282" t="s">
        <v>97</v>
      </c>
      <c r="R18" s="245">
        <v>14</v>
      </c>
      <c r="S18" s="244">
        <v>14.2</v>
      </c>
      <c r="T18" s="244">
        <v>14</v>
      </c>
      <c r="U18" s="244">
        <v>14</v>
      </c>
      <c r="V18" s="244">
        <v>14.7</v>
      </c>
      <c r="W18" s="244">
        <v>16</v>
      </c>
      <c r="X18" s="244">
        <v>15.9</v>
      </c>
      <c r="Y18" s="246">
        <v>16.399999999999999</v>
      </c>
      <c r="Z18" s="246">
        <v>16.399999999999999</v>
      </c>
      <c r="AA18" s="245">
        <v>16.7</v>
      </c>
      <c r="AB18" s="245">
        <v>16.100000000000001</v>
      </c>
      <c r="AC18" s="577">
        <v>16.600000000000001</v>
      </c>
      <c r="AD18" s="223">
        <f>AVERAGE(R18:AC18)</f>
        <v>15.416666666666666</v>
      </c>
    </row>
    <row r="19" spans="1:30" ht="15.75" thickBot="1">
      <c r="A19" s="307" t="s">
        <v>59</v>
      </c>
      <c r="B19" s="308">
        <f t="shared" ref="B19:M19" si="2">R20</f>
        <v>14.688884866039102</v>
      </c>
      <c r="C19" s="308">
        <f t="shared" si="2"/>
        <v>14.872375090514121</v>
      </c>
      <c r="D19" s="308">
        <f t="shared" si="2"/>
        <v>15.122338884866039</v>
      </c>
      <c r="E19" s="308">
        <f t="shared" si="2"/>
        <v>15.182259232440261</v>
      </c>
      <c r="F19" s="308">
        <f t="shared" si="2"/>
        <v>15.016111513396092</v>
      </c>
      <c r="G19" s="308">
        <f t="shared" si="2"/>
        <v>15.394451871657752</v>
      </c>
      <c r="H19" s="308">
        <f t="shared" si="2"/>
        <v>15.443382352941176</v>
      </c>
      <c r="I19" s="308">
        <f t="shared" si="2"/>
        <v>15.562299465240645</v>
      </c>
      <c r="J19" s="308">
        <f t="shared" si="2"/>
        <v>15.57566844919786</v>
      </c>
      <c r="K19" s="308">
        <f t="shared" si="2"/>
        <v>15.267112299465243</v>
      </c>
      <c r="L19" s="308">
        <f t="shared" si="2"/>
        <v>15.463502673796793</v>
      </c>
      <c r="M19" s="308">
        <f t="shared" si="2"/>
        <v>15.629645721925131</v>
      </c>
      <c r="N19" s="77">
        <f>AVERAGE(B19:M19)</f>
        <v>15.268169368456684</v>
      </c>
      <c r="O19" s="79"/>
      <c r="P19" s="79"/>
      <c r="Q19" s="282" t="s">
        <v>95</v>
      </c>
      <c r="R19" s="245"/>
      <c r="S19" s="244"/>
      <c r="T19" s="244"/>
      <c r="U19" s="244"/>
      <c r="V19" s="244"/>
      <c r="W19" s="244">
        <v>14.8</v>
      </c>
      <c r="X19" s="244">
        <v>15.5</v>
      </c>
      <c r="Y19" s="246">
        <v>15.9</v>
      </c>
      <c r="Z19" s="246">
        <v>15.8</v>
      </c>
      <c r="AA19" s="245">
        <v>15.9</v>
      </c>
      <c r="AB19" s="245">
        <v>15.5</v>
      </c>
      <c r="AC19" s="577">
        <v>15</v>
      </c>
      <c r="AD19" s="223">
        <f t="shared" ref="AD19" si="3">AVERAGE(R19:AC19)</f>
        <v>15.485714285714286</v>
      </c>
    </row>
    <row r="20" spans="1:30" ht="15.75" thickBot="1">
      <c r="A20" s="307" t="s">
        <v>103</v>
      </c>
      <c r="B20" s="308">
        <v>14.558804695837781</v>
      </c>
      <c r="C20" s="309">
        <v>14.400042689434365</v>
      </c>
      <c r="D20" s="309">
        <v>14.627214514407685</v>
      </c>
      <c r="E20" s="309">
        <v>14.859043570669501</v>
      </c>
      <c r="F20" s="309">
        <v>14.748943436499465</v>
      </c>
      <c r="G20" s="309">
        <v>14.833852721451443</v>
      </c>
      <c r="H20" s="309">
        <v>14.848772678762007</v>
      </c>
      <c r="I20" s="309">
        <v>14.509571508069005</v>
      </c>
      <c r="J20" s="309">
        <v>14.246079999999999</v>
      </c>
      <c r="K20" s="309">
        <v>14.598455056179775</v>
      </c>
      <c r="L20" s="309">
        <v>14.905688202247191</v>
      </c>
      <c r="M20" s="309">
        <v>14.498805213613323</v>
      </c>
      <c r="N20" s="77">
        <f t="shared" ref="N20:N21" si="4">AVERAGE(B20:M20)</f>
        <v>14.636272857264293</v>
      </c>
      <c r="O20" s="292">
        <f>N19-N20</f>
        <v>0.63189651119239088</v>
      </c>
      <c r="P20" s="292" t="s">
        <v>99</v>
      </c>
      <c r="Q20" s="221" t="s">
        <v>104</v>
      </c>
      <c r="R20" s="280">
        <f>(R14*R3+R15*R4+R16*R5+R6*R17+R18*R7+R19*R8)/R9</f>
        <v>14.688884866039102</v>
      </c>
      <c r="S20" s="280">
        <f t="shared" ref="S20:V20" si="5">(S14*S3+S15*S4+S16*S5+S6*S17+S18*S7+S19*S8)/S9</f>
        <v>14.872375090514121</v>
      </c>
      <c r="T20" s="280">
        <f t="shared" si="5"/>
        <v>15.122338884866039</v>
      </c>
      <c r="U20" s="280">
        <f t="shared" si="5"/>
        <v>15.182259232440261</v>
      </c>
      <c r="V20" s="280">
        <f t="shared" si="5"/>
        <v>15.016111513396092</v>
      </c>
      <c r="W20" s="492">
        <f t="shared" ref="W20:AA20" si="6">(W14*W3+W15*W4+W16*W5+W17*W6+W18*W7+W19*W8)/W9</f>
        <v>15.394451871657752</v>
      </c>
      <c r="X20" s="492">
        <f t="shared" si="6"/>
        <v>15.443382352941176</v>
      </c>
      <c r="Y20" s="492">
        <f t="shared" si="6"/>
        <v>15.562299465240645</v>
      </c>
      <c r="Z20" s="492">
        <f t="shared" si="6"/>
        <v>15.57566844919786</v>
      </c>
      <c r="AA20" s="492">
        <f t="shared" si="6"/>
        <v>15.267112299465243</v>
      </c>
      <c r="AB20" s="492">
        <f>(AB14*AB3+AB15*AB4+AB16*AB5+AB17*AB6+AB18*AB7+AB19*AB8)/AB9</f>
        <v>15.463502673796793</v>
      </c>
      <c r="AC20" s="493">
        <f>(AC14*AC3+AC15*AC4+AC16*AC5+AC17*AC6+AC18*AC7+AC19*AC8)/AC9</f>
        <v>15.629645721925131</v>
      </c>
      <c r="AD20" s="280">
        <f>AVERAGE(R20:AC20)</f>
        <v>15.268169368456684</v>
      </c>
    </row>
    <row r="21" spans="1:30" ht="15.75" thickBot="1">
      <c r="A21" s="310" t="s">
        <v>88</v>
      </c>
      <c r="B21" s="713">
        <v>14.7</v>
      </c>
      <c r="C21" s="713">
        <v>14.7</v>
      </c>
      <c r="D21" s="713">
        <v>14.7</v>
      </c>
      <c r="E21" s="713">
        <v>14.7</v>
      </c>
      <c r="F21" s="713">
        <v>14.7</v>
      </c>
      <c r="G21" s="713">
        <v>14.7</v>
      </c>
      <c r="H21" s="713">
        <v>14.7</v>
      </c>
      <c r="I21" s="713">
        <v>14.7</v>
      </c>
      <c r="J21" s="713">
        <v>14.7</v>
      </c>
      <c r="K21" s="713">
        <v>14.7</v>
      </c>
      <c r="L21" s="713">
        <v>14.7</v>
      </c>
      <c r="M21" s="713">
        <v>14.7</v>
      </c>
      <c r="N21" s="77">
        <f t="shared" si="4"/>
        <v>14.699999999999998</v>
      </c>
      <c r="O21" s="292">
        <f>N19-N21</f>
        <v>0.56816936845668664</v>
      </c>
      <c r="P21" s="292" t="s">
        <v>101</v>
      </c>
    </row>
    <row r="22" spans="1:30">
      <c r="O22" s="79"/>
      <c r="P22" s="79"/>
    </row>
    <row r="25" spans="1:30">
      <c r="Q25" s="79"/>
    </row>
    <row r="26" spans="1:30">
      <c r="Q26" s="79"/>
    </row>
    <row r="27" spans="1:30">
      <c r="Q27" s="7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BF92-F655-4ED6-807B-4910DEAEE8A7}">
  <sheetPr codeName="Sheet7">
    <tabColor rgb="FF00B0F0"/>
  </sheetPr>
  <dimension ref="A1:AE23"/>
  <sheetViews>
    <sheetView zoomScale="90" zoomScaleNormal="90" workbookViewId="0">
      <selection activeCell="Q17" sqref="Q17"/>
    </sheetView>
  </sheetViews>
  <sheetFormatPr defaultColWidth="9" defaultRowHeight="15"/>
  <cols>
    <col min="2" max="2" width="6.85546875" customWidth="1"/>
    <col min="3" max="3" width="7.28515625" customWidth="1"/>
    <col min="4" max="4" width="8.42578125" customWidth="1"/>
    <col min="5" max="5" width="7.5703125" customWidth="1"/>
    <col min="6" max="6" width="7.28515625" customWidth="1"/>
    <col min="7" max="7" width="7.5703125" customWidth="1"/>
    <col min="8" max="8" width="8.28515625" customWidth="1"/>
    <col min="9" max="9" width="7" customWidth="1"/>
    <col min="10" max="10" width="7.42578125" customWidth="1"/>
    <col min="11" max="11" width="7.140625" customWidth="1"/>
    <col min="12" max="12" width="8" customWidth="1"/>
    <col min="13" max="14" width="7.28515625" customWidth="1"/>
    <col min="17" max="17" width="10.5703125" bestFit="1" customWidth="1"/>
    <col min="18" max="18" width="10.28515625" customWidth="1"/>
    <col min="20" max="29" width="9" style="219"/>
    <col min="30" max="31" width="9" style="217"/>
    <col min="38" max="38" width="10" customWidth="1"/>
    <col min="39" max="39" width="14.42578125" customWidth="1"/>
  </cols>
  <sheetData>
    <row r="1" spans="1:31">
      <c r="S1" t="s">
        <v>89</v>
      </c>
    </row>
    <row r="2" spans="1:31" ht="18.75">
      <c r="A2" s="72" t="s">
        <v>90</v>
      </c>
      <c r="S2" s="218">
        <v>45839</v>
      </c>
      <c r="T2" s="218">
        <v>45870</v>
      </c>
      <c r="U2" s="218">
        <v>45901</v>
      </c>
      <c r="V2" s="218">
        <v>45931</v>
      </c>
      <c r="W2" s="218">
        <v>45962</v>
      </c>
      <c r="X2" s="218">
        <v>45992</v>
      </c>
      <c r="Y2" s="218">
        <v>46023</v>
      </c>
      <c r="Z2" s="218">
        <v>46054</v>
      </c>
      <c r="AA2" s="218">
        <v>46082</v>
      </c>
      <c r="AB2" s="218">
        <v>46113</v>
      </c>
      <c r="AC2" s="218">
        <v>46143</v>
      </c>
      <c r="AD2" s="220">
        <v>46174</v>
      </c>
    </row>
    <row r="3" spans="1:31">
      <c r="R3" t="s">
        <v>62</v>
      </c>
      <c r="S3" s="219">
        <v>2098</v>
      </c>
      <c r="T3" s="219">
        <v>2098</v>
      </c>
      <c r="U3" s="219">
        <v>2098</v>
      </c>
      <c r="V3" s="219">
        <v>2098</v>
      </c>
      <c r="W3" s="219">
        <v>2098</v>
      </c>
      <c r="X3" s="219">
        <v>2098</v>
      </c>
      <c r="Y3" s="219">
        <v>2098</v>
      </c>
      <c r="Z3" s="219">
        <v>2098</v>
      </c>
      <c r="AA3" s="219">
        <v>2098</v>
      </c>
      <c r="AB3" s="219">
        <v>2098</v>
      </c>
      <c r="AC3" s="219">
        <v>2098</v>
      </c>
      <c r="AD3" s="217">
        <v>2098</v>
      </c>
    </row>
    <row r="4" spans="1:31">
      <c r="R4" t="s">
        <v>91</v>
      </c>
      <c r="S4" s="219">
        <v>986</v>
      </c>
      <c r="T4" s="219">
        <v>986</v>
      </c>
      <c r="U4" s="219">
        <v>986</v>
      </c>
      <c r="V4" s="219">
        <v>986</v>
      </c>
      <c r="W4" s="219">
        <v>986</v>
      </c>
      <c r="X4" s="219">
        <v>986</v>
      </c>
      <c r="Y4" s="219">
        <v>986</v>
      </c>
      <c r="Z4" s="219">
        <v>986</v>
      </c>
      <c r="AA4" s="219">
        <v>986</v>
      </c>
      <c r="AB4" s="219">
        <v>986</v>
      </c>
      <c r="AC4" s="219">
        <v>986</v>
      </c>
      <c r="AD4" s="217">
        <v>986</v>
      </c>
    </row>
    <row r="5" spans="1:31">
      <c r="R5" t="s">
        <v>92</v>
      </c>
      <c r="S5" s="219">
        <v>1020</v>
      </c>
      <c r="T5" s="219">
        <v>1020</v>
      </c>
      <c r="U5" s="219">
        <v>1020</v>
      </c>
      <c r="V5" s="219">
        <v>1020</v>
      </c>
      <c r="W5" s="219">
        <v>1020</v>
      </c>
      <c r="X5" s="219">
        <v>1020</v>
      </c>
      <c r="Y5" s="219">
        <v>1020</v>
      </c>
      <c r="Z5" s="219">
        <v>1020</v>
      </c>
      <c r="AA5" s="219">
        <v>1020</v>
      </c>
      <c r="AB5" s="219">
        <v>1020</v>
      </c>
      <c r="AC5" s="219">
        <v>1020</v>
      </c>
      <c r="AD5" s="217">
        <v>1020</v>
      </c>
    </row>
    <row r="6" spans="1:31">
      <c r="R6" t="s">
        <v>93</v>
      </c>
      <c r="S6" s="219">
        <v>416</v>
      </c>
      <c r="T6" s="219">
        <v>416</v>
      </c>
      <c r="U6" s="219">
        <v>416</v>
      </c>
      <c r="V6" s="219">
        <v>416</v>
      </c>
      <c r="W6" s="219">
        <v>416</v>
      </c>
      <c r="X6" s="219">
        <v>416</v>
      </c>
      <c r="Y6" s="219">
        <v>416</v>
      </c>
      <c r="Z6" s="219">
        <v>416</v>
      </c>
      <c r="AA6" s="219">
        <v>416</v>
      </c>
      <c r="AB6" s="219">
        <v>416</v>
      </c>
      <c r="AC6" s="219">
        <v>416</v>
      </c>
      <c r="AD6" s="217">
        <v>416</v>
      </c>
    </row>
    <row r="7" spans="1:31">
      <c r="R7" t="s">
        <v>97</v>
      </c>
      <c r="S7" s="219">
        <v>1004</v>
      </c>
      <c r="T7" s="219">
        <v>1004</v>
      </c>
      <c r="U7" s="219">
        <v>1004</v>
      </c>
      <c r="V7" s="219">
        <v>1004</v>
      </c>
      <c r="W7" s="219">
        <v>1004</v>
      </c>
      <c r="X7" s="219">
        <v>1004</v>
      </c>
      <c r="Y7" s="219">
        <v>1004</v>
      </c>
      <c r="Z7" s="219">
        <v>1004</v>
      </c>
      <c r="AA7" s="219">
        <v>1004</v>
      </c>
      <c r="AB7" s="219">
        <v>1004</v>
      </c>
      <c r="AC7" s="219">
        <v>1004</v>
      </c>
      <c r="AD7" s="217">
        <v>1004</v>
      </c>
    </row>
    <row r="8" spans="1:31">
      <c r="R8" t="s">
        <v>95</v>
      </c>
      <c r="S8" s="219"/>
      <c r="X8" s="219">
        <v>460</v>
      </c>
      <c r="Y8" s="219">
        <v>460</v>
      </c>
      <c r="Z8" s="219">
        <v>460</v>
      </c>
      <c r="AA8" s="219">
        <v>460</v>
      </c>
      <c r="AB8" s="219">
        <v>460</v>
      </c>
      <c r="AC8" s="219">
        <v>460</v>
      </c>
      <c r="AD8" s="217">
        <v>460</v>
      </c>
    </row>
    <row r="9" spans="1:31">
      <c r="S9" s="219">
        <f>SUM(S3:S8)</f>
        <v>5524</v>
      </c>
      <c r="T9" s="219">
        <f t="shared" ref="T9:AC9" si="0">SUM(T3:T8)</f>
        <v>5524</v>
      </c>
      <c r="U9" s="219">
        <f t="shared" si="0"/>
        <v>5524</v>
      </c>
      <c r="V9" s="219">
        <f t="shared" si="0"/>
        <v>5524</v>
      </c>
      <c r="W9" s="219">
        <f t="shared" si="0"/>
        <v>5524</v>
      </c>
      <c r="X9" s="219">
        <f t="shared" si="0"/>
        <v>5984</v>
      </c>
      <c r="Y9" s="219">
        <f t="shared" si="0"/>
        <v>5984</v>
      </c>
      <c r="Z9" s="219">
        <f t="shared" si="0"/>
        <v>5984</v>
      </c>
      <c r="AA9" s="219">
        <f t="shared" si="0"/>
        <v>5984</v>
      </c>
      <c r="AB9" s="219">
        <f t="shared" si="0"/>
        <v>5984</v>
      </c>
      <c r="AC9" s="219">
        <f t="shared" si="0"/>
        <v>5984</v>
      </c>
      <c r="AD9" s="217">
        <f t="shared" ref="AD9" si="1">SUM(AD3:AD8)</f>
        <v>5984</v>
      </c>
    </row>
    <row r="10" spans="1:31">
      <c r="S10" s="219"/>
    </row>
    <row r="11" spans="1:31" ht="15.75" thickBot="1">
      <c r="S11" s="219"/>
    </row>
    <row r="12" spans="1:31" ht="15.75" thickBot="1">
      <c r="R12" s="336"/>
      <c r="S12" s="222">
        <v>45839</v>
      </c>
      <c r="T12" s="222">
        <v>45870</v>
      </c>
      <c r="U12" s="222">
        <v>45901</v>
      </c>
      <c r="V12" s="222">
        <v>45931</v>
      </c>
      <c r="W12" s="222">
        <v>45962</v>
      </c>
      <c r="X12" s="222">
        <v>45992</v>
      </c>
      <c r="Y12" s="222">
        <v>46023</v>
      </c>
      <c r="Z12" s="222">
        <v>46054</v>
      </c>
      <c r="AA12" s="222">
        <v>46082</v>
      </c>
      <c r="AB12" s="222">
        <v>46113</v>
      </c>
      <c r="AC12" s="222">
        <v>46143</v>
      </c>
      <c r="AD12" s="239">
        <v>46174</v>
      </c>
      <c r="AE12" s="152" t="s">
        <v>105</v>
      </c>
    </row>
    <row r="13" spans="1:31" ht="15.75" thickBot="1">
      <c r="R13" s="152" t="s">
        <v>62</v>
      </c>
      <c r="S13" s="237">
        <v>7.62</v>
      </c>
      <c r="T13" s="237">
        <v>7.6</v>
      </c>
      <c r="U13" s="237">
        <v>7.3</v>
      </c>
      <c r="V13" s="237">
        <v>7.4</v>
      </c>
      <c r="W13" s="237">
        <v>7.25</v>
      </c>
      <c r="X13" s="237">
        <v>7.36</v>
      </c>
      <c r="Y13" s="237">
        <v>7.03</v>
      </c>
      <c r="Z13" s="237">
        <v>6.95</v>
      </c>
      <c r="AA13" s="237">
        <v>7.16</v>
      </c>
      <c r="AB13" s="237">
        <v>7.11</v>
      </c>
      <c r="AC13" s="237">
        <v>7.14</v>
      </c>
      <c r="AD13" s="233">
        <v>7.44</v>
      </c>
      <c r="AE13" s="152">
        <f>AVERAGE(S13:AD13)</f>
        <v>7.28</v>
      </c>
    </row>
    <row r="14" spans="1:31" ht="15.75" thickBot="1">
      <c r="R14" s="152" t="s">
        <v>91</v>
      </c>
      <c r="S14" s="237">
        <v>6.6</v>
      </c>
      <c r="T14" s="237">
        <v>6.9</v>
      </c>
      <c r="U14" s="237">
        <v>6.8</v>
      </c>
      <c r="V14" s="237">
        <v>6.7</v>
      </c>
      <c r="W14" s="237">
        <v>6.7</v>
      </c>
      <c r="X14" s="237">
        <v>6.6</v>
      </c>
      <c r="Y14" s="237">
        <v>6.15</v>
      </c>
      <c r="Z14" s="237">
        <v>6.2</v>
      </c>
      <c r="AA14" s="237">
        <v>6.3</v>
      </c>
      <c r="AB14" s="237">
        <v>6.43</v>
      </c>
      <c r="AC14" s="237">
        <v>6.65</v>
      </c>
      <c r="AD14" s="233">
        <v>6.74</v>
      </c>
      <c r="AE14" s="152">
        <f t="shared" ref="AE14:AE18" si="2">AVERAGE(S14:AD14)</f>
        <v>6.564166666666666</v>
      </c>
    </row>
    <row r="15" spans="1:31" ht="15.75" thickBot="1">
      <c r="R15" s="152" t="s">
        <v>92</v>
      </c>
      <c r="S15" s="237">
        <v>7.4</v>
      </c>
      <c r="T15" s="237">
        <v>7.3</v>
      </c>
      <c r="U15" s="237">
        <v>7.18</v>
      </c>
      <c r="V15" s="237">
        <v>6.78</v>
      </c>
      <c r="W15" s="237">
        <v>6.7</v>
      </c>
      <c r="X15" s="237">
        <v>6.76</v>
      </c>
      <c r="Y15" s="237">
        <v>6.93</v>
      </c>
      <c r="Z15" s="237">
        <v>7.03</v>
      </c>
      <c r="AA15" s="237">
        <v>6.7</v>
      </c>
      <c r="AB15" s="237">
        <v>6.6</v>
      </c>
      <c r="AC15" s="237">
        <v>6.66</v>
      </c>
      <c r="AD15" s="233">
        <v>7.1</v>
      </c>
      <c r="AE15" s="152">
        <f t="shared" si="2"/>
        <v>6.9283333333333319</v>
      </c>
    </row>
    <row r="16" spans="1:31" ht="15.75" thickBot="1">
      <c r="R16" s="152" t="s">
        <v>93</v>
      </c>
      <c r="S16" s="237">
        <v>7.3</v>
      </c>
      <c r="T16" s="237">
        <v>7.3</v>
      </c>
      <c r="U16" s="237">
        <v>7</v>
      </c>
      <c r="V16" s="237">
        <v>7.1</v>
      </c>
      <c r="W16" s="237">
        <v>6.94</v>
      </c>
      <c r="X16" s="237">
        <v>6.9</v>
      </c>
      <c r="Y16" s="237">
        <v>7</v>
      </c>
      <c r="Z16" s="237">
        <v>7.03</v>
      </c>
      <c r="AA16" s="237">
        <v>7.16</v>
      </c>
      <c r="AB16" s="237">
        <v>7.18</v>
      </c>
      <c r="AC16" s="237">
        <v>7.15</v>
      </c>
      <c r="AD16" s="233">
        <v>7.38</v>
      </c>
      <c r="AE16" s="152">
        <f t="shared" si="2"/>
        <v>7.12</v>
      </c>
    </row>
    <row r="17" spans="1:31" ht="15.75" thickBot="1">
      <c r="R17" s="152" t="s">
        <v>97</v>
      </c>
      <c r="S17" s="287">
        <v>6</v>
      </c>
      <c r="T17" s="237">
        <v>8.65</v>
      </c>
      <c r="U17" s="237">
        <v>8.64</v>
      </c>
      <c r="V17" s="237">
        <v>8.5</v>
      </c>
      <c r="W17" s="237">
        <v>8.1999999999999993</v>
      </c>
      <c r="X17" s="237">
        <v>8.1</v>
      </c>
      <c r="Y17" s="237">
        <v>7.9</v>
      </c>
      <c r="Z17" s="246">
        <v>8.25</v>
      </c>
      <c r="AA17" s="246">
        <v>8.1199999999999992</v>
      </c>
      <c r="AB17" s="246">
        <v>7.93</v>
      </c>
      <c r="AC17" s="246">
        <v>8.1</v>
      </c>
      <c r="AD17" s="531">
        <v>7.92</v>
      </c>
      <c r="AE17" s="152">
        <f t="shared" si="2"/>
        <v>8.0258333333333329</v>
      </c>
    </row>
    <row r="18" spans="1:31" ht="15.75" thickBot="1">
      <c r="R18" s="152" t="s">
        <v>95</v>
      </c>
      <c r="S18" s="287"/>
      <c r="T18" s="237"/>
      <c r="U18" s="237"/>
      <c r="V18" s="237"/>
      <c r="W18" s="237"/>
      <c r="X18" s="237">
        <v>7.5</v>
      </c>
      <c r="Y18" s="237">
        <v>7.4</v>
      </c>
      <c r="Z18" s="246">
        <v>7.08</v>
      </c>
      <c r="AA18" s="246">
        <v>6.8</v>
      </c>
      <c r="AB18" s="246">
        <v>6.6</v>
      </c>
      <c r="AC18" s="246">
        <v>6.93</v>
      </c>
      <c r="AD18" s="531">
        <v>7.76</v>
      </c>
      <c r="AE18" s="152">
        <f t="shared" si="2"/>
        <v>7.152857142857143</v>
      </c>
    </row>
    <row r="19" spans="1:31" ht="15.75" thickBot="1">
      <c r="A19" s="338"/>
      <c r="B19" s="302">
        <v>45839</v>
      </c>
      <c r="C19" s="302">
        <v>45870</v>
      </c>
      <c r="D19" s="302">
        <v>45901</v>
      </c>
      <c r="E19" s="302">
        <v>45931</v>
      </c>
      <c r="F19" s="302">
        <v>45962</v>
      </c>
      <c r="G19" s="302">
        <v>45992</v>
      </c>
      <c r="H19" s="302">
        <v>46023</v>
      </c>
      <c r="I19" s="302">
        <v>46054</v>
      </c>
      <c r="J19" s="302">
        <v>46082</v>
      </c>
      <c r="K19" s="302">
        <v>46113</v>
      </c>
      <c r="L19" s="302">
        <v>46143</v>
      </c>
      <c r="M19" s="302">
        <v>46174</v>
      </c>
      <c r="N19" s="229"/>
      <c r="R19" s="152" t="s">
        <v>98</v>
      </c>
      <c r="S19" s="247">
        <f>(S3*S13+S4*S14+S5*S15+S6*S16+S7*S17)/S9</f>
        <v>7.0787762490948598</v>
      </c>
      <c r="T19" s="247">
        <f>(T3*T13+T4*T14+T5*T15+T6*T16+T7*T17)/T9</f>
        <v>7.5879073135409119</v>
      </c>
      <c r="U19" s="247">
        <f>(U3*U13+U4*U14+U5*U15+U6*U16+U7*U17)/U9</f>
        <v>7.4095510499637944</v>
      </c>
      <c r="V19" s="247">
        <f>(V3*V13+V4*V14+V5*V15+V6*V16+V7*V17)/V9</f>
        <v>7.3379073135409119</v>
      </c>
      <c r="W19" s="247">
        <f>(W3*W13+W4*W14+W5*W15+W6*W16+W7*W17)/W9</f>
        <v>7.1995908761766838</v>
      </c>
      <c r="X19" s="247">
        <f t="shared" ref="X19:AB19" si="3">(X3*X13+X4*X14+X5*X15+X6*X16+X7*X17+X8*X18)/X9</f>
        <v>7.235441176470589</v>
      </c>
      <c r="Y19" s="247">
        <f t="shared" si="3"/>
        <v>7.0402807486631014</v>
      </c>
      <c r="Z19" s="247">
        <f t="shared" si="3"/>
        <v>7.0737266042780762</v>
      </c>
      <c r="AA19" s="247">
        <f t="shared" si="3"/>
        <v>7.0732820855614982</v>
      </c>
      <c r="AB19" s="247">
        <f t="shared" si="3"/>
        <v>7.0142647058823533</v>
      </c>
      <c r="AC19" s="247">
        <f>(AC3*AC13+AC4*AC14+AC5*AC15+AC6*AC16+AC7*AC17+AC8*AC18)/AC9</f>
        <v>7.1230648395721934</v>
      </c>
      <c r="AD19" s="240">
        <f>(AD3*AD13+AD4*AD14+AD5*AD15+AD6*AD16+AD7*AD17+AD8*AD18)/AD9</f>
        <v>7.3676671122994657</v>
      </c>
      <c r="AE19" s="231">
        <f>AVERAGE(S19:AD19)</f>
        <v>7.2117883395870379</v>
      </c>
    </row>
    <row r="20" spans="1:31" ht="15.75" thickBot="1">
      <c r="A20" s="307" t="s">
        <v>59</v>
      </c>
      <c r="B20" s="260">
        <f t="shared" ref="B20:M20" si="4">+S19</f>
        <v>7.0787762490948598</v>
      </c>
      <c r="C20" s="260">
        <f t="shared" si="4"/>
        <v>7.5879073135409119</v>
      </c>
      <c r="D20" s="260">
        <f t="shared" si="4"/>
        <v>7.4095510499637944</v>
      </c>
      <c r="E20" s="260">
        <f t="shared" si="4"/>
        <v>7.3379073135409119</v>
      </c>
      <c r="F20" s="260">
        <f t="shared" si="4"/>
        <v>7.1995908761766838</v>
      </c>
      <c r="G20" s="260">
        <f t="shared" si="4"/>
        <v>7.235441176470589</v>
      </c>
      <c r="H20" s="260">
        <f t="shared" si="4"/>
        <v>7.0402807486631014</v>
      </c>
      <c r="I20" s="260">
        <f t="shared" si="4"/>
        <v>7.0737266042780762</v>
      </c>
      <c r="J20" s="260">
        <f t="shared" si="4"/>
        <v>7.0732820855614982</v>
      </c>
      <c r="K20" s="260">
        <f t="shared" si="4"/>
        <v>7.0142647058823533</v>
      </c>
      <c r="L20" s="260">
        <f t="shared" si="4"/>
        <v>7.1230648395721934</v>
      </c>
      <c r="M20" s="260">
        <f t="shared" si="4"/>
        <v>7.3676671122994657</v>
      </c>
      <c r="N20" s="79">
        <f>AVERAGE(B20:M20)</f>
        <v>7.2117883395870379</v>
      </c>
      <c r="O20" s="79"/>
      <c r="P20" s="79"/>
    </row>
    <row r="21" spans="1:31" ht="15.75" thickBot="1">
      <c r="A21" s="307" t="s">
        <v>103</v>
      </c>
      <c r="B21" s="311">
        <v>7.4863393810032015</v>
      </c>
      <c r="C21" s="311">
        <v>7.5249605122732133</v>
      </c>
      <c r="D21" s="311">
        <v>7.3438164354322319</v>
      </c>
      <c r="E21" s="311">
        <v>7.1910733262486719</v>
      </c>
      <c r="F21" s="311">
        <v>6.8898911419423694</v>
      </c>
      <c r="G21" s="311">
        <v>6.8768367129135539</v>
      </c>
      <c r="H21" s="311">
        <v>6.7336627534685167</v>
      </c>
      <c r="I21" s="311">
        <v>7.0451122240771653</v>
      </c>
      <c r="J21" s="311">
        <v>7.1297920000000001</v>
      </c>
      <c r="K21" s="311">
        <v>7.0674508426966298</v>
      </c>
      <c r="L21" s="311">
        <v>7.0664852528089881</v>
      </c>
      <c r="M21" s="311">
        <v>7.0774076755973931</v>
      </c>
      <c r="N21" s="79">
        <f t="shared" ref="N21:N22" si="5">AVERAGE(B21:M21)</f>
        <v>7.1194023548718279</v>
      </c>
      <c r="O21" s="292">
        <f>N20-N21</f>
        <v>9.2385984715209979E-2</v>
      </c>
      <c r="P21" s="292" t="s">
        <v>99</v>
      </c>
    </row>
    <row r="22" spans="1:31" ht="15.75" thickBot="1">
      <c r="A22" s="307" t="s">
        <v>100</v>
      </c>
      <c r="B22" s="307">
        <v>7.2</v>
      </c>
      <c r="C22" s="307">
        <v>7.2</v>
      </c>
      <c r="D22" s="307">
        <v>7.2</v>
      </c>
      <c r="E22" s="307">
        <v>7.2</v>
      </c>
      <c r="F22" s="307">
        <v>7.2</v>
      </c>
      <c r="G22" s="307">
        <v>7.2</v>
      </c>
      <c r="H22" s="307">
        <v>7.2</v>
      </c>
      <c r="I22" s="307">
        <v>7.2</v>
      </c>
      <c r="J22" s="307">
        <v>7.2</v>
      </c>
      <c r="K22" s="307">
        <v>7.2</v>
      </c>
      <c r="L22" s="307">
        <v>7.2</v>
      </c>
      <c r="M22" s="307">
        <v>7.2</v>
      </c>
      <c r="N22" s="79">
        <f t="shared" si="5"/>
        <v>7.200000000000002</v>
      </c>
      <c r="O22" s="292">
        <f>N20-N22</f>
        <v>1.1788339587035956E-2</v>
      </c>
      <c r="P22" s="292" t="s">
        <v>101</v>
      </c>
    </row>
    <row r="23" spans="1:31">
      <c r="B23" s="77"/>
      <c r="C23" s="77"/>
      <c r="D23" s="77"/>
      <c r="E23" s="77"/>
      <c r="F23" s="77"/>
      <c r="G23" s="77"/>
      <c r="H23" s="77"/>
      <c r="I23" s="77"/>
      <c r="J23" s="77"/>
      <c r="K23" s="77"/>
      <c r="L23" s="77"/>
      <c r="M23" s="77"/>
      <c r="N23" s="77"/>
      <c r="O23" s="79"/>
      <c r="P23" s="79"/>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B089-EB98-4071-B881-7300910FF26C}">
  <sheetPr codeName="Sheet8">
    <tabColor rgb="FF00B0F0"/>
  </sheetPr>
  <dimension ref="A2:AC24"/>
  <sheetViews>
    <sheetView topLeftCell="J4" zoomScale="90" zoomScaleNormal="90" workbookViewId="0">
      <selection activeCell="P13" sqref="P13:AC20"/>
    </sheetView>
  </sheetViews>
  <sheetFormatPr defaultRowHeight="15"/>
  <cols>
    <col min="12" max="12" width="10.5703125" bestFit="1" customWidth="1"/>
    <col min="16" max="16" width="10.5703125" bestFit="1" customWidth="1"/>
    <col min="17" max="17" width="10" customWidth="1"/>
    <col min="18" max="27" width="8.85546875" style="219"/>
    <col min="28" max="29" width="8.85546875" style="217"/>
    <col min="37" max="37" width="10.7109375" customWidth="1"/>
    <col min="38" max="38" width="14.28515625" customWidth="1"/>
  </cols>
  <sheetData>
    <row r="2" spans="16:29">
      <c r="Q2" t="s">
        <v>89</v>
      </c>
    </row>
    <row r="3" spans="16:29">
      <c r="Q3" s="218">
        <v>45839</v>
      </c>
      <c r="R3" s="218">
        <v>45870</v>
      </c>
      <c r="S3" s="218">
        <v>45901</v>
      </c>
      <c r="T3" s="218">
        <v>45931</v>
      </c>
      <c r="U3" s="218">
        <v>45962</v>
      </c>
      <c r="V3" s="218">
        <v>45992</v>
      </c>
      <c r="W3" s="218">
        <v>46023</v>
      </c>
      <c r="X3" s="218">
        <v>46054</v>
      </c>
      <c r="Y3" s="218">
        <v>46082</v>
      </c>
      <c r="Z3" s="218">
        <v>46113</v>
      </c>
      <c r="AA3" s="218">
        <v>46143</v>
      </c>
      <c r="AB3" s="220">
        <v>46174</v>
      </c>
    </row>
    <row r="4" spans="16:29">
      <c r="P4" t="s">
        <v>62</v>
      </c>
      <c r="Q4" s="219">
        <v>2098</v>
      </c>
      <c r="R4" s="219">
        <v>2098</v>
      </c>
      <c r="S4" s="219">
        <v>2098</v>
      </c>
      <c r="T4" s="219">
        <v>2098</v>
      </c>
      <c r="U4" s="219">
        <v>2098</v>
      </c>
      <c r="V4" s="219">
        <v>2098</v>
      </c>
      <c r="W4" s="219">
        <v>2098</v>
      </c>
      <c r="X4" s="219">
        <v>2098</v>
      </c>
      <c r="Y4" s="219">
        <v>2098</v>
      </c>
      <c r="Z4" s="219">
        <v>2098</v>
      </c>
      <c r="AA4" s="219">
        <v>2098</v>
      </c>
      <c r="AB4" s="217">
        <v>2098</v>
      </c>
    </row>
    <row r="5" spans="16:29">
      <c r="P5" t="s">
        <v>91</v>
      </c>
      <c r="Q5" s="219">
        <v>986</v>
      </c>
      <c r="R5" s="219">
        <v>986</v>
      </c>
      <c r="S5" s="219">
        <v>986</v>
      </c>
      <c r="T5" s="219">
        <v>986</v>
      </c>
      <c r="U5" s="219">
        <v>986</v>
      </c>
      <c r="V5" s="219">
        <v>986</v>
      </c>
      <c r="W5" s="219">
        <v>986</v>
      </c>
      <c r="X5" s="219">
        <v>986</v>
      </c>
      <c r="Y5" s="219">
        <v>986</v>
      </c>
      <c r="Z5" s="219">
        <v>986</v>
      </c>
      <c r="AA5" s="219">
        <v>986</v>
      </c>
      <c r="AB5" s="217">
        <v>986</v>
      </c>
    </row>
    <row r="6" spans="16:29">
      <c r="P6" t="s">
        <v>92</v>
      </c>
      <c r="Q6" s="219">
        <v>1020</v>
      </c>
      <c r="R6" s="219">
        <v>1020</v>
      </c>
      <c r="S6" s="219">
        <v>1020</v>
      </c>
      <c r="T6" s="219">
        <v>1020</v>
      </c>
      <c r="U6" s="219">
        <v>1020</v>
      </c>
      <c r="V6" s="219">
        <v>1020</v>
      </c>
      <c r="W6" s="219">
        <v>1020</v>
      </c>
      <c r="X6" s="219">
        <v>1020</v>
      </c>
      <c r="Y6" s="219">
        <v>1020</v>
      </c>
      <c r="Z6" s="219">
        <v>1020</v>
      </c>
      <c r="AA6" s="219">
        <v>1020</v>
      </c>
      <c r="AB6" s="217">
        <v>1020</v>
      </c>
    </row>
    <row r="7" spans="16:29">
      <c r="P7" t="s">
        <v>93</v>
      </c>
      <c r="Q7" s="219">
        <v>416</v>
      </c>
      <c r="R7" s="219">
        <v>416</v>
      </c>
      <c r="S7" s="219">
        <v>416</v>
      </c>
      <c r="T7" s="219">
        <v>416</v>
      </c>
      <c r="U7" s="219">
        <v>416</v>
      </c>
      <c r="V7" s="219">
        <v>416</v>
      </c>
      <c r="W7" s="219">
        <v>416</v>
      </c>
      <c r="X7" s="219">
        <v>416</v>
      </c>
      <c r="Y7" s="219">
        <v>416</v>
      </c>
      <c r="Z7" s="219">
        <v>416</v>
      </c>
      <c r="AA7" s="219">
        <v>416</v>
      </c>
      <c r="AB7" s="217">
        <v>416</v>
      </c>
    </row>
    <row r="8" spans="16:29">
      <c r="P8" t="s">
        <v>94</v>
      </c>
      <c r="Q8" s="219">
        <v>1004</v>
      </c>
      <c r="R8" s="219">
        <v>1004</v>
      </c>
      <c r="S8" s="219">
        <v>1004</v>
      </c>
      <c r="T8" s="219">
        <v>1004</v>
      </c>
      <c r="U8" s="219">
        <v>1004</v>
      </c>
      <c r="V8" s="219">
        <v>1004</v>
      </c>
      <c r="W8" s="219">
        <v>1004</v>
      </c>
      <c r="X8" s="219">
        <v>1004</v>
      </c>
      <c r="Y8" s="219">
        <v>1004</v>
      </c>
      <c r="Z8" s="219">
        <v>1004</v>
      </c>
      <c r="AA8" s="219">
        <v>1004</v>
      </c>
      <c r="AB8" s="217">
        <v>1004</v>
      </c>
    </row>
    <row r="9" spans="16:29">
      <c r="P9" t="s">
        <v>95</v>
      </c>
      <c r="Q9" s="219"/>
      <c r="V9" s="219">
        <v>460</v>
      </c>
      <c r="W9" s="219">
        <v>460</v>
      </c>
      <c r="X9" s="219">
        <v>460</v>
      </c>
      <c r="Y9" s="219">
        <v>460</v>
      </c>
      <c r="Z9" s="219">
        <v>460</v>
      </c>
      <c r="AA9" s="219">
        <v>460</v>
      </c>
      <c r="AB9" s="217">
        <v>460</v>
      </c>
    </row>
    <row r="10" spans="16:29">
      <c r="Q10" s="219">
        <f>SUM(Q4:Q9)</f>
        <v>5524</v>
      </c>
      <c r="R10" s="219">
        <f t="shared" ref="R10:AA10" si="0">SUM(R4:R9)</f>
        <v>5524</v>
      </c>
      <c r="S10" s="219">
        <f t="shared" si="0"/>
        <v>5524</v>
      </c>
      <c r="T10" s="219">
        <f t="shared" si="0"/>
        <v>5524</v>
      </c>
      <c r="U10" s="219">
        <f t="shared" si="0"/>
        <v>5524</v>
      </c>
      <c r="V10" s="219">
        <f t="shared" si="0"/>
        <v>5984</v>
      </c>
      <c r="W10" s="219">
        <f t="shared" si="0"/>
        <v>5984</v>
      </c>
      <c r="X10" s="219">
        <f t="shared" si="0"/>
        <v>5984</v>
      </c>
      <c r="Y10" s="219">
        <f t="shared" si="0"/>
        <v>5984</v>
      </c>
      <c r="Z10" s="219">
        <f t="shared" si="0"/>
        <v>5984</v>
      </c>
      <c r="AA10" s="219">
        <f t="shared" si="0"/>
        <v>5984</v>
      </c>
      <c r="AB10" s="217">
        <f t="shared" ref="AB10" si="1">SUM(AB4:AB9)</f>
        <v>5984</v>
      </c>
    </row>
    <row r="11" spans="16:29">
      <c r="Q11" s="219"/>
    </row>
    <row r="12" spans="16:29" ht="15.75" thickBot="1">
      <c r="Q12" s="219"/>
    </row>
    <row r="13" spans="16:29" ht="15.75" thickBot="1">
      <c r="Q13" s="222">
        <v>45839</v>
      </c>
      <c r="R13" s="222">
        <v>45870</v>
      </c>
      <c r="S13" s="222">
        <v>45901</v>
      </c>
      <c r="T13" s="222">
        <v>45931</v>
      </c>
      <c r="U13" s="222">
        <v>45962</v>
      </c>
      <c r="V13" s="222">
        <v>45992</v>
      </c>
      <c r="W13" s="222">
        <v>46023</v>
      </c>
      <c r="X13" s="222">
        <v>46054</v>
      </c>
      <c r="Y13" s="222">
        <v>46082</v>
      </c>
      <c r="Z13" s="222">
        <v>46113</v>
      </c>
      <c r="AA13" s="222">
        <v>46143</v>
      </c>
      <c r="AB13" s="239">
        <v>46174</v>
      </c>
      <c r="AC13" s="152" t="s">
        <v>105</v>
      </c>
    </row>
    <row r="14" spans="16:29" ht="15.75" thickBot="1">
      <c r="P14" s="152" t="s">
        <v>62</v>
      </c>
      <c r="Q14" s="247">
        <v>96.62</v>
      </c>
      <c r="R14" s="247">
        <v>102.5</v>
      </c>
      <c r="S14" s="247">
        <v>98.2</v>
      </c>
      <c r="T14" s="247">
        <v>102.4</v>
      </c>
      <c r="U14" s="247">
        <v>100.3</v>
      </c>
      <c r="V14" s="247">
        <v>98.46</v>
      </c>
      <c r="W14" s="247">
        <v>98.95</v>
      </c>
      <c r="X14" s="247">
        <v>97.18</v>
      </c>
      <c r="Y14" s="247">
        <v>99.93</v>
      </c>
      <c r="Z14" s="247">
        <v>98.73</v>
      </c>
      <c r="AA14" s="247">
        <v>99.58</v>
      </c>
      <c r="AB14" s="240">
        <v>102.72</v>
      </c>
      <c r="AC14" s="231">
        <f>AVERAGE(Q14:AB14)</f>
        <v>99.630833333333342</v>
      </c>
    </row>
    <row r="15" spans="16:29" ht="15.75" thickBot="1">
      <c r="P15" s="152" t="s">
        <v>91</v>
      </c>
      <c r="Q15" s="247">
        <v>89.3</v>
      </c>
      <c r="R15" s="247">
        <v>93.48</v>
      </c>
      <c r="S15" s="247">
        <v>94.45</v>
      </c>
      <c r="T15" s="247">
        <v>93.7</v>
      </c>
      <c r="U15" s="247">
        <v>92.91</v>
      </c>
      <c r="V15" s="247">
        <v>91.29</v>
      </c>
      <c r="W15" s="247">
        <v>84.97</v>
      </c>
      <c r="X15" s="247">
        <v>86.09</v>
      </c>
      <c r="Y15" s="247">
        <v>86.88</v>
      </c>
      <c r="Z15" s="247">
        <v>88.54</v>
      </c>
      <c r="AA15" s="247">
        <v>87.2</v>
      </c>
      <c r="AB15" s="240">
        <v>93.93</v>
      </c>
      <c r="AC15" s="231">
        <f t="shared" ref="AC15:AC20" si="2">AVERAGE(Q15:AB15)</f>
        <v>90.228333333333339</v>
      </c>
    </row>
    <row r="16" spans="16:29" ht="15.75" thickBot="1">
      <c r="P16" s="152" t="s">
        <v>92</v>
      </c>
      <c r="Q16" s="247">
        <v>99.3</v>
      </c>
      <c r="R16" s="247">
        <v>93.71</v>
      </c>
      <c r="S16" s="247">
        <v>97.44</v>
      </c>
      <c r="T16" s="247">
        <v>92.06</v>
      </c>
      <c r="U16" s="247">
        <v>96.73</v>
      </c>
      <c r="V16" s="247">
        <v>95.93</v>
      </c>
      <c r="W16" s="247">
        <v>94.76</v>
      </c>
      <c r="X16" s="247">
        <v>104.83</v>
      </c>
      <c r="Y16" s="247">
        <v>94.92</v>
      </c>
      <c r="Z16" s="247">
        <v>93.28</v>
      </c>
      <c r="AA16" s="247">
        <v>91.47</v>
      </c>
      <c r="AB16" s="240">
        <v>100.52</v>
      </c>
      <c r="AC16" s="231">
        <f t="shared" si="2"/>
        <v>96.245833333333337</v>
      </c>
    </row>
    <row r="17" spans="1:29" ht="15.75" thickBot="1">
      <c r="P17" s="152" t="s">
        <v>93</v>
      </c>
      <c r="Q17" s="247">
        <v>103.7</v>
      </c>
      <c r="R17" s="247">
        <v>105.8</v>
      </c>
      <c r="S17" s="247">
        <v>102.9</v>
      </c>
      <c r="T17" s="247">
        <v>101.4</v>
      </c>
      <c r="U17" s="247">
        <v>105.62</v>
      </c>
      <c r="V17" s="247">
        <v>99.3</v>
      </c>
      <c r="W17" s="247">
        <v>104.3</v>
      </c>
      <c r="X17" s="247">
        <v>104.83</v>
      </c>
      <c r="Y17" s="247">
        <v>107.78</v>
      </c>
      <c r="Z17" s="247">
        <v>109.23</v>
      </c>
      <c r="AA17" s="247">
        <v>104.52</v>
      </c>
      <c r="AB17" s="240">
        <v>108.58</v>
      </c>
      <c r="AC17" s="231">
        <f t="shared" si="2"/>
        <v>104.82999999999998</v>
      </c>
    </row>
    <row r="18" spans="1:29" ht="15.75" thickBot="1">
      <c r="P18" s="152" t="s">
        <v>94</v>
      </c>
      <c r="Q18" s="287">
        <v>82.7</v>
      </c>
      <c r="R18" s="247">
        <v>115.4</v>
      </c>
      <c r="S18" s="247">
        <v>117.55</v>
      </c>
      <c r="T18" s="247">
        <v>114.13</v>
      </c>
      <c r="U18" s="247">
        <v>114.1</v>
      </c>
      <c r="V18" s="247">
        <v>119.9</v>
      </c>
      <c r="W18" s="247">
        <v>117.35</v>
      </c>
      <c r="X18" s="287">
        <v>125.65</v>
      </c>
      <c r="Y18" s="287">
        <v>123.82</v>
      </c>
      <c r="Z18" s="287">
        <v>122.38</v>
      </c>
      <c r="AA18" s="287">
        <v>121.5</v>
      </c>
      <c r="AB18" s="732">
        <v>121.02</v>
      </c>
      <c r="AC18" s="231">
        <f t="shared" si="2"/>
        <v>116.29166666666667</v>
      </c>
    </row>
    <row r="19" spans="1:29" ht="15.75" thickBot="1">
      <c r="A19" s="301"/>
      <c r="B19" s="302">
        <v>45839</v>
      </c>
      <c r="C19" s="302">
        <v>45870</v>
      </c>
      <c r="D19" s="302">
        <v>45901</v>
      </c>
      <c r="E19" s="302">
        <v>45931</v>
      </c>
      <c r="F19" s="302">
        <v>45962</v>
      </c>
      <c r="G19" s="302">
        <v>45992</v>
      </c>
      <c r="H19" s="302">
        <v>46023</v>
      </c>
      <c r="I19" s="302">
        <v>46054</v>
      </c>
      <c r="J19" s="302">
        <v>46082</v>
      </c>
      <c r="K19" s="302">
        <v>46113</v>
      </c>
      <c r="L19" s="302">
        <v>46143</v>
      </c>
      <c r="M19" s="302">
        <v>46174</v>
      </c>
      <c r="P19" s="152" t="s">
        <v>95</v>
      </c>
      <c r="Q19" s="287"/>
      <c r="R19" s="247"/>
      <c r="S19" s="247"/>
      <c r="T19" s="247"/>
      <c r="U19" s="247"/>
      <c r="V19" s="247">
        <v>105.2</v>
      </c>
      <c r="W19" s="247">
        <v>104.9</v>
      </c>
      <c r="X19" s="287">
        <v>99.63</v>
      </c>
      <c r="Y19" s="287">
        <v>97.62</v>
      </c>
      <c r="Z19" s="287">
        <v>91</v>
      </c>
      <c r="AA19" s="287">
        <v>98.79</v>
      </c>
      <c r="AB19" s="732">
        <v>102.32</v>
      </c>
      <c r="AC19" s="231">
        <f t="shared" si="2"/>
        <v>99.922857142857154</v>
      </c>
    </row>
    <row r="20" spans="1:29" ht="15.75" thickBot="1">
      <c r="A20" s="152" t="s">
        <v>59</v>
      </c>
      <c r="B20" s="309">
        <f t="shared" ref="B20:M20" si="3">+Q20</f>
        <v>93.811469949312098</v>
      </c>
      <c r="C20" s="309">
        <f t="shared" si="3"/>
        <v>101.86004344677769</v>
      </c>
      <c r="D20" s="309">
        <f t="shared" si="3"/>
        <v>101.26116944243302</v>
      </c>
      <c r="E20" s="309">
        <f t="shared" si="3"/>
        <v>100.99448225923244</v>
      </c>
      <c r="F20" s="309">
        <f t="shared" si="3"/>
        <v>101.23055394641564</v>
      </c>
      <c r="G20" s="309">
        <f t="shared" si="3"/>
        <v>101.02105949197862</v>
      </c>
      <c r="H20" s="309">
        <f t="shared" si="3"/>
        <v>99.84875000000001</v>
      </c>
      <c r="I20" s="309">
        <f t="shared" si="3"/>
        <v>102.15351938502674</v>
      </c>
      <c r="J20" s="309">
        <f t="shared" si="3"/>
        <v>101.30216911764705</v>
      </c>
      <c r="K20" s="309">
        <f t="shared" si="3"/>
        <v>100.22573195187164</v>
      </c>
      <c r="L20" s="309">
        <f t="shared" si="3"/>
        <v>100.11817513368985</v>
      </c>
      <c r="M20" s="309">
        <f t="shared" si="3"/>
        <v>104.34366644385027</v>
      </c>
      <c r="N20" s="79">
        <f>AVERAGE(B20:M20)</f>
        <v>100.68089921401958</v>
      </c>
      <c r="P20" s="152" t="s">
        <v>98</v>
      </c>
      <c r="Q20" s="247">
        <f>(Q4*Q14+Q5*Q15+Q6*Q16+Q7*Q17+Q8*Q18)/Q10</f>
        <v>93.811469949312098</v>
      </c>
      <c r="R20" s="247">
        <f>(R4*R14+R5*R15+R6*R16+R7*R17+R8*R18)/R10</f>
        <v>101.86004344677769</v>
      </c>
      <c r="S20" s="247">
        <f>(S4*S14+S5*S15+S6*S16+S7*S17+S8*S18)/S10</f>
        <v>101.26116944243302</v>
      </c>
      <c r="T20" s="247">
        <f>(T4*T14+T5*T15+T6*T16+T7*T17+T8*T18)/T10</f>
        <v>100.99448225923244</v>
      </c>
      <c r="U20" s="247">
        <f>(U4*U14+U5*U15+U6*U16+U7*U17+U8*U18)/U10</f>
        <v>101.23055394641564</v>
      </c>
      <c r="V20" s="247">
        <f t="shared" ref="V20:Z20" si="4">(V4*V14+V5*V15+V6*V16+V7*V17+V8*V18+V9*V19)/V10</f>
        <v>101.02105949197862</v>
      </c>
      <c r="W20" s="247">
        <f t="shared" si="4"/>
        <v>99.84875000000001</v>
      </c>
      <c r="X20" s="247">
        <f t="shared" si="4"/>
        <v>102.15351938502674</v>
      </c>
      <c r="Y20" s="247">
        <f t="shared" si="4"/>
        <v>101.30216911764705</v>
      </c>
      <c r="Z20" s="247">
        <f t="shared" si="4"/>
        <v>100.22573195187164</v>
      </c>
      <c r="AA20" s="247">
        <f>(AA4*AA14+AA5*AA15+AA6*AA16+AA7*AA17+AA8*AA18+AA9*AA19)/AA10</f>
        <v>100.11817513368985</v>
      </c>
      <c r="AB20" s="240">
        <f>(AB4*AB14+AB5*AB15+AB6*AB16+AB7*AB17+AB8*AB18+AB9*AB19)/AB10</f>
        <v>104.34366644385027</v>
      </c>
      <c r="AC20" s="231">
        <f t="shared" si="2"/>
        <v>100.68089921401958</v>
      </c>
    </row>
    <row r="21" spans="1:29" ht="15.75" thickBot="1">
      <c r="A21" s="152" t="s">
        <v>106</v>
      </c>
      <c r="B21" s="309">
        <v>97.03904375667021</v>
      </c>
      <c r="C21" s="309">
        <v>98.045171824973337</v>
      </c>
      <c r="D21" s="309">
        <v>96.635287086446112</v>
      </c>
      <c r="E21" s="309">
        <v>96.643400637619564</v>
      </c>
      <c r="F21" s="309">
        <v>94.092452508004257</v>
      </c>
      <c r="G21" s="309">
        <v>93.303820704375667</v>
      </c>
      <c r="H21" s="309">
        <v>91.294849593480308</v>
      </c>
      <c r="I21" s="309">
        <v>93.84879243183083</v>
      </c>
      <c r="J21" s="309">
        <v>93.930822755555553</v>
      </c>
      <c r="K21" s="309">
        <v>93.208086376404495</v>
      </c>
      <c r="L21" s="309">
        <v>94.89204353932584</v>
      </c>
      <c r="M21" s="309">
        <v>97.093902968863134</v>
      </c>
      <c r="N21" s="79">
        <f t="shared" ref="N21:N22" si="5">AVERAGE(B21:M21)</f>
        <v>95.002306181962453</v>
      </c>
      <c r="O21" s="292">
        <f>N20-N21</f>
        <v>5.6785930320571225</v>
      </c>
    </row>
    <row r="22" spans="1:29" ht="15.75" thickBot="1">
      <c r="A22" s="152" t="s">
        <v>100</v>
      </c>
      <c r="B22" s="309">
        <v>97</v>
      </c>
      <c r="C22" s="309">
        <v>97</v>
      </c>
      <c r="D22" s="309">
        <v>97</v>
      </c>
      <c r="E22" s="309">
        <v>97</v>
      </c>
      <c r="F22" s="309">
        <v>97</v>
      </c>
      <c r="G22" s="309">
        <v>97</v>
      </c>
      <c r="H22" s="309">
        <v>97</v>
      </c>
      <c r="I22" s="309">
        <v>97</v>
      </c>
      <c r="J22" s="309">
        <v>97</v>
      </c>
      <c r="K22" s="309">
        <v>97</v>
      </c>
      <c r="L22" s="309">
        <v>97</v>
      </c>
      <c r="M22" s="309">
        <v>97</v>
      </c>
      <c r="N22" s="79">
        <f t="shared" si="5"/>
        <v>97</v>
      </c>
      <c r="O22" s="292">
        <f>N20-N22</f>
        <v>3.6808992140195755</v>
      </c>
    </row>
    <row r="23" spans="1:29">
      <c r="P23" s="291" t="s">
        <v>107</v>
      </c>
    </row>
    <row r="24" spans="1:29">
      <c r="P24" s="291" t="s">
        <v>101</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4DCC2-B43A-453F-8DC3-B0703E6E45F9}">
  <sheetPr codeName="Sheet9">
    <tabColor rgb="FF00B0F0"/>
  </sheetPr>
  <dimension ref="A1:AG23"/>
  <sheetViews>
    <sheetView topLeftCell="A2" zoomScale="90" zoomScaleNormal="90" workbookViewId="0">
      <selection activeCell="A21" sqref="A1:M21"/>
    </sheetView>
  </sheetViews>
  <sheetFormatPr defaultRowHeight="15"/>
  <cols>
    <col min="1" max="1" width="16.85546875" customWidth="1"/>
    <col min="2" max="6" width="9.5703125" bestFit="1" customWidth="1"/>
    <col min="7" max="7" width="9.42578125" customWidth="1"/>
    <col min="8" max="13" width="9.5703125" bestFit="1" customWidth="1"/>
    <col min="14" max="14" width="9.5703125" customWidth="1"/>
    <col min="16" max="16" width="12.42578125" bestFit="1" customWidth="1"/>
    <col min="18" max="18" width="13.28515625" customWidth="1"/>
    <col min="19" max="19" width="12.28515625" customWidth="1"/>
    <col min="21" max="30" width="8.85546875" style="219"/>
    <col min="31" max="32" width="8.85546875" style="217"/>
    <col min="39" max="39" width="12.28515625" customWidth="1"/>
  </cols>
  <sheetData>
    <row r="1" spans="19:33">
      <c r="T1" t="s">
        <v>89</v>
      </c>
    </row>
    <row r="2" spans="19:33">
      <c r="T2" s="218">
        <v>45839</v>
      </c>
      <c r="U2" s="218">
        <v>45870</v>
      </c>
      <c r="V2" s="218">
        <v>45901</v>
      </c>
      <c r="W2" s="218">
        <v>45931</v>
      </c>
      <c r="X2" s="218">
        <v>45962</v>
      </c>
      <c r="Y2" s="218">
        <v>45992</v>
      </c>
      <c r="Z2" s="218">
        <v>46023</v>
      </c>
      <c r="AA2" s="218">
        <v>46054</v>
      </c>
      <c r="AB2" s="218">
        <v>46082</v>
      </c>
      <c r="AC2" s="218">
        <v>46113</v>
      </c>
      <c r="AD2" s="218">
        <v>46143</v>
      </c>
      <c r="AE2" s="220">
        <v>46174</v>
      </c>
    </row>
    <row r="3" spans="19:33">
      <c r="S3" t="s">
        <v>62</v>
      </c>
      <c r="T3" s="219">
        <v>970</v>
      </c>
      <c r="U3" s="219">
        <v>970</v>
      </c>
      <c r="V3" s="219">
        <v>970</v>
      </c>
      <c r="W3" s="219">
        <v>970</v>
      </c>
      <c r="X3" s="219">
        <v>970</v>
      </c>
      <c r="Y3" s="219">
        <v>970</v>
      </c>
      <c r="Z3" s="219">
        <v>970</v>
      </c>
      <c r="AA3" s="219">
        <v>970</v>
      </c>
      <c r="AB3" s="219">
        <v>970</v>
      </c>
      <c r="AC3" s="219">
        <v>970</v>
      </c>
      <c r="AD3" s="219">
        <v>970</v>
      </c>
      <c r="AE3" s="217">
        <v>970</v>
      </c>
    </row>
    <row r="4" spans="19:33">
      <c r="S4" t="s">
        <v>91</v>
      </c>
      <c r="T4" s="219">
        <v>520</v>
      </c>
      <c r="U4" s="219">
        <v>520</v>
      </c>
      <c r="V4" s="219">
        <v>520</v>
      </c>
      <c r="W4" s="219">
        <v>520</v>
      </c>
      <c r="X4" s="219">
        <v>520</v>
      </c>
      <c r="Y4" s="219">
        <v>520</v>
      </c>
      <c r="Z4" s="219">
        <v>520</v>
      </c>
      <c r="AA4" s="219">
        <v>520</v>
      </c>
      <c r="AB4" s="219">
        <v>520</v>
      </c>
      <c r="AC4" s="219">
        <v>520</v>
      </c>
      <c r="AD4" s="219">
        <v>520</v>
      </c>
      <c r="AE4" s="217">
        <v>520</v>
      </c>
    </row>
    <row r="5" spans="19:33">
      <c r="S5" t="s">
        <v>92</v>
      </c>
      <c r="T5" s="219">
        <v>470</v>
      </c>
      <c r="U5" s="219">
        <v>470</v>
      </c>
      <c r="V5" s="219">
        <v>470</v>
      </c>
      <c r="W5" s="219">
        <v>470</v>
      </c>
      <c r="X5" s="219">
        <v>470</v>
      </c>
      <c r="Y5" s="219">
        <v>470</v>
      </c>
      <c r="Z5" s="219">
        <v>470</v>
      </c>
      <c r="AA5" s="219">
        <v>470</v>
      </c>
      <c r="AB5" s="219">
        <v>470</v>
      </c>
      <c r="AC5" s="219">
        <v>470</v>
      </c>
      <c r="AD5" s="219">
        <v>470</v>
      </c>
      <c r="AE5" s="217">
        <v>470</v>
      </c>
    </row>
    <row r="6" spans="19:33">
      <c r="S6" t="s">
        <v>93</v>
      </c>
      <c r="T6" s="219">
        <v>170</v>
      </c>
      <c r="U6" s="219">
        <v>170</v>
      </c>
      <c r="V6" s="219">
        <v>170</v>
      </c>
      <c r="W6" s="219">
        <v>170</v>
      </c>
      <c r="X6" s="219">
        <v>170</v>
      </c>
      <c r="Y6" s="219">
        <v>170</v>
      </c>
      <c r="Z6" s="219">
        <v>170</v>
      </c>
      <c r="AA6" s="219">
        <v>170</v>
      </c>
      <c r="AB6" s="219">
        <v>170</v>
      </c>
      <c r="AC6" s="219">
        <v>170</v>
      </c>
      <c r="AD6" s="219">
        <v>170</v>
      </c>
      <c r="AE6" s="217">
        <v>170</v>
      </c>
    </row>
    <row r="7" spans="19:33">
      <c r="S7" t="s">
        <v>108</v>
      </c>
      <c r="T7" s="219">
        <v>110</v>
      </c>
      <c r="U7" s="219">
        <v>110</v>
      </c>
      <c r="V7" s="219">
        <v>110</v>
      </c>
      <c r="W7" s="219">
        <v>110</v>
      </c>
      <c r="X7" s="219">
        <v>110</v>
      </c>
      <c r="Y7" s="219">
        <v>110</v>
      </c>
      <c r="Z7" s="219">
        <v>110</v>
      </c>
      <c r="AA7" s="219">
        <v>110</v>
      </c>
      <c r="AB7" s="219">
        <v>110</v>
      </c>
      <c r="AC7" s="219">
        <v>110</v>
      </c>
      <c r="AD7" s="219">
        <v>110</v>
      </c>
      <c r="AE7" s="217">
        <v>110</v>
      </c>
    </row>
    <row r="8" spans="19:33">
      <c r="S8" t="s">
        <v>53</v>
      </c>
      <c r="T8" s="219">
        <v>320</v>
      </c>
      <c r="U8" s="219">
        <v>320</v>
      </c>
      <c r="V8" s="219">
        <v>320</v>
      </c>
      <c r="W8" s="219">
        <v>320</v>
      </c>
      <c r="X8" s="219">
        <v>320</v>
      </c>
      <c r="Y8" s="219">
        <v>320</v>
      </c>
      <c r="Z8" s="219">
        <v>320</v>
      </c>
      <c r="AA8" s="219">
        <v>320</v>
      </c>
      <c r="AB8" s="219">
        <v>320</v>
      </c>
      <c r="AC8" s="599"/>
      <c r="AD8" s="219">
        <v>320</v>
      </c>
      <c r="AE8" s="217">
        <v>320</v>
      </c>
    </row>
    <row r="9" spans="19:33">
      <c r="S9" t="s">
        <v>94</v>
      </c>
      <c r="T9" s="219">
        <v>620</v>
      </c>
      <c r="U9" s="219">
        <v>620</v>
      </c>
      <c r="V9" s="219">
        <v>620</v>
      </c>
      <c r="W9" s="219">
        <v>620</v>
      </c>
      <c r="X9" s="219">
        <v>620</v>
      </c>
      <c r="Y9" s="219">
        <v>620</v>
      </c>
      <c r="Z9" s="219">
        <v>620</v>
      </c>
      <c r="AA9" s="219">
        <v>620</v>
      </c>
      <c r="AB9" s="219">
        <v>620</v>
      </c>
      <c r="AC9" s="219">
        <v>620</v>
      </c>
      <c r="AD9" s="219">
        <v>620</v>
      </c>
      <c r="AE9" s="217">
        <v>620</v>
      </c>
    </row>
    <row r="10" spans="19:33">
      <c r="S10" t="s">
        <v>95</v>
      </c>
      <c r="T10" s="219"/>
      <c r="Z10" s="219">
        <v>280</v>
      </c>
      <c r="AA10" s="219">
        <v>280</v>
      </c>
      <c r="AB10" s="219">
        <v>280</v>
      </c>
      <c r="AC10" s="219">
        <v>280</v>
      </c>
      <c r="AD10" s="219">
        <v>280</v>
      </c>
      <c r="AE10" s="217">
        <v>280</v>
      </c>
    </row>
    <row r="11" spans="19:33">
      <c r="T11" s="219">
        <f t="shared" ref="T11:Y11" si="0">SUM(T3:T9)</f>
        <v>3180</v>
      </c>
      <c r="U11" s="219">
        <f t="shared" si="0"/>
        <v>3180</v>
      </c>
      <c r="V11" s="219">
        <f t="shared" si="0"/>
        <v>3180</v>
      </c>
      <c r="W11" s="219">
        <f t="shared" si="0"/>
        <v>3180</v>
      </c>
      <c r="X11" s="219">
        <f t="shared" si="0"/>
        <v>3180</v>
      </c>
      <c r="Y11" s="219">
        <f t="shared" si="0"/>
        <v>3180</v>
      </c>
      <c r="Z11" s="219">
        <f t="shared" ref="Z11:AE11" si="1">SUM(Z3:Z10)</f>
        <v>3460</v>
      </c>
      <c r="AA11" s="219">
        <f t="shared" si="1"/>
        <v>3460</v>
      </c>
      <c r="AB11" s="219">
        <f t="shared" si="1"/>
        <v>3460</v>
      </c>
      <c r="AC11" s="219">
        <f t="shared" si="1"/>
        <v>3140</v>
      </c>
      <c r="AD11" s="219">
        <f t="shared" si="1"/>
        <v>3460</v>
      </c>
      <c r="AE11" s="217">
        <f t="shared" si="1"/>
        <v>3460</v>
      </c>
    </row>
    <row r="12" spans="19:33">
      <c r="T12" s="219"/>
    </row>
    <row r="13" spans="19:33" ht="15.75" thickBot="1">
      <c r="T13" s="219"/>
    </row>
    <row r="14" spans="19:33" ht="15.75" thickBot="1">
      <c r="T14" s="285">
        <v>45839</v>
      </c>
      <c r="U14" s="285">
        <v>45870</v>
      </c>
      <c r="V14" s="285">
        <v>45901</v>
      </c>
      <c r="W14" s="285">
        <v>45931</v>
      </c>
      <c r="X14" s="285">
        <v>45962</v>
      </c>
      <c r="Y14" s="285">
        <v>45992</v>
      </c>
      <c r="Z14" s="285">
        <v>46023</v>
      </c>
      <c r="AA14" s="285">
        <v>46054</v>
      </c>
      <c r="AB14" s="285">
        <v>46082</v>
      </c>
      <c r="AC14" s="285">
        <v>46113</v>
      </c>
      <c r="AD14" s="285">
        <v>46143</v>
      </c>
      <c r="AE14" s="286">
        <v>46174</v>
      </c>
      <c r="AG14" s="75" t="s">
        <v>105</v>
      </c>
    </row>
    <row r="15" spans="19:33" ht="15.75" thickBot="1">
      <c r="S15" s="152" t="s">
        <v>62</v>
      </c>
      <c r="T15" s="247">
        <v>27.77</v>
      </c>
      <c r="U15" s="237">
        <v>28.68</v>
      </c>
      <c r="V15" s="237">
        <v>28.21</v>
      </c>
      <c r="W15" s="237">
        <v>28.16</v>
      </c>
      <c r="X15" s="237">
        <v>28.31</v>
      </c>
      <c r="Y15" s="237">
        <v>28.03</v>
      </c>
      <c r="Z15" s="237">
        <v>28.51</v>
      </c>
      <c r="AA15" s="237">
        <v>27.81</v>
      </c>
      <c r="AB15" s="237">
        <v>28.72</v>
      </c>
      <c r="AC15" s="237">
        <v>29.04</v>
      </c>
      <c r="AD15" s="237">
        <v>29.15</v>
      </c>
      <c r="AE15" s="233">
        <v>28.79</v>
      </c>
      <c r="AG15" s="231">
        <f>AVERAGE(T15:AE15)</f>
        <v>28.431666666666668</v>
      </c>
    </row>
    <row r="16" spans="19:33" ht="15.75" thickBot="1">
      <c r="S16" s="152" t="s">
        <v>91</v>
      </c>
      <c r="T16" s="247">
        <v>27.4</v>
      </c>
      <c r="U16" s="237">
        <v>27.54</v>
      </c>
      <c r="V16" s="237">
        <v>27.7</v>
      </c>
      <c r="W16" s="237">
        <v>28.46</v>
      </c>
      <c r="X16" s="237">
        <v>27.44</v>
      </c>
      <c r="Y16" s="237">
        <v>27.31</v>
      </c>
      <c r="Z16" s="237">
        <v>26.72</v>
      </c>
      <c r="AA16" s="237">
        <v>26.94</v>
      </c>
      <c r="AB16" s="237">
        <v>26.82</v>
      </c>
      <c r="AC16" s="237">
        <v>26.93</v>
      </c>
      <c r="AD16" s="237">
        <v>26.08</v>
      </c>
      <c r="AE16" s="233">
        <v>27.63</v>
      </c>
      <c r="AG16" s="231">
        <f t="shared" ref="AG16:AG23" si="2">AVERAGE(T16:AE16)</f>
        <v>27.247499999999999</v>
      </c>
    </row>
    <row r="17" spans="1:33" ht="15.75" thickBot="1">
      <c r="S17" s="152" t="s">
        <v>92</v>
      </c>
      <c r="T17" s="247">
        <v>25.9</v>
      </c>
      <c r="U17" s="237">
        <v>27.66</v>
      </c>
      <c r="V17" s="242">
        <v>26.797999999999998</v>
      </c>
      <c r="W17" s="237">
        <v>25.67</v>
      </c>
      <c r="X17" s="237">
        <v>25.1</v>
      </c>
      <c r="Y17" s="237">
        <v>24.82</v>
      </c>
      <c r="Z17" s="237">
        <v>25.28</v>
      </c>
      <c r="AA17" s="237">
        <v>25.73</v>
      </c>
      <c r="AB17" s="247">
        <v>25.01</v>
      </c>
      <c r="AC17" s="247">
        <v>25.54</v>
      </c>
      <c r="AD17" s="247">
        <v>24.84</v>
      </c>
      <c r="AE17" s="240">
        <v>24.91</v>
      </c>
      <c r="AG17" s="231">
        <f t="shared" si="2"/>
        <v>25.604833333333332</v>
      </c>
    </row>
    <row r="18" spans="1:33" ht="15.75" thickBot="1">
      <c r="A18" s="339"/>
      <c r="B18" s="302">
        <v>45839</v>
      </c>
      <c r="C18" s="302">
        <v>45870</v>
      </c>
      <c r="D18" s="302">
        <v>45901</v>
      </c>
      <c r="E18" s="302">
        <v>45931</v>
      </c>
      <c r="F18" s="302">
        <v>45962</v>
      </c>
      <c r="G18" s="302">
        <v>45992</v>
      </c>
      <c r="H18" s="302">
        <v>46023</v>
      </c>
      <c r="I18" s="302">
        <v>46054</v>
      </c>
      <c r="J18" s="302">
        <v>46082</v>
      </c>
      <c r="K18" s="302">
        <v>46113</v>
      </c>
      <c r="L18" s="302">
        <v>46143</v>
      </c>
      <c r="M18" s="302">
        <v>46174</v>
      </c>
      <c r="N18" s="229"/>
      <c r="S18" s="152" t="s">
        <v>93</v>
      </c>
      <c r="T18" s="247">
        <v>28.3</v>
      </c>
      <c r="U18" s="237">
        <v>28.7</v>
      </c>
      <c r="V18" s="237">
        <v>28.3</v>
      </c>
      <c r="W18" s="237">
        <v>28.2</v>
      </c>
      <c r="X18" s="237">
        <v>28.48</v>
      </c>
      <c r="Y18" s="237">
        <v>28.1</v>
      </c>
      <c r="Z18" s="237">
        <v>28.1</v>
      </c>
      <c r="AA18" s="237">
        <v>28.29</v>
      </c>
      <c r="AB18" s="237">
        <v>28.27</v>
      </c>
      <c r="AC18" s="237">
        <v>28.24</v>
      </c>
      <c r="AD18" s="237">
        <v>28.46</v>
      </c>
      <c r="AE18" s="233">
        <v>28.42</v>
      </c>
      <c r="AG18" s="231">
        <f t="shared" si="2"/>
        <v>28.321666666666662</v>
      </c>
    </row>
    <row r="19" spans="1:33" ht="15.75" thickBot="1">
      <c r="A19" s="310" t="s">
        <v>59</v>
      </c>
      <c r="B19" s="312">
        <f t="shared" ref="B19:M19" si="3">+T23</f>
        <v>26.889905660377355</v>
      </c>
      <c r="C19" s="312">
        <f t="shared" si="3"/>
        <v>26.872767295597484</v>
      </c>
      <c r="D19" s="312">
        <f t="shared" si="3"/>
        <v>27.258194968553457</v>
      </c>
      <c r="E19" s="312">
        <f t="shared" si="3"/>
        <v>27.751006289308179</v>
      </c>
      <c r="F19" s="312">
        <f t="shared" si="3"/>
        <v>27.49094339622642</v>
      </c>
      <c r="G19" s="312">
        <f t="shared" si="3"/>
        <v>27.168113207547172</v>
      </c>
      <c r="H19" s="312">
        <f t="shared" si="3"/>
        <v>27.085462427745664</v>
      </c>
      <c r="I19" s="312">
        <f t="shared" si="3"/>
        <v>27.01725433526012</v>
      </c>
      <c r="J19" s="312">
        <f t="shared" si="3"/>
        <v>27.090260115606938</v>
      </c>
      <c r="K19" s="312">
        <f t="shared" si="3"/>
        <v>27.535732484076433</v>
      </c>
      <c r="L19" s="312">
        <f t="shared" si="3"/>
        <v>27.224306358381497</v>
      </c>
      <c r="M19" s="312">
        <f t="shared" si="3"/>
        <v>27.523728323699423</v>
      </c>
      <c r="N19" s="257">
        <f>AVERAGE(B19:L19)</f>
        <v>27.216722412607339</v>
      </c>
      <c r="O19" s="77"/>
      <c r="P19" s="77"/>
      <c r="S19" s="152" t="s">
        <v>108</v>
      </c>
      <c r="T19" s="247">
        <v>26.3</v>
      </c>
      <c r="U19" s="237">
        <v>26.86</v>
      </c>
      <c r="V19" s="237">
        <v>26.41</v>
      </c>
      <c r="W19" s="237">
        <v>25.69</v>
      </c>
      <c r="X19" s="237">
        <v>26.41</v>
      </c>
      <c r="Y19" s="237">
        <v>25.09</v>
      </c>
      <c r="Z19" s="237">
        <v>24.84</v>
      </c>
      <c r="AA19" s="237">
        <v>25.2</v>
      </c>
      <c r="AB19" s="237">
        <v>27.49</v>
      </c>
      <c r="AC19" s="246">
        <v>27.16</v>
      </c>
      <c r="AD19" s="246">
        <v>26.26</v>
      </c>
      <c r="AE19" s="240">
        <v>26.25</v>
      </c>
      <c r="AG19" s="231">
        <f t="shared" si="2"/>
        <v>26.16333333333333</v>
      </c>
    </row>
    <row r="20" spans="1:33" ht="15.75" thickBot="1">
      <c r="A20" s="310" t="s">
        <v>109</v>
      </c>
      <c r="B20" s="312">
        <v>28.078671874999998</v>
      </c>
      <c r="C20" s="312">
        <v>28.299140625</v>
      </c>
      <c r="D20" s="312">
        <v>28.5746875</v>
      </c>
      <c r="E20" s="312">
        <v>28.497695312500003</v>
      </c>
      <c r="F20" s="312">
        <v>28.227773437500002</v>
      </c>
      <c r="G20" s="312">
        <v>26.911078125</v>
      </c>
      <c r="H20" s="312">
        <v>26.267734374999996</v>
      </c>
      <c r="I20" s="312">
        <v>25.988164062499997</v>
      </c>
      <c r="J20" s="312">
        <v>26.616789062499997</v>
      </c>
      <c r="K20" s="312">
        <v>27.224402515723273</v>
      </c>
      <c r="L20" s="312">
        <v>27.431540880503142</v>
      </c>
      <c r="M20" s="312">
        <v>27.218522012578614</v>
      </c>
      <c r="N20" s="257">
        <f>AVERAGE(B20:L20)</f>
        <v>27.465243433747855</v>
      </c>
      <c r="O20" s="293">
        <f>N19-N20</f>
        <v>-0.24852102114051533</v>
      </c>
      <c r="P20" s="293" t="s">
        <v>110</v>
      </c>
      <c r="S20" s="152" t="s">
        <v>53</v>
      </c>
      <c r="T20" s="247">
        <v>26.49</v>
      </c>
      <c r="U20" s="237">
        <v>26.97</v>
      </c>
      <c r="V20" s="237">
        <v>26.72</v>
      </c>
      <c r="W20" s="237">
        <v>27.88</v>
      </c>
      <c r="X20" s="237">
        <v>26.92</v>
      </c>
      <c r="Y20" s="237">
        <v>25.8</v>
      </c>
      <c r="Z20" s="237">
        <v>25.09</v>
      </c>
      <c r="AA20" s="237">
        <v>25.26</v>
      </c>
      <c r="AB20" s="237">
        <v>24.83</v>
      </c>
      <c r="AC20" s="600"/>
      <c r="AD20" s="246">
        <v>27.19</v>
      </c>
      <c r="AE20" s="240">
        <v>27.3</v>
      </c>
      <c r="AG20" s="231">
        <f t="shared" si="2"/>
        <v>26.404545454545453</v>
      </c>
    </row>
    <row r="21" spans="1:33" ht="15.75" thickBot="1">
      <c r="A21" s="310" t="s">
        <v>88</v>
      </c>
      <c r="B21" s="309">
        <v>26.2</v>
      </c>
      <c r="C21" s="309">
        <v>26.2</v>
      </c>
      <c r="D21" s="309">
        <v>26.2</v>
      </c>
      <c r="E21" s="309">
        <v>26.2</v>
      </c>
      <c r="F21" s="309">
        <v>26.2</v>
      </c>
      <c r="G21" s="309">
        <v>26.2</v>
      </c>
      <c r="H21" s="309">
        <v>26.4</v>
      </c>
      <c r="I21" s="309">
        <v>26.4</v>
      </c>
      <c r="J21" s="309">
        <v>26.4</v>
      </c>
      <c r="K21" s="309">
        <v>26.4</v>
      </c>
      <c r="L21" s="309">
        <v>26.4</v>
      </c>
      <c r="M21" s="309">
        <v>26.4</v>
      </c>
      <c r="N21" s="257">
        <f>AVERAGE(B21:L21)</f>
        <v>26.290909090909089</v>
      </c>
      <c r="O21" s="293">
        <f>N19-N21</f>
        <v>0.92581332169825004</v>
      </c>
      <c r="P21" s="293" t="s">
        <v>101</v>
      </c>
      <c r="S21" s="152" t="s">
        <v>94</v>
      </c>
      <c r="T21" s="247">
        <v>25.76</v>
      </c>
      <c r="U21" s="237">
        <v>22.34</v>
      </c>
      <c r="V21" s="237">
        <v>25.89</v>
      </c>
      <c r="W21" s="237">
        <v>28.27</v>
      </c>
      <c r="X21" s="237">
        <v>28.28</v>
      </c>
      <c r="Y21" s="237">
        <v>28.3</v>
      </c>
      <c r="Z21" s="237">
        <v>28.24</v>
      </c>
      <c r="AA21" s="237">
        <v>27.9</v>
      </c>
      <c r="AB21" s="237">
        <v>28.11</v>
      </c>
      <c r="AC21" s="246">
        <v>28.24</v>
      </c>
      <c r="AD21" s="246">
        <v>28.33</v>
      </c>
      <c r="AE21" s="233">
        <v>29</v>
      </c>
      <c r="AG21" s="231">
        <f t="shared" si="2"/>
        <v>27.388333333333335</v>
      </c>
    </row>
    <row r="22" spans="1:33" ht="15.75" thickBot="1">
      <c r="B22" s="77"/>
      <c r="C22" s="77"/>
      <c r="D22" s="77"/>
      <c r="E22" s="77"/>
      <c r="F22" s="77"/>
      <c r="G22" s="77"/>
      <c r="H22" s="77"/>
      <c r="I22" s="77"/>
      <c r="J22" s="77"/>
      <c r="K22" s="77"/>
      <c r="L22" s="77"/>
      <c r="M22" s="77"/>
      <c r="N22" s="77"/>
      <c r="O22" s="77"/>
      <c r="P22" s="77"/>
      <c r="S22" s="152" t="s">
        <v>111</v>
      </c>
      <c r="T22" s="247"/>
      <c r="U22" s="237"/>
      <c r="V22" s="237"/>
      <c r="W22" s="237"/>
      <c r="X22" s="237"/>
      <c r="Y22" s="237"/>
      <c r="Z22" s="237">
        <v>25.85</v>
      </c>
      <c r="AA22" s="237">
        <v>26.57</v>
      </c>
      <c r="AB22" s="237">
        <v>24.89</v>
      </c>
      <c r="AC22" s="246">
        <v>24.96</v>
      </c>
      <c r="AD22" s="246">
        <v>23.9</v>
      </c>
      <c r="AE22" s="233">
        <v>24.27</v>
      </c>
      <c r="AG22" s="231">
        <f t="shared" si="2"/>
        <v>25.073333333333338</v>
      </c>
    </row>
    <row r="23" spans="1:33" ht="15.75" thickBot="1">
      <c r="S23" s="152" t="s">
        <v>98</v>
      </c>
      <c r="T23" s="247">
        <f t="shared" ref="T23:Y23" si="4">(T3*T15+T4*T16+T5*T17+T6*T18+T7*T19+T8*T20+T9*T21)/T11</f>
        <v>26.889905660377355</v>
      </c>
      <c r="U23" s="247">
        <f t="shared" si="4"/>
        <v>26.872767295597484</v>
      </c>
      <c r="V23" s="247">
        <f t="shared" si="4"/>
        <v>27.258194968553457</v>
      </c>
      <c r="W23" s="247">
        <f t="shared" si="4"/>
        <v>27.751006289308179</v>
      </c>
      <c r="X23" s="247">
        <f t="shared" si="4"/>
        <v>27.49094339622642</v>
      </c>
      <c r="Y23" s="247">
        <f t="shared" si="4"/>
        <v>27.168113207547172</v>
      </c>
      <c r="Z23" s="247">
        <f>(Z3*Z15+Z4*Z16+Z5*Z17+Z6*Z18+Z7*Z19+Z8*Z20+Z9*Z21+Z10*Z22)/Z11</f>
        <v>27.085462427745664</v>
      </c>
      <c r="AA23" s="247">
        <f>(AA3*AA15+AA4*AA16+AA5*AA17+AA6*AA18+AA7*AA19+AA8*AA20+AA9*AA21+AA10*AA22)/AA11</f>
        <v>27.01725433526012</v>
      </c>
      <c r="AB23" s="247">
        <f>(AB3*AB15+AB4*AB16+AB5*AB17+AB6*AB18+AB7*AB19+AB8*AB20+AB9*AB21+AB10*AB22)/AB11</f>
        <v>27.090260115606938</v>
      </c>
      <c r="AC23" s="247">
        <f>(AC3*AC15+AC4*AC16+AC5*AC17+AC6*AC18+AC7*AC19+AC9*AC21+AC10*AC22)/AC11</f>
        <v>27.535732484076433</v>
      </c>
      <c r="AD23" s="247">
        <f>(AD3*AD15+AD4*AD16+AD5*AD17+AD6*AD18+AD7*AD19+AD8*AD20+AD9*AD21+AD10*AD22)/AD11</f>
        <v>27.224306358381497</v>
      </c>
      <c r="AE23" s="240">
        <f>(AE3*AE15+AE4*AE16+AE5*AE17+AE6*AE18+AE7*AE19+AE8*AE20+AE9*AE21+AE10*AE22)/AE11</f>
        <v>27.523728323699423</v>
      </c>
      <c r="AG23" s="231">
        <f t="shared" si="2"/>
        <v>27.242306238531679</v>
      </c>
    </row>
  </sheetData>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1777-3B91-4DF6-92E4-977A32FD2728}">
  <sheetPr codeName="Sheet10">
    <tabColor rgb="FF00B0F0"/>
  </sheetPr>
  <dimension ref="A1:AF23"/>
  <sheetViews>
    <sheetView workbookViewId="0">
      <selection activeCell="P13" sqref="P13"/>
    </sheetView>
  </sheetViews>
  <sheetFormatPr defaultRowHeight="15"/>
  <cols>
    <col min="2" max="2" width="9.7109375" bestFit="1" customWidth="1"/>
    <col min="16" max="16" width="6" customWidth="1"/>
    <col min="17" max="18" width="12.42578125" customWidth="1"/>
    <col min="19" max="19" width="18.140625" bestFit="1" customWidth="1"/>
    <col min="20" max="20" width="12.28515625" customWidth="1"/>
    <col min="21" max="21" width="9.5703125" style="219" bestFit="1" customWidth="1"/>
    <col min="22" max="30" width="8.85546875" style="219"/>
    <col min="31" max="32" width="8.85546875" style="217"/>
  </cols>
  <sheetData>
    <row r="1" spans="2:32">
      <c r="T1" t="s">
        <v>89</v>
      </c>
    </row>
    <row r="2" spans="2:32">
      <c r="T2" s="218">
        <v>45839</v>
      </c>
      <c r="U2" s="218">
        <v>45870</v>
      </c>
      <c r="V2" s="218">
        <v>45901</v>
      </c>
      <c r="W2" s="218">
        <v>45931</v>
      </c>
      <c r="X2" s="218">
        <v>45962</v>
      </c>
      <c r="Y2" s="218">
        <v>45992</v>
      </c>
      <c r="Z2" s="218">
        <v>46023</v>
      </c>
      <c r="AA2" s="218">
        <v>46054</v>
      </c>
      <c r="AB2" s="218">
        <v>46082</v>
      </c>
      <c r="AC2" s="218">
        <v>46113</v>
      </c>
      <c r="AD2" s="218">
        <v>46143</v>
      </c>
      <c r="AE2" s="220">
        <v>46174</v>
      </c>
    </row>
    <row r="3" spans="2:32">
      <c r="S3" t="s">
        <v>62</v>
      </c>
      <c r="T3" s="219">
        <v>970</v>
      </c>
      <c r="U3" s="219">
        <v>970</v>
      </c>
      <c r="V3" s="219">
        <v>970</v>
      </c>
      <c r="W3" s="219">
        <v>970</v>
      </c>
      <c r="X3" s="219">
        <v>970</v>
      </c>
      <c r="Y3" s="219">
        <v>970</v>
      </c>
      <c r="Z3" s="219">
        <v>970</v>
      </c>
      <c r="AA3" s="219">
        <v>970</v>
      </c>
      <c r="AB3" s="219">
        <v>970</v>
      </c>
      <c r="AC3" s="219">
        <v>970</v>
      </c>
      <c r="AD3" s="219">
        <v>970</v>
      </c>
      <c r="AE3" s="217">
        <v>970</v>
      </c>
    </row>
    <row r="4" spans="2:32">
      <c r="S4" t="s">
        <v>91</v>
      </c>
      <c r="T4" s="219">
        <v>520</v>
      </c>
      <c r="U4" s="219">
        <v>520</v>
      </c>
      <c r="V4" s="219">
        <v>520</v>
      </c>
      <c r="W4" s="219">
        <v>520</v>
      </c>
      <c r="X4" s="219">
        <v>520</v>
      </c>
      <c r="Y4" s="219">
        <v>520</v>
      </c>
      <c r="Z4" s="219">
        <v>520</v>
      </c>
      <c r="AA4" s="219">
        <v>520</v>
      </c>
      <c r="AB4" s="219">
        <v>520</v>
      </c>
      <c r="AC4" s="219">
        <v>520</v>
      </c>
      <c r="AD4" s="219">
        <v>520</v>
      </c>
      <c r="AE4" s="217">
        <v>520</v>
      </c>
    </row>
    <row r="5" spans="2:32">
      <c r="S5" t="s">
        <v>92</v>
      </c>
      <c r="T5" s="219">
        <v>470</v>
      </c>
      <c r="U5" s="219">
        <v>470</v>
      </c>
      <c r="V5" s="219">
        <v>470</v>
      </c>
      <c r="W5" s="219">
        <v>470</v>
      </c>
      <c r="X5" s="219">
        <v>470</v>
      </c>
      <c r="Y5" s="219">
        <v>470</v>
      </c>
      <c r="Z5" s="219">
        <v>470</v>
      </c>
      <c r="AA5" s="219">
        <v>470</v>
      </c>
      <c r="AB5" s="219">
        <v>470</v>
      </c>
      <c r="AC5" s="219">
        <v>470</v>
      </c>
      <c r="AD5" s="219">
        <v>470</v>
      </c>
      <c r="AE5" s="217">
        <v>470</v>
      </c>
    </row>
    <row r="6" spans="2:32">
      <c r="S6" t="s">
        <v>93</v>
      </c>
      <c r="T6" s="219">
        <v>170</v>
      </c>
      <c r="U6" s="219">
        <v>170</v>
      </c>
      <c r="V6" s="219">
        <v>170</v>
      </c>
      <c r="W6" s="219">
        <v>170</v>
      </c>
      <c r="X6" s="219">
        <v>170</v>
      </c>
      <c r="Y6" s="219">
        <v>170</v>
      </c>
      <c r="Z6" s="219">
        <v>170</v>
      </c>
      <c r="AA6" s="219">
        <v>170</v>
      </c>
      <c r="AB6" s="219">
        <v>170</v>
      </c>
      <c r="AC6" s="219">
        <v>170</v>
      </c>
      <c r="AD6" s="219">
        <v>170</v>
      </c>
      <c r="AE6" s="217">
        <v>170</v>
      </c>
    </row>
    <row r="7" spans="2:32">
      <c r="S7" t="s">
        <v>108</v>
      </c>
      <c r="T7" s="219">
        <v>110</v>
      </c>
      <c r="U7" s="219">
        <v>110</v>
      </c>
      <c r="V7" s="219">
        <v>110</v>
      </c>
      <c r="W7" s="219">
        <v>110</v>
      </c>
      <c r="X7" s="219">
        <v>110</v>
      </c>
      <c r="Y7" s="219">
        <v>110</v>
      </c>
      <c r="Z7" s="219">
        <v>110</v>
      </c>
      <c r="AA7" s="219">
        <v>110</v>
      </c>
      <c r="AB7" s="219">
        <v>110</v>
      </c>
      <c r="AC7" s="219">
        <v>110</v>
      </c>
      <c r="AD7" s="219">
        <v>110</v>
      </c>
      <c r="AE7" s="217">
        <v>110</v>
      </c>
    </row>
    <row r="8" spans="2:32">
      <c r="S8" t="s">
        <v>53</v>
      </c>
      <c r="T8" s="219">
        <v>320</v>
      </c>
      <c r="U8" s="219">
        <v>320</v>
      </c>
      <c r="V8" s="219">
        <v>320</v>
      </c>
      <c r="W8" s="219">
        <v>320</v>
      </c>
      <c r="X8" s="219">
        <v>320</v>
      </c>
      <c r="Y8" s="219">
        <v>320</v>
      </c>
      <c r="Z8" s="219">
        <v>320</v>
      </c>
      <c r="AA8" s="219">
        <v>320</v>
      </c>
      <c r="AB8" s="219">
        <v>320</v>
      </c>
      <c r="AC8" s="599"/>
      <c r="AD8" s="219">
        <v>320</v>
      </c>
      <c r="AE8" s="217">
        <v>320</v>
      </c>
    </row>
    <row r="9" spans="2:32">
      <c r="S9" t="s">
        <v>94</v>
      </c>
      <c r="T9" s="219">
        <v>620</v>
      </c>
      <c r="U9" s="219">
        <v>620</v>
      </c>
      <c r="V9" s="219">
        <v>620</v>
      </c>
      <c r="W9" s="219">
        <v>620</v>
      </c>
      <c r="X9" s="219">
        <v>620</v>
      </c>
      <c r="Y9" s="219">
        <v>620</v>
      </c>
      <c r="Z9" s="219">
        <v>620</v>
      </c>
      <c r="AA9" s="219">
        <v>620</v>
      </c>
      <c r="AB9" s="219">
        <v>620</v>
      </c>
      <c r="AC9" s="219">
        <v>620</v>
      </c>
      <c r="AD9" s="219">
        <v>620</v>
      </c>
      <c r="AE9" s="217">
        <v>620</v>
      </c>
    </row>
    <row r="10" spans="2:32">
      <c r="S10" t="s">
        <v>95</v>
      </c>
      <c r="T10" s="219"/>
      <c r="Z10" s="219">
        <v>280</v>
      </c>
      <c r="AA10" s="219">
        <v>280</v>
      </c>
      <c r="AB10" s="219">
        <v>280</v>
      </c>
      <c r="AC10" s="219">
        <v>280</v>
      </c>
      <c r="AD10" s="219">
        <v>280</v>
      </c>
      <c r="AE10" s="217">
        <v>280</v>
      </c>
    </row>
    <row r="11" spans="2:32">
      <c r="T11" s="219">
        <f t="shared" ref="T11:Y11" si="0">SUM(T3:T9)</f>
        <v>3180</v>
      </c>
      <c r="U11" s="219">
        <f t="shared" si="0"/>
        <v>3180</v>
      </c>
      <c r="V11" s="219">
        <f t="shared" si="0"/>
        <v>3180</v>
      </c>
      <c r="W11" s="219">
        <f t="shared" si="0"/>
        <v>3180</v>
      </c>
      <c r="X11" s="219">
        <f t="shared" si="0"/>
        <v>3180</v>
      </c>
      <c r="Y11" s="219">
        <f t="shared" si="0"/>
        <v>3180</v>
      </c>
      <c r="Z11" s="219">
        <f t="shared" ref="Z11:AE11" si="1">SUM(Z3:Z10)</f>
        <v>3460</v>
      </c>
      <c r="AA11" s="219">
        <f t="shared" si="1"/>
        <v>3460</v>
      </c>
      <c r="AB11" s="219">
        <f t="shared" si="1"/>
        <v>3460</v>
      </c>
      <c r="AC11" s="219">
        <f t="shared" si="1"/>
        <v>3140</v>
      </c>
      <c r="AD11" s="219">
        <f t="shared" si="1"/>
        <v>3460</v>
      </c>
      <c r="AE11" s="217">
        <f t="shared" si="1"/>
        <v>3460</v>
      </c>
    </row>
    <row r="12" spans="2:32">
      <c r="T12" s="219"/>
    </row>
    <row r="13" spans="2:32" ht="15.75" thickBot="1">
      <c r="T13" s="219"/>
    </row>
    <row r="14" spans="2:32" ht="15.75" thickBot="1">
      <c r="T14" s="222">
        <v>45839</v>
      </c>
      <c r="U14" s="222">
        <v>45870</v>
      </c>
      <c r="V14" s="222">
        <v>45901</v>
      </c>
      <c r="W14" s="222">
        <v>45931</v>
      </c>
      <c r="X14" s="222">
        <v>45962</v>
      </c>
      <c r="Y14" s="222">
        <v>45992</v>
      </c>
      <c r="Z14" s="222">
        <v>46023</v>
      </c>
      <c r="AA14" s="222">
        <v>46054</v>
      </c>
      <c r="AB14" s="222">
        <v>46082</v>
      </c>
      <c r="AC14" s="222">
        <v>46113</v>
      </c>
      <c r="AD14" s="222">
        <v>46143</v>
      </c>
      <c r="AE14" s="239">
        <v>46174</v>
      </c>
      <c r="AF14" s="152" t="s">
        <v>105</v>
      </c>
    </row>
    <row r="15" spans="2:32" ht="15.75" thickBot="1">
      <c r="R15" s="275"/>
      <c r="S15" s="152" t="s">
        <v>62</v>
      </c>
      <c r="T15" s="247">
        <v>20.239999999999998</v>
      </c>
      <c r="U15" s="237">
        <v>21</v>
      </c>
      <c r="V15" s="237">
        <v>20.71</v>
      </c>
      <c r="W15" s="237">
        <v>20.68</v>
      </c>
      <c r="X15" s="237">
        <v>20.93</v>
      </c>
      <c r="Y15" s="237">
        <v>20.77</v>
      </c>
      <c r="Z15" s="237">
        <v>21.12</v>
      </c>
      <c r="AA15" s="237">
        <v>20.74</v>
      </c>
      <c r="AB15" s="237">
        <v>21.77</v>
      </c>
      <c r="AC15" s="237">
        <v>21.82</v>
      </c>
      <c r="AD15" s="237">
        <v>21.81</v>
      </c>
      <c r="AE15" s="233">
        <v>21.54</v>
      </c>
      <c r="AF15" s="231">
        <f>AVERAGE(T15:AE15)</f>
        <v>21.094166666666666</v>
      </c>
    </row>
    <row r="16" spans="2:32" ht="15.75" thickBot="1">
      <c r="B16" s="302">
        <v>45839</v>
      </c>
      <c r="C16" s="302">
        <v>45870</v>
      </c>
      <c r="D16" s="302">
        <v>45901</v>
      </c>
      <c r="E16" s="302">
        <v>45931</v>
      </c>
      <c r="F16" s="302">
        <v>45962</v>
      </c>
      <c r="G16" s="302">
        <v>45992</v>
      </c>
      <c r="H16" s="302">
        <v>46023</v>
      </c>
      <c r="I16" s="302">
        <v>46054</v>
      </c>
      <c r="J16" s="302">
        <v>46082</v>
      </c>
      <c r="K16" s="302">
        <v>46113</v>
      </c>
      <c r="L16" s="302">
        <v>46143</v>
      </c>
      <c r="M16" s="302">
        <v>46174</v>
      </c>
      <c r="N16" s="229"/>
      <c r="R16" s="275"/>
      <c r="S16" s="261" t="s">
        <v>91</v>
      </c>
      <c r="T16" s="247">
        <v>20.7</v>
      </c>
      <c r="U16" s="237">
        <v>20.99</v>
      </c>
      <c r="V16" s="237">
        <v>20.85</v>
      </c>
      <c r="W16" s="237">
        <v>21.51</v>
      </c>
      <c r="X16" s="237">
        <v>20.78</v>
      </c>
      <c r="Y16" s="237">
        <v>20.53</v>
      </c>
      <c r="Z16" s="237">
        <v>20.02</v>
      </c>
      <c r="AA16" s="237">
        <v>20.61</v>
      </c>
      <c r="AB16" s="237">
        <v>20.100000000000001</v>
      </c>
      <c r="AC16" s="237">
        <v>20.64</v>
      </c>
      <c r="AD16" s="237">
        <v>19.93</v>
      </c>
      <c r="AE16" s="233">
        <v>20.92</v>
      </c>
      <c r="AF16" s="231">
        <f t="shared" ref="AF16:AF23" si="2">AVERAGE(T16:AE16)</f>
        <v>20.631666666666671</v>
      </c>
    </row>
    <row r="17" spans="1:32" ht="15.75" thickBot="1">
      <c r="A17" s="152" t="s">
        <v>59</v>
      </c>
      <c r="B17" s="231">
        <f t="shared" ref="B17:M17" si="3">+T23</f>
        <v>19.833113207547171</v>
      </c>
      <c r="C17" s="231">
        <f t="shared" si="3"/>
        <v>19.953844339622641</v>
      </c>
      <c r="D17" s="231">
        <f t="shared" si="3"/>
        <v>20.008018867924527</v>
      </c>
      <c r="E17" s="231">
        <f t="shared" si="3"/>
        <v>20.235880503144653</v>
      </c>
      <c r="F17" s="231">
        <f t="shared" si="3"/>
        <v>20.1377358490566</v>
      </c>
      <c r="G17" s="231">
        <f t="shared" si="3"/>
        <v>19.926352201257863</v>
      </c>
      <c r="H17" s="231">
        <f t="shared" si="3"/>
        <v>19.902138728323699</v>
      </c>
      <c r="I17" s="231">
        <f t="shared" si="3"/>
        <v>19.951676300578033</v>
      </c>
      <c r="J17" s="231">
        <f t="shared" si="3"/>
        <v>20.23797687861272</v>
      </c>
      <c r="K17" s="231">
        <f t="shared" si="3"/>
        <v>20.492643312101915</v>
      </c>
      <c r="L17" s="231">
        <f t="shared" si="3"/>
        <v>20.154710982658955</v>
      </c>
      <c r="M17" s="231">
        <f t="shared" si="3"/>
        <v>20.383323699421961</v>
      </c>
      <c r="N17" s="77">
        <f>AVERAGE(B17:M17)</f>
        <v>20.101451239187565</v>
      </c>
      <c r="O17" s="79"/>
      <c r="R17" s="275"/>
      <c r="S17" s="261" t="s">
        <v>92</v>
      </c>
      <c r="T17" s="247">
        <v>19</v>
      </c>
      <c r="U17" s="237">
        <v>20.47</v>
      </c>
      <c r="V17" s="237">
        <v>19.39</v>
      </c>
      <c r="W17" s="237">
        <v>18.239999999999998</v>
      </c>
      <c r="X17" s="237">
        <v>17.91</v>
      </c>
      <c r="Y17" s="237">
        <v>18.100000000000001</v>
      </c>
      <c r="Z17" s="237">
        <v>18.510000000000002</v>
      </c>
      <c r="AA17" s="237">
        <v>18.64</v>
      </c>
      <c r="AB17" s="242">
        <v>18.329999999999998</v>
      </c>
      <c r="AC17" s="242">
        <v>18.95</v>
      </c>
      <c r="AD17" s="242">
        <v>18.29</v>
      </c>
      <c r="AE17" s="294">
        <v>18.2</v>
      </c>
      <c r="AF17" s="231">
        <f t="shared" si="2"/>
        <v>18.669166666666662</v>
      </c>
    </row>
    <row r="18" spans="1:32" ht="15.75" thickBot="1">
      <c r="A18" s="152" t="s">
        <v>106</v>
      </c>
      <c r="B18" s="231">
        <v>20.923476562500003</v>
      </c>
      <c r="C18" s="231">
        <v>20.653554687499998</v>
      </c>
      <c r="D18" s="231">
        <v>20.912500000000001</v>
      </c>
      <c r="E18" s="231">
        <v>20.830953125000001</v>
      </c>
      <c r="F18" s="231">
        <v>20.867226562500001</v>
      </c>
      <c r="G18" s="231">
        <v>19.776531250000001</v>
      </c>
      <c r="H18" s="231">
        <v>19.339394531250001</v>
      </c>
      <c r="I18" s="231">
        <v>19.0658984375</v>
      </c>
      <c r="J18" s="231">
        <v>19.959093750000001</v>
      </c>
      <c r="K18" s="231">
        <v>20.177455974842765</v>
      </c>
      <c r="L18" s="231">
        <v>20.348396226415094</v>
      </c>
      <c r="M18" s="231">
        <v>20.307798742138363</v>
      </c>
      <c r="N18" s="77">
        <f>AVERAGE(B18:M18)</f>
        <v>20.263523320803856</v>
      </c>
      <c r="O18" s="292">
        <f>N17-N18</f>
        <v>-0.16207208161629083</v>
      </c>
      <c r="P18" s="292" t="s">
        <v>112</v>
      </c>
      <c r="Q18" s="291"/>
      <c r="R18" s="275"/>
      <c r="S18" s="261" t="s">
        <v>93</v>
      </c>
      <c r="T18" s="247">
        <v>20.9</v>
      </c>
      <c r="U18" s="237">
        <v>21.2</v>
      </c>
      <c r="V18" s="237">
        <v>20.9</v>
      </c>
      <c r="W18" s="237">
        <v>21</v>
      </c>
      <c r="X18" s="237">
        <v>21.31</v>
      </c>
      <c r="Y18" s="237">
        <v>21.1</v>
      </c>
      <c r="Z18" s="237">
        <v>21.2</v>
      </c>
      <c r="AA18" s="237">
        <v>20.91</v>
      </c>
      <c r="AB18" s="237">
        <v>21.18</v>
      </c>
      <c r="AC18" s="237">
        <v>20.95</v>
      </c>
      <c r="AD18" s="237">
        <v>21.26</v>
      </c>
      <c r="AE18" s="233">
        <v>21.27</v>
      </c>
      <c r="AF18" s="231">
        <f t="shared" si="2"/>
        <v>21.098333333333333</v>
      </c>
    </row>
    <row r="19" spans="1:32" ht="15.75" thickBot="1">
      <c r="A19" s="152" t="s">
        <v>88</v>
      </c>
      <c r="B19" s="152">
        <v>20</v>
      </c>
      <c r="C19" s="152">
        <v>20</v>
      </c>
      <c r="D19" s="152">
        <v>20</v>
      </c>
      <c r="E19" s="152">
        <v>20</v>
      </c>
      <c r="F19" s="152">
        <v>20</v>
      </c>
      <c r="G19" s="152">
        <v>20</v>
      </c>
      <c r="H19" s="152">
        <v>20</v>
      </c>
      <c r="I19" s="152">
        <v>20</v>
      </c>
      <c r="J19" s="152">
        <v>20</v>
      </c>
      <c r="K19" s="152">
        <v>20</v>
      </c>
      <c r="L19" s="152">
        <v>20</v>
      </c>
      <c r="M19" s="152">
        <v>20</v>
      </c>
      <c r="N19" s="77">
        <f>AVERAGE(B19:M19)</f>
        <v>20</v>
      </c>
      <c r="O19" s="292">
        <f>N17-N19</f>
        <v>0.10145123918756482</v>
      </c>
      <c r="P19" s="292" t="s">
        <v>101</v>
      </c>
      <c r="Q19" s="291"/>
      <c r="R19" s="275"/>
      <c r="S19" s="261" t="s">
        <v>108</v>
      </c>
      <c r="T19" s="247">
        <v>19.54</v>
      </c>
      <c r="U19" s="237">
        <v>20.350000000000001</v>
      </c>
      <c r="V19" s="237">
        <v>20.13</v>
      </c>
      <c r="W19" s="237">
        <v>19.93</v>
      </c>
      <c r="X19" s="237">
        <v>20.13</v>
      </c>
      <c r="Y19" s="237">
        <v>18.84</v>
      </c>
      <c r="Z19" s="237">
        <v>18.77</v>
      </c>
      <c r="AA19" s="237">
        <v>18.93</v>
      </c>
      <c r="AB19" s="237">
        <v>21.14</v>
      </c>
      <c r="AC19" s="237">
        <v>20.49</v>
      </c>
      <c r="AD19" s="237">
        <v>19.649999999999999</v>
      </c>
      <c r="AE19" s="233">
        <v>19.559999999999999</v>
      </c>
      <c r="AF19" s="231">
        <f t="shared" si="2"/>
        <v>19.788333333333334</v>
      </c>
    </row>
    <row r="20" spans="1:32" ht="15.75" thickBot="1">
      <c r="R20" s="275"/>
      <c r="S20" s="261" t="s">
        <v>53</v>
      </c>
      <c r="T20" s="247">
        <v>19.55</v>
      </c>
      <c r="U20" s="242">
        <v>20.577500000000001</v>
      </c>
      <c r="V20" s="237">
        <v>20.09</v>
      </c>
      <c r="W20" s="237">
        <v>21.61</v>
      </c>
      <c r="X20" s="237">
        <v>20.03</v>
      </c>
      <c r="Y20" s="237">
        <v>19.27</v>
      </c>
      <c r="Z20" s="237">
        <v>19.170000000000002</v>
      </c>
      <c r="AA20" s="237">
        <v>18.850000000000001</v>
      </c>
      <c r="AB20" s="237">
        <v>18.46</v>
      </c>
      <c r="AC20" s="600"/>
      <c r="AD20" s="237">
        <v>20.190000000000001</v>
      </c>
      <c r="AE20" s="233">
        <v>20.18</v>
      </c>
      <c r="AF20" s="231">
        <f t="shared" si="2"/>
        <v>19.816136363636364</v>
      </c>
    </row>
    <row r="21" spans="1:32" ht="15.75" thickBot="1">
      <c r="S21" s="152" t="s">
        <v>94</v>
      </c>
      <c r="T21" s="247">
        <v>19.010000000000002</v>
      </c>
      <c r="U21" s="237">
        <v>16.399999999999999</v>
      </c>
      <c r="V21" s="237">
        <v>18.350000000000001</v>
      </c>
      <c r="W21" s="237">
        <v>19.690000000000001</v>
      </c>
      <c r="X21" s="237">
        <v>19.75</v>
      </c>
      <c r="Y21" s="237">
        <v>19.84</v>
      </c>
      <c r="Z21" s="237">
        <v>19.989999999999998</v>
      </c>
      <c r="AA21" s="237">
        <v>19.96</v>
      </c>
      <c r="AB21" s="237">
        <v>20.010000000000002</v>
      </c>
      <c r="AC21" s="246">
        <v>20.3</v>
      </c>
      <c r="AD21" s="246">
        <v>20.36</v>
      </c>
      <c r="AE21" s="233">
        <v>21.03</v>
      </c>
      <c r="AF21" s="231">
        <f t="shared" si="2"/>
        <v>19.557500000000001</v>
      </c>
    </row>
    <row r="22" spans="1:32" ht="15.75" thickBot="1">
      <c r="S22" s="152" t="s">
        <v>111</v>
      </c>
      <c r="T22" s="247"/>
      <c r="U22" s="237"/>
      <c r="V22" s="237"/>
      <c r="W22" s="237"/>
      <c r="X22" s="237"/>
      <c r="Y22" s="237"/>
      <c r="Z22" s="237">
        <v>18.399999999999999</v>
      </c>
      <c r="AA22" s="237">
        <v>19.2</v>
      </c>
      <c r="AB22" s="237">
        <v>17.989999999999998</v>
      </c>
      <c r="AC22" s="246">
        <v>18.36</v>
      </c>
      <c r="AD22" s="246">
        <v>17</v>
      </c>
      <c r="AE22" s="233">
        <v>17.63</v>
      </c>
      <c r="AF22" s="231">
        <f t="shared" si="2"/>
        <v>18.096666666666664</v>
      </c>
    </row>
    <row r="23" spans="1:32" ht="15.75" thickBot="1">
      <c r="S23" s="152" t="s">
        <v>98</v>
      </c>
      <c r="T23" s="247">
        <f>(T3*T15+T4*T16+T5*T17+T6*T18+T9*T21+T7*T20+T8*T19)/T11</f>
        <v>19.833113207547171</v>
      </c>
      <c r="U23" s="247">
        <f t="shared" ref="U23:Y23" si="4">(U3*U15+U4*U16+U5*U17+U6*U18+U9*U21+U7*U20+U8*U19)/U11</f>
        <v>19.953844339622641</v>
      </c>
      <c r="V23" s="247">
        <f t="shared" si="4"/>
        <v>20.008018867924527</v>
      </c>
      <c r="W23" s="247">
        <f t="shared" si="4"/>
        <v>20.235880503144653</v>
      </c>
      <c r="X23" s="247">
        <f t="shared" si="4"/>
        <v>20.1377358490566</v>
      </c>
      <c r="Y23" s="247">
        <f t="shared" si="4"/>
        <v>19.926352201257863</v>
      </c>
      <c r="Z23" s="247">
        <f>(Z3*Z15+Z4*Z16+Z5*Z17+Z6*Z18+Z9*Z21+Z7*Z20+Z8*Z19+Z10*Z22)/Z11</f>
        <v>19.902138728323699</v>
      </c>
      <c r="AA23" s="247">
        <f>(AA3*AA15+AA4*AA16+AA5*AA17+AA6*AA18+AA9*AA21+AA7*AA20+AA8*AA19+AA10*AA22)/AA11</f>
        <v>19.951676300578033</v>
      </c>
      <c r="AB23" s="247">
        <f>(AB3*AB15+AB4*AB16+AB5*AB17+AB6*AB18+AB9*AB21+AB7*AB20+AB8*AB19+AB10*AB22)/AB11</f>
        <v>20.23797687861272</v>
      </c>
      <c r="AC23" s="247">
        <f>(AC3*AC15+AC4*AC16+AC5*AC17+AC6*AC18+AC9*AC21+AC7*AC19+AC10*AC22)/AC11</f>
        <v>20.492643312101915</v>
      </c>
      <c r="AD23" s="247">
        <f>(AD3*AD15+AD4*AD16+AD5*AD17+AD6*AD18+AD9*AD21+AD8*AD20+AD7*AD19+AD10*AD22)/AD11</f>
        <v>20.154710982658955</v>
      </c>
      <c r="AE23" s="240">
        <f>(AE3*AE15+AE4*AE16+AE5*AE17+AE6*AE18+AE9*AE21+AE8*AE20+AE7*AE19+AE10*AE22)/AE11</f>
        <v>20.383323699421961</v>
      </c>
      <c r="AF23" s="231">
        <f t="shared" si="2"/>
        <v>20.101451239187565</v>
      </c>
    </row>
  </sheetData>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C0AA-8EF7-41C1-BCC5-0371C4F28DD7}">
  <sheetPr codeName="Sheet11">
    <tabColor rgb="FF00B0F0"/>
  </sheetPr>
  <dimension ref="A1:AE22"/>
  <sheetViews>
    <sheetView topLeftCell="M1" zoomScale="90" zoomScaleNormal="90" workbookViewId="0">
      <selection activeCell="AG8" sqref="AG8"/>
    </sheetView>
  </sheetViews>
  <sheetFormatPr defaultColWidth="9" defaultRowHeight="15"/>
  <cols>
    <col min="2" max="2" width="7" customWidth="1"/>
    <col min="3" max="3" width="7.42578125" customWidth="1"/>
    <col min="4" max="4" width="8.140625" customWidth="1"/>
    <col min="5" max="5" width="8.28515625" customWidth="1"/>
    <col min="6" max="6" width="8.5703125" customWidth="1"/>
    <col min="7" max="7" width="8.140625" customWidth="1"/>
    <col min="8" max="8" width="7.28515625" customWidth="1"/>
    <col min="9" max="9" width="8.42578125" customWidth="1"/>
    <col min="10" max="10" width="8.28515625" customWidth="1"/>
    <col min="11" max="11" width="7.140625" customWidth="1"/>
    <col min="12" max="12" width="8.5703125" customWidth="1"/>
    <col min="13" max="14" width="7.7109375" customWidth="1"/>
    <col min="17" max="17" width="10.5703125" bestFit="1" customWidth="1"/>
    <col min="18" max="18" width="10.7109375" customWidth="1"/>
    <col min="20" max="29" width="9" style="219"/>
    <col min="30" max="31" width="9" style="217"/>
    <col min="38" max="38" width="11" customWidth="1"/>
    <col min="39" max="39" width="10.7109375" customWidth="1"/>
  </cols>
  <sheetData>
    <row r="1" spans="1:31">
      <c r="S1" t="s">
        <v>89</v>
      </c>
    </row>
    <row r="2" spans="1:31" ht="18.75">
      <c r="A2" s="72" t="s">
        <v>90</v>
      </c>
      <c r="S2" s="218">
        <v>45839</v>
      </c>
      <c r="T2" s="218">
        <v>45870</v>
      </c>
      <c r="U2" s="218">
        <v>45901</v>
      </c>
      <c r="V2" s="218">
        <v>45931</v>
      </c>
      <c r="W2" s="218">
        <v>45962</v>
      </c>
      <c r="X2" s="218">
        <v>45992</v>
      </c>
      <c r="Y2" s="218">
        <v>46023</v>
      </c>
      <c r="Z2" s="218">
        <v>46054</v>
      </c>
      <c r="AA2" s="218">
        <v>46082</v>
      </c>
      <c r="AB2" s="218">
        <v>46113</v>
      </c>
      <c r="AC2" s="218">
        <v>46143</v>
      </c>
      <c r="AD2" s="220">
        <v>46174</v>
      </c>
    </row>
    <row r="3" spans="1:31">
      <c r="Q3" s="217"/>
      <c r="R3" t="s">
        <v>62</v>
      </c>
      <c r="S3" s="219">
        <v>2098</v>
      </c>
      <c r="T3" s="219">
        <v>2098</v>
      </c>
      <c r="U3" s="219">
        <v>2098</v>
      </c>
      <c r="V3" s="219">
        <v>2098</v>
      </c>
      <c r="W3" s="219">
        <v>2098</v>
      </c>
      <c r="X3" s="219">
        <v>2098</v>
      </c>
      <c r="Y3" s="219">
        <v>2098</v>
      </c>
      <c r="Z3" s="219">
        <v>2098</v>
      </c>
      <c r="AA3" s="219">
        <v>2098</v>
      </c>
      <c r="AB3" s="219">
        <v>2098</v>
      </c>
      <c r="AC3" s="219">
        <v>2098</v>
      </c>
      <c r="AD3" s="217">
        <v>2098</v>
      </c>
    </row>
    <row r="4" spans="1:31">
      <c r="Q4" s="217"/>
      <c r="R4" t="s">
        <v>91</v>
      </c>
      <c r="S4" s="219">
        <v>986</v>
      </c>
      <c r="T4" s="219">
        <v>986</v>
      </c>
      <c r="U4" s="219">
        <v>986</v>
      </c>
      <c r="V4" s="219">
        <v>986</v>
      </c>
      <c r="W4" s="219">
        <v>986</v>
      </c>
      <c r="X4" s="219">
        <v>986</v>
      </c>
      <c r="Y4" s="219">
        <v>986</v>
      </c>
      <c r="Z4" s="219">
        <v>986</v>
      </c>
      <c r="AA4" s="219">
        <v>986</v>
      </c>
      <c r="AB4" s="219">
        <v>986</v>
      </c>
      <c r="AC4" s="219">
        <v>986</v>
      </c>
      <c r="AD4" s="217">
        <v>986</v>
      </c>
    </row>
    <row r="5" spans="1:31">
      <c r="Q5" s="217"/>
      <c r="R5" t="s">
        <v>92</v>
      </c>
      <c r="S5" s="219">
        <v>1020</v>
      </c>
      <c r="T5" s="219">
        <v>1020</v>
      </c>
      <c r="U5" s="219">
        <v>1020</v>
      </c>
      <c r="V5" s="219">
        <v>1020</v>
      </c>
      <c r="W5" s="219">
        <v>1020</v>
      </c>
      <c r="X5" s="219">
        <v>1020</v>
      </c>
      <c r="Y5" s="219">
        <v>1020</v>
      </c>
      <c r="Z5" s="219">
        <v>1020</v>
      </c>
      <c r="AA5" s="219">
        <v>1020</v>
      </c>
      <c r="AB5" s="219">
        <v>1020</v>
      </c>
      <c r="AC5" s="219">
        <v>1020</v>
      </c>
      <c r="AD5" s="217">
        <v>1020</v>
      </c>
    </row>
    <row r="6" spans="1:31">
      <c r="Q6" s="217"/>
      <c r="R6" t="s">
        <v>93</v>
      </c>
      <c r="S6" s="219">
        <v>416</v>
      </c>
      <c r="T6" s="219">
        <v>416</v>
      </c>
      <c r="U6" s="219">
        <v>416</v>
      </c>
      <c r="V6" s="219">
        <v>416</v>
      </c>
      <c r="W6" s="219">
        <v>416</v>
      </c>
      <c r="X6" s="219">
        <v>416</v>
      </c>
      <c r="Y6" s="219">
        <v>416</v>
      </c>
      <c r="Z6" s="219">
        <v>416</v>
      </c>
      <c r="AA6" s="219">
        <v>416</v>
      </c>
      <c r="AB6" s="219">
        <v>416</v>
      </c>
      <c r="AC6" s="219">
        <v>416</v>
      </c>
      <c r="AD6" s="217">
        <v>416</v>
      </c>
    </row>
    <row r="7" spans="1:31">
      <c r="R7" t="s">
        <v>94</v>
      </c>
      <c r="S7" s="219">
        <v>1004</v>
      </c>
      <c r="T7" s="219">
        <v>1004</v>
      </c>
      <c r="U7" s="219">
        <v>1004</v>
      </c>
      <c r="V7" s="219">
        <v>1004</v>
      </c>
      <c r="W7" s="219">
        <v>1004</v>
      </c>
      <c r="X7" s="219">
        <v>1004</v>
      </c>
      <c r="Y7" s="219">
        <v>1004</v>
      </c>
      <c r="Z7" s="219">
        <v>1004</v>
      </c>
      <c r="AA7" s="219">
        <v>1004</v>
      </c>
      <c r="AB7" s="219">
        <v>1004</v>
      </c>
      <c r="AC7" s="219">
        <v>1004</v>
      </c>
      <c r="AD7" s="217">
        <v>1004</v>
      </c>
    </row>
    <row r="8" spans="1:31">
      <c r="R8" t="s">
        <v>95</v>
      </c>
      <c r="S8" s="219"/>
      <c r="X8" s="219">
        <v>460</v>
      </c>
      <c r="Y8" s="219">
        <v>460</v>
      </c>
      <c r="Z8" s="219">
        <v>460</v>
      </c>
      <c r="AA8" s="219">
        <v>460</v>
      </c>
      <c r="AB8" s="219">
        <v>460</v>
      </c>
      <c r="AC8" s="219">
        <v>460</v>
      </c>
      <c r="AD8" s="217">
        <v>460</v>
      </c>
    </row>
    <row r="9" spans="1:31">
      <c r="Q9" s="78"/>
      <c r="S9" s="219">
        <f>SUM(S3:S8)</f>
        <v>5524</v>
      </c>
      <c r="T9" s="219">
        <f t="shared" ref="T9:AC9" si="0">SUM(T3:T8)</f>
        <v>5524</v>
      </c>
      <c r="U9" s="219">
        <f t="shared" si="0"/>
        <v>5524</v>
      </c>
      <c r="V9" s="219">
        <f t="shared" si="0"/>
        <v>5524</v>
      </c>
      <c r="W9" s="219">
        <f t="shared" si="0"/>
        <v>5524</v>
      </c>
      <c r="X9" s="219">
        <f t="shared" si="0"/>
        <v>5984</v>
      </c>
      <c r="Y9" s="219">
        <f t="shared" si="0"/>
        <v>5984</v>
      </c>
      <c r="Z9" s="219">
        <f t="shared" si="0"/>
        <v>5984</v>
      </c>
      <c r="AA9" s="219">
        <f t="shared" si="0"/>
        <v>5984</v>
      </c>
      <c r="AB9" s="219">
        <f t="shared" si="0"/>
        <v>5984</v>
      </c>
      <c r="AC9" s="219">
        <f t="shared" si="0"/>
        <v>5984</v>
      </c>
      <c r="AD9" s="217">
        <f t="shared" ref="AD9" si="1">SUM(AD3:AD8)</f>
        <v>5984</v>
      </c>
    </row>
    <row r="10" spans="1:31">
      <c r="S10" s="219"/>
    </row>
    <row r="11" spans="1:31" ht="15.75" thickBot="1">
      <c r="S11" s="219"/>
    </row>
    <row r="12" spans="1:31" ht="15.75" thickBot="1">
      <c r="R12" s="733"/>
      <c r="S12" s="285">
        <v>45839</v>
      </c>
      <c r="T12" s="285">
        <v>45870</v>
      </c>
      <c r="U12" s="285">
        <v>45901</v>
      </c>
      <c r="V12" s="285">
        <v>45931</v>
      </c>
      <c r="W12" s="285">
        <v>45962</v>
      </c>
      <c r="X12" s="285">
        <v>45992</v>
      </c>
      <c r="Y12" s="285">
        <v>46023</v>
      </c>
      <c r="Z12" s="285">
        <v>46054</v>
      </c>
      <c r="AA12" s="285">
        <v>46082</v>
      </c>
      <c r="AB12" s="285">
        <v>46113</v>
      </c>
      <c r="AC12" s="285">
        <v>46143</v>
      </c>
      <c r="AD12" s="286">
        <v>46174</v>
      </c>
      <c r="AE12" s="302" t="s">
        <v>105</v>
      </c>
    </row>
    <row r="13" spans="1:31" ht="15.75" thickBot="1">
      <c r="R13" s="313" t="s">
        <v>62</v>
      </c>
      <c r="S13" s="734">
        <v>30.8</v>
      </c>
      <c r="T13" s="734">
        <v>33.1</v>
      </c>
      <c r="U13" s="734">
        <v>32.799999999999997</v>
      </c>
      <c r="V13" s="734">
        <v>33.5</v>
      </c>
      <c r="W13" s="734">
        <v>33.4</v>
      </c>
      <c r="X13" s="734">
        <v>33</v>
      </c>
      <c r="Y13" s="734">
        <v>33.200000000000003</v>
      </c>
      <c r="Z13" s="734">
        <v>35.200000000000003</v>
      </c>
      <c r="AA13" s="734">
        <v>33.1</v>
      </c>
      <c r="AB13" s="734">
        <v>34.299999999999997</v>
      </c>
      <c r="AC13" s="734">
        <v>32.9</v>
      </c>
      <c r="AD13" s="735">
        <v>33.4</v>
      </c>
      <c r="AE13" s="309">
        <f>AVERAGE(S13:AD13)</f>
        <v>33.225000000000001</v>
      </c>
    </row>
    <row r="14" spans="1:31" ht="15.75" thickBot="1">
      <c r="R14" s="313" t="s">
        <v>91</v>
      </c>
      <c r="S14" s="734">
        <v>33</v>
      </c>
      <c r="T14" s="734">
        <v>33.200000000000003</v>
      </c>
      <c r="U14" s="734">
        <v>33.700000000000003</v>
      </c>
      <c r="V14" s="734">
        <v>33.4</v>
      </c>
      <c r="W14" s="734">
        <v>33.299999999999997</v>
      </c>
      <c r="X14" s="734">
        <v>33.799999999999997</v>
      </c>
      <c r="Y14" s="734">
        <v>33.1</v>
      </c>
      <c r="Z14" s="734">
        <v>33.200000000000003</v>
      </c>
      <c r="AA14" s="734">
        <v>32.799999999999997</v>
      </c>
      <c r="AB14" s="734">
        <v>33</v>
      </c>
      <c r="AC14" s="734">
        <v>31.8</v>
      </c>
      <c r="AD14" s="735">
        <v>33.4</v>
      </c>
      <c r="AE14" s="309">
        <f t="shared" ref="AE14:AE19" si="2">AVERAGE(S14:AD14)</f>
        <v>33.141666666666673</v>
      </c>
    </row>
    <row r="15" spans="1:31" ht="15.75" thickBot="1">
      <c r="R15" s="313" t="s">
        <v>92</v>
      </c>
      <c r="S15" s="734">
        <v>32.1</v>
      </c>
      <c r="T15" s="734">
        <v>32.200000000000003</v>
      </c>
      <c r="U15" s="734">
        <v>32.700000000000003</v>
      </c>
      <c r="V15" s="734">
        <v>33.700000000000003</v>
      </c>
      <c r="W15" s="734">
        <v>34</v>
      </c>
      <c r="X15" s="734">
        <v>33.299999999999997</v>
      </c>
      <c r="Y15" s="734">
        <v>33.200000000000003</v>
      </c>
      <c r="Z15" s="734">
        <v>32.799999999999997</v>
      </c>
      <c r="AA15" s="734">
        <v>33.200000000000003</v>
      </c>
      <c r="AB15" s="734">
        <v>33.700000000000003</v>
      </c>
      <c r="AC15" s="734">
        <v>33.4</v>
      </c>
      <c r="AD15" s="735">
        <v>34.200000000000003</v>
      </c>
      <c r="AE15" s="309">
        <f t="shared" si="2"/>
        <v>33.208333333333329</v>
      </c>
    </row>
    <row r="16" spans="1:31" ht="15.75" thickBot="1">
      <c r="R16" s="313" t="s">
        <v>93</v>
      </c>
      <c r="S16" s="734">
        <v>33.700000000000003</v>
      </c>
      <c r="T16" s="734">
        <v>33.5</v>
      </c>
      <c r="U16" s="734">
        <v>35.799999999999997</v>
      </c>
      <c r="V16" s="734">
        <v>35.4</v>
      </c>
      <c r="W16" s="734">
        <v>37.200000000000003</v>
      </c>
      <c r="X16" s="734">
        <v>34.200000000000003</v>
      </c>
      <c r="Y16" s="734">
        <v>35.4</v>
      </c>
      <c r="Z16" s="734">
        <v>36.700000000000003</v>
      </c>
      <c r="AA16" s="734">
        <v>34.9</v>
      </c>
      <c r="AB16" s="734">
        <v>37</v>
      </c>
      <c r="AC16" s="734">
        <v>36.200000000000003</v>
      </c>
      <c r="AD16" s="735">
        <v>35.4</v>
      </c>
      <c r="AE16" s="309">
        <f t="shared" si="2"/>
        <v>35.449999999999996</v>
      </c>
    </row>
    <row r="17" spans="1:31" ht="15.75" thickBot="1">
      <c r="R17" s="313" t="s">
        <v>94</v>
      </c>
      <c r="S17" s="736">
        <v>35.299999999999997</v>
      </c>
      <c r="T17" s="734">
        <v>32.4</v>
      </c>
      <c r="U17" s="734">
        <v>33.6</v>
      </c>
      <c r="V17" s="734">
        <v>32.5</v>
      </c>
      <c r="W17" s="734">
        <v>33.700000000000003</v>
      </c>
      <c r="X17" s="734">
        <v>35.700000000000003</v>
      </c>
      <c r="Y17" s="734">
        <v>36.200000000000003</v>
      </c>
      <c r="Z17" s="734">
        <v>36.5</v>
      </c>
      <c r="AA17" s="734">
        <v>37.1</v>
      </c>
      <c r="AB17" s="736">
        <v>37.4</v>
      </c>
      <c r="AC17" s="736">
        <v>37.200000000000003</v>
      </c>
      <c r="AD17" s="737">
        <v>38.6</v>
      </c>
      <c r="AE17" s="309">
        <f t="shared" si="2"/>
        <v>35.516666666666666</v>
      </c>
    </row>
    <row r="18" spans="1:31" ht="15.75" thickBot="1">
      <c r="A18" s="337"/>
      <c r="B18" s="302">
        <v>45839</v>
      </c>
      <c r="C18" s="302">
        <v>45870</v>
      </c>
      <c r="D18" s="302">
        <v>45901</v>
      </c>
      <c r="E18" s="302">
        <v>45931</v>
      </c>
      <c r="F18" s="302">
        <v>45962</v>
      </c>
      <c r="G18" s="302">
        <v>45992</v>
      </c>
      <c r="H18" s="302">
        <v>46023</v>
      </c>
      <c r="I18" s="302">
        <v>46054</v>
      </c>
      <c r="J18" s="302">
        <v>46082</v>
      </c>
      <c r="K18" s="302">
        <v>46113</v>
      </c>
      <c r="L18" s="302">
        <v>46143</v>
      </c>
      <c r="M18" s="302">
        <v>46174</v>
      </c>
      <c r="N18" s="229"/>
      <c r="R18" s="313" t="s">
        <v>95</v>
      </c>
      <c r="S18" s="736"/>
      <c r="T18" s="734"/>
      <c r="U18" s="734"/>
      <c r="V18" s="734"/>
      <c r="W18" s="734"/>
      <c r="X18" s="734">
        <v>34.6</v>
      </c>
      <c r="Y18" s="734">
        <v>32.86</v>
      </c>
      <c r="Z18" s="734">
        <v>34.1</v>
      </c>
      <c r="AA18" s="734">
        <v>35.32</v>
      </c>
      <c r="AB18" s="736">
        <v>31.4</v>
      </c>
      <c r="AC18" s="736">
        <v>31.6</v>
      </c>
      <c r="AD18" s="737">
        <v>30.06</v>
      </c>
      <c r="AE18" s="309">
        <f t="shared" si="2"/>
        <v>32.848571428571425</v>
      </c>
    </row>
    <row r="19" spans="1:31" ht="15.75" thickBot="1">
      <c r="A19" s="307" t="s">
        <v>59</v>
      </c>
      <c r="B19" s="314">
        <f t="shared" ref="B19:M19" si="3">+S19</f>
        <v>32.469007965242575</v>
      </c>
      <c r="C19" s="314">
        <f t="shared" si="3"/>
        <v>32.854561911658223</v>
      </c>
      <c r="D19" s="314">
        <f t="shared" si="3"/>
        <v>33.31350470673425</v>
      </c>
      <c r="E19" s="314">
        <f t="shared" si="3"/>
        <v>33.480412744388126</v>
      </c>
      <c r="F19" s="314">
        <f t="shared" si="3"/>
        <v>33.833635047067339</v>
      </c>
      <c r="G19" s="314">
        <f t="shared" si="3"/>
        <v>33.842379679144386</v>
      </c>
      <c r="H19" s="314">
        <f t="shared" si="3"/>
        <v>33.813669786096263</v>
      </c>
      <c r="I19" s="314">
        <f t="shared" si="3"/>
        <v>34.69919786096257</v>
      </c>
      <c r="J19" s="314">
        <f t="shared" si="3"/>
        <v>34.034525401069523</v>
      </c>
      <c r="K19" s="314">
        <f t="shared" si="3"/>
        <v>34.46841577540107</v>
      </c>
      <c r="L19" s="314">
        <f t="shared" si="3"/>
        <v>33.654913101604279</v>
      </c>
      <c r="M19" s="314">
        <f t="shared" si="3"/>
        <v>34.291109625668447</v>
      </c>
      <c r="N19" s="262">
        <f>AVERAGE(B19:M19)</f>
        <v>33.729611133753089</v>
      </c>
      <c r="O19" s="77"/>
      <c r="P19" s="77"/>
      <c r="R19" s="313" t="s">
        <v>98</v>
      </c>
      <c r="S19" s="734">
        <f>(S3*S13+S4*S14+S5*S15+S6*S16+S7*S17)/S9</f>
        <v>32.469007965242575</v>
      </c>
      <c r="T19" s="734">
        <f>(T3*T13+T4*T14+T5*T15+T6*T16+T7*T17)/T9</f>
        <v>32.854561911658223</v>
      </c>
      <c r="U19" s="734">
        <f>(U3*U13+U4*U14+U5*U15+U6*U16+U7*U17)/U9</f>
        <v>33.31350470673425</v>
      </c>
      <c r="V19" s="734">
        <f>(V3*V13+V4*V14+V5*V15+V6*V16+V7*V17)/V9</f>
        <v>33.480412744388126</v>
      </c>
      <c r="W19" s="734">
        <f>(W3*W13+W4*W14+W5*W15+W6*W16+W7*W17)/W9</f>
        <v>33.833635047067339</v>
      </c>
      <c r="X19" s="734">
        <f t="shared" ref="X19:AA19" si="4">(X3*X13+X4*X14+X5*X15+X6*X16+X7*X17+X8*X18)/X9</f>
        <v>33.842379679144386</v>
      </c>
      <c r="Y19" s="734">
        <f t="shared" si="4"/>
        <v>33.813669786096263</v>
      </c>
      <c r="Z19" s="734">
        <f t="shared" si="4"/>
        <v>34.69919786096257</v>
      </c>
      <c r="AA19" s="734">
        <f t="shared" si="4"/>
        <v>34.034525401069523</v>
      </c>
      <c r="AB19" s="734">
        <f>(AB3*AB13+AB4*AB14+AB5*AB15+AB6*AB16+AB7*AB17+AB8*AB18)/AB9</f>
        <v>34.46841577540107</v>
      </c>
      <c r="AC19" s="734">
        <f>(AC3*AC13+AC4*AC14+AC5*AC15+AC6*AC16+AC7*AC17+AC8*AC18)/AC9</f>
        <v>33.654913101604279</v>
      </c>
      <c r="AD19" s="735">
        <f>(AD3*AD13+AD4*AD14+AD5*AD15+AD6*AD16+AD7*AD17+AD8*AD18)/AD9</f>
        <v>34.291109625668447</v>
      </c>
      <c r="AE19" s="309">
        <f t="shared" si="2"/>
        <v>33.729611133753089</v>
      </c>
    </row>
    <row r="20" spans="1:31" ht="15.75" thickBot="1">
      <c r="A20" s="307" t="s">
        <v>103</v>
      </c>
      <c r="B20" s="314">
        <v>31.576499466382071</v>
      </c>
      <c r="C20" s="314">
        <v>31.345805763073642</v>
      </c>
      <c r="D20" s="314">
        <v>31.992273212379935</v>
      </c>
      <c r="E20" s="314">
        <v>32.1809564293305</v>
      </c>
      <c r="F20" s="314">
        <v>32.379103521878328</v>
      </c>
      <c r="G20" s="314">
        <v>32.834066168623259</v>
      </c>
      <c r="H20" s="314">
        <v>32.323265741728925</v>
      </c>
      <c r="I20" s="314">
        <v>32.209242262540016</v>
      </c>
      <c r="J20" s="314">
        <v>32.57176888888889</v>
      </c>
      <c r="K20" s="314">
        <v>32.205319522471918</v>
      </c>
      <c r="L20" s="314">
        <v>32.943504213483138</v>
      </c>
      <c r="M20" s="314">
        <v>33.211984069514841</v>
      </c>
      <c r="N20" s="262">
        <f t="shared" ref="N20:N21" si="5">AVERAGE(B20:M20)</f>
        <v>32.314482438357963</v>
      </c>
      <c r="O20" s="293">
        <f>N19-N20</f>
        <v>1.4151286953951256</v>
      </c>
      <c r="P20" s="293" t="s">
        <v>107</v>
      </c>
    </row>
    <row r="21" spans="1:31" ht="15.75" thickBot="1">
      <c r="A21" s="307" t="s">
        <v>100</v>
      </c>
      <c r="B21" s="314">
        <v>31</v>
      </c>
      <c r="C21" s="314">
        <v>31</v>
      </c>
      <c r="D21" s="314">
        <v>31</v>
      </c>
      <c r="E21" s="314">
        <v>31</v>
      </c>
      <c r="F21" s="314">
        <v>31</v>
      </c>
      <c r="G21" s="314">
        <v>31</v>
      </c>
      <c r="H21" s="314">
        <v>33</v>
      </c>
      <c r="I21" s="314">
        <v>33</v>
      </c>
      <c r="J21" s="314">
        <v>33</v>
      </c>
      <c r="K21" s="314">
        <v>33</v>
      </c>
      <c r="L21" s="314">
        <v>33</v>
      </c>
      <c r="M21" s="314">
        <v>33</v>
      </c>
      <c r="N21" s="262">
        <f t="shared" si="5"/>
        <v>32</v>
      </c>
      <c r="O21" s="293">
        <f>N19-N21</f>
        <v>1.7296111337530888</v>
      </c>
      <c r="P21" s="293" t="s">
        <v>113</v>
      </c>
    </row>
    <row r="22" spans="1:31">
      <c r="B22" s="257"/>
      <c r="C22" s="257"/>
      <c r="D22" s="257"/>
      <c r="E22" s="257"/>
      <c r="F22" s="257"/>
      <c r="G22" s="257"/>
      <c r="H22" s="257"/>
      <c r="I22" s="257"/>
      <c r="J22" s="257"/>
      <c r="K22" s="257"/>
      <c r="L22" s="257"/>
      <c r="M22" s="257"/>
      <c r="N22" s="257"/>
      <c r="O22" s="77"/>
      <c r="P22" s="77"/>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6E6B-2CEA-4376-9118-24B4CA6BB171}">
  <sheetPr codeName="Sheet19">
    <tabColor rgb="FFFF66FF"/>
  </sheetPr>
  <dimension ref="A1:R23"/>
  <sheetViews>
    <sheetView zoomScale="90" zoomScaleNormal="90" workbookViewId="0">
      <selection activeCell="M20" sqref="M20"/>
    </sheetView>
  </sheetViews>
  <sheetFormatPr defaultColWidth="9.140625" defaultRowHeight="15"/>
  <cols>
    <col min="1" max="1" width="24.85546875" style="19" customWidth="1"/>
    <col min="2" max="2" width="9.5703125" style="19" customWidth="1"/>
    <col min="3" max="3" width="7.7109375" style="19" customWidth="1"/>
    <col min="4" max="4" width="8.7109375" style="19" bestFit="1" customWidth="1"/>
    <col min="5" max="5" width="7.5703125" style="19" customWidth="1"/>
    <col min="6" max="6" width="8.42578125" style="19" bestFit="1" customWidth="1"/>
    <col min="7" max="7" width="10.140625" style="19" bestFit="1" customWidth="1"/>
    <col min="8" max="8" width="8.28515625" style="19" customWidth="1"/>
    <col min="9" max="9" width="14.140625" style="19" customWidth="1"/>
    <col min="10" max="10" width="7.5703125" style="19" customWidth="1"/>
    <col min="11" max="11" width="7.7109375" style="19" customWidth="1"/>
    <col min="12" max="12" width="7.42578125" style="19" customWidth="1"/>
    <col min="13" max="13" width="7.7109375" style="19" customWidth="1"/>
    <col min="14" max="18" width="9.140625" style="19"/>
    <col min="19" max="19" width="12" style="19" bestFit="1" customWidth="1"/>
    <col min="20" max="16384" width="9.140625" style="19"/>
  </cols>
  <sheetData>
    <row r="1" spans="15:16">
      <c r="P1" s="19" t="s">
        <v>114</v>
      </c>
    </row>
    <row r="2" spans="15:16">
      <c r="O2" s="19" t="s">
        <v>115</v>
      </c>
    </row>
    <row r="3" spans="15:16">
      <c r="O3" s="19" t="s">
        <v>116</v>
      </c>
    </row>
    <row r="19" spans="1:18" ht="15.75" thickBot="1">
      <c r="A19" s="88"/>
      <c r="B19" s="42">
        <v>45839</v>
      </c>
      <c r="C19" s="42">
        <v>45870</v>
      </c>
      <c r="D19" s="42">
        <v>45901</v>
      </c>
      <c r="E19" s="42">
        <v>45931</v>
      </c>
      <c r="F19" s="42">
        <v>45962</v>
      </c>
      <c r="G19" s="42">
        <v>45992</v>
      </c>
      <c r="H19" s="42">
        <v>46023</v>
      </c>
      <c r="I19" s="42">
        <v>46054</v>
      </c>
      <c r="J19" s="42">
        <v>46082</v>
      </c>
      <c r="K19" s="42">
        <v>46113</v>
      </c>
      <c r="L19" s="42">
        <v>46143</v>
      </c>
      <c r="M19" s="42">
        <v>46174</v>
      </c>
      <c r="N19" s="28"/>
      <c r="O19" s="28"/>
      <c r="P19" s="28"/>
      <c r="Q19" s="28"/>
      <c r="R19" s="28"/>
    </row>
    <row r="20" spans="1:18">
      <c r="A20" s="89" t="s">
        <v>59</v>
      </c>
      <c r="B20" s="173"/>
      <c r="C20" s="173"/>
      <c r="D20" s="173"/>
      <c r="E20" s="173"/>
      <c r="F20" s="173"/>
      <c r="G20" s="173"/>
      <c r="H20" s="173"/>
      <c r="I20" s="173"/>
      <c r="J20" s="173">
        <f>SUM('Combined total CDM to Colco (7)'!J73+'Combined total CDM to Colco (7)'!J76)/SUM('Combined pigs sold to colco (7)'!J77+'Combined pigs sold to colco (7)'!J80)</f>
        <v>88.413179347826087</v>
      </c>
      <c r="K20" s="173">
        <f>SUM('Combined total CDM to Colco (7)'!K73+'Combined total CDM to Colco (7)'!K76)/SUM('Combined pigs sold to colco (7)'!K77+'Combined pigs sold to colco (7)'!K80)</f>
        <v>87.785871964679913</v>
      </c>
      <c r="L20" s="173">
        <f>SUM('Combined total CDM to Colco (7)'!L73+'Combined total CDM to Colco (7)'!L76)/SUM('Combined pigs sold to colco (7)'!L77+'Combined pigs sold to colco (7)'!L80)</f>
        <v>91.779098360655752</v>
      </c>
      <c r="M20" s="173">
        <f>SUM('Combined total CDM to Colco (7)'!M73+'Combined total CDM to Colco (7)'!M76)/SUM('Combined pigs sold to colco (7)'!M77+'Combined pigs sold to colco (7)'!M80)</f>
        <v>88.918903436988558</v>
      </c>
      <c r="N20" s="87">
        <f>AVERAGE(B20:M20)</f>
        <v>89.224263277537574</v>
      </c>
      <c r="O20" s="212"/>
      <c r="P20" s="28"/>
      <c r="Q20" s="28"/>
      <c r="R20" s="28"/>
    </row>
    <row r="21" spans="1:18">
      <c r="A21" s="89" t="s">
        <v>117</v>
      </c>
      <c r="B21" s="174"/>
      <c r="C21" s="216"/>
      <c r="D21" s="216"/>
      <c r="E21" s="216"/>
      <c r="F21" s="216"/>
      <c r="G21" s="216"/>
      <c r="H21" s="216"/>
      <c r="I21" s="216"/>
      <c r="J21" s="216"/>
      <c r="K21" s="216"/>
      <c r="L21" s="216"/>
      <c r="M21" s="264"/>
      <c r="N21" s="87"/>
      <c r="O21" s="87"/>
      <c r="P21" s="28"/>
      <c r="Q21" s="28"/>
      <c r="R21" s="28"/>
    </row>
    <row r="22" spans="1:18" ht="15.75" thickBot="1">
      <c r="A22" s="196" t="s">
        <v>118</v>
      </c>
      <c r="B22" s="263"/>
      <c r="C22" s="265"/>
      <c r="D22" s="265"/>
      <c r="E22" s="265"/>
      <c r="F22" s="265"/>
      <c r="G22" s="265"/>
      <c r="H22" s="265"/>
      <c r="I22" s="265">
        <f>SUM('[55]IS Multiplier'!I11:I12)/SUM('[55]IS Multiplier'!I7:I8)</f>
        <v>88.785425566560022</v>
      </c>
      <c r="J22" s="265">
        <f>SUM('[55]IS Multiplier'!J11:J12)/SUM('[55]IS Multiplier'!J7:J8)</f>
        <v>88.785425566560022</v>
      </c>
      <c r="K22" s="265">
        <f>SUM('[55]IS Multiplier'!K11:K12)/SUM('[55]IS Multiplier'!K7:K8)</f>
        <v>90.76626884542442</v>
      </c>
      <c r="L22" s="265">
        <f>SUM('[55]IS Multiplier'!L11:L12)/SUM('[55]IS Multiplier'!L7:L8)</f>
        <v>90.76626884542442</v>
      </c>
      <c r="M22" s="265">
        <f>SUM('[55]IS Multiplier'!M11:M12)/SUM('[55]IS Multiplier'!M7:M8)</f>
        <v>90.76626884542442</v>
      </c>
      <c r="N22" s="87">
        <f t="shared" ref="N22" si="0">AVERAGE(B22:M22)</f>
        <v>89.973931533878655</v>
      </c>
      <c r="O22" s="87">
        <f>N20-N22</f>
        <v>-0.74966825634108147</v>
      </c>
      <c r="P22" s="28"/>
      <c r="Q22" s="28"/>
      <c r="R22" s="28"/>
    </row>
    <row r="23" spans="1:18">
      <c r="A23" s="28"/>
      <c r="B23" s="28"/>
      <c r="C23" s="28"/>
      <c r="D23" s="28"/>
      <c r="E23" s="28"/>
      <c r="F23" s="28"/>
      <c r="G23" s="28"/>
      <c r="H23" s="28"/>
      <c r="I23" s="28"/>
      <c r="J23" s="28"/>
      <c r="K23" s="28"/>
      <c r="L23" s="28"/>
      <c r="M23" s="28"/>
      <c r="N23" s="28"/>
      <c r="O23" s="28"/>
      <c r="P23" s="28"/>
      <c r="Q23" s="28"/>
      <c r="R23" s="28"/>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8F9DD-D66F-4A5E-8030-97C3B9BEB1F6}">
  <sheetPr>
    <tabColor rgb="FFFF66FF"/>
  </sheetPr>
  <dimension ref="A16:M18"/>
  <sheetViews>
    <sheetView workbookViewId="0">
      <selection activeCell="O14" sqref="O14"/>
    </sheetView>
  </sheetViews>
  <sheetFormatPr defaultRowHeight="15"/>
  <cols>
    <col min="9" max="13" width="10.5703125" bestFit="1" customWidth="1"/>
  </cols>
  <sheetData>
    <row r="16" spans="2:13">
      <c r="B16" s="390">
        <v>45839</v>
      </c>
      <c r="C16" s="390">
        <v>45870</v>
      </c>
      <c r="D16" s="390">
        <v>45901</v>
      </c>
      <c r="E16" s="390">
        <v>45931</v>
      </c>
      <c r="F16" s="390">
        <v>45962</v>
      </c>
      <c r="G16" s="390">
        <v>45992</v>
      </c>
      <c r="H16" s="390">
        <v>46023</v>
      </c>
      <c r="I16" s="390">
        <v>46054</v>
      </c>
      <c r="J16" s="390">
        <v>46082</v>
      </c>
      <c r="K16" s="390">
        <v>46113</v>
      </c>
      <c r="L16" s="390">
        <v>46143</v>
      </c>
      <c r="M16" s="390">
        <v>46174</v>
      </c>
    </row>
    <row r="17" spans="1:13">
      <c r="A17" t="s">
        <v>59</v>
      </c>
      <c r="I17" s="199">
        <v>18538.752</v>
      </c>
      <c r="J17" s="199">
        <v>65072.1</v>
      </c>
      <c r="K17" s="199">
        <v>79534</v>
      </c>
      <c r="L17" s="199">
        <v>89576.400000000009</v>
      </c>
      <c r="M17" s="199">
        <f>+'Combined total CDM to Colco (7)'!M73+'Combined total CDM to Colco (7)'!M76</f>
        <v>108658.90000000001</v>
      </c>
    </row>
    <row r="18" spans="1:13">
      <c r="A18" t="s">
        <v>119</v>
      </c>
      <c r="I18" s="199">
        <v>18538.752</v>
      </c>
      <c r="J18" s="199">
        <v>92693.759999999995</v>
      </c>
      <c r="K18" s="199">
        <v>75809.440000000002</v>
      </c>
      <c r="L18" s="199">
        <v>75809.440000000002</v>
      </c>
      <c r="M18" s="199">
        <v>94761.8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02D9-EA20-4F74-AD4D-CEA135B61E05}">
  <sheetPr>
    <tabColor rgb="FFFF66FF"/>
  </sheetPr>
  <dimension ref="A17:M19"/>
  <sheetViews>
    <sheetView workbookViewId="0">
      <selection activeCell="M18" sqref="M18"/>
    </sheetView>
  </sheetViews>
  <sheetFormatPr defaultRowHeight="15"/>
  <cols>
    <col min="9" max="9" width="9.28515625" bestFit="1" customWidth="1"/>
    <col min="10" max="10" width="9.5703125" bestFit="1" customWidth="1"/>
    <col min="11" max="12" width="9.28515625" bestFit="1" customWidth="1"/>
    <col min="13" max="13" width="9.5703125" bestFit="1" customWidth="1"/>
  </cols>
  <sheetData>
    <row r="17" spans="1:13">
      <c r="B17" s="390">
        <v>45839</v>
      </c>
      <c r="C17" s="390">
        <v>45870</v>
      </c>
      <c r="D17" s="390">
        <v>45901</v>
      </c>
      <c r="E17" s="390">
        <v>45931</v>
      </c>
      <c r="F17" s="390">
        <v>45962</v>
      </c>
      <c r="G17" s="390">
        <v>45992</v>
      </c>
      <c r="H17" s="390">
        <v>46023</v>
      </c>
      <c r="I17" s="390">
        <v>46054</v>
      </c>
      <c r="J17" s="390">
        <v>46082</v>
      </c>
      <c r="K17" s="390">
        <v>46113</v>
      </c>
      <c r="L17" s="390">
        <v>46143</v>
      </c>
      <c r="M17" s="390">
        <v>46174</v>
      </c>
    </row>
    <row r="18" spans="1:13">
      <c r="A18" t="s">
        <v>59</v>
      </c>
      <c r="I18">
        <v>15</v>
      </c>
      <c r="J18">
        <v>736</v>
      </c>
      <c r="K18">
        <v>906</v>
      </c>
      <c r="L18">
        <v>976</v>
      </c>
      <c r="M18">
        <f>+'Combined pigs sold to colco (7)'!M77+'Combined pigs sold to colco (7)'!M80</f>
        <v>1222</v>
      </c>
    </row>
    <row r="19" spans="1:13">
      <c r="A19" t="s">
        <v>120</v>
      </c>
      <c r="I19" s="199">
        <v>208.804</v>
      </c>
      <c r="J19" s="199">
        <v>1044.02</v>
      </c>
      <c r="K19" s="199">
        <v>835.21600000000001</v>
      </c>
      <c r="L19" s="199">
        <v>835.21600000000001</v>
      </c>
      <c r="M19" s="199">
        <v>1044.02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B579-F2C5-4B8E-9DAB-7E1857C92F2B}">
  <sheetPr codeName="Sheet22">
    <tabColor rgb="FFFF66FF"/>
  </sheetPr>
  <dimension ref="A16:P20"/>
  <sheetViews>
    <sheetView workbookViewId="0">
      <selection activeCell="P14" sqref="P14"/>
    </sheetView>
  </sheetViews>
  <sheetFormatPr defaultRowHeight="15"/>
  <cols>
    <col min="1" max="1" width="11.28515625" bestFit="1" customWidth="1"/>
    <col min="2" max="2" width="6.140625" bestFit="1" customWidth="1"/>
    <col min="3" max="3" width="7.140625" bestFit="1" customWidth="1"/>
    <col min="4" max="4" width="7" bestFit="1" customWidth="1"/>
    <col min="5" max="5" width="6.7109375" bestFit="1" customWidth="1"/>
    <col min="6" max="6" width="7.28515625" bestFit="1" customWidth="1"/>
    <col min="7" max="7" width="7" bestFit="1" customWidth="1"/>
    <col min="8" max="8" width="6.5703125" bestFit="1" customWidth="1"/>
    <col min="9" max="9" width="7" bestFit="1" customWidth="1"/>
    <col min="10" max="10" width="7.140625" bestFit="1" customWidth="1"/>
    <col min="11" max="11" width="6.85546875" bestFit="1" customWidth="1"/>
    <col min="12" max="12" width="7.42578125" bestFit="1" customWidth="1"/>
    <col min="13" max="13" width="6.7109375" bestFit="1" customWidth="1"/>
  </cols>
  <sheetData>
    <row r="16" ht="15.75" thickBot="1"/>
    <row r="17" spans="1:16" ht="15.75" thickBot="1">
      <c r="A17" s="301"/>
      <c r="B17" s="316">
        <v>45839</v>
      </c>
      <c r="C17" s="316">
        <v>45870</v>
      </c>
      <c r="D17" s="316">
        <v>45901</v>
      </c>
      <c r="E17" s="316">
        <v>45931</v>
      </c>
      <c r="F17" s="316">
        <v>45962</v>
      </c>
      <c r="G17" s="316">
        <v>45992</v>
      </c>
      <c r="H17" s="316">
        <v>46023</v>
      </c>
      <c r="I17" s="316">
        <v>46054</v>
      </c>
      <c r="J17" s="316">
        <v>46082</v>
      </c>
      <c r="K17" s="316">
        <v>46113</v>
      </c>
      <c r="L17" s="316">
        <v>46143</v>
      </c>
      <c r="M17" s="316">
        <v>46174</v>
      </c>
      <c r="N17" s="367"/>
    </row>
    <row r="18" spans="1:16" ht="15.75" thickBot="1">
      <c r="A18" s="152" t="s">
        <v>121</v>
      </c>
      <c r="B18" s="152">
        <v>91</v>
      </c>
      <c r="C18" s="152">
        <v>96</v>
      </c>
      <c r="D18" s="152">
        <v>89</v>
      </c>
      <c r="E18" s="152">
        <v>93</v>
      </c>
      <c r="F18" s="152">
        <v>90.3</v>
      </c>
      <c r="G18" s="152">
        <v>97.2</v>
      </c>
      <c r="H18" s="152">
        <f>+'[56]Combined farrow rate  (4)'!X18</f>
        <v>94.9</v>
      </c>
      <c r="I18" s="152">
        <f>+'[56]Combined farrow rate  (4)'!Y18</f>
        <v>93.8</v>
      </c>
      <c r="J18" s="152">
        <f>+'[56]Combined farrow rate  (4)'!Z18</f>
        <v>93</v>
      </c>
      <c r="K18" s="152">
        <f>+'Combined farrow rate  (5)'!AA18</f>
        <v>93</v>
      </c>
      <c r="L18" s="152">
        <f>+'Combined farrow rate  (5)'!AB18</f>
        <v>93</v>
      </c>
      <c r="M18" s="152">
        <f>+'Combined farrow rate  (5)'!AC18</f>
        <v>88.2</v>
      </c>
      <c r="N18" s="77">
        <f>AVERAGE(B18:M18)</f>
        <v>92.699999999999989</v>
      </c>
    </row>
    <row r="19" spans="1:16" ht="15.75" thickBot="1">
      <c r="A19" s="152" t="s">
        <v>109</v>
      </c>
      <c r="B19" s="152">
        <v>86</v>
      </c>
      <c r="C19" s="152">
        <v>84</v>
      </c>
      <c r="D19" s="152">
        <v>83</v>
      </c>
      <c r="E19" s="152">
        <v>86</v>
      </c>
      <c r="F19" s="152">
        <v>86</v>
      </c>
      <c r="G19" s="152">
        <v>84</v>
      </c>
      <c r="H19" s="152">
        <v>74</v>
      </c>
      <c r="I19" s="152">
        <v>80</v>
      </c>
      <c r="J19" s="152">
        <v>87</v>
      </c>
      <c r="K19" s="152">
        <v>92</v>
      </c>
      <c r="L19" s="152">
        <v>92</v>
      </c>
      <c r="M19" s="152">
        <v>91</v>
      </c>
      <c r="N19" s="77">
        <f t="shared" ref="N19:N20" si="0">AVERAGE(B19:M19)</f>
        <v>85.416666666666671</v>
      </c>
      <c r="O19" s="77">
        <f>N18-N19</f>
        <v>7.2833333333333172</v>
      </c>
      <c r="P19" t="s">
        <v>99</v>
      </c>
    </row>
    <row r="20" spans="1:16" ht="15.75" thickBot="1">
      <c r="A20" s="152" t="s">
        <v>88</v>
      </c>
      <c r="B20" s="152">
        <v>90</v>
      </c>
      <c r="C20" s="152">
        <v>90</v>
      </c>
      <c r="D20" s="152">
        <v>90</v>
      </c>
      <c r="E20" s="152">
        <v>90</v>
      </c>
      <c r="F20" s="152">
        <v>90</v>
      </c>
      <c r="G20" s="152">
        <v>90</v>
      </c>
      <c r="H20" s="152">
        <v>90</v>
      </c>
      <c r="I20" s="152">
        <v>90</v>
      </c>
      <c r="J20" s="152">
        <v>90</v>
      </c>
      <c r="K20" s="152">
        <v>90</v>
      </c>
      <c r="L20" s="152">
        <v>90</v>
      </c>
      <c r="M20" s="152">
        <v>90</v>
      </c>
      <c r="N20" s="77">
        <f t="shared" si="0"/>
        <v>90</v>
      </c>
      <c r="O20" s="77">
        <f>N18-N20</f>
        <v>2.6999999999999886</v>
      </c>
      <c r="P20" t="s">
        <v>113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9A7E-CDD1-4003-96AB-18B0245B4435}">
  <sheetPr codeName="Sheet23">
    <tabColor rgb="FFFF66FF"/>
  </sheetPr>
  <dimension ref="A16:P20"/>
  <sheetViews>
    <sheetView workbookViewId="0">
      <selection activeCell="O9" sqref="O9"/>
    </sheetView>
  </sheetViews>
  <sheetFormatPr defaultRowHeight="15"/>
  <cols>
    <col min="1" max="1" width="11.28515625" bestFit="1" customWidth="1"/>
    <col min="2" max="2" width="6.140625" bestFit="1" customWidth="1"/>
    <col min="3" max="3" width="7.140625" bestFit="1" customWidth="1"/>
    <col min="4" max="4" width="7" bestFit="1" customWidth="1"/>
    <col min="5" max="5" width="6.7109375" bestFit="1" customWidth="1"/>
    <col min="6" max="6" width="7.28515625" bestFit="1" customWidth="1"/>
    <col min="7" max="7" width="7" bestFit="1" customWidth="1"/>
    <col min="8" max="8" width="6.5703125" bestFit="1" customWidth="1"/>
    <col min="9" max="9" width="7" bestFit="1" customWidth="1"/>
    <col min="10" max="10" width="7.140625" bestFit="1" customWidth="1"/>
    <col min="11" max="11" width="6.85546875" bestFit="1" customWidth="1"/>
    <col min="12" max="12" width="7.42578125" bestFit="1" customWidth="1"/>
    <col min="13" max="13" width="6.7109375" bestFit="1" customWidth="1"/>
  </cols>
  <sheetData>
    <row r="16" ht="15.75" thickBot="1"/>
    <row r="17" spans="1:16" ht="15.75" thickBot="1">
      <c r="A17" s="301"/>
      <c r="B17" s="316">
        <v>45863</v>
      </c>
      <c r="C17" s="316">
        <v>45894</v>
      </c>
      <c r="D17" s="316">
        <v>45925</v>
      </c>
      <c r="E17" s="316">
        <v>45955</v>
      </c>
      <c r="F17" s="316">
        <v>45986</v>
      </c>
      <c r="G17" s="316">
        <v>46016</v>
      </c>
      <c r="H17" s="316">
        <v>46047</v>
      </c>
      <c r="I17" s="316">
        <v>46078</v>
      </c>
      <c r="J17" s="316">
        <v>46106</v>
      </c>
      <c r="K17" s="316">
        <v>46137</v>
      </c>
      <c r="L17" s="316">
        <v>46167</v>
      </c>
      <c r="M17" s="316">
        <v>46198</v>
      </c>
      <c r="N17" s="390"/>
    </row>
    <row r="18" spans="1:16" ht="15.75" thickBot="1">
      <c r="A18" s="152" t="s">
        <v>122</v>
      </c>
      <c r="B18" s="313">
        <v>15.1</v>
      </c>
      <c r="C18" s="313">
        <v>15.7</v>
      </c>
      <c r="D18" s="313">
        <v>16</v>
      </c>
      <c r="E18" s="313">
        <v>15.3</v>
      </c>
      <c r="F18" s="313">
        <v>14.1</v>
      </c>
      <c r="G18" s="313">
        <v>14.8</v>
      </c>
      <c r="H18" s="313">
        <f>+'Combined Born alive (5)'!X19</f>
        <v>15.5</v>
      </c>
      <c r="I18" s="313">
        <f>+'Combined Born alive (5)'!Y19</f>
        <v>15.9</v>
      </c>
      <c r="J18" s="313">
        <f>+'Combined Born alive (5)'!Z19</f>
        <v>15.8</v>
      </c>
      <c r="K18" s="313">
        <f>+'Combined Born alive (5)'!AA19</f>
        <v>15.9</v>
      </c>
      <c r="L18" s="313">
        <f>+'Combined Born alive (5)'!AB19</f>
        <v>15.5</v>
      </c>
      <c r="M18" s="313">
        <f>+'Combined Born alive (5)'!AC19</f>
        <v>15</v>
      </c>
      <c r="N18" s="257">
        <f>AVERAGE(B18:M18)</f>
        <v>15.383333333333333</v>
      </c>
    </row>
    <row r="19" spans="1:16" ht="15.75" thickBot="1">
      <c r="A19" s="152" t="s">
        <v>109</v>
      </c>
      <c r="B19" s="313">
        <v>13.5</v>
      </c>
      <c r="C19" s="313">
        <v>14.5</v>
      </c>
      <c r="D19" s="313">
        <v>15.2</v>
      </c>
      <c r="E19" s="313">
        <v>14.9</v>
      </c>
      <c r="F19" s="313">
        <v>14.7</v>
      </c>
      <c r="G19" s="313">
        <v>14.9</v>
      </c>
      <c r="H19" s="313">
        <v>13.9</v>
      </c>
      <c r="I19" s="313">
        <v>15.7</v>
      </c>
      <c r="J19" s="313">
        <v>15.2</v>
      </c>
      <c r="K19" s="313">
        <v>14.3</v>
      </c>
      <c r="L19" s="313">
        <v>16.2</v>
      </c>
      <c r="M19" s="313">
        <v>14.6</v>
      </c>
      <c r="N19" s="257">
        <f t="shared" ref="N19:N20" si="0">AVERAGE(B19:M19)</f>
        <v>14.799999999999999</v>
      </c>
      <c r="O19" s="77">
        <f>N18-N19</f>
        <v>0.58333333333333393</v>
      </c>
      <c r="P19" t="s">
        <v>99</v>
      </c>
    </row>
    <row r="20" spans="1:16" ht="15.75" thickBot="1">
      <c r="A20" s="152" t="s">
        <v>88</v>
      </c>
      <c r="B20" s="307">
        <v>14.7</v>
      </c>
      <c r="C20" s="307">
        <v>14.7</v>
      </c>
      <c r="D20" s="307">
        <v>14.7</v>
      </c>
      <c r="E20" s="307">
        <v>14.7</v>
      </c>
      <c r="F20" s="307">
        <v>14.7</v>
      </c>
      <c r="G20" s="307">
        <v>14.7</v>
      </c>
      <c r="H20" s="307">
        <v>14.7</v>
      </c>
      <c r="I20" s="307">
        <v>14.7</v>
      </c>
      <c r="J20" s="307">
        <v>14.7</v>
      </c>
      <c r="K20" s="307">
        <v>14.7</v>
      </c>
      <c r="L20" s="307">
        <v>14.7</v>
      </c>
      <c r="M20" s="307">
        <v>14.7</v>
      </c>
      <c r="N20" s="257">
        <f t="shared" si="0"/>
        <v>14.699999999999998</v>
      </c>
      <c r="O20" s="77">
        <f>N18-N20</f>
        <v>0.68333333333333535</v>
      </c>
      <c r="P20" t="s">
        <v>101</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CB7BA-99F1-434D-8AEF-EF899DA6ABD2}">
  <sheetPr codeName="Sheet24">
    <tabColor rgb="FFFF66FF"/>
  </sheetPr>
  <dimension ref="A15:P20"/>
  <sheetViews>
    <sheetView workbookViewId="0">
      <selection activeCell="M17" sqref="M17"/>
    </sheetView>
  </sheetViews>
  <sheetFormatPr defaultRowHeight="15"/>
  <cols>
    <col min="1" max="1" width="11.28515625" bestFit="1" customWidth="1"/>
  </cols>
  <sheetData>
    <row r="15" spans="1:14" ht="15.75" thickBot="1"/>
    <row r="16" spans="1:14" ht="15.75" thickBot="1">
      <c r="A16" s="301"/>
      <c r="B16" s="316">
        <v>45863</v>
      </c>
      <c r="C16" s="316">
        <v>45894</v>
      </c>
      <c r="D16" s="316">
        <v>45925</v>
      </c>
      <c r="E16" s="316">
        <v>45955</v>
      </c>
      <c r="F16" s="316">
        <v>45986</v>
      </c>
      <c r="G16" s="316">
        <v>46016</v>
      </c>
      <c r="H16" s="316">
        <v>46047</v>
      </c>
      <c r="I16" s="316">
        <v>46078</v>
      </c>
      <c r="J16" s="316">
        <v>46106</v>
      </c>
      <c r="K16" s="316">
        <v>46137</v>
      </c>
      <c r="L16" s="316">
        <v>46167</v>
      </c>
      <c r="M16" s="316">
        <v>46198</v>
      </c>
      <c r="N16" s="390"/>
    </row>
    <row r="17" spans="1:16" ht="15.75" thickBot="1">
      <c r="A17" s="152" t="s">
        <v>59</v>
      </c>
      <c r="B17" s="152"/>
      <c r="C17" s="152"/>
      <c r="D17" s="152"/>
      <c r="E17" s="152"/>
      <c r="F17" s="230">
        <v>7.4</v>
      </c>
      <c r="G17" s="152">
        <v>7.48</v>
      </c>
      <c r="H17" s="230">
        <f>+'Combined Wean weight  (5)'!Y18</f>
        <v>7.4</v>
      </c>
      <c r="I17" s="230">
        <f>+'Combined Wean weight  (5)'!Z18</f>
        <v>7.08</v>
      </c>
      <c r="J17" s="230">
        <f>+'Combined Wean weight  (5)'!AA18</f>
        <v>6.8</v>
      </c>
      <c r="K17" s="230">
        <f>+'Combined Wean weight  (5)'!AB18</f>
        <v>6.6</v>
      </c>
      <c r="L17" s="230">
        <f>+'Combined Wean weight  (5)'!AC18</f>
        <v>6.93</v>
      </c>
      <c r="M17" s="230">
        <f>+'Combined Wean weight  (5)'!AD18</f>
        <v>7.76</v>
      </c>
      <c r="N17" s="77">
        <f>AVERAGE(B17:M17)</f>
        <v>7.1812499999999995</v>
      </c>
      <c r="O17" s="77"/>
    </row>
    <row r="18" spans="1:16" ht="15.75" thickBot="1">
      <c r="A18" s="152" t="s">
        <v>109</v>
      </c>
      <c r="B18" s="152"/>
      <c r="C18" s="152"/>
      <c r="D18" s="152"/>
      <c r="E18" s="152"/>
      <c r="F18" s="152"/>
      <c r="G18" s="152"/>
      <c r="H18" s="152"/>
      <c r="I18" s="152"/>
      <c r="J18" s="152"/>
      <c r="K18" s="152"/>
      <c r="L18" s="152"/>
      <c r="M18" s="152"/>
      <c r="N18" s="77"/>
      <c r="O18" s="292"/>
      <c r="P18" s="291"/>
    </row>
    <row r="19" spans="1:16" ht="15.75" thickBot="1">
      <c r="A19" s="152" t="s">
        <v>88</v>
      </c>
      <c r="B19" s="307">
        <v>7.5</v>
      </c>
      <c r="C19" s="307">
        <v>7.5</v>
      </c>
      <c r="D19" s="307">
        <v>7.5</v>
      </c>
      <c r="E19" s="307">
        <v>7.5</v>
      </c>
      <c r="F19" s="307">
        <v>7.5</v>
      </c>
      <c r="G19" s="307">
        <v>7.5</v>
      </c>
      <c r="H19" s="307">
        <v>7.5</v>
      </c>
      <c r="I19" s="307">
        <v>7.5</v>
      </c>
      <c r="J19" s="307">
        <v>7.5</v>
      </c>
      <c r="K19" s="307">
        <v>7.5</v>
      </c>
      <c r="L19" s="307">
        <v>7.5</v>
      </c>
      <c r="M19" s="307">
        <v>7.5</v>
      </c>
      <c r="N19" s="77">
        <f t="shared" ref="N19" si="0">AVERAGE(B19:M19)</f>
        <v>7.5</v>
      </c>
      <c r="O19" s="293">
        <f>N17-N19</f>
        <v>-0.31875000000000053</v>
      </c>
      <c r="P19" s="291" t="s">
        <v>113</v>
      </c>
    </row>
    <row r="20" spans="1:16" ht="15.75" thickBot="1">
      <c r="A20" s="152"/>
      <c r="B20" s="152"/>
      <c r="C20" s="152"/>
      <c r="D20" s="152"/>
      <c r="E20" s="152"/>
      <c r="F20" s="152"/>
      <c r="G20" s="152"/>
      <c r="H20" s="152"/>
      <c r="I20" s="152"/>
      <c r="J20" s="152"/>
      <c r="K20" s="152"/>
      <c r="L20" s="152"/>
      <c r="M20" s="152"/>
      <c r="O20" s="79"/>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FD43-04CE-4B33-AD00-C20DEFC97A24}">
  <sheetPr codeName="Sheet25">
    <tabColor rgb="FFFF66FF"/>
  </sheetPr>
  <dimension ref="A15:P19"/>
  <sheetViews>
    <sheetView workbookViewId="0">
      <selection activeCell="P8" sqref="P8"/>
    </sheetView>
  </sheetViews>
  <sheetFormatPr defaultRowHeight="15"/>
  <cols>
    <col min="1" max="1" width="11.28515625" bestFit="1" customWidth="1"/>
  </cols>
  <sheetData>
    <row r="15" spans="1:14" ht="15.75" thickBot="1"/>
    <row r="16" spans="1:14" ht="15.75" thickBot="1">
      <c r="A16" s="340"/>
      <c r="B16" s="317">
        <v>45863</v>
      </c>
      <c r="C16" s="317">
        <v>45894</v>
      </c>
      <c r="D16" s="317">
        <v>45925</v>
      </c>
      <c r="E16" s="317">
        <v>45955</v>
      </c>
      <c r="F16" s="317">
        <v>45986</v>
      </c>
      <c r="G16" s="317">
        <v>46016</v>
      </c>
      <c r="H16" s="317">
        <v>46047</v>
      </c>
      <c r="I16" s="317">
        <v>46078</v>
      </c>
      <c r="J16" s="317">
        <v>46106</v>
      </c>
      <c r="K16" s="317">
        <v>46137</v>
      </c>
      <c r="L16" s="317">
        <v>46167</v>
      </c>
      <c r="M16" s="317">
        <v>46198</v>
      </c>
      <c r="N16" s="390"/>
    </row>
    <row r="17" spans="1:16" ht="15.75" thickBot="1">
      <c r="A17" s="313" t="s">
        <v>59</v>
      </c>
      <c r="B17" s="313"/>
      <c r="C17" s="313"/>
      <c r="D17" s="313"/>
      <c r="E17" s="313"/>
      <c r="F17" s="313">
        <v>105</v>
      </c>
      <c r="G17" s="313">
        <v>105.2</v>
      </c>
      <c r="H17" s="313">
        <f>+'Combined Litter mass  (5)'!W19</f>
        <v>104.9</v>
      </c>
      <c r="I17" s="313">
        <f>+'Combined Litter mass  (5)'!X19</f>
        <v>99.63</v>
      </c>
      <c r="J17" s="313">
        <f>+'Combined Litter mass  (5)'!Y19</f>
        <v>97.62</v>
      </c>
      <c r="K17" s="313">
        <f>+'Combined Litter mass  (5)'!Z19</f>
        <v>91</v>
      </c>
      <c r="L17" s="313">
        <f>+'Combined Litter mass  (5)'!AA19</f>
        <v>98.79</v>
      </c>
      <c r="M17" s="313">
        <f>+'Combined Litter mass  (5)'!AB19</f>
        <v>102.32</v>
      </c>
      <c r="N17" s="79">
        <f>AVERAGE(B17:L17)</f>
        <v>100.30571428571429</v>
      </c>
    </row>
    <row r="18" spans="1:16" ht="15.75" thickBot="1">
      <c r="A18" s="313" t="s">
        <v>109</v>
      </c>
      <c r="B18" s="313"/>
      <c r="C18" s="313"/>
      <c r="D18" s="313"/>
      <c r="E18" s="313"/>
      <c r="F18" s="313"/>
      <c r="G18" s="313"/>
      <c r="H18" s="313"/>
      <c r="I18" s="313"/>
      <c r="J18" s="313"/>
      <c r="K18" s="313"/>
      <c r="L18" s="313"/>
      <c r="M18" s="313"/>
      <c r="O18" s="291"/>
      <c r="P18" s="291"/>
    </row>
    <row r="19" spans="1:16" ht="15.75" thickBot="1">
      <c r="A19" s="313" t="s">
        <v>88</v>
      </c>
      <c r="B19" s="307">
        <v>100</v>
      </c>
      <c r="C19" s="307">
        <v>100</v>
      </c>
      <c r="D19" s="307">
        <v>100</v>
      </c>
      <c r="E19" s="307">
        <v>100</v>
      </c>
      <c r="F19" s="307">
        <v>100</v>
      </c>
      <c r="G19" s="307">
        <v>100</v>
      </c>
      <c r="H19" s="307">
        <v>100</v>
      </c>
      <c r="I19" s="307">
        <v>100</v>
      </c>
      <c r="J19" s="307">
        <v>100</v>
      </c>
      <c r="K19" s="307">
        <v>100</v>
      </c>
      <c r="L19" s="307">
        <v>100</v>
      </c>
      <c r="M19" s="307">
        <v>100</v>
      </c>
      <c r="N19">
        <f>AVERAGE(B19:L19)</f>
        <v>100</v>
      </c>
      <c r="O19" s="292">
        <f>N19-N17</f>
        <v>-0.30571428571428783</v>
      </c>
      <c r="P19" s="291" t="s">
        <v>123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EAEB-3B66-4AD7-8A55-35241C07EE11}">
  <sheetPr codeName="Sheet26">
    <tabColor rgb="FFFF66FF"/>
  </sheetPr>
  <dimension ref="A15:P20"/>
  <sheetViews>
    <sheetView workbookViewId="0">
      <selection activeCell="M22" sqref="M22"/>
    </sheetView>
  </sheetViews>
  <sheetFormatPr defaultRowHeight="15"/>
  <cols>
    <col min="1" max="1" width="11.28515625" bestFit="1" customWidth="1"/>
  </cols>
  <sheetData>
    <row r="15" spans="1:14" ht="15.75" thickBot="1"/>
    <row r="16" spans="1:14" ht="15.75" thickBot="1">
      <c r="A16" s="301"/>
      <c r="B16" s="316">
        <v>45863</v>
      </c>
      <c r="C16" s="316">
        <v>45894</v>
      </c>
      <c r="D16" s="316">
        <v>45925</v>
      </c>
      <c r="E16" s="316">
        <v>45955</v>
      </c>
      <c r="F16" s="316">
        <v>45986</v>
      </c>
      <c r="G16" s="316">
        <v>46016</v>
      </c>
      <c r="H16" s="316">
        <v>46047</v>
      </c>
      <c r="I16" s="316">
        <v>46078</v>
      </c>
      <c r="J16" s="316">
        <v>46106</v>
      </c>
      <c r="K16" s="316">
        <v>46137</v>
      </c>
      <c r="L16" s="316">
        <v>46167</v>
      </c>
      <c r="M16" s="316">
        <v>46198</v>
      </c>
      <c r="N16" s="390"/>
    </row>
    <row r="17" spans="1:16" ht="15.75" thickBot="1">
      <c r="A17" s="152" t="s">
        <v>59</v>
      </c>
      <c r="B17" s="152"/>
      <c r="C17" s="152"/>
      <c r="D17" s="152"/>
      <c r="E17" s="152"/>
      <c r="F17" s="152"/>
      <c r="G17" s="152">
        <f>+'[57]Combined 70 day weight  (2)'!Y20</f>
        <v>28.3</v>
      </c>
      <c r="H17" s="152">
        <f>+'Combined 70 day weight  (5)'!Z22</f>
        <v>25.85</v>
      </c>
      <c r="I17" s="152">
        <f>+'Combined 70 day weight  (5)'!AA22</f>
        <v>26.57</v>
      </c>
      <c r="J17" s="152">
        <f>+'Combined 70 day weight  (5)'!AB22</f>
        <v>24.89</v>
      </c>
      <c r="K17" s="152">
        <f>+'Combined 70 day weight  (5)'!AC22</f>
        <v>24.96</v>
      </c>
      <c r="L17" s="152">
        <f>+'Combined 70 day weight  (5)'!AD22</f>
        <v>23.9</v>
      </c>
      <c r="M17" s="152">
        <f>+'Combined 70 day weight  (5)'!AE22</f>
        <v>24.27</v>
      </c>
      <c r="N17" s="77">
        <f>AVERAGE(B17:L17)</f>
        <v>25.745000000000001</v>
      </c>
    </row>
    <row r="18" spans="1:16" ht="15.75" thickBot="1">
      <c r="A18" s="152" t="s">
        <v>109</v>
      </c>
      <c r="B18" s="152"/>
      <c r="C18" s="152"/>
      <c r="D18" s="152"/>
      <c r="E18" s="152"/>
      <c r="F18" s="152"/>
      <c r="G18" s="152"/>
      <c r="H18" s="152"/>
      <c r="I18" s="152"/>
      <c r="J18" s="152"/>
      <c r="K18" s="318"/>
      <c r="L18" s="318"/>
      <c r="M18" s="318"/>
      <c r="N18" s="77"/>
      <c r="O18" s="293"/>
      <c r="P18" s="291"/>
    </row>
    <row r="19" spans="1:16" ht="15.75" thickBot="1">
      <c r="A19" s="152" t="s">
        <v>88</v>
      </c>
      <c r="B19" s="307">
        <v>28</v>
      </c>
      <c r="C19" s="307">
        <v>28</v>
      </c>
      <c r="D19" s="307">
        <v>28</v>
      </c>
      <c r="E19" s="307">
        <v>28</v>
      </c>
      <c r="F19" s="307">
        <v>28</v>
      </c>
      <c r="G19" s="307">
        <v>28</v>
      </c>
      <c r="H19" s="307">
        <v>28</v>
      </c>
      <c r="I19" s="307">
        <v>28</v>
      </c>
      <c r="J19" s="307">
        <v>28</v>
      </c>
      <c r="K19" s="307">
        <v>28</v>
      </c>
      <c r="L19" s="307">
        <v>28</v>
      </c>
      <c r="M19" s="307">
        <v>28</v>
      </c>
      <c r="N19" s="77">
        <f>AVERAGE(B19:L19)</f>
        <v>28</v>
      </c>
      <c r="O19" s="293">
        <f>N17-N19</f>
        <v>-2.254999999999999</v>
      </c>
      <c r="P19" s="291" t="s">
        <v>124</v>
      </c>
    </row>
    <row r="20" spans="1:16">
      <c r="A20" s="319"/>
      <c r="B20" s="320"/>
      <c r="C20" s="320"/>
      <c r="D20" s="320"/>
      <c r="E20" s="320"/>
      <c r="F20" s="320"/>
      <c r="G20" s="320"/>
      <c r="H20" s="320"/>
      <c r="I20" s="320"/>
      <c r="J20" s="320"/>
      <c r="K20" s="320"/>
      <c r="L20" s="320"/>
      <c r="M20" s="320"/>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3283-1C1A-4CBA-A884-E89F2E37C377}">
  <sheetPr codeName="Sheet27">
    <tabColor rgb="FFFF66FF"/>
  </sheetPr>
  <dimension ref="A15:P20"/>
  <sheetViews>
    <sheetView workbookViewId="0">
      <selection activeCell="O10" sqref="O10"/>
    </sheetView>
  </sheetViews>
  <sheetFormatPr defaultRowHeight="15"/>
  <cols>
    <col min="1" max="1" width="11.28515625" bestFit="1" customWidth="1"/>
  </cols>
  <sheetData>
    <row r="15" spans="1:14" ht="15.75" thickBot="1"/>
    <row r="16" spans="1:14" ht="15.75" thickBot="1">
      <c r="A16" s="301"/>
      <c r="B16" s="316">
        <v>45863</v>
      </c>
      <c r="C16" s="316">
        <v>45894</v>
      </c>
      <c r="D16" s="316">
        <v>45925</v>
      </c>
      <c r="E16" s="316">
        <v>45955</v>
      </c>
      <c r="F16" s="316">
        <v>45986</v>
      </c>
      <c r="G16" s="316">
        <v>46016</v>
      </c>
      <c r="H16" s="316">
        <v>46047</v>
      </c>
      <c r="I16" s="316">
        <v>46078</v>
      </c>
      <c r="J16" s="316">
        <v>46106</v>
      </c>
      <c r="K16" s="316">
        <v>46137</v>
      </c>
      <c r="L16" s="316">
        <v>46167</v>
      </c>
      <c r="M16" s="316">
        <v>46198</v>
      </c>
      <c r="N16" s="390"/>
    </row>
    <row r="17" spans="1:16" ht="15.75" thickBot="1">
      <c r="A17" s="152" t="s">
        <v>59</v>
      </c>
      <c r="B17" s="309"/>
      <c r="C17" s="309"/>
      <c r="D17" s="309"/>
      <c r="E17" s="309"/>
      <c r="F17" s="309"/>
      <c r="G17" s="309">
        <v>18.399999999999999</v>
      </c>
      <c r="H17" s="152">
        <f>+'Combined 70 day gain  (5)'!Z22</f>
        <v>18.399999999999999</v>
      </c>
      <c r="I17" s="152">
        <f>+'Combined 70 day gain  (5)'!AA22</f>
        <v>19.2</v>
      </c>
      <c r="J17" s="152">
        <f>+'Combined 70 day gain  (5)'!AB22</f>
        <v>17.989999999999998</v>
      </c>
      <c r="K17" s="152">
        <f>+'Combined 70 day gain  (5)'!AC22</f>
        <v>18.36</v>
      </c>
      <c r="L17" s="152">
        <f>+'Combined 70 day gain  (5)'!AD22</f>
        <v>17</v>
      </c>
      <c r="M17" s="152">
        <f>+'Combined 70 day gain  (5)'!AE22</f>
        <v>17.63</v>
      </c>
      <c r="N17" s="77">
        <f>AVERAGE(B17:M17)</f>
        <v>18.139999999999997</v>
      </c>
    </row>
    <row r="18" spans="1:16" ht="15.75" thickBot="1">
      <c r="A18" s="152" t="s">
        <v>109</v>
      </c>
      <c r="B18" s="152"/>
      <c r="C18" s="152"/>
      <c r="D18" s="152"/>
      <c r="E18" s="152"/>
      <c r="F18" s="152"/>
      <c r="G18" s="152"/>
      <c r="H18" s="152"/>
      <c r="I18" s="152"/>
      <c r="J18" s="152"/>
      <c r="K18" s="321"/>
      <c r="L18" s="321"/>
      <c r="M18" s="321"/>
      <c r="N18" s="77"/>
      <c r="O18" s="293"/>
      <c r="P18" s="291"/>
    </row>
    <row r="19" spans="1:16" ht="15.75" thickBot="1">
      <c r="A19" s="152" t="s">
        <v>88</v>
      </c>
      <c r="B19" s="307">
        <v>21</v>
      </c>
      <c r="C19" s="307">
        <v>21</v>
      </c>
      <c r="D19" s="307">
        <v>21</v>
      </c>
      <c r="E19" s="307">
        <v>21</v>
      </c>
      <c r="F19" s="307">
        <v>21</v>
      </c>
      <c r="G19" s="307">
        <v>21</v>
      </c>
      <c r="H19" s="307">
        <v>21</v>
      </c>
      <c r="I19" s="307">
        <v>21</v>
      </c>
      <c r="J19" s="307">
        <v>21</v>
      </c>
      <c r="K19" s="307">
        <v>21</v>
      </c>
      <c r="L19" s="307">
        <v>21</v>
      </c>
      <c r="M19" s="307">
        <v>21</v>
      </c>
      <c r="N19" s="77">
        <f>AVERAGE(B19:M19)</f>
        <v>21</v>
      </c>
      <c r="O19" s="293">
        <f>N17-N19</f>
        <v>-2.860000000000003</v>
      </c>
      <c r="P19" s="291" t="s">
        <v>125</v>
      </c>
    </row>
    <row r="20" spans="1:16">
      <c r="A20" s="319"/>
      <c r="B20" s="320"/>
      <c r="C20" s="320"/>
      <c r="D20" s="320"/>
      <c r="E20" s="320"/>
      <c r="F20" s="320"/>
      <c r="G20" s="320"/>
      <c r="H20" s="320"/>
      <c r="I20" s="320"/>
      <c r="J20" s="320"/>
      <c r="K20" s="320"/>
      <c r="L20" s="320"/>
      <c r="M20" s="320"/>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7741-1AEE-4BBD-A6E0-23B794B70169}">
  <sheetPr codeName="Sheet28">
    <tabColor rgb="FFFF66FF"/>
  </sheetPr>
  <dimension ref="A16:P20"/>
  <sheetViews>
    <sheetView workbookViewId="0">
      <selection activeCell="N23" sqref="N23"/>
    </sheetView>
  </sheetViews>
  <sheetFormatPr defaultRowHeight="15"/>
  <sheetData>
    <row r="16" ht="15.75" thickBot="1"/>
    <row r="17" spans="1:16" ht="15.75" thickBot="1">
      <c r="A17" s="301"/>
      <c r="B17" s="316">
        <v>45839</v>
      </c>
      <c r="C17" s="316">
        <v>45870</v>
      </c>
      <c r="D17" s="316">
        <v>45901</v>
      </c>
      <c r="E17" s="316">
        <v>45931</v>
      </c>
      <c r="F17" s="316">
        <v>45962</v>
      </c>
      <c r="G17" s="316">
        <v>45992</v>
      </c>
      <c r="H17" s="316">
        <v>46023</v>
      </c>
      <c r="I17" s="316">
        <v>46054</v>
      </c>
      <c r="J17" s="316">
        <v>46082</v>
      </c>
      <c r="K17" s="316">
        <v>46113</v>
      </c>
      <c r="L17" s="316">
        <v>46143</v>
      </c>
      <c r="M17" s="316">
        <v>46174</v>
      </c>
      <c r="N17" s="390"/>
    </row>
    <row r="18" spans="1:16" ht="15.75" thickBot="1">
      <c r="A18" s="152" t="s">
        <v>122</v>
      </c>
      <c r="B18" s="152"/>
      <c r="C18" s="152"/>
      <c r="D18" s="152"/>
      <c r="E18" s="152"/>
      <c r="F18" s="152"/>
      <c r="G18" s="152">
        <v>34.6</v>
      </c>
      <c r="H18" s="152">
        <f>+'[56]Combined WSY   (4)'!Y18</f>
        <v>32.86</v>
      </c>
      <c r="I18" s="152">
        <f>+'[56]Combined WSY   (4)'!Z18</f>
        <v>34.1</v>
      </c>
      <c r="J18" s="152">
        <f>+'[56]Combined WSY   (4)'!AA18</f>
        <v>35.32</v>
      </c>
      <c r="K18" s="152">
        <f>+'[56]Combined WSY   (4)'!AB18</f>
        <v>31.4</v>
      </c>
      <c r="L18" s="152">
        <f>+'[56]Combined WSY   (4)'!AC18</f>
        <v>31.6</v>
      </c>
      <c r="M18" s="152">
        <v>29.78</v>
      </c>
      <c r="N18" s="77">
        <f>AVERAGE(B18:M18)</f>
        <v>32.808571428571426</v>
      </c>
      <c r="O18" s="77"/>
    </row>
    <row r="19" spans="1:16" ht="15.75" thickBot="1">
      <c r="A19" s="152" t="s">
        <v>109</v>
      </c>
      <c r="B19" s="152"/>
      <c r="C19" s="152"/>
      <c r="D19" s="152"/>
      <c r="E19" s="152"/>
      <c r="F19" s="152"/>
      <c r="G19" s="152"/>
      <c r="H19" s="152"/>
      <c r="I19" s="152"/>
      <c r="J19" s="152"/>
      <c r="K19" s="152"/>
      <c r="L19" s="152"/>
      <c r="M19" s="152"/>
      <c r="N19" s="77"/>
      <c r="O19" s="77"/>
    </row>
    <row r="20" spans="1:16" ht="15.75" thickBot="1">
      <c r="A20" s="152" t="s">
        <v>88</v>
      </c>
      <c r="B20" s="307">
        <v>33</v>
      </c>
      <c r="C20" s="307">
        <v>33</v>
      </c>
      <c r="D20" s="307">
        <v>33</v>
      </c>
      <c r="E20" s="307">
        <v>33</v>
      </c>
      <c r="F20" s="307">
        <v>33</v>
      </c>
      <c r="G20" s="307">
        <v>33</v>
      </c>
      <c r="H20" s="307">
        <v>33</v>
      </c>
      <c r="I20" s="307">
        <v>33</v>
      </c>
      <c r="J20" s="307">
        <v>33</v>
      </c>
      <c r="K20" s="307">
        <v>33</v>
      </c>
      <c r="L20" s="307">
        <v>33</v>
      </c>
      <c r="M20" s="307">
        <v>33</v>
      </c>
      <c r="N20" s="77">
        <f t="shared" ref="N20" si="0">AVERAGE(B20:M20)</f>
        <v>33</v>
      </c>
      <c r="O20">
        <f>N18-N20</f>
        <v>-0.19142857142857395</v>
      </c>
      <c r="P20" t="s">
        <v>101</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C691-BFF2-4245-9182-C6F3BC6C8153}">
  <sheetPr>
    <tabColor rgb="FFFF66FF"/>
  </sheetPr>
  <dimension ref="A1:AO51"/>
  <sheetViews>
    <sheetView topLeftCell="M1" workbookViewId="0">
      <selection activeCell="Z18" sqref="Z18"/>
    </sheetView>
  </sheetViews>
  <sheetFormatPr defaultRowHeight="15"/>
  <cols>
    <col min="1" max="1" width="11.28515625" bestFit="1" customWidth="1"/>
    <col min="2" max="2" width="11.42578125" customWidth="1"/>
    <col min="3" max="3" width="11.7109375" customWidth="1"/>
    <col min="4" max="4" width="10.7109375" customWidth="1"/>
    <col min="5" max="5" width="10.42578125" customWidth="1"/>
    <col min="6" max="6" width="13.42578125" bestFit="1" customWidth="1"/>
    <col min="7" max="7" width="12.7109375" bestFit="1" customWidth="1"/>
    <col min="10" max="10" width="12.5703125" bestFit="1" customWidth="1"/>
    <col min="11" max="12" width="11.5703125" bestFit="1" customWidth="1"/>
    <col min="13" max="13" width="12.85546875" bestFit="1" customWidth="1"/>
    <col min="14" max="14" width="13.42578125" bestFit="1" customWidth="1"/>
    <col min="15" max="15" width="11.5703125" bestFit="1" customWidth="1"/>
    <col min="16" max="16" width="10.5703125" bestFit="1" customWidth="1"/>
    <col min="21" max="21" width="12.85546875" bestFit="1" customWidth="1"/>
    <col min="22" max="22" width="13.42578125" bestFit="1" customWidth="1"/>
    <col min="26" max="26" width="13.7109375" customWidth="1"/>
    <col min="28" max="28" width="12.28515625" bestFit="1" customWidth="1"/>
    <col min="29" max="29" width="12.85546875" bestFit="1" customWidth="1"/>
    <col min="30" max="30" width="13.42578125" bestFit="1" customWidth="1"/>
    <col min="31" max="31" width="13.42578125" customWidth="1"/>
  </cols>
  <sheetData>
    <row r="1" spans="16:29">
      <c r="Q1" s="218">
        <v>45839</v>
      </c>
      <c r="R1" s="218">
        <v>45870</v>
      </c>
      <c r="S1" s="218">
        <v>45901</v>
      </c>
      <c r="T1" s="218">
        <v>45931</v>
      </c>
      <c r="U1" s="218">
        <v>45962</v>
      </c>
      <c r="V1" s="218">
        <v>45992</v>
      </c>
      <c r="W1" s="218">
        <v>46023</v>
      </c>
      <c r="X1" s="218">
        <v>46054</v>
      </c>
      <c r="Y1" s="218">
        <v>46082</v>
      </c>
      <c r="Z1" s="218">
        <v>46113</v>
      </c>
      <c r="AA1" s="218">
        <v>46143</v>
      </c>
      <c r="AB1" s="220">
        <v>46174</v>
      </c>
      <c r="AC1" s="217"/>
    </row>
    <row r="2" spans="16:29">
      <c r="P2" t="s">
        <v>62</v>
      </c>
      <c r="Q2" s="219">
        <v>970</v>
      </c>
      <c r="R2" s="219">
        <v>970</v>
      </c>
      <c r="S2" s="219">
        <v>970</v>
      </c>
      <c r="T2" s="219">
        <v>970</v>
      </c>
      <c r="U2" s="219">
        <v>970</v>
      </c>
      <c r="V2" s="219">
        <v>970</v>
      </c>
      <c r="W2" s="219">
        <v>970</v>
      </c>
      <c r="X2" s="219">
        <v>970</v>
      </c>
      <c r="Y2" s="219">
        <v>970</v>
      </c>
      <c r="Z2" s="219">
        <v>970</v>
      </c>
      <c r="AA2" s="219">
        <v>970</v>
      </c>
      <c r="AB2" s="217">
        <v>970</v>
      </c>
      <c r="AC2" s="217"/>
    </row>
    <row r="3" spans="16:29">
      <c r="P3" t="s">
        <v>91</v>
      </c>
      <c r="Q3" s="219">
        <v>520</v>
      </c>
      <c r="R3" s="219">
        <v>520</v>
      </c>
      <c r="S3" s="219">
        <v>520</v>
      </c>
      <c r="T3" s="219">
        <v>520</v>
      </c>
      <c r="U3" s="219">
        <v>520</v>
      </c>
      <c r="V3" s="219">
        <v>520</v>
      </c>
      <c r="W3" s="219">
        <v>520</v>
      </c>
      <c r="X3" s="219">
        <v>520</v>
      </c>
      <c r="Y3" s="219">
        <v>520</v>
      </c>
      <c r="Z3" s="219">
        <v>520</v>
      </c>
      <c r="AA3" s="219">
        <v>520</v>
      </c>
      <c r="AB3" s="217">
        <v>520</v>
      </c>
      <c r="AC3" s="217"/>
    </row>
    <row r="4" spans="16:29">
      <c r="P4" t="s">
        <v>92</v>
      </c>
      <c r="Q4" s="219">
        <v>470</v>
      </c>
      <c r="R4" s="219">
        <v>470</v>
      </c>
      <c r="S4" s="219">
        <v>470</v>
      </c>
      <c r="T4" s="219">
        <v>470</v>
      </c>
      <c r="U4" s="219">
        <v>470</v>
      </c>
      <c r="V4" s="219">
        <v>470</v>
      </c>
      <c r="W4" s="219">
        <v>470</v>
      </c>
      <c r="X4" s="219">
        <v>470</v>
      </c>
      <c r="Y4" s="219">
        <v>470</v>
      </c>
      <c r="Z4" s="219">
        <v>470</v>
      </c>
      <c r="AA4" s="219">
        <v>470</v>
      </c>
      <c r="AB4" s="217">
        <v>470</v>
      </c>
      <c r="AC4" s="217"/>
    </row>
    <row r="5" spans="16:29">
      <c r="P5" t="s">
        <v>93</v>
      </c>
      <c r="Q5" s="219">
        <v>170</v>
      </c>
      <c r="R5" s="219">
        <v>170</v>
      </c>
      <c r="S5" s="219">
        <v>170</v>
      </c>
      <c r="T5" s="219">
        <v>170</v>
      </c>
      <c r="U5" s="219">
        <v>170</v>
      </c>
      <c r="V5" s="219">
        <v>170</v>
      </c>
      <c r="W5" s="219">
        <v>170</v>
      </c>
      <c r="X5" s="219">
        <v>170</v>
      </c>
      <c r="Y5" s="219">
        <v>170</v>
      </c>
      <c r="Z5" s="219">
        <v>170</v>
      </c>
      <c r="AA5" s="219">
        <v>170</v>
      </c>
      <c r="AB5" s="217">
        <v>170</v>
      </c>
      <c r="AC5" s="217"/>
    </row>
    <row r="6" spans="16:29">
      <c r="P6" t="s">
        <v>94</v>
      </c>
      <c r="Q6" s="219">
        <v>620</v>
      </c>
      <c r="R6" s="219">
        <v>620</v>
      </c>
      <c r="S6" s="219">
        <v>620</v>
      </c>
      <c r="T6" s="219">
        <v>620</v>
      </c>
      <c r="U6" s="219">
        <v>620</v>
      </c>
      <c r="V6" s="219">
        <v>620</v>
      </c>
      <c r="W6" s="219">
        <v>620</v>
      </c>
      <c r="X6" s="219">
        <v>620</v>
      </c>
      <c r="Y6" s="219">
        <v>620</v>
      </c>
      <c r="Z6" s="219">
        <v>620</v>
      </c>
      <c r="AA6" s="219">
        <v>620</v>
      </c>
      <c r="AB6" s="217">
        <v>620</v>
      </c>
      <c r="AC6" s="217"/>
    </row>
    <row r="7" spans="16:29">
      <c r="P7" t="s">
        <v>95</v>
      </c>
      <c r="Q7" s="219"/>
      <c r="R7" s="219"/>
      <c r="S7" s="219"/>
      <c r="T7" s="219"/>
      <c r="U7" s="219"/>
      <c r="V7" s="219"/>
      <c r="W7" s="219">
        <v>280</v>
      </c>
      <c r="X7" s="219">
        <v>280</v>
      </c>
      <c r="Y7" s="219">
        <v>280</v>
      </c>
      <c r="Z7" s="219">
        <v>280</v>
      </c>
      <c r="AA7" s="219">
        <v>280</v>
      </c>
      <c r="AB7" s="217">
        <v>280</v>
      </c>
      <c r="AC7" s="217"/>
    </row>
    <row r="8" spans="16:29">
      <c r="Q8" s="219">
        <f t="shared" ref="Q8:V8" si="0">SUM(Q2:Q6)</f>
        <v>2750</v>
      </c>
      <c r="R8" s="219">
        <f t="shared" si="0"/>
        <v>2750</v>
      </c>
      <c r="S8" s="219">
        <f t="shared" si="0"/>
        <v>2750</v>
      </c>
      <c r="T8" s="219">
        <f t="shared" si="0"/>
        <v>2750</v>
      </c>
      <c r="U8" s="219">
        <f t="shared" si="0"/>
        <v>2750</v>
      </c>
      <c r="V8" s="219">
        <f t="shared" si="0"/>
        <v>2750</v>
      </c>
      <c r="W8" s="219">
        <f t="shared" ref="W8:AB8" si="1">SUM(W2:W7)</f>
        <v>3030</v>
      </c>
      <c r="X8" s="219">
        <f t="shared" si="1"/>
        <v>3030</v>
      </c>
      <c r="Y8" s="219">
        <f t="shared" si="1"/>
        <v>3030</v>
      </c>
      <c r="Z8" s="219">
        <f t="shared" si="1"/>
        <v>3030</v>
      </c>
      <c r="AA8" s="219">
        <f t="shared" si="1"/>
        <v>3030</v>
      </c>
      <c r="AB8" s="217">
        <f t="shared" si="1"/>
        <v>3030</v>
      </c>
      <c r="AC8" s="217"/>
    </row>
    <row r="9" spans="16:29">
      <c r="Q9" s="219"/>
      <c r="R9" s="219"/>
      <c r="S9" s="219"/>
      <c r="T9" s="219"/>
      <c r="U9" s="219"/>
      <c r="V9" s="219"/>
      <c r="W9" s="219"/>
      <c r="X9" s="219"/>
      <c r="Y9" s="219"/>
      <c r="Z9" s="219"/>
      <c r="AA9" s="219"/>
      <c r="AB9" s="217"/>
      <c r="AC9" s="217"/>
    </row>
    <row r="10" spans="16:29" ht="15.75" thickBot="1">
      <c r="Q10" s="219"/>
      <c r="R10" s="219"/>
      <c r="S10" s="219"/>
      <c r="T10" s="219"/>
      <c r="U10" s="219"/>
      <c r="V10" s="219"/>
      <c r="W10" s="219"/>
      <c r="X10" s="219"/>
      <c r="Y10" s="219"/>
      <c r="Z10" s="219"/>
      <c r="AA10" s="219"/>
      <c r="AB10" s="217"/>
      <c r="AC10" s="217"/>
    </row>
    <row r="11" spans="16:29" ht="15.75" thickBot="1">
      <c r="Q11" s="222">
        <v>45839</v>
      </c>
      <c r="R11" s="222">
        <v>45870</v>
      </c>
      <c r="S11" s="222">
        <v>45901</v>
      </c>
      <c r="T11" s="222">
        <v>45931</v>
      </c>
      <c r="U11" s="222">
        <v>45962</v>
      </c>
      <c r="V11" s="222">
        <v>45992</v>
      </c>
      <c r="W11" s="222">
        <v>46023</v>
      </c>
      <c r="X11" s="222">
        <v>46054</v>
      </c>
      <c r="Y11" s="222">
        <v>46082</v>
      </c>
      <c r="Z11" s="222">
        <v>46113</v>
      </c>
      <c r="AA11" s="222">
        <v>46143</v>
      </c>
      <c r="AB11" s="239">
        <v>46174</v>
      </c>
      <c r="AC11" s="152" t="s">
        <v>105</v>
      </c>
    </row>
    <row r="12" spans="16:29" ht="15.75" thickBot="1">
      <c r="P12" s="152" t="s">
        <v>62</v>
      </c>
      <c r="Q12" s="247"/>
      <c r="R12" s="237"/>
      <c r="S12" s="237"/>
      <c r="T12" s="237"/>
      <c r="U12" s="237"/>
      <c r="V12" s="237"/>
      <c r="W12" s="237"/>
      <c r="X12" s="237"/>
      <c r="Y12" s="237"/>
      <c r="Z12" s="247">
        <f>(H44+P44+X44+AF44)/4</f>
        <v>73.752173913043464</v>
      </c>
      <c r="AA12" s="247">
        <f>(H34+P34+X34+AF34)/4</f>
        <v>75.123214285714283</v>
      </c>
      <c r="AB12" s="240">
        <f>(H25+P25+X25+AF25+AO25)/5</f>
        <v>72.254989010989021</v>
      </c>
      <c r="AC12" s="231">
        <f>AVERAGE(Q12:AB12)</f>
        <v>73.710125736582256</v>
      </c>
    </row>
    <row r="13" spans="16:29" ht="15.75" thickBot="1">
      <c r="P13" s="261" t="s">
        <v>91</v>
      </c>
      <c r="Q13" s="247"/>
      <c r="R13" s="237"/>
      <c r="S13" s="237"/>
      <c r="T13" s="237"/>
      <c r="U13" s="237"/>
      <c r="V13" s="237"/>
      <c r="W13" s="237"/>
      <c r="X13" s="237"/>
      <c r="Y13" s="237"/>
      <c r="Z13" s="247">
        <f t="shared" ref="Z13:Z17" si="2">(H45+P45+X45+AF45)/4</f>
        <v>95.616428571428571</v>
      </c>
      <c r="AA13" s="247">
        <f t="shared" ref="AA13:AA17" si="3">(H35+P35+X35+AF35)/4</f>
        <v>88.630939849624056</v>
      </c>
      <c r="AB13" s="240">
        <f t="shared" ref="AB13:AB17" si="4">(H26+P26+X26+AF26+AO26)/5</f>
        <v>84.001714285714286</v>
      </c>
      <c r="AC13" s="231">
        <f t="shared" ref="AC13:AC17" si="5">AVERAGE(Q13:AB13)</f>
        <v>89.416360902255633</v>
      </c>
    </row>
    <row r="14" spans="16:29" ht="15.75" thickBot="1">
      <c r="P14" s="261" t="s">
        <v>92</v>
      </c>
      <c r="Q14" s="247"/>
      <c r="R14" s="237"/>
      <c r="S14" s="237"/>
      <c r="T14" s="237"/>
      <c r="U14" s="237"/>
      <c r="V14" s="237"/>
      <c r="W14" s="237"/>
      <c r="X14" s="237"/>
      <c r="Y14" s="242"/>
      <c r="Z14" s="247">
        <f t="shared" si="2"/>
        <v>82.5</v>
      </c>
      <c r="AA14" s="247">
        <f t="shared" si="3"/>
        <v>87.5</v>
      </c>
      <c r="AB14" s="240">
        <f t="shared" si="4"/>
        <v>78</v>
      </c>
      <c r="AC14" s="231">
        <f t="shared" si="5"/>
        <v>82.666666666666671</v>
      </c>
    </row>
    <row r="15" spans="16:29" ht="15.75" thickBot="1">
      <c r="P15" s="261" t="s">
        <v>93</v>
      </c>
      <c r="Q15" s="247"/>
      <c r="R15" s="237"/>
      <c r="S15" s="237"/>
      <c r="T15" s="237"/>
      <c r="U15" s="237"/>
      <c r="V15" s="237"/>
      <c r="W15" s="237"/>
      <c r="X15" s="237"/>
      <c r="Y15" s="237"/>
      <c r="Z15" s="247">
        <f t="shared" si="2"/>
        <v>78</v>
      </c>
      <c r="AA15" s="247">
        <f t="shared" si="3"/>
        <v>78.800000000000011</v>
      </c>
      <c r="AB15" s="240">
        <f t="shared" si="4"/>
        <v>70.88</v>
      </c>
      <c r="AC15" s="231">
        <f t="shared" si="5"/>
        <v>75.893333333333331</v>
      </c>
    </row>
    <row r="16" spans="16:29" ht="15.75" thickBot="1">
      <c r="P16" s="152" t="s">
        <v>94</v>
      </c>
      <c r="Q16" s="247"/>
      <c r="R16" s="237"/>
      <c r="S16" s="237"/>
      <c r="T16" s="237"/>
      <c r="U16" s="237"/>
      <c r="V16" s="237"/>
      <c r="W16" s="237"/>
      <c r="X16" s="237"/>
      <c r="Y16" s="237"/>
      <c r="Z16" s="247">
        <f t="shared" si="2"/>
        <v>76.915000000000006</v>
      </c>
      <c r="AA16" s="247">
        <f t="shared" si="3"/>
        <v>85.47999999999999</v>
      </c>
      <c r="AB16" s="240">
        <f t="shared" si="4"/>
        <v>78.135999999999996</v>
      </c>
      <c r="AC16" s="231">
        <f t="shared" si="5"/>
        <v>80.176999999999992</v>
      </c>
    </row>
    <row r="17" spans="1:41" ht="15.75" thickBot="1">
      <c r="P17" s="152" t="s">
        <v>111</v>
      </c>
      <c r="Q17" s="247"/>
      <c r="R17" s="237"/>
      <c r="S17" s="237"/>
      <c r="T17" s="237"/>
      <c r="U17" s="237"/>
      <c r="V17" s="237"/>
      <c r="W17" s="237"/>
      <c r="X17" s="237"/>
      <c r="Y17" s="237"/>
      <c r="Z17" s="247">
        <f t="shared" si="2"/>
        <v>86.107788702525539</v>
      </c>
      <c r="AA17" s="247">
        <f t="shared" si="3"/>
        <v>88.40523809523809</v>
      </c>
      <c r="AB17" s="240">
        <f t="shared" si="4"/>
        <v>79.669333333333327</v>
      </c>
      <c r="AC17" s="231">
        <f t="shared" si="5"/>
        <v>84.727453377032319</v>
      </c>
    </row>
    <row r="18" spans="1:41" ht="15.75" thickBot="1">
      <c r="A18" s="301"/>
      <c r="B18" s="316">
        <v>45839</v>
      </c>
      <c r="C18" s="316">
        <v>45870</v>
      </c>
      <c r="D18" s="316">
        <v>45901</v>
      </c>
      <c r="E18" s="316">
        <v>45931</v>
      </c>
      <c r="F18" s="316">
        <v>45962</v>
      </c>
      <c r="G18" s="316">
        <v>45992</v>
      </c>
      <c r="H18" s="316">
        <v>46023</v>
      </c>
      <c r="I18" s="316">
        <v>46054</v>
      </c>
      <c r="J18" s="316">
        <v>46082</v>
      </c>
      <c r="K18" s="316">
        <v>46113</v>
      </c>
      <c r="L18" s="316">
        <v>46143</v>
      </c>
      <c r="M18" s="316">
        <v>46174</v>
      </c>
      <c r="P18" s="152" t="s">
        <v>98</v>
      </c>
      <c r="Q18" s="247" t="e">
        <f>(Q2*Q12+Q3*Q13+Q4*Q14+Q5*Q15+Q6*Q16+#REF!*#REF!+#REF!*#REF!)/Q8</f>
        <v>#REF!</v>
      </c>
      <c r="R18" s="247" t="e">
        <f>(R2*R12+R3*R13+R4*R14+R5*R15+R6*R16+#REF!*#REF!+#REF!*#REF!)/R8</f>
        <v>#REF!</v>
      </c>
      <c r="S18" s="247" t="e">
        <f>(S2*S12+S3*S13+S4*S14+S5*S15+S6*S16+#REF!*#REF!+#REF!*#REF!)/S8</f>
        <v>#REF!</v>
      </c>
      <c r="T18" s="247" t="e">
        <f>(T2*T12+T3*T13+T4*T14+T5*T15+T6*T16+#REF!*#REF!+#REF!*#REF!)/T8</f>
        <v>#REF!</v>
      </c>
      <c r="U18" s="247" t="e">
        <f>(U2*U12+U3*U13+U4*U14+U5*U15+U6*U16+#REF!*#REF!+#REF!*#REF!)/U8</f>
        <v>#REF!</v>
      </c>
      <c r="V18" s="247" t="e">
        <f>(V2*V12+V3*V13+V4*V14+V5*V15+V6*V16+#REF!*#REF!+#REF!*#REF!)/V8</f>
        <v>#REF!</v>
      </c>
      <c r="W18" s="247" t="e">
        <f>(W2*W12+W3*W13+W4*W14+W5*W15+W6*W16+#REF!*#REF!+#REF!*#REF!+W7*W17)/W8</f>
        <v>#REF!</v>
      </c>
      <c r="X18" s="247" t="e">
        <f>(X2*X12+X3*X13+X4*X14+X5*X15+X6*X16+#REF!*#REF!+#REF!*#REF!+X7*X17)/X8</f>
        <v>#REF!</v>
      </c>
      <c r="Y18" s="247" t="e">
        <f>(Y2*Y12+Y3*Y13+Y4*Y14+Y5*Y15+Y6*Y16+#REF!*#REF!+#REF!*#REF!+Y7*Y17)/Y8</f>
        <v>#REF!</v>
      </c>
      <c r="Z18" s="240">
        <f t="shared" ref="Z18:AA18" si="6">(Z2*Z12+Z3*Z13+Z4*Z14+Z5*Z15+Z6*Z16+Z7*Z17)/Z8</f>
        <v>80.888657554291143</v>
      </c>
      <c r="AA18" s="240">
        <f t="shared" si="6"/>
        <v>82.914083579410573</v>
      </c>
      <c r="AB18" s="240">
        <f>(AB2*AB12+AB3*AB13+AB4*AB14+AB5*AB15+AB6*AB16+AB7*AB17)/AB8</f>
        <v>76.973453499196083</v>
      </c>
      <c r="AC18" s="231">
        <f>AVERAGE(AC12:AC17)</f>
        <v>81.098490002645036</v>
      </c>
    </row>
    <row r="19" spans="1:41" ht="15.75" thickBot="1">
      <c r="A19" s="152" t="s">
        <v>122</v>
      </c>
      <c r="B19" s="152"/>
      <c r="C19" s="152"/>
      <c r="D19" s="152"/>
      <c r="E19" s="152"/>
      <c r="F19" s="152"/>
      <c r="G19" s="152"/>
      <c r="H19" s="152"/>
      <c r="I19" s="152"/>
      <c r="J19" s="152"/>
      <c r="K19" s="231">
        <f>Z18</f>
        <v>80.888657554291143</v>
      </c>
      <c r="L19" s="231">
        <f>AA18</f>
        <v>82.914083579410573</v>
      </c>
      <c r="M19" s="231">
        <f>AB18</f>
        <v>76.973453499196083</v>
      </c>
      <c r="P19">
        <v>20</v>
      </c>
      <c r="X19">
        <v>19</v>
      </c>
    </row>
    <row r="20" spans="1:41" ht="15.75" thickBot="1">
      <c r="A20" s="152" t="s">
        <v>109</v>
      </c>
      <c r="B20" s="152"/>
      <c r="C20" s="152"/>
      <c r="D20" s="152"/>
      <c r="E20" s="152"/>
      <c r="F20" s="152"/>
      <c r="G20" s="152"/>
      <c r="H20" s="152"/>
      <c r="I20" s="152"/>
      <c r="J20" s="152"/>
      <c r="K20" s="152"/>
      <c r="L20" s="152"/>
      <c r="M20" s="152"/>
      <c r="P20" s="77"/>
    </row>
    <row r="21" spans="1:41" ht="15.75" thickBot="1">
      <c r="A21" s="152" t="s">
        <v>88</v>
      </c>
      <c r="B21" s="307">
        <v>85</v>
      </c>
      <c r="C21" s="307">
        <v>85</v>
      </c>
      <c r="D21" s="307">
        <v>85</v>
      </c>
      <c r="E21" s="307">
        <v>85</v>
      </c>
      <c r="F21" s="307">
        <v>85</v>
      </c>
      <c r="G21" s="307">
        <v>85</v>
      </c>
      <c r="H21" s="307">
        <v>85</v>
      </c>
      <c r="I21" s="307">
        <v>85</v>
      </c>
      <c r="J21" s="307">
        <v>85</v>
      </c>
      <c r="K21" s="307">
        <v>85</v>
      </c>
      <c r="L21" s="307">
        <v>85</v>
      </c>
      <c r="M21" s="307">
        <v>85</v>
      </c>
    </row>
    <row r="23" spans="1:41">
      <c r="D23">
        <v>23</v>
      </c>
      <c r="L23">
        <v>22</v>
      </c>
      <c r="S23">
        <v>21</v>
      </c>
      <c r="AB23">
        <v>20</v>
      </c>
      <c r="AK23">
        <v>19</v>
      </c>
    </row>
    <row r="24" spans="1:41">
      <c r="C24" t="s">
        <v>126</v>
      </c>
      <c r="D24" t="s">
        <v>127</v>
      </c>
      <c r="E24" t="s">
        <v>128</v>
      </c>
      <c r="F24" t="s">
        <v>129</v>
      </c>
      <c r="G24" t="s">
        <v>130</v>
      </c>
      <c r="K24" t="s">
        <v>126</v>
      </c>
      <c r="L24" t="s">
        <v>127</v>
      </c>
      <c r="M24" t="s">
        <v>128</v>
      </c>
      <c r="N24" t="s">
        <v>129</v>
      </c>
      <c r="O24" t="s">
        <v>130</v>
      </c>
      <c r="S24" t="s">
        <v>126</v>
      </c>
      <c r="T24" t="s">
        <v>127</v>
      </c>
      <c r="U24" t="s">
        <v>128</v>
      </c>
      <c r="V24" t="s">
        <v>129</v>
      </c>
      <c r="W24" t="s">
        <v>130</v>
      </c>
      <c r="AA24" t="s">
        <v>126</v>
      </c>
      <c r="AB24" t="s">
        <v>127</v>
      </c>
      <c r="AC24" t="s">
        <v>128</v>
      </c>
      <c r="AD24" t="s">
        <v>129</v>
      </c>
      <c r="AE24" t="s">
        <v>130</v>
      </c>
      <c r="AI24" t="s">
        <v>126</v>
      </c>
      <c r="AJ24" t="s">
        <v>127</v>
      </c>
      <c r="AK24" t="s">
        <v>128</v>
      </c>
      <c r="AL24" t="s">
        <v>129</v>
      </c>
      <c r="AM24" t="s">
        <v>130</v>
      </c>
    </row>
    <row r="25" spans="1:41">
      <c r="B25" t="s">
        <v>62</v>
      </c>
      <c r="C25" s="126">
        <v>65.400000000000006</v>
      </c>
      <c r="D25" s="126">
        <v>38.5</v>
      </c>
      <c r="E25" s="126">
        <v>57.7</v>
      </c>
      <c r="F25" s="126">
        <v>46.6</v>
      </c>
      <c r="G25" s="126">
        <v>93.846153846153854</v>
      </c>
      <c r="H25" s="126">
        <f>AVERAGE(C25:G25)</f>
        <v>60.409230769230774</v>
      </c>
      <c r="J25" t="s">
        <v>62</v>
      </c>
      <c r="K25" s="126">
        <v>46.4</v>
      </c>
      <c r="L25" s="126">
        <v>67.900000000000006</v>
      </c>
      <c r="M25" s="126">
        <v>85.7</v>
      </c>
      <c r="N25" s="126">
        <v>92.9</v>
      </c>
      <c r="O25" s="126">
        <v>96.428571428571416</v>
      </c>
      <c r="P25" s="126">
        <f>AVERAGE(K25:O25)</f>
        <v>77.86571428571429</v>
      </c>
      <c r="R25" t="s">
        <v>62</v>
      </c>
      <c r="S25">
        <v>73.099999999999994</v>
      </c>
      <c r="T25">
        <v>42.2</v>
      </c>
      <c r="U25">
        <v>73.099999999999994</v>
      </c>
      <c r="V25">
        <v>50</v>
      </c>
      <c r="W25" s="126">
        <v>95.833333333333343</v>
      </c>
      <c r="X25" s="126">
        <f>AVERAGE(S25:W25)</f>
        <v>66.846666666666664</v>
      </c>
      <c r="Z25" t="s">
        <v>62</v>
      </c>
      <c r="AA25">
        <v>69</v>
      </c>
      <c r="AB25">
        <v>19.2</v>
      </c>
      <c r="AC25">
        <v>88.5</v>
      </c>
      <c r="AD25">
        <v>96.6</v>
      </c>
      <c r="AE25">
        <v>100</v>
      </c>
      <c r="AF25" s="126">
        <f>AVERAGE(AA25:AE25)</f>
        <v>74.66</v>
      </c>
      <c r="AH25" t="s">
        <v>62</v>
      </c>
      <c r="AI25">
        <v>75</v>
      </c>
      <c r="AJ25">
        <v>83.3</v>
      </c>
      <c r="AK25">
        <v>75</v>
      </c>
      <c r="AL25">
        <v>75</v>
      </c>
      <c r="AM25" s="126">
        <v>99.166666666666657</v>
      </c>
      <c r="AN25" s="126">
        <v>81.493333333333339</v>
      </c>
      <c r="AO25" s="126">
        <f>AVERAGE(AI25:AN25)</f>
        <v>81.493333333333339</v>
      </c>
    </row>
    <row r="26" spans="1:41">
      <c r="A26" t="s">
        <v>131</v>
      </c>
      <c r="B26" t="s">
        <v>91</v>
      </c>
      <c r="C26" s="126">
        <v>78.599999999999994</v>
      </c>
      <c r="D26" s="126">
        <v>42.8</v>
      </c>
      <c r="E26" s="126">
        <v>92.9</v>
      </c>
      <c r="F26" s="126">
        <v>100</v>
      </c>
      <c r="G26" s="126">
        <v>97.142857142857139</v>
      </c>
      <c r="H26" s="126">
        <f t="shared" ref="H26:H30" si="7">AVERAGE(C26:G26)</f>
        <v>82.28857142857143</v>
      </c>
      <c r="J26" t="s">
        <v>91</v>
      </c>
      <c r="K26" s="126">
        <v>64.3</v>
      </c>
      <c r="L26" s="126">
        <v>85.7</v>
      </c>
      <c r="M26" s="126">
        <v>85.7</v>
      </c>
      <c r="N26" s="126">
        <v>100</v>
      </c>
      <c r="O26" s="126">
        <v>97.142857142857139</v>
      </c>
      <c r="P26" s="126">
        <f t="shared" ref="P26:P30" si="8">AVERAGE(K26:O26)</f>
        <v>86.568571428571431</v>
      </c>
      <c r="R26" t="s">
        <v>91</v>
      </c>
      <c r="S26">
        <v>71.400000000000006</v>
      </c>
      <c r="T26">
        <v>55.7</v>
      </c>
      <c r="U26">
        <v>85.7</v>
      </c>
      <c r="V26">
        <v>100</v>
      </c>
      <c r="W26" s="126">
        <v>97.142857142857139</v>
      </c>
      <c r="X26" s="126">
        <f t="shared" ref="X26:X30" si="9">AVERAGE(S26:W26)</f>
        <v>81.988571428571433</v>
      </c>
      <c r="Z26" t="s">
        <v>91</v>
      </c>
      <c r="AA26">
        <v>71.400000000000006</v>
      </c>
      <c r="AB26">
        <v>71.400000000000006</v>
      </c>
      <c r="AC26">
        <v>85.7</v>
      </c>
      <c r="AD26">
        <v>100</v>
      </c>
      <c r="AE26" s="126">
        <v>97.142857142857139</v>
      </c>
      <c r="AF26" s="126">
        <f t="shared" ref="AF26:AF30" si="10">AVERAGE(AA26:AE26)</f>
        <v>85.128571428571419</v>
      </c>
      <c r="AH26" t="s">
        <v>91</v>
      </c>
      <c r="AI26">
        <v>50</v>
      </c>
      <c r="AJ26">
        <v>78.599999999999994</v>
      </c>
      <c r="AK26">
        <v>93</v>
      </c>
      <c r="AL26">
        <v>100</v>
      </c>
      <c r="AM26" s="126">
        <v>98.571428571428584</v>
      </c>
      <c r="AN26" s="126">
        <v>84.034285714285716</v>
      </c>
      <c r="AO26" s="126">
        <f t="shared" ref="AO26:AO29" si="11">AVERAGE(AI26:AN26)</f>
        <v>84.034285714285716</v>
      </c>
    </row>
    <row r="27" spans="1:41">
      <c r="B27" t="s">
        <v>111</v>
      </c>
      <c r="C27" s="126">
        <v>50</v>
      </c>
      <c r="D27" s="126">
        <v>100</v>
      </c>
      <c r="E27" s="126">
        <v>100</v>
      </c>
      <c r="F27" s="126">
        <v>100</v>
      </c>
      <c r="G27" s="126">
        <v>100</v>
      </c>
      <c r="H27" s="126">
        <f t="shared" si="7"/>
        <v>90</v>
      </c>
      <c r="J27" t="s">
        <v>111</v>
      </c>
      <c r="K27">
        <v>100</v>
      </c>
      <c r="L27">
        <v>100</v>
      </c>
      <c r="M27">
        <v>50</v>
      </c>
      <c r="N27">
        <v>100</v>
      </c>
      <c r="O27">
        <v>100</v>
      </c>
      <c r="P27" s="126">
        <f t="shared" si="8"/>
        <v>90</v>
      </c>
      <c r="R27" t="s">
        <v>111</v>
      </c>
      <c r="S27">
        <v>0</v>
      </c>
      <c r="T27">
        <v>100</v>
      </c>
      <c r="U27">
        <v>50</v>
      </c>
      <c r="V27">
        <v>100</v>
      </c>
      <c r="W27" s="126">
        <v>100</v>
      </c>
      <c r="X27" s="126">
        <f t="shared" si="9"/>
        <v>70</v>
      </c>
      <c r="Z27" t="s">
        <v>111</v>
      </c>
      <c r="AA27">
        <v>0</v>
      </c>
      <c r="AB27">
        <v>100</v>
      </c>
      <c r="AC27">
        <v>100</v>
      </c>
      <c r="AD27">
        <v>100</v>
      </c>
      <c r="AE27">
        <v>100</v>
      </c>
      <c r="AF27" s="126">
        <f t="shared" si="10"/>
        <v>80</v>
      </c>
      <c r="AH27" t="s">
        <v>111</v>
      </c>
      <c r="AI27">
        <v>100</v>
      </c>
      <c r="AJ27">
        <v>100</v>
      </c>
      <c r="AK27">
        <v>0</v>
      </c>
      <c r="AL27">
        <v>0</v>
      </c>
      <c r="AM27">
        <v>100</v>
      </c>
      <c r="AN27">
        <v>60</v>
      </c>
      <c r="AO27" s="126">
        <f t="shared" si="11"/>
        <v>60</v>
      </c>
    </row>
    <row r="28" spans="1:41">
      <c r="B28" t="s">
        <v>93</v>
      </c>
      <c r="C28" s="126">
        <v>60</v>
      </c>
      <c r="D28" s="126">
        <v>100</v>
      </c>
      <c r="E28" s="126">
        <v>60</v>
      </c>
      <c r="F28" s="126">
        <v>0</v>
      </c>
      <c r="G28" s="126">
        <v>96</v>
      </c>
      <c r="H28" s="126">
        <f t="shared" si="7"/>
        <v>63.2</v>
      </c>
      <c r="J28" t="s">
        <v>93</v>
      </c>
      <c r="K28">
        <v>80</v>
      </c>
      <c r="L28">
        <v>100</v>
      </c>
      <c r="M28">
        <v>60</v>
      </c>
      <c r="N28">
        <v>0</v>
      </c>
      <c r="O28">
        <v>100</v>
      </c>
      <c r="P28" s="126">
        <f t="shared" si="8"/>
        <v>68</v>
      </c>
      <c r="R28" t="s">
        <v>93</v>
      </c>
      <c r="S28">
        <v>40</v>
      </c>
      <c r="T28">
        <v>100</v>
      </c>
      <c r="U28">
        <v>40</v>
      </c>
      <c r="V28">
        <v>0</v>
      </c>
      <c r="W28" s="126">
        <v>100</v>
      </c>
      <c r="X28" s="126">
        <f t="shared" si="9"/>
        <v>56</v>
      </c>
      <c r="Z28" t="s">
        <v>93</v>
      </c>
      <c r="AA28">
        <v>80</v>
      </c>
      <c r="AB28">
        <v>100</v>
      </c>
      <c r="AC28">
        <v>100</v>
      </c>
      <c r="AD28">
        <v>100</v>
      </c>
      <c r="AE28">
        <v>96</v>
      </c>
      <c r="AF28" s="126">
        <f t="shared" si="10"/>
        <v>95.2</v>
      </c>
      <c r="AH28" t="s">
        <v>93</v>
      </c>
      <c r="AI28">
        <v>80</v>
      </c>
      <c r="AJ28">
        <v>100</v>
      </c>
      <c r="AK28">
        <v>80</v>
      </c>
      <c r="AL28">
        <v>0</v>
      </c>
      <c r="AM28">
        <v>100</v>
      </c>
      <c r="AN28">
        <v>72</v>
      </c>
      <c r="AO28" s="126">
        <f t="shared" si="11"/>
        <v>72</v>
      </c>
    </row>
    <row r="29" spans="1:41">
      <c r="B29" t="s">
        <v>97</v>
      </c>
      <c r="C29" s="126">
        <v>100</v>
      </c>
      <c r="D29" s="126">
        <v>66.7</v>
      </c>
      <c r="E29" s="126">
        <v>91.7</v>
      </c>
      <c r="F29" s="126">
        <v>75</v>
      </c>
      <c r="G29" s="126">
        <v>96.666666666666657</v>
      </c>
      <c r="H29" s="126">
        <f t="shared" si="7"/>
        <v>86.013333333333321</v>
      </c>
      <c r="J29" t="s">
        <v>97</v>
      </c>
      <c r="K29">
        <v>100</v>
      </c>
      <c r="L29">
        <v>16.8</v>
      </c>
      <c r="M29">
        <v>83.3</v>
      </c>
      <c r="N29">
        <v>58.3</v>
      </c>
      <c r="O29">
        <v>95</v>
      </c>
      <c r="P29" s="126">
        <f t="shared" si="8"/>
        <v>70.679999999999993</v>
      </c>
      <c r="R29" t="s">
        <v>97</v>
      </c>
      <c r="S29">
        <v>100</v>
      </c>
      <c r="T29">
        <v>8.3000000000000007</v>
      </c>
      <c r="U29">
        <v>75</v>
      </c>
      <c r="V29">
        <v>58.3</v>
      </c>
      <c r="W29" s="126">
        <v>78.333333333333329</v>
      </c>
      <c r="X29" s="126">
        <f t="shared" si="9"/>
        <v>63.986666666666665</v>
      </c>
      <c r="Z29" t="s">
        <v>97</v>
      </c>
      <c r="AA29">
        <v>100</v>
      </c>
      <c r="AB29">
        <v>58.3</v>
      </c>
      <c r="AC29">
        <v>66.7</v>
      </c>
      <c r="AD29">
        <v>58.3</v>
      </c>
      <c r="AE29">
        <v>100</v>
      </c>
      <c r="AF29" s="126">
        <f t="shared" si="10"/>
        <v>76.66</v>
      </c>
      <c r="AH29" t="s">
        <v>97</v>
      </c>
      <c r="AI29">
        <v>91.7</v>
      </c>
      <c r="AJ29">
        <v>100</v>
      </c>
      <c r="AK29">
        <v>83.3</v>
      </c>
      <c r="AL29">
        <v>91.7</v>
      </c>
      <c r="AM29">
        <v>100</v>
      </c>
      <c r="AN29" s="126">
        <v>93.34</v>
      </c>
      <c r="AO29" s="126">
        <f t="shared" si="11"/>
        <v>93.339999999999989</v>
      </c>
    </row>
    <row r="30" spans="1:41">
      <c r="B30" t="s">
        <v>92</v>
      </c>
      <c r="C30" s="126">
        <v>100</v>
      </c>
      <c r="D30" s="126">
        <v>75</v>
      </c>
      <c r="E30" s="126">
        <v>91.7</v>
      </c>
      <c r="F30" s="126">
        <v>100</v>
      </c>
      <c r="G30" s="126">
        <v>95</v>
      </c>
      <c r="H30" s="126">
        <f t="shared" si="7"/>
        <v>92.34</v>
      </c>
      <c r="J30" t="s">
        <v>92</v>
      </c>
      <c r="K30">
        <v>91.7</v>
      </c>
      <c r="L30">
        <v>41.7</v>
      </c>
      <c r="M30">
        <v>91.7</v>
      </c>
      <c r="N30">
        <v>100</v>
      </c>
      <c r="O30">
        <v>100</v>
      </c>
      <c r="P30" s="126">
        <f t="shared" si="8"/>
        <v>85.02000000000001</v>
      </c>
      <c r="R30" t="s">
        <v>92</v>
      </c>
      <c r="S30">
        <v>58.3</v>
      </c>
      <c r="T30">
        <v>41.7</v>
      </c>
      <c r="U30">
        <v>91.7</v>
      </c>
      <c r="V30">
        <v>100</v>
      </c>
      <c r="W30" s="126">
        <v>98.333333333333343</v>
      </c>
      <c r="X30" s="126">
        <f t="shared" si="9"/>
        <v>78.006666666666661</v>
      </c>
      <c r="Z30" t="s">
        <v>92</v>
      </c>
      <c r="AA30">
        <v>25</v>
      </c>
      <c r="AB30">
        <v>25</v>
      </c>
      <c r="AC30">
        <v>83.3</v>
      </c>
      <c r="AD30">
        <v>100</v>
      </c>
      <c r="AE30">
        <v>95</v>
      </c>
      <c r="AF30" s="126">
        <f t="shared" si="10"/>
        <v>65.66</v>
      </c>
      <c r="AH30" t="s">
        <v>92</v>
      </c>
      <c r="AI30">
        <v>58.3</v>
      </c>
      <c r="AJ30">
        <v>83.3</v>
      </c>
      <c r="AK30">
        <v>58.3</v>
      </c>
      <c r="AL30">
        <v>91.7</v>
      </c>
      <c r="AM30">
        <v>95</v>
      </c>
      <c r="AN30" s="126">
        <v>77.319999999999993</v>
      </c>
      <c r="AO30" s="126">
        <f>AVERAGE(AI30:AN30)</f>
        <v>77.319999999999993</v>
      </c>
    </row>
    <row r="32" spans="1:41">
      <c r="E32" s="126">
        <v>18</v>
      </c>
      <c r="M32">
        <v>17</v>
      </c>
      <c r="U32">
        <v>16</v>
      </c>
    </row>
    <row r="33" spans="1:33">
      <c r="C33" t="s">
        <v>126</v>
      </c>
      <c r="D33" t="s">
        <v>127</v>
      </c>
      <c r="E33" t="s">
        <v>128</v>
      </c>
      <c r="F33" t="s">
        <v>129</v>
      </c>
      <c r="G33" t="s">
        <v>130</v>
      </c>
      <c r="K33" t="s">
        <v>126</v>
      </c>
      <c r="L33" t="s">
        <v>127</v>
      </c>
      <c r="M33" t="s">
        <v>128</v>
      </c>
      <c r="N33" t="s">
        <v>129</v>
      </c>
      <c r="O33" t="s">
        <v>130</v>
      </c>
      <c r="S33" t="s">
        <v>126</v>
      </c>
      <c r="T33" t="s">
        <v>127</v>
      </c>
      <c r="U33" t="s">
        <v>128</v>
      </c>
      <c r="V33" t="s">
        <v>129</v>
      </c>
      <c r="W33" t="s">
        <v>130</v>
      </c>
      <c r="AA33" t="s">
        <v>126</v>
      </c>
      <c r="AB33" t="s">
        <v>127</v>
      </c>
      <c r="AC33" t="s">
        <v>128</v>
      </c>
      <c r="AD33" t="s">
        <v>129</v>
      </c>
      <c r="AE33" t="s">
        <v>130</v>
      </c>
    </row>
    <row r="34" spans="1:33">
      <c r="A34" t="s">
        <v>132</v>
      </c>
      <c r="B34" t="s">
        <v>62</v>
      </c>
      <c r="C34" s="126">
        <v>65.599999999999994</v>
      </c>
      <c r="D34" s="126">
        <v>89.3</v>
      </c>
      <c r="E34" s="126">
        <v>65.5</v>
      </c>
      <c r="F34" s="126">
        <v>58.6</v>
      </c>
      <c r="G34" s="126">
        <v>95</v>
      </c>
      <c r="H34" s="126">
        <v>74.8</v>
      </c>
      <c r="J34" t="s">
        <v>62</v>
      </c>
      <c r="K34" s="126">
        <v>60.7</v>
      </c>
      <c r="L34" s="126">
        <v>89.3</v>
      </c>
      <c r="M34" s="126">
        <v>92.8</v>
      </c>
      <c r="N34" s="126">
        <v>25</v>
      </c>
      <c r="O34" s="126">
        <v>97.857142857142861</v>
      </c>
      <c r="P34" s="126">
        <v>73.131428571428572</v>
      </c>
      <c r="R34" t="s">
        <v>62</v>
      </c>
      <c r="S34" s="126">
        <v>85.7</v>
      </c>
      <c r="T34" s="126">
        <v>89.3</v>
      </c>
      <c r="U34" s="126">
        <v>85.7</v>
      </c>
      <c r="V34" s="126">
        <v>39.200000000000003</v>
      </c>
      <c r="W34" s="126">
        <v>97.857142857142861</v>
      </c>
      <c r="X34" s="126">
        <v>79.551428571428573</v>
      </c>
      <c r="Z34" t="s">
        <v>62</v>
      </c>
      <c r="AA34" s="126">
        <v>87.5</v>
      </c>
      <c r="AB34" s="126">
        <v>87.5</v>
      </c>
      <c r="AC34" s="126">
        <v>62.5</v>
      </c>
      <c r="AD34" s="126">
        <v>31.3</v>
      </c>
      <c r="AE34" s="126">
        <v>96.25</v>
      </c>
      <c r="AF34" s="126">
        <v>73.010000000000005</v>
      </c>
      <c r="AG34" s="126"/>
    </row>
    <row r="35" spans="1:33">
      <c r="B35" t="s">
        <v>91</v>
      </c>
      <c r="C35" s="126">
        <v>71.400000000000006</v>
      </c>
      <c r="D35" s="126">
        <v>85.7</v>
      </c>
      <c r="E35" s="126">
        <v>85.7</v>
      </c>
      <c r="F35" s="126">
        <v>100</v>
      </c>
      <c r="G35" s="126">
        <v>98.571428571428584</v>
      </c>
      <c r="H35" s="126">
        <v>88.274285714285725</v>
      </c>
      <c r="J35" t="s">
        <v>91</v>
      </c>
      <c r="K35" s="126">
        <v>64.3</v>
      </c>
      <c r="L35" s="126">
        <v>78.599999999999994</v>
      </c>
      <c r="M35" s="126">
        <v>92.9</v>
      </c>
      <c r="N35" s="126">
        <v>100</v>
      </c>
      <c r="O35" s="126">
        <v>100</v>
      </c>
      <c r="P35" s="126">
        <v>87.16</v>
      </c>
      <c r="R35" t="s">
        <v>91</v>
      </c>
      <c r="S35" s="126">
        <v>84.2</v>
      </c>
      <c r="T35" s="126">
        <v>89.5</v>
      </c>
      <c r="U35" s="126">
        <v>94.7</v>
      </c>
      <c r="V35" s="126">
        <v>94.7</v>
      </c>
      <c r="W35" s="126">
        <v>98.94736842105263</v>
      </c>
      <c r="X35" s="126">
        <v>92.409473684210525</v>
      </c>
      <c r="Z35" t="s">
        <v>91</v>
      </c>
      <c r="AA35" s="126">
        <v>77.8</v>
      </c>
      <c r="AB35" s="126">
        <v>55.6</v>
      </c>
      <c r="AC35" s="126">
        <v>100</v>
      </c>
      <c r="AD35" s="126">
        <v>100</v>
      </c>
      <c r="AE35" s="126">
        <v>100</v>
      </c>
      <c r="AF35" s="126">
        <v>86.679999999999993</v>
      </c>
      <c r="AG35" s="126"/>
    </row>
    <row r="36" spans="1:33">
      <c r="B36" t="s">
        <v>111</v>
      </c>
      <c r="C36" s="126">
        <v>50</v>
      </c>
      <c r="D36" s="126">
        <v>100</v>
      </c>
      <c r="E36" s="126">
        <v>100</v>
      </c>
      <c r="F36" s="126">
        <v>0</v>
      </c>
      <c r="G36" s="126">
        <v>100</v>
      </c>
      <c r="H36" s="126">
        <v>70</v>
      </c>
      <c r="J36" t="s">
        <v>111</v>
      </c>
      <c r="K36" s="126">
        <v>0</v>
      </c>
      <c r="L36" s="126">
        <v>100</v>
      </c>
      <c r="M36" s="126">
        <v>100</v>
      </c>
      <c r="N36" s="126">
        <v>100</v>
      </c>
      <c r="O36" s="126">
        <v>100</v>
      </c>
      <c r="P36" s="126">
        <v>80</v>
      </c>
      <c r="R36" t="s">
        <v>111</v>
      </c>
      <c r="S36" s="126">
        <v>100</v>
      </c>
      <c r="T36" s="126">
        <v>100</v>
      </c>
      <c r="U36" s="126">
        <v>100</v>
      </c>
      <c r="V36" s="126">
        <v>100</v>
      </c>
      <c r="W36" s="126">
        <v>100</v>
      </c>
      <c r="X36" s="126">
        <v>100</v>
      </c>
      <c r="Z36" t="s">
        <v>111</v>
      </c>
      <c r="AA36" s="126">
        <v>100</v>
      </c>
      <c r="AB36" s="126">
        <v>100</v>
      </c>
      <c r="AC36" s="126">
        <v>100</v>
      </c>
      <c r="AD36" s="126">
        <v>100</v>
      </c>
      <c r="AE36" s="126">
        <v>100</v>
      </c>
      <c r="AF36" s="126">
        <v>100</v>
      </c>
      <c r="AG36" s="126"/>
    </row>
    <row r="37" spans="1:33">
      <c r="B37" t="s">
        <v>93</v>
      </c>
      <c r="C37" s="126">
        <v>100</v>
      </c>
      <c r="D37" s="126">
        <v>100</v>
      </c>
      <c r="E37" s="126">
        <v>60</v>
      </c>
      <c r="F37" s="126">
        <v>0</v>
      </c>
      <c r="G37" s="126">
        <v>88</v>
      </c>
      <c r="H37" s="126">
        <v>69.599999999999994</v>
      </c>
      <c r="J37" t="s">
        <v>93</v>
      </c>
      <c r="K37" s="126">
        <v>20</v>
      </c>
      <c r="L37" s="126">
        <v>100</v>
      </c>
      <c r="M37" s="126">
        <v>100</v>
      </c>
      <c r="N37" s="126">
        <v>100</v>
      </c>
      <c r="O37" s="126">
        <v>96</v>
      </c>
      <c r="P37" s="126">
        <v>83.2</v>
      </c>
      <c r="R37" t="s">
        <v>93</v>
      </c>
      <c r="S37" s="126">
        <v>100</v>
      </c>
      <c r="T37" s="126">
        <v>100</v>
      </c>
      <c r="U37" s="126">
        <v>100</v>
      </c>
      <c r="V37" s="126">
        <v>40</v>
      </c>
      <c r="W37" s="126">
        <v>92</v>
      </c>
      <c r="X37" s="126">
        <v>86.4</v>
      </c>
      <c r="Z37" t="s">
        <v>93</v>
      </c>
      <c r="AA37" s="126">
        <v>80</v>
      </c>
      <c r="AB37" s="126">
        <v>100</v>
      </c>
      <c r="AC37" s="126">
        <v>100</v>
      </c>
      <c r="AD37" s="126">
        <v>0</v>
      </c>
      <c r="AE37" s="126">
        <v>100</v>
      </c>
      <c r="AF37" s="126">
        <v>76</v>
      </c>
      <c r="AG37" s="126"/>
    </row>
    <row r="38" spans="1:33">
      <c r="B38" t="s">
        <v>97</v>
      </c>
      <c r="C38" s="126">
        <v>91.7</v>
      </c>
      <c r="D38" s="126">
        <v>83.3</v>
      </c>
      <c r="E38" s="126">
        <v>100</v>
      </c>
      <c r="F38" s="126">
        <v>100</v>
      </c>
      <c r="G38" s="126">
        <v>100</v>
      </c>
      <c r="H38" s="126">
        <v>95</v>
      </c>
      <c r="J38" t="s">
        <v>97</v>
      </c>
      <c r="K38" s="126">
        <v>58</v>
      </c>
      <c r="L38" s="126">
        <v>83.3</v>
      </c>
      <c r="M38" s="126">
        <v>100</v>
      </c>
      <c r="N38" s="126">
        <v>100</v>
      </c>
      <c r="O38" s="126">
        <v>100</v>
      </c>
      <c r="P38" s="126">
        <v>88.26</v>
      </c>
      <c r="R38" t="s">
        <v>97</v>
      </c>
      <c r="S38" s="126">
        <v>100</v>
      </c>
      <c r="T38" s="126">
        <v>100</v>
      </c>
      <c r="U38" s="126">
        <v>93.3</v>
      </c>
      <c r="V38" s="126">
        <v>0</v>
      </c>
      <c r="W38" s="126">
        <v>100</v>
      </c>
      <c r="X38" s="126">
        <v>78.66</v>
      </c>
      <c r="Z38" t="s">
        <v>97</v>
      </c>
      <c r="AA38" s="126">
        <v>89</v>
      </c>
      <c r="AB38" s="126">
        <v>89</v>
      </c>
      <c r="AC38" s="126">
        <v>100</v>
      </c>
      <c r="AD38" s="126">
        <v>22</v>
      </c>
      <c r="AE38" s="126">
        <v>100</v>
      </c>
      <c r="AF38" s="126">
        <v>80</v>
      </c>
      <c r="AG38" s="126"/>
    </row>
    <row r="39" spans="1:33">
      <c r="B39" t="s">
        <v>92</v>
      </c>
      <c r="C39" s="126">
        <v>75</v>
      </c>
      <c r="D39" s="126">
        <v>100</v>
      </c>
      <c r="E39" s="126">
        <v>75</v>
      </c>
      <c r="F39" s="126">
        <v>100</v>
      </c>
      <c r="G39" s="126">
        <v>98.333333333333343</v>
      </c>
      <c r="H39" s="126">
        <v>89.666666666666671</v>
      </c>
      <c r="J39" t="s">
        <v>92</v>
      </c>
      <c r="K39" s="126">
        <v>85.7</v>
      </c>
      <c r="L39" s="126">
        <v>71.400000000000006</v>
      </c>
      <c r="M39" s="126">
        <v>78.599999999999994</v>
      </c>
      <c r="N39" s="126">
        <v>100</v>
      </c>
      <c r="O39" s="126">
        <v>98.571428571428584</v>
      </c>
      <c r="P39" s="126">
        <v>86.854285714285723</v>
      </c>
      <c r="R39" t="s">
        <v>92</v>
      </c>
      <c r="S39" s="126">
        <v>76.5</v>
      </c>
      <c r="T39" s="126">
        <v>100</v>
      </c>
      <c r="U39" s="126">
        <v>76.5</v>
      </c>
      <c r="V39" s="126">
        <v>76.5</v>
      </c>
      <c r="W39" s="126">
        <v>100</v>
      </c>
      <c r="X39" s="126">
        <v>85.9</v>
      </c>
      <c r="Z39" t="s">
        <v>92</v>
      </c>
      <c r="AA39" s="126">
        <v>56</v>
      </c>
      <c r="AB39" s="126">
        <v>100</v>
      </c>
      <c r="AC39" s="126">
        <v>100</v>
      </c>
      <c r="AD39" s="126">
        <v>100</v>
      </c>
      <c r="AE39" s="126">
        <v>100</v>
      </c>
      <c r="AF39" s="126">
        <v>91.2</v>
      </c>
      <c r="AG39" s="126"/>
    </row>
    <row r="42" spans="1:33">
      <c r="E42">
        <v>14</v>
      </c>
      <c r="M42">
        <v>13</v>
      </c>
      <c r="U42">
        <v>12</v>
      </c>
      <c r="AC42">
        <v>11</v>
      </c>
    </row>
    <row r="43" spans="1:33">
      <c r="C43" t="s">
        <v>126</v>
      </c>
      <c r="D43" t="s">
        <v>127</v>
      </c>
      <c r="E43" t="s">
        <v>128</v>
      </c>
      <c r="F43" t="s">
        <v>129</v>
      </c>
      <c r="G43" t="s">
        <v>130</v>
      </c>
      <c r="K43" t="s">
        <v>126</v>
      </c>
      <c r="L43" t="s">
        <v>127</v>
      </c>
      <c r="M43" t="s">
        <v>128</v>
      </c>
      <c r="N43" t="s">
        <v>129</v>
      </c>
      <c r="O43" t="s">
        <v>130</v>
      </c>
      <c r="S43" t="s">
        <v>126</v>
      </c>
      <c r="T43" t="s">
        <v>127</v>
      </c>
      <c r="U43" t="s">
        <v>128</v>
      </c>
      <c r="V43" t="s">
        <v>129</v>
      </c>
      <c r="W43" t="s">
        <v>130</v>
      </c>
      <c r="AA43" t="s">
        <v>126</v>
      </c>
      <c r="AB43" t="s">
        <v>127</v>
      </c>
      <c r="AC43" t="s">
        <v>128</v>
      </c>
      <c r="AD43" t="s">
        <v>129</v>
      </c>
      <c r="AE43" t="s">
        <v>130</v>
      </c>
      <c r="AF43" t="s">
        <v>133</v>
      </c>
    </row>
    <row r="44" spans="1:33">
      <c r="B44" t="s">
        <v>62</v>
      </c>
      <c r="C44" s="126">
        <v>86.2</v>
      </c>
      <c r="D44" s="126">
        <v>86.9</v>
      </c>
      <c r="E44" s="126">
        <v>56.5</v>
      </c>
      <c r="F44" s="126">
        <v>34.799999999999997</v>
      </c>
      <c r="G44" s="126">
        <v>98.260869565217376</v>
      </c>
      <c r="H44" s="126">
        <v>72.532173913043479</v>
      </c>
      <c r="J44" t="s">
        <v>62</v>
      </c>
      <c r="K44" s="126">
        <v>91.3</v>
      </c>
      <c r="L44" s="126">
        <v>100</v>
      </c>
      <c r="M44" s="126">
        <v>82.6</v>
      </c>
      <c r="N44" s="126">
        <v>39.1</v>
      </c>
      <c r="O44" s="126">
        <v>99.130434782608688</v>
      </c>
      <c r="P44" s="126">
        <v>82.426086956521743</v>
      </c>
      <c r="R44" t="s">
        <v>62</v>
      </c>
      <c r="S44" s="126">
        <v>82.6</v>
      </c>
      <c r="T44" s="126">
        <v>100</v>
      </c>
      <c r="U44" s="126">
        <v>78.3</v>
      </c>
      <c r="V44" s="126">
        <v>4.3</v>
      </c>
      <c r="W44" s="126">
        <v>97.391304347826093</v>
      </c>
      <c r="X44" s="126">
        <v>72.518260869565211</v>
      </c>
      <c r="Z44" t="s">
        <v>62</v>
      </c>
      <c r="AA44" s="126">
        <v>87</v>
      </c>
      <c r="AB44" s="126">
        <v>78.3</v>
      </c>
      <c r="AC44" s="126">
        <v>69.599999999999994</v>
      </c>
      <c r="AD44" s="126">
        <v>4.5</v>
      </c>
      <c r="AE44" s="126">
        <v>98.260869565217376</v>
      </c>
      <c r="AF44" s="126">
        <v>67.532173913043465</v>
      </c>
    </row>
    <row r="45" spans="1:33">
      <c r="B45" t="s">
        <v>91</v>
      </c>
      <c r="C45" s="126">
        <v>92.6</v>
      </c>
      <c r="D45" s="126">
        <v>100</v>
      </c>
      <c r="E45" s="126">
        <v>100</v>
      </c>
      <c r="F45" s="126">
        <v>100</v>
      </c>
      <c r="G45" s="126">
        <v>94.285714285714292</v>
      </c>
      <c r="H45" s="126">
        <v>97.377142857142857</v>
      </c>
      <c r="J45" t="s">
        <v>91</v>
      </c>
      <c r="K45" s="126">
        <v>78.599999999999994</v>
      </c>
      <c r="L45" s="126">
        <v>100</v>
      </c>
      <c r="M45" s="126">
        <v>92.9</v>
      </c>
      <c r="N45" s="126">
        <v>100</v>
      </c>
      <c r="O45" s="126">
        <v>97.142857142857139</v>
      </c>
      <c r="P45" s="126">
        <v>93.728571428571428</v>
      </c>
      <c r="R45" t="s">
        <v>91</v>
      </c>
      <c r="S45" s="126">
        <v>92.9</v>
      </c>
      <c r="T45" s="126">
        <v>100</v>
      </c>
      <c r="U45" s="126">
        <v>100</v>
      </c>
      <c r="V45" s="126">
        <v>100</v>
      </c>
      <c r="W45" s="126">
        <v>100</v>
      </c>
      <c r="X45" s="126">
        <v>98.58</v>
      </c>
      <c r="Z45" t="s">
        <v>91</v>
      </c>
      <c r="AA45" s="126">
        <v>71</v>
      </c>
      <c r="AB45" s="126">
        <v>92.9</v>
      </c>
      <c r="AC45" s="126">
        <v>100</v>
      </c>
      <c r="AD45" s="126">
        <v>100</v>
      </c>
      <c r="AE45" s="126">
        <v>100</v>
      </c>
      <c r="AF45" s="126">
        <v>92.78</v>
      </c>
    </row>
    <row r="46" spans="1:33">
      <c r="A46" t="s">
        <v>134</v>
      </c>
      <c r="B46" t="s">
        <v>111</v>
      </c>
      <c r="C46" s="126">
        <v>50</v>
      </c>
      <c r="D46" s="126">
        <v>100</v>
      </c>
      <c r="E46" s="126">
        <v>50</v>
      </c>
      <c r="F46" s="126">
        <v>0</v>
      </c>
      <c r="G46" s="126">
        <v>100</v>
      </c>
      <c r="H46" s="126">
        <v>60</v>
      </c>
      <c r="J46" t="s">
        <v>111</v>
      </c>
      <c r="K46" s="126">
        <v>50</v>
      </c>
      <c r="L46" s="126">
        <v>100</v>
      </c>
      <c r="M46" s="126">
        <v>50</v>
      </c>
      <c r="N46" s="126">
        <v>100</v>
      </c>
      <c r="O46" s="126">
        <v>100</v>
      </c>
      <c r="P46" s="126">
        <v>80</v>
      </c>
      <c r="R46" t="s">
        <v>111</v>
      </c>
      <c r="S46" s="126">
        <v>50</v>
      </c>
      <c r="T46" s="126">
        <v>100</v>
      </c>
      <c r="U46" s="126">
        <v>100</v>
      </c>
      <c r="V46" s="126">
        <v>100</v>
      </c>
      <c r="W46" s="126">
        <v>100</v>
      </c>
      <c r="X46" s="126">
        <v>90</v>
      </c>
      <c r="Z46" t="s">
        <v>111</v>
      </c>
      <c r="AA46" s="126">
        <v>100</v>
      </c>
      <c r="AB46" s="126">
        <v>100</v>
      </c>
      <c r="AC46" s="126">
        <v>100</v>
      </c>
      <c r="AD46" s="126">
        <v>100</v>
      </c>
      <c r="AE46" s="126">
        <v>100</v>
      </c>
      <c r="AF46" s="126">
        <v>100</v>
      </c>
    </row>
    <row r="47" spans="1:33">
      <c r="B47" t="s">
        <v>93</v>
      </c>
      <c r="C47" s="126">
        <v>80</v>
      </c>
      <c r="D47" s="126">
        <v>100</v>
      </c>
      <c r="E47" s="126">
        <v>80</v>
      </c>
      <c r="F47" s="126">
        <v>80</v>
      </c>
      <c r="G47" s="126">
        <v>80</v>
      </c>
      <c r="H47" s="126">
        <v>84</v>
      </c>
      <c r="J47" t="s">
        <v>93</v>
      </c>
      <c r="K47" s="126">
        <v>80</v>
      </c>
      <c r="L47" s="126">
        <v>100</v>
      </c>
      <c r="M47" s="126">
        <v>80</v>
      </c>
      <c r="N47" s="126">
        <v>20</v>
      </c>
      <c r="O47" s="126">
        <v>80</v>
      </c>
      <c r="P47" s="126">
        <v>72</v>
      </c>
      <c r="R47" t="s">
        <v>93</v>
      </c>
      <c r="S47" s="126">
        <v>80</v>
      </c>
      <c r="T47" s="126">
        <v>100</v>
      </c>
      <c r="U47" s="126">
        <v>80</v>
      </c>
      <c r="V47" s="126">
        <v>20</v>
      </c>
      <c r="W47" s="126">
        <v>88</v>
      </c>
      <c r="X47" s="126">
        <v>73.599999999999994</v>
      </c>
      <c r="Z47" t="s">
        <v>93</v>
      </c>
      <c r="AA47" s="126">
        <v>100</v>
      </c>
      <c r="AB47" s="126">
        <v>100</v>
      </c>
      <c r="AC47" s="126">
        <v>100</v>
      </c>
      <c r="AD47" s="126">
        <v>20</v>
      </c>
      <c r="AE47" s="126">
        <v>92</v>
      </c>
      <c r="AF47" s="126">
        <v>82.4</v>
      </c>
    </row>
    <row r="48" spans="1:33">
      <c r="B48" t="s">
        <v>97</v>
      </c>
      <c r="C48" s="126">
        <v>83.3</v>
      </c>
      <c r="D48" s="126">
        <v>91.7</v>
      </c>
      <c r="E48" s="126">
        <v>66.7</v>
      </c>
      <c r="F48" s="126">
        <v>50</v>
      </c>
      <c r="G48" s="126">
        <v>100</v>
      </c>
      <c r="H48" s="126">
        <v>78.34</v>
      </c>
      <c r="J48" t="s">
        <v>97</v>
      </c>
      <c r="K48" s="126">
        <v>91.7</v>
      </c>
      <c r="L48" s="126">
        <v>100</v>
      </c>
      <c r="M48" s="126">
        <v>66.7</v>
      </c>
      <c r="N48" s="126">
        <v>8.3000000000000007</v>
      </c>
      <c r="O48" s="126">
        <v>93.333333333333343</v>
      </c>
      <c r="P48" s="126">
        <v>72.006666666666661</v>
      </c>
      <c r="R48" t="s">
        <v>97</v>
      </c>
      <c r="S48" s="126">
        <v>100</v>
      </c>
      <c r="T48" s="126">
        <v>100</v>
      </c>
      <c r="U48" s="126">
        <v>83.3</v>
      </c>
      <c r="V48" s="126">
        <v>8.3000000000000007</v>
      </c>
      <c r="W48" s="126">
        <v>93.333333333333343</v>
      </c>
      <c r="X48" s="126">
        <v>76.986666666666679</v>
      </c>
      <c r="Z48" t="s">
        <v>97</v>
      </c>
      <c r="AA48" s="126">
        <v>75</v>
      </c>
      <c r="AB48" s="126">
        <v>83.3</v>
      </c>
      <c r="AC48" s="126">
        <v>75</v>
      </c>
      <c r="AD48" s="126">
        <v>75</v>
      </c>
      <c r="AE48" s="126">
        <v>93.333333333333343</v>
      </c>
      <c r="AF48" s="126">
        <v>80.326666666666668</v>
      </c>
    </row>
    <row r="49" spans="2:32">
      <c r="B49" t="s">
        <v>92</v>
      </c>
      <c r="C49" s="126">
        <v>69.2</v>
      </c>
      <c r="D49" s="126">
        <v>100</v>
      </c>
      <c r="E49" s="126">
        <v>92.3</v>
      </c>
      <c r="F49" s="126">
        <v>58.3</v>
      </c>
      <c r="G49" s="126">
        <v>98.461538461538467</v>
      </c>
      <c r="H49" s="126">
        <v>83.652307692307687</v>
      </c>
      <c r="J49" t="s">
        <v>92</v>
      </c>
      <c r="K49" s="126">
        <v>66.7</v>
      </c>
      <c r="L49" s="126">
        <v>100</v>
      </c>
      <c r="M49" s="126">
        <v>83.8</v>
      </c>
      <c r="N49" s="126">
        <v>100</v>
      </c>
      <c r="O49" s="126">
        <v>98.333333333333343</v>
      </c>
      <c r="P49" s="126">
        <v>89.76666666666668</v>
      </c>
      <c r="R49" t="s">
        <v>92</v>
      </c>
      <c r="S49" s="126">
        <v>71.400000000000006</v>
      </c>
      <c r="T49" s="126">
        <v>100</v>
      </c>
      <c r="U49" s="126">
        <v>100</v>
      </c>
      <c r="V49" s="126">
        <v>100</v>
      </c>
      <c r="W49" s="126">
        <v>98.571428571428584</v>
      </c>
      <c r="X49" s="126">
        <v>93.994285714285709</v>
      </c>
      <c r="Z49" t="s">
        <v>92</v>
      </c>
      <c r="AA49" s="126">
        <v>68</v>
      </c>
      <c r="AB49" s="126">
        <v>47.4</v>
      </c>
      <c r="AC49" s="126">
        <v>100</v>
      </c>
      <c r="AD49" s="126">
        <v>73.900000000000006</v>
      </c>
      <c r="AE49" s="126">
        <v>95.789473684210535</v>
      </c>
      <c r="AF49" s="126">
        <v>77.017894736842109</v>
      </c>
    </row>
    <row r="51" spans="2:32">
      <c r="C51" t="s">
        <v>135</v>
      </c>
      <c r="D51" t="s">
        <v>136</v>
      </c>
      <c r="E51" t="s">
        <v>137</v>
      </c>
      <c r="F51" t="s">
        <v>138</v>
      </c>
      <c r="G51">
        <v>0.05</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6A27E-E71F-46A4-960F-7B9FF4ABB954}">
  <sheetPr codeName="Sheet29">
    <tabColor rgb="FFFF66FF"/>
  </sheetPr>
  <dimension ref="B2:J22"/>
  <sheetViews>
    <sheetView topLeftCell="A9" zoomScale="88" workbookViewId="0">
      <selection activeCell="I19" sqref="I19"/>
    </sheetView>
  </sheetViews>
  <sheetFormatPr defaultRowHeight="15.75"/>
  <cols>
    <col min="2" max="2" width="29" customWidth="1"/>
    <col min="3" max="8" width="9.85546875" style="252" customWidth="1"/>
    <col min="9" max="9" width="9.85546875" style="253" customWidth="1"/>
  </cols>
  <sheetData>
    <row r="2" spans="2:10" ht="19.5" thickBot="1">
      <c r="B2" s="276" t="s">
        <v>139</v>
      </c>
      <c r="C2" s="177"/>
      <c r="D2" s="177"/>
      <c r="E2" s="177"/>
      <c r="F2" s="177"/>
      <c r="G2" s="177"/>
      <c r="H2" s="177"/>
      <c r="I2" s="176"/>
      <c r="J2" s="204"/>
    </row>
    <row r="3" spans="2:10" ht="19.5" thickBot="1">
      <c r="B3" s="341" t="s">
        <v>140</v>
      </c>
      <c r="C3" s="391">
        <v>45992</v>
      </c>
      <c r="D3" s="391">
        <v>46023</v>
      </c>
      <c r="E3" s="391">
        <v>46054</v>
      </c>
      <c r="F3" s="578">
        <v>46082</v>
      </c>
      <c r="G3" s="342">
        <v>46113</v>
      </c>
      <c r="H3" s="342">
        <v>46143</v>
      </c>
      <c r="I3" s="435">
        <v>46174</v>
      </c>
      <c r="J3" s="322" t="s">
        <v>100</v>
      </c>
    </row>
    <row r="4" spans="2:10" ht="19.5" thickBot="1">
      <c r="B4" s="344" t="s">
        <v>141</v>
      </c>
      <c r="C4" s="494"/>
      <c r="D4" s="181"/>
      <c r="E4" s="181"/>
      <c r="F4" s="181"/>
      <c r="G4" s="181"/>
      <c r="H4" s="181">
        <v>407</v>
      </c>
      <c r="I4" s="544">
        <v>392.8</v>
      </c>
      <c r="J4" s="509"/>
    </row>
    <row r="5" spans="2:10" ht="19.5" thickBot="1">
      <c r="B5" s="344" t="s">
        <v>142</v>
      </c>
      <c r="C5" s="495"/>
      <c r="D5" s="181"/>
      <c r="E5" s="181"/>
      <c r="F5" s="181"/>
      <c r="G5" s="181"/>
      <c r="H5" s="181">
        <v>90</v>
      </c>
      <c r="I5" s="544">
        <v>73.3</v>
      </c>
      <c r="J5" s="509"/>
    </row>
    <row r="6" spans="2:10" ht="19.5" thickBot="1">
      <c r="B6" s="344" t="s">
        <v>143</v>
      </c>
      <c r="C6" s="495">
        <v>23</v>
      </c>
      <c r="D6" s="181">
        <v>16</v>
      </c>
      <c r="E6" s="181">
        <v>30</v>
      </c>
      <c r="F6" s="181">
        <v>24</v>
      </c>
      <c r="G6" s="181">
        <v>21</v>
      </c>
      <c r="H6" s="181">
        <v>24</v>
      </c>
      <c r="I6" s="544">
        <v>43.9</v>
      </c>
      <c r="J6" s="509">
        <v>18</v>
      </c>
    </row>
    <row r="7" spans="2:10" ht="19.5" thickBot="1">
      <c r="B7" s="344" t="s">
        <v>144</v>
      </c>
      <c r="C7" s="495">
        <v>16.3</v>
      </c>
      <c r="D7" s="181">
        <v>16.899999999999999</v>
      </c>
      <c r="E7" s="181">
        <v>17.5</v>
      </c>
      <c r="F7" s="181">
        <v>17.2</v>
      </c>
      <c r="G7" s="181">
        <v>17.3</v>
      </c>
      <c r="H7" s="181">
        <v>17.600000000000001</v>
      </c>
      <c r="I7" s="544">
        <v>15.8</v>
      </c>
      <c r="J7" s="509">
        <v>17.7</v>
      </c>
    </row>
    <row r="8" spans="2:10" ht="19.5" thickBot="1">
      <c r="B8" s="344" t="s">
        <v>145</v>
      </c>
      <c r="C8" s="496">
        <v>14.8</v>
      </c>
      <c r="D8" s="288">
        <v>15.5</v>
      </c>
      <c r="E8" s="288">
        <v>15.9</v>
      </c>
      <c r="F8" s="288">
        <v>15.8</v>
      </c>
      <c r="G8" s="288">
        <v>15.9</v>
      </c>
      <c r="H8" s="288">
        <v>15.6</v>
      </c>
      <c r="I8" s="545">
        <v>14.3</v>
      </c>
      <c r="J8" s="509">
        <v>16.5</v>
      </c>
    </row>
    <row r="9" spans="2:10" ht="19.5" thickBot="1">
      <c r="B9" s="344" t="s">
        <v>146</v>
      </c>
      <c r="C9" s="496">
        <v>1.5</v>
      </c>
      <c r="D9" s="288">
        <v>1.4</v>
      </c>
      <c r="E9" s="288">
        <v>1.6</v>
      </c>
      <c r="F9" s="288">
        <v>1.4</v>
      </c>
      <c r="G9" s="288">
        <v>1.4</v>
      </c>
      <c r="H9" s="288">
        <v>2</v>
      </c>
      <c r="I9" s="545">
        <v>1.5</v>
      </c>
      <c r="J9" s="509">
        <v>1.2</v>
      </c>
    </row>
    <row r="10" spans="2:10" ht="19.5" thickBot="1">
      <c r="B10" s="344" t="s">
        <v>147</v>
      </c>
      <c r="C10" s="496">
        <v>14.1</v>
      </c>
      <c r="D10" s="288">
        <v>13.7</v>
      </c>
      <c r="E10" s="288">
        <v>14.2</v>
      </c>
      <c r="F10" s="288">
        <v>14.9</v>
      </c>
      <c r="G10" s="288">
        <v>13.8</v>
      </c>
      <c r="H10" s="288">
        <v>13.6</v>
      </c>
      <c r="I10" s="549">
        <v>13</v>
      </c>
      <c r="J10" s="509">
        <v>15</v>
      </c>
    </row>
    <row r="11" spans="2:10" ht="19.5" thickBot="1">
      <c r="B11" s="344" t="s">
        <v>148</v>
      </c>
      <c r="C11" s="496">
        <v>5.4</v>
      </c>
      <c r="D11" s="288">
        <v>8</v>
      </c>
      <c r="E11" s="288">
        <v>8.5299999999999994</v>
      </c>
      <c r="F11" s="288">
        <v>6</v>
      </c>
      <c r="G11" s="288">
        <v>7.3</v>
      </c>
      <c r="H11" s="288">
        <v>9.1999999999999993</v>
      </c>
      <c r="I11" s="549">
        <v>8.9</v>
      </c>
      <c r="J11" s="509">
        <v>9</v>
      </c>
    </row>
    <row r="12" spans="2:10" ht="19.5" thickBot="1">
      <c r="B12" s="344" t="s">
        <v>149</v>
      </c>
      <c r="C12" s="496">
        <v>0.47</v>
      </c>
      <c r="D12" s="288">
        <v>0.48499999999999999</v>
      </c>
      <c r="E12" s="288">
        <v>0.48799999999999999</v>
      </c>
      <c r="F12" s="288">
        <v>0.46200000000000002</v>
      </c>
      <c r="G12" s="288">
        <v>0.5</v>
      </c>
      <c r="H12" s="288">
        <v>0.43</v>
      </c>
      <c r="I12" s="545">
        <v>0.45</v>
      </c>
      <c r="J12" s="509">
        <v>0.5</v>
      </c>
    </row>
    <row r="13" spans="2:10" ht="19.5" thickBot="1">
      <c r="B13" s="344" t="s">
        <v>150</v>
      </c>
      <c r="C13" s="496">
        <v>1.63</v>
      </c>
      <c r="D13" s="288">
        <v>1.63</v>
      </c>
      <c r="E13" s="288">
        <v>1.7</v>
      </c>
      <c r="F13" s="288">
        <v>1.71</v>
      </c>
      <c r="G13" s="288">
        <v>1.6</v>
      </c>
      <c r="H13" s="288">
        <v>1.69</v>
      </c>
      <c r="I13" s="545">
        <v>1.66</v>
      </c>
      <c r="J13" s="509">
        <v>1.5</v>
      </c>
    </row>
    <row r="14" spans="2:10" ht="19.5" thickBot="1">
      <c r="B14" s="344" t="s">
        <v>151</v>
      </c>
      <c r="C14" s="496">
        <v>18.399999999999999</v>
      </c>
      <c r="D14" s="288">
        <v>18.899999999999999</v>
      </c>
      <c r="E14" s="288">
        <v>19.2</v>
      </c>
      <c r="F14" s="288">
        <v>17.989999999999998</v>
      </c>
      <c r="G14" s="288">
        <v>18.399999999999999</v>
      </c>
      <c r="H14" s="288">
        <v>16.93</v>
      </c>
      <c r="I14" s="545">
        <v>17.600000000000001</v>
      </c>
      <c r="J14" s="509">
        <v>20</v>
      </c>
    </row>
    <row r="15" spans="2:10" ht="19.5" thickBot="1">
      <c r="B15" s="344" t="s">
        <v>152</v>
      </c>
      <c r="C15" s="496"/>
      <c r="D15" s="288"/>
      <c r="E15" s="288"/>
      <c r="F15" s="288">
        <v>0.75</v>
      </c>
      <c r="G15" s="288">
        <v>1</v>
      </c>
      <c r="H15" s="288">
        <v>1.1100000000000001</v>
      </c>
      <c r="I15" s="549">
        <v>1.04</v>
      </c>
      <c r="J15" s="509">
        <v>1</v>
      </c>
    </row>
    <row r="16" spans="2:10" ht="19.5" thickBot="1">
      <c r="B16" s="345" t="s">
        <v>153</v>
      </c>
      <c r="C16" s="348"/>
      <c r="D16" s="532"/>
      <c r="E16" s="348"/>
      <c r="F16" s="348">
        <v>3.12</v>
      </c>
      <c r="G16" s="428">
        <v>2.6</v>
      </c>
      <c r="H16" s="428">
        <v>2.44</v>
      </c>
      <c r="I16" s="546">
        <v>2</v>
      </c>
      <c r="J16" s="509">
        <v>2.4</v>
      </c>
    </row>
    <row r="17" spans="2:10" ht="19.5" thickBot="1">
      <c r="B17" s="180"/>
      <c r="C17" s="177"/>
      <c r="D17" s="177"/>
      <c r="E17" s="177"/>
      <c r="F17" s="177"/>
      <c r="G17" s="177"/>
      <c r="H17" s="177"/>
      <c r="I17" s="176"/>
      <c r="J17" s="204"/>
    </row>
    <row r="18" spans="2:10" ht="19.5" thickBot="1">
      <c r="B18" s="436" t="s">
        <v>154</v>
      </c>
      <c r="C18" s="484">
        <v>45992</v>
      </c>
      <c r="D18" s="484">
        <v>46023</v>
      </c>
      <c r="E18" s="484">
        <v>46054</v>
      </c>
      <c r="F18" s="484">
        <v>46082</v>
      </c>
      <c r="G18" s="484">
        <v>46113</v>
      </c>
      <c r="H18" s="484">
        <v>46143</v>
      </c>
      <c r="I18" s="437">
        <v>46174</v>
      </c>
      <c r="J18" s="509"/>
    </row>
    <row r="19" spans="2:10" ht="19.5" thickBot="1">
      <c r="B19" s="438" t="s">
        <v>155</v>
      </c>
      <c r="C19" s="497">
        <v>7</v>
      </c>
      <c r="D19" s="448">
        <v>5</v>
      </c>
      <c r="E19" s="446">
        <v>2</v>
      </c>
      <c r="F19" s="497">
        <v>5</v>
      </c>
      <c r="G19" s="497">
        <v>2</v>
      </c>
      <c r="H19" s="497">
        <v>0</v>
      </c>
      <c r="I19" s="695">
        <v>7</v>
      </c>
      <c r="J19" s="510"/>
    </row>
    <row r="20" spans="2:10" ht="19.5" thickBot="1">
      <c r="B20" s="439" t="s">
        <v>156</v>
      </c>
      <c r="C20" s="448">
        <v>5</v>
      </c>
      <c r="D20" s="448">
        <v>5</v>
      </c>
      <c r="E20" s="446">
        <v>0</v>
      </c>
      <c r="F20" s="448">
        <v>0</v>
      </c>
      <c r="G20" s="446">
        <v>0</v>
      </c>
      <c r="H20" s="448">
        <v>0</v>
      </c>
      <c r="I20" s="696">
        <v>1</v>
      </c>
      <c r="J20" s="510"/>
    </row>
    <row r="21" spans="2:10" ht="19.5" thickBot="1">
      <c r="B21" s="439" t="s">
        <v>157</v>
      </c>
      <c r="C21" s="498">
        <v>4.3E-3</v>
      </c>
      <c r="D21" s="498">
        <v>6.4999999999999997E-3</v>
      </c>
      <c r="E21" s="500">
        <v>4.3E-3</v>
      </c>
      <c r="F21" s="498">
        <v>8.2000000000000007E-3</v>
      </c>
      <c r="G21" s="500">
        <v>1.7000000000000001E-2</v>
      </c>
      <c r="H21" s="498">
        <v>9.4999999999999998E-3</v>
      </c>
      <c r="I21" s="601">
        <v>9.4999999999999998E-3</v>
      </c>
      <c r="J21" s="511">
        <v>1.4999999999999999E-2</v>
      </c>
    </row>
    <row r="22" spans="2:10" ht="21.75" thickBot="1">
      <c r="B22" s="440" t="s">
        <v>158</v>
      </c>
      <c r="C22" s="501"/>
      <c r="D22" s="502"/>
      <c r="E22" s="502"/>
      <c r="F22" s="501">
        <v>2.1999999999999999E-2</v>
      </c>
      <c r="G22" s="502">
        <v>3.1E-2</v>
      </c>
      <c r="H22" s="501">
        <v>1.7250000000000001E-2</v>
      </c>
      <c r="I22" s="551">
        <v>0.02</v>
      </c>
      <c r="J22" s="512">
        <v>0.02</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9692C-B99C-4B7C-B94B-C1045C743296}">
  <sheetPr codeName="Sheet38">
    <tabColor theme="0" tint="-0.499984740745262"/>
  </sheetPr>
  <dimension ref="A1:R23"/>
  <sheetViews>
    <sheetView zoomScale="90" zoomScaleNormal="90" workbookViewId="0">
      <selection activeCell="R11" sqref="R11:R15"/>
    </sheetView>
  </sheetViews>
  <sheetFormatPr defaultColWidth="9.140625" defaultRowHeight="15"/>
  <cols>
    <col min="1" max="1" width="24.85546875" style="19" customWidth="1"/>
    <col min="2" max="2" width="9.5703125" style="19" customWidth="1"/>
    <col min="3" max="3" width="7.7109375" style="19" customWidth="1"/>
    <col min="4" max="4" width="8.7109375" style="19" bestFit="1" customWidth="1"/>
    <col min="5" max="5" width="7.5703125" style="19" customWidth="1"/>
    <col min="6" max="6" width="8.42578125" style="19" bestFit="1" customWidth="1"/>
    <col min="7" max="7" width="10.140625" style="19" bestFit="1" customWidth="1"/>
    <col min="8" max="8" width="8.28515625" style="19" customWidth="1"/>
    <col min="9" max="10" width="7.5703125" style="19" customWidth="1"/>
    <col min="11" max="11" width="7.7109375" style="19" customWidth="1"/>
    <col min="12" max="12" width="7.42578125" style="19" customWidth="1"/>
    <col min="13" max="13" width="7.7109375" style="19" customWidth="1"/>
    <col min="14" max="18" width="9.140625" style="19"/>
    <col min="19" max="19" width="12" style="19" bestFit="1" customWidth="1"/>
    <col min="20" max="16384" width="9.140625" style="19"/>
  </cols>
  <sheetData>
    <row r="1" spans="15:16">
      <c r="P1" s="19" t="s">
        <v>114</v>
      </c>
    </row>
    <row r="2" spans="15:16">
      <c r="O2" s="19" t="s">
        <v>115</v>
      </c>
    </row>
    <row r="3" spans="15:16">
      <c r="O3" s="19" t="s">
        <v>116</v>
      </c>
    </row>
    <row r="19" spans="1:18" ht="15.75" thickBot="1">
      <c r="A19" s="88"/>
      <c r="B19" s="42">
        <v>45839</v>
      </c>
      <c r="C19" s="42">
        <v>45870</v>
      </c>
      <c r="D19" s="42">
        <v>45901</v>
      </c>
      <c r="E19" s="42">
        <v>45931</v>
      </c>
      <c r="F19" s="42">
        <v>45962</v>
      </c>
      <c r="G19" s="42">
        <v>45992</v>
      </c>
      <c r="H19" s="42">
        <v>46023</v>
      </c>
      <c r="I19" s="42">
        <v>46054</v>
      </c>
      <c r="J19" s="42">
        <v>46082</v>
      </c>
      <c r="K19" s="42">
        <v>46113</v>
      </c>
      <c r="L19" s="42">
        <v>46143</v>
      </c>
      <c r="M19" s="42">
        <v>46174</v>
      </c>
      <c r="N19" s="28"/>
      <c r="O19" s="28"/>
      <c r="P19" s="28"/>
      <c r="Q19" s="28"/>
      <c r="R19" s="28"/>
    </row>
    <row r="20" spans="1:18">
      <c r="A20" s="89" t="s">
        <v>59</v>
      </c>
      <c r="B20" s="173">
        <f>IFERROR(SUM('Combined total CDM to Colco (7)'!B63+'Combined total CDM to Colco (7)'!B66)/SUM('Combined pigs sold to colco (7)'!B67+'Combined pigs sold to colco (7)'!B70),0)</f>
        <v>98.21616391576552</v>
      </c>
      <c r="C20" s="173">
        <f>IFERROR(SUM('Combined total CDM to Colco (7)'!C63+'Combined total CDM to Colco (7)'!C66)/SUM('Combined pigs sold to colco (7)'!C67+'Combined pigs sold to colco (7)'!C70),0)</f>
        <v>93.636764083015663</v>
      </c>
      <c r="D20" s="173">
        <f>IFERROR(SUM('Combined total CDM to Colco (7)'!D63+'Combined total CDM to Colco (7)'!D66)/SUM('Combined pigs sold to colco (7)'!D67+'Combined pigs sold to colco (7)'!D70),0)</f>
        <v>87.233279639175251</v>
      </c>
      <c r="E20" s="173">
        <f>IFERROR(SUM('Combined total CDM to Colco (7)'!E63+'Combined total CDM to Colco (7)'!E66)/SUM('Combined pigs sold to colco (7)'!E67+'Combined pigs sold to colco (7)'!E70),0)</f>
        <v>86.755084427767358</v>
      </c>
      <c r="F20" s="173">
        <f>IFERROR(SUM('Combined total CDM to Colco (7)'!F63+'Combined total CDM to Colco (7)'!F66)/SUM('Combined pigs sold to colco (7)'!F67+'Combined pigs sold to colco (7)'!F70),0)</f>
        <v>84.68104524180967</v>
      </c>
      <c r="G20" s="173">
        <f>IFERROR(SUM('Combined total CDM to Colco (7)'!G63+'Combined total CDM to Colco (7)'!G66)/SUM('Combined pigs sold to colco (7)'!G67+'Combined pigs sold to colco (7)'!G70),0)</f>
        <v>90.746933052926749</v>
      </c>
      <c r="H20" s="173">
        <f>IFERROR(SUM('Combined total CDM to Colco (7)'!H63+'Combined total CDM to Colco (7)'!H66)/SUM('Combined pigs sold to colco (7)'!H67+'Combined pigs sold to colco (7)'!H70),0)</f>
        <v>95.05470121186795</v>
      </c>
      <c r="I20" s="173">
        <f>IFERROR(SUM('Combined total CDM to Colco (7)'!I63+'Combined total CDM to Colco (7)'!I66)/SUM('Combined pigs sold to colco (7)'!I67+'Combined pigs sold to colco (7)'!I70),0)</f>
        <v>92.949055018899628</v>
      </c>
      <c r="J20" s="173">
        <f>IFERROR(SUM('Combined total CDM to Colco (7)'!J63+'Combined total CDM to Colco (7)'!J66)/SUM('Combined pigs sold to colco (7)'!J67+'Combined pigs sold to colco (7)'!J70),0)</f>
        <v>92.741757827235006</v>
      </c>
      <c r="K20" s="173">
        <f>IFERROR(SUM('Combined total CDM to Colco (7)'!K63+'Combined total CDM to Colco (7)'!K66)/SUM('Combined pigs sold to colco (7)'!K67+'Combined pigs sold to colco (7)'!K70),0)</f>
        <v>94.145201238390086</v>
      </c>
      <c r="L20" s="173">
        <f>IFERROR(SUM('Combined total CDM to Colco (7)'!L63+'Combined total CDM to Colco (7)'!L66)/SUM('Combined pigs sold to colco (7)'!L67+'Combined pigs sold to colco (7)'!L70),0)</f>
        <v>94.407090986757794</v>
      </c>
      <c r="M20" s="173">
        <f>IFERROR(SUM('Combined total CDM to Colco (7)'!M63+'Combined total CDM to Colco (7)'!M66)/SUM('Combined pigs sold to colco (7)'!M67+'Combined pigs sold to colco (7)'!M70),0)</f>
        <v>94.823861801743618</v>
      </c>
      <c r="N20" s="87">
        <f>AVERAGE(B20:M20)</f>
        <v>92.115911537112865</v>
      </c>
      <c r="O20" s="212"/>
      <c r="P20" s="28"/>
      <c r="Q20" s="28"/>
      <c r="R20" s="28"/>
    </row>
    <row r="21" spans="1:18">
      <c r="A21" s="89" t="s">
        <v>117</v>
      </c>
      <c r="B21" s="174"/>
      <c r="C21" s="216"/>
      <c r="D21" s="216"/>
      <c r="E21" s="216"/>
      <c r="F21" s="216"/>
      <c r="G21" s="216"/>
      <c r="H21" s="216"/>
      <c r="I21" s="216"/>
      <c r="J21" s="216"/>
      <c r="K21" s="216"/>
      <c r="L21" s="216"/>
      <c r="M21" s="264"/>
      <c r="N21" s="87"/>
      <c r="O21" s="87"/>
      <c r="P21" s="28"/>
      <c r="Q21" s="28"/>
      <c r="R21" s="28"/>
    </row>
    <row r="22" spans="1:18" ht="15.75" thickBot="1">
      <c r="A22" s="196" t="s">
        <v>118</v>
      </c>
      <c r="B22" s="263">
        <f>SUM('[58]IS Porta'!B11:B12)/SUM('[58]IS Porta'!B7:B8)</f>
        <v>93.876314471707559</v>
      </c>
      <c r="C22" s="265">
        <f>SUM('[58]IS Porta'!C11:C12)/SUM('[58]IS Porta'!C7:C8)</f>
        <v>93.660467988746305</v>
      </c>
      <c r="D22" s="265">
        <v>93.66</v>
      </c>
      <c r="E22" s="265">
        <v>93.66</v>
      </c>
      <c r="F22" s="265">
        <v>93.66</v>
      </c>
      <c r="G22" s="265">
        <v>93.66</v>
      </c>
      <c r="H22" s="265">
        <v>93.66</v>
      </c>
      <c r="I22" s="265">
        <v>93.66</v>
      </c>
      <c r="J22" s="265">
        <v>93.66</v>
      </c>
      <c r="K22" s="265">
        <v>93.66</v>
      </c>
      <c r="L22" s="265">
        <v>93.66</v>
      </c>
      <c r="M22" s="266">
        <v>93.66</v>
      </c>
      <c r="N22" s="87">
        <f>AVERAGE(B22:M22)</f>
        <v>93.678065205037811</v>
      </c>
      <c r="O22" s="87">
        <f>N20-N22</f>
        <v>-1.5621536679249459</v>
      </c>
      <c r="P22" s="28"/>
      <c r="Q22" s="28"/>
      <c r="R22" s="28"/>
    </row>
    <row r="23" spans="1:18">
      <c r="A23" s="28"/>
      <c r="B23" s="28"/>
      <c r="C23" s="28"/>
      <c r="D23" s="28"/>
      <c r="E23" s="28"/>
      <c r="F23" s="28"/>
      <c r="G23" s="28"/>
      <c r="H23" s="28"/>
      <c r="I23" s="28"/>
      <c r="J23" s="28"/>
      <c r="K23" s="28"/>
      <c r="L23" s="28"/>
      <c r="M23" s="28"/>
      <c r="N23" s="28"/>
      <c r="O23" s="28"/>
      <c r="P23" s="28"/>
      <c r="Q23" s="28"/>
      <c r="R23" s="28"/>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A037F-161A-4B8F-8417-42218810885D}">
  <sheetPr codeName="Sheet39">
    <tabColor theme="0" tint="-0.499984740745262"/>
  </sheetPr>
  <dimension ref="A2:P46"/>
  <sheetViews>
    <sheetView zoomScale="90" zoomScaleNormal="90" workbookViewId="0">
      <selection activeCell="N22" sqref="N22"/>
    </sheetView>
  </sheetViews>
  <sheetFormatPr defaultColWidth="9" defaultRowHeight="15"/>
  <cols>
    <col min="1" max="1" width="24.5703125" style="19" bestFit="1" customWidth="1"/>
    <col min="2" max="2" width="10.42578125" style="19" customWidth="1"/>
    <col min="3" max="3" width="10.28515625" style="19" customWidth="1"/>
    <col min="4" max="4" width="11.28515625" style="19" customWidth="1"/>
    <col min="5" max="5" width="12" style="19" customWidth="1"/>
    <col min="6" max="6" width="11.28515625" style="19" customWidth="1"/>
    <col min="7" max="7" width="13.5703125" style="19" customWidth="1"/>
    <col min="8" max="8" width="12.7109375" style="19" customWidth="1"/>
    <col min="9" max="9" width="10.42578125" style="19" customWidth="1"/>
    <col min="10" max="10" width="11.7109375" style="19" customWidth="1"/>
    <col min="11" max="11" width="10.42578125" style="19" customWidth="1"/>
    <col min="12" max="12" width="11.28515625" style="19" customWidth="1"/>
    <col min="13" max="13" width="9.7109375" style="19" customWidth="1"/>
    <col min="14" max="14" width="13.28515625" style="19" bestFit="1" customWidth="1"/>
    <col min="15" max="15" width="12.85546875" style="19" customWidth="1"/>
    <col min="16" max="16384" width="9" style="19"/>
  </cols>
  <sheetData>
    <row r="2" spans="1:1" ht="18.75">
      <c r="A2" s="18" t="s">
        <v>159</v>
      </c>
    </row>
    <row r="19" spans="1:16">
      <c r="A19" s="25"/>
      <c r="B19" s="22">
        <v>45839</v>
      </c>
      <c r="C19" s="22">
        <v>45870</v>
      </c>
      <c r="D19" s="22">
        <v>45901</v>
      </c>
      <c r="E19" s="22">
        <v>45931</v>
      </c>
      <c r="F19" s="22">
        <v>45962</v>
      </c>
      <c r="G19" s="22">
        <v>45992</v>
      </c>
      <c r="H19" s="22">
        <v>46023</v>
      </c>
      <c r="I19" s="22">
        <v>46054</v>
      </c>
      <c r="J19" s="22">
        <v>46082</v>
      </c>
      <c r="K19" s="22">
        <v>46113</v>
      </c>
      <c r="L19" s="22">
        <v>46143</v>
      </c>
      <c r="M19" s="22">
        <v>46174</v>
      </c>
    </row>
    <row r="20" spans="1:16" ht="15.75">
      <c r="A20" s="90" t="s">
        <v>59</v>
      </c>
      <c r="B20" s="131">
        <f>SUM('Combined total CDM to Colco (7)'!B63+'Combined total CDM to Colco (7)'!B66)</f>
        <v>172565.80000000002</v>
      </c>
      <c r="C20" s="131">
        <f>SUM('Combined total CDM to Colco (7)'!C63+'Combined total CDM to Colco (7)'!C66)</f>
        <v>221076.4</v>
      </c>
      <c r="D20" s="131">
        <f>SUM('Combined total CDM to Colco (7)'!D63+'Combined total CDM to Colco (7)'!D66)</f>
        <v>270772.09999999998</v>
      </c>
      <c r="E20" s="131">
        <f>SUM('Combined total CDM to Colco (7)'!E63+'Combined total CDM to Colco (7)'!E66)</f>
        <v>231202.30000000002</v>
      </c>
      <c r="F20" s="131">
        <f>SUM('Combined total CDM to Colco (7)'!F63+'Combined total CDM to Colco (7)'!F66)</f>
        <v>217122.2</v>
      </c>
      <c r="G20" s="131">
        <f>SUM('Combined total CDM to Colco (7)'!G63+'Combined total CDM to Colco (7)'!G66)</f>
        <v>258901</v>
      </c>
      <c r="H20" s="131">
        <f>SUM('Combined total CDM to Colco (7)'!H63+'Combined total CDM to Colco (7)'!H66)</f>
        <v>227465.9</v>
      </c>
      <c r="I20" s="131">
        <f>SUM('Combined total CDM to Colco (7)'!I63+'Combined total CDM to Colco (7)'!I66)</f>
        <v>221311.7</v>
      </c>
      <c r="J20" s="131">
        <f>SUM('Combined total CDM to Colco (7)'!J63+'Combined total CDM to Colco (7)'!J66)</f>
        <v>245858.4</v>
      </c>
      <c r="K20" s="131">
        <f>SUM('Combined total CDM to Colco (7)'!K63+'Combined total CDM to Colco (7)'!K66)</f>
        <v>273680.09999999998</v>
      </c>
      <c r="L20" s="131">
        <f>SUM('Combined total CDM to Colco (7)'!L63+'Combined total CDM to Colco (7)'!L66)</f>
        <v>221007</v>
      </c>
      <c r="M20" s="131">
        <f>SUM('Combined total CDM to Colco (7)'!M63+'Combined total CDM to Colco (7)'!M66)</f>
        <v>293669.5</v>
      </c>
      <c r="N20" s="128">
        <f>SUM(B20:M20)</f>
        <v>2854632.4</v>
      </c>
    </row>
    <row r="21" spans="1:16" ht="15.75">
      <c r="A21" s="90" t="s">
        <v>119</v>
      </c>
      <c r="B21" s="132">
        <f>SUM('[58]IS Porta'!B11:B12)</f>
        <v>164974.47999999998</v>
      </c>
      <c r="C21" s="132">
        <f>SUM('[58]IS Porta'!C11:C12)</f>
        <v>218386.24000000002</v>
      </c>
      <c r="D21" s="132">
        <f>SUM('[58]IS Porta'!D11:D12)</f>
        <v>267602.36200000002</v>
      </c>
      <c r="E21" s="132">
        <f>SUM('[58]IS Porta'!E11:E12)</f>
        <v>224110.30799999999</v>
      </c>
      <c r="F21" s="132">
        <f>SUM('[58]IS Porta'!F11:F12)</f>
        <v>220588.33499999999</v>
      </c>
      <c r="G21" s="132">
        <f>SUM('[58]IS Porta'!G11:G12)</f>
        <v>271919.94800000003</v>
      </c>
      <c r="H21" s="132">
        <f>SUM('[58]IS Porta'!H11:H12)</f>
        <v>214718.37999999998</v>
      </c>
      <c r="I21" s="132">
        <f>SUM('[58]IS Porta'!I11:I12)</f>
        <v>214718.37999999998</v>
      </c>
      <c r="J21" s="132">
        <f>SUM('[58]IS Porta'!J11:J12)</f>
        <v>268397.97499999998</v>
      </c>
      <c r="K21" s="132">
        <f>SUM('[58]IS Porta'!K11:K12)</f>
        <v>219362.74</v>
      </c>
      <c r="L21" s="132">
        <f>SUM('[58]IS Porta'!L11:L12)</f>
        <v>219362.74</v>
      </c>
      <c r="M21" s="132">
        <f>SUM('[58]IS Porta'!M11:M12)</f>
        <v>274203.42499999999</v>
      </c>
      <c r="N21" s="128">
        <f>SUM(B21:M21)</f>
        <v>2778345.3130000001</v>
      </c>
      <c r="O21" s="124">
        <f>N20-N21</f>
        <v>76287.086999999825</v>
      </c>
      <c r="P21" s="130"/>
    </row>
    <row r="22" spans="1:16">
      <c r="A22" s="91"/>
      <c r="B22" s="387">
        <f>B21/'Porta Pigs to Colcom'!B21</f>
        <v>93.876314471707559</v>
      </c>
      <c r="C22" s="387">
        <f>C21/'Porta Pigs to Colcom'!C21</f>
        <v>93.660467988746305</v>
      </c>
      <c r="D22" s="387">
        <f>D21/'Porta Pigs to Colcom'!D21</f>
        <v>91.67660574816837</v>
      </c>
      <c r="E22" s="387">
        <f>E21/'Porta Pigs to Colcom'!E21</f>
        <v>91.646114236268431</v>
      </c>
      <c r="F22" s="387">
        <f>F21/'Porta Pigs to Colcom'!F21</f>
        <v>91.656504694216324</v>
      </c>
      <c r="G22" s="387">
        <f>G21/'Porta Pigs to Colcom'!G21</f>
        <v>91.665783899019289</v>
      </c>
      <c r="H22" s="387">
        <f>H21/'Porta Pigs to Colcom'!H21</f>
        <v>91.674585215483006</v>
      </c>
      <c r="I22" s="387">
        <f>I21/'Porta Pigs to Colcom'!I21</f>
        <v>91.674585215483006</v>
      </c>
      <c r="J22" s="387">
        <f>J21/'Porta Pigs to Colcom'!J21</f>
        <v>91.674585215483006</v>
      </c>
      <c r="K22" s="39"/>
      <c r="L22" s="39"/>
      <c r="M22" s="39"/>
      <c r="N22" s="128"/>
      <c r="O22" s="124"/>
      <c r="P22" s="130"/>
    </row>
    <row r="23" spans="1:16">
      <c r="B23" s="30">
        <f>'Porta Avg CDM vs Budget '!B20*'Porta Pigs to Colcom'!B21</f>
        <v>172601.15781900968</v>
      </c>
      <c r="C23" s="30">
        <f>'Porta Avg CDM vs Budget '!C22*'Porta Pigs to Colcom'!C21</f>
        <v>218386.24000000002</v>
      </c>
      <c r="D23" s="30">
        <f>'Porta Avg CDM vs Budget '!D22*'Porta Pigs to Colcom'!D21</f>
        <v>273391.85411999997</v>
      </c>
      <c r="E23" s="30">
        <f>'Porta Avg CDM vs Budget '!E22*'Porta Pigs to Colcom'!E21</f>
        <v>229035.04007999998</v>
      </c>
      <c r="F23" s="30">
        <f>'Porta Avg CDM vs Budget '!F22*'Porta Pigs to Colcom'!F21</f>
        <v>225410.11709999997</v>
      </c>
      <c r="G23" s="30">
        <f>'Porta Avg CDM vs Budget '!G22*'Porta Pigs to Colcom'!G21</f>
        <v>277835.64648</v>
      </c>
      <c r="H23" s="30">
        <f>'Porta Avg CDM vs Budget '!H22*'Porta Pigs to Colcom'!H21</f>
        <v>219368.57879999999</v>
      </c>
      <c r="I23" s="30"/>
      <c r="J23" s="30"/>
      <c r="K23" s="30"/>
      <c r="L23" s="30"/>
      <c r="M23" s="30"/>
      <c r="N23" s="30"/>
    </row>
    <row r="24" spans="1:16">
      <c r="B24" s="30"/>
      <c r="C24" s="30"/>
      <c r="D24" s="30"/>
      <c r="E24" s="30"/>
      <c r="F24" s="30"/>
      <c r="G24" s="30"/>
      <c r="H24" s="30"/>
      <c r="I24" s="30"/>
      <c r="J24" s="30"/>
      <c r="K24" s="30"/>
      <c r="L24" s="30"/>
      <c r="M24" s="30"/>
    </row>
    <row r="25" spans="1:16">
      <c r="A25" s="92"/>
      <c r="B25" s="23"/>
      <c r="C25" s="23"/>
      <c r="D25" s="23"/>
      <c r="E25" s="23"/>
      <c r="F25" s="23"/>
      <c r="G25" s="23"/>
      <c r="H25" s="23"/>
      <c r="I25" s="23"/>
      <c r="J25" s="23"/>
      <c r="K25" s="23"/>
      <c r="L25" s="23"/>
      <c r="M25" s="23"/>
      <c r="O25" s="30"/>
    </row>
    <row r="26" spans="1:16">
      <c r="A26" s="92"/>
      <c r="B26" s="40"/>
      <c r="C26" s="40"/>
      <c r="D26" s="40"/>
      <c r="E26" s="26"/>
      <c r="F26" s="26"/>
      <c r="G26" s="26"/>
      <c r="H26" s="40"/>
      <c r="I26" s="40"/>
      <c r="J26" s="40"/>
      <c r="K26" s="40"/>
      <c r="L26" s="40"/>
      <c r="M26" s="40"/>
    </row>
    <row r="27" spans="1:16">
      <c r="A27" s="92"/>
      <c r="B27" s="26"/>
      <c r="C27" s="26"/>
      <c r="D27" s="26"/>
      <c r="E27" s="26"/>
      <c r="F27" s="26"/>
      <c r="G27" s="26"/>
      <c r="H27" s="26"/>
      <c r="I27" s="26"/>
      <c r="J27" s="26"/>
      <c r="K27" s="26"/>
      <c r="L27" s="26"/>
      <c r="M27" s="26"/>
    </row>
    <row r="29" spans="1:16">
      <c r="B29" s="24"/>
      <c r="C29" s="24"/>
      <c r="D29" s="24"/>
      <c r="E29" s="24"/>
      <c r="F29" s="24"/>
      <c r="G29" s="24"/>
      <c r="H29" s="24"/>
      <c r="I29" s="24"/>
      <c r="J29" s="24"/>
      <c r="K29" s="24"/>
      <c r="L29" s="24"/>
      <c r="M29" s="24"/>
    </row>
    <row r="31" spans="1:16">
      <c r="B31" s="24"/>
      <c r="C31" s="24"/>
      <c r="D31" s="24"/>
      <c r="E31" s="24"/>
      <c r="F31" s="24"/>
      <c r="G31" s="24"/>
      <c r="H31" s="24"/>
      <c r="I31" s="24"/>
      <c r="J31" s="24"/>
      <c r="K31" s="24"/>
      <c r="L31" s="24"/>
      <c r="M31" s="24"/>
    </row>
    <row r="46" spans="9:9">
      <c r="I46" s="93"/>
    </row>
  </sheetData>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4EC0-D7EF-48B4-8137-CCFF485637BF}">
  <sheetPr codeName="Sheet40">
    <tabColor theme="0" tint="-0.499984740745262"/>
  </sheetPr>
  <dimension ref="A1:T24"/>
  <sheetViews>
    <sheetView zoomScale="90" zoomScaleNormal="90" workbookViewId="0">
      <selection activeCell="N22" sqref="N22"/>
    </sheetView>
  </sheetViews>
  <sheetFormatPr defaultColWidth="9.140625" defaultRowHeight="15"/>
  <cols>
    <col min="1" max="1" width="9.140625" style="94"/>
    <col min="2" max="13" width="10.140625" style="94" bestFit="1" customWidth="1"/>
    <col min="14" max="14" width="10.28515625" style="94" bestFit="1" customWidth="1"/>
    <col min="15" max="15" width="9.28515625" style="94" bestFit="1" customWidth="1"/>
    <col min="16" max="16384" width="9.140625" style="94"/>
  </cols>
  <sheetData>
    <row r="1" spans="1:20">
      <c r="A1" s="94" t="s">
        <v>114</v>
      </c>
      <c r="S1" s="210"/>
      <c r="T1" s="210"/>
    </row>
    <row r="2" spans="1:20">
      <c r="O2" s="94" t="s">
        <v>160</v>
      </c>
    </row>
    <row r="3" spans="1:20">
      <c r="O3" s="94" t="s">
        <v>161</v>
      </c>
    </row>
    <row r="4" spans="1:20">
      <c r="O4" s="94" t="s">
        <v>162</v>
      </c>
    </row>
    <row r="18" spans="1:16" ht="15.75" thickBot="1"/>
    <row r="19" spans="1:16">
      <c r="A19" s="95"/>
      <c r="B19" s="96">
        <v>45839</v>
      </c>
      <c r="C19" s="96">
        <v>45870</v>
      </c>
      <c r="D19" s="96">
        <v>45901</v>
      </c>
      <c r="E19" s="96">
        <v>45931</v>
      </c>
      <c r="F19" s="96">
        <v>45962</v>
      </c>
      <c r="G19" s="96">
        <v>45992</v>
      </c>
      <c r="H19" s="96">
        <v>46023</v>
      </c>
      <c r="I19" s="96">
        <v>46054</v>
      </c>
      <c r="J19" s="96">
        <v>46082</v>
      </c>
      <c r="K19" s="96">
        <v>46113</v>
      </c>
      <c r="L19" s="96">
        <v>46143</v>
      </c>
      <c r="M19" s="96">
        <v>46174</v>
      </c>
    </row>
    <row r="20" spans="1:16">
      <c r="A20" s="97" t="s">
        <v>59</v>
      </c>
      <c r="B20" s="198">
        <f>SUM('Combined pigs sold to colco (7)'!B67+'Combined pigs sold to colco (7)'!B70)</f>
        <v>1757</v>
      </c>
      <c r="C20" s="198">
        <f>SUM('Combined pigs sold to colco (7)'!C67+'Combined pigs sold to colco (7)'!C70)</f>
        <v>2361</v>
      </c>
      <c r="D20" s="198">
        <f>SUM('Combined pigs sold to colco (7)'!D67+'Combined pigs sold to colco (7)'!D70)</f>
        <v>3104</v>
      </c>
      <c r="E20" s="198">
        <f>SUM('Combined pigs sold to colco (7)'!E67+'Combined pigs sold to colco (7)'!E70)</f>
        <v>2665</v>
      </c>
      <c r="F20" s="198">
        <f>SUM('Combined pigs sold to colco (7)'!F67+'Combined pigs sold to colco (7)'!F70)</f>
        <v>2564</v>
      </c>
      <c r="G20" s="198">
        <f>SUM('Combined pigs sold to colco (7)'!G67+'Combined pigs sold to colco (7)'!G70)</f>
        <v>2853</v>
      </c>
      <c r="H20" s="198">
        <f>SUM('Combined pigs sold to colco (7)'!H67+'Combined pigs sold to colco (7)'!H70)</f>
        <v>2393</v>
      </c>
      <c r="I20" s="198">
        <f>SUM('Combined pigs sold to colco (7)'!I67+'Combined pigs sold to colco (7)'!I70)</f>
        <v>2381</v>
      </c>
      <c r="J20" s="198">
        <f>SUM('Combined pigs sold to colco (7)'!J67+'Combined pigs sold to colco (7)'!J70)</f>
        <v>2651</v>
      </c>
      <c r="K20" s="198">
        <f>SUM('Combined pigs sold to colco (7)'!K67+'Combined pigs sold to colco (7)'!K70)</f>
        <v>2907</v>
      </c>
      <c r="L20" s="198">
        <f>SUM('Combined pigs sold to colco (7)'!L67+'Combined pigs sold to colco (7)'!L70)</f>
        <v>2341</v>
      </c>
      <c r="M20" s="198">
        <f>SUM('Combined pigs sold to colco (7)'!M67+'Combined pigs sold to colco (7)'!M70)</f>
        <v>3097</v>
      </c>
      <c r="N20" s="98">
        <f>SUM(B20:M20)</f>
        <v>31074</v>
      </c>
      <c r="O20" s="98"/>
    </row>
    <row r="21" spans="1:16">
      <c r="A21" s="100" t="s">
        <v>120</v>
      </c>
      <c r="B21" s="197">
        <f>SUM('[58]IS Porta'!B7:B8)</f>
        <v>1757.36</v>
      </c>
      <c r="C21" s="197">
        <f>SUM('[58]IS Porta'!C7:C8)</f>
        <v>2331.6800000000003</v>
      </c>
      <c r="D21" s="197">
        <f>SUM('[58]IS Porta'!D7:D8)</f>
        <v>2918.982</v>
      </c>
      <c r="E21" s="197">
        <f>SUM('[58]IS Porta'!E7:E8)</f>
        <v>2445.3879999999999</v>
      </c>
      <c r="F21" s="197">
        <f>SUM('[58]IS Porta'!F7:F8)</f>
        <v>2406.6849999999999</v>
      </c>
      <c r="G21" s="197">
        <f>SUM('[58]IS Porta'!G7:G8)</f>
        <v>2966.4280000000003</v>
      </c>
      <c r="H21" s="197">
        <f>SUM('[58]IS Porta'!H7:H8)</f>
        <v>2342.1799999999998</v>
      </c>
      <c r="I21" s="197">
        <f>SUM('[58]IS Porta'!I7:I8)</f>
        <v>2342.1799999999998</v>
      </c>
      <c r="J21" s="197">
        <f>SUM('[58]IS Porta'!J7:J8)</f>
        <v>2927.7249999999999</v>
      </c>
      <c r="K21" s="197">
        <f>SUM('[58]IS Porta'!K7:K8)</f>
        <v>2342.1799999999998</v>
      </c>
      <c r="L21" s="197">
        <f>SUM('[58]IS Porta'!L7:L8)</f>
        <v>2342.1799999999998</v>
      </c>
      <c r="M21" s="197">
        <f>SUM('[58]IS Porta'!M7:M8)</f>
        <v>2927.7249999999999</v>
      </c>
      <c r="N21" s="98">
        <f>SUM(B21:M21)</f>
        <v>30050.692999999996</v>
      </c>
      <c r="O21" s="208">
        <f>N20-N21</f>
        <v>1023.3070000000043</v>
      </c>
      <c r="P21" s="209" t="s">
        <v>163</v>
      </c>
    </row>
    <row r="22" spans="1:16">
      <c r="B22" s="171">
        <v>2310</v>
      </c>
      <c r="C22" s="171">
        <v>2253</v>
      </c>
      <c r="D22" s="171"/>
      <c r="E22" s="171"/>
      <c r="F22" s="171"/>
      <c r="G22" s="171"/>
      <c r="H22" s="171"/>
      <c r="I22" s="171"/>
      <c r="J22" s="171"/>
      <c r="K22" s="171"/>
      <c r="L22" s="171"/>
      <c r="M22" s="171"/>
      <c r="N22" s="98"/>
      <c r="O22" s="99"/>
      <c r="P22" s="210"/>
    </row>
    <row r="23" spans="1:16">
      <c r="B23" s="203">
        <f>B21-B22</f>
        <v>-552.6400000000001</v>
      </c>
      <c r="C23" s="203">
        <f>C21-C22</f>
        <v>78.680000000000291</v>
      </c>
    </row>
    <row r="24" spans="1:16">
      <c r="B24" s="99"/>
    </row>
  </sheetData>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22722-E628-46F1-A67D-F227EFAB9FC3}">
  <sheetPr codeName="Sheet41">
    <tabColor theme="0" tint="-0.499984740745262"/>
  </sheetPr>
  <dimension ref="A2:AO31"/>
  <sheetViews>
    <sheetView topLeftCell="A8" workbookViewId="0">
      <selection activeCell="B18" sqref="B18:R18"/>
    </sheetView>
  </sheetViews>
  <sheetFormatPr defaultRowHeight="15"/>
  <cols>
    <col min="1" max="1" width="21.7109375" bestFit="1" customWidth="1"/>
    <col min="14" max="14" width="12" bestFit="1" customWidth="1"/>
    <col min="16" max="16" width="10.5703125" bestFit="1" customWidth="1"/>
    <col min="38" max="38" width="16" customWidth="1"/>
    <col min="40" max="40" width="12.140625" bestFit="1" customWidth="1"/>
  </cols>
  <sheetData>
    <row r="2" spans="13:41">
      <c r="M2" t="s">
        <v>164</v>
      </c>
    </row>
    <row r="3" spans="13:41">
      <c r="M3" t="s">
        <v>165</v>
      </c>
    </row>
    <row r="6" spans="13:41">
      <c r="AM6" s="77"/>
    </row>
    <row r="15" spans="13:41">
      <c r="AO15">
        <f>AM15-AM9</f>
        <v>0</v>
      </c>
    </row>
    <row r="17" spans="1:41">
      <c r="M17" s="390"/>
      <c r="N17" s="390"/>
      <c r="O17" s="390"/>
      <c r="P17" s="390"/>
      <c r="Q17" s="390"/>
      <c r="R17" s="390"/>
      <c r="S17" s="390"/>
      <c r="T17" s="390"/>
      <c r="U17" s="390"/>
      <c r="V17" s="390"/>
      <c r="W17" s="390"/>
      <c r="X17" s="390"/>
      <c r="Y17" s="390"/>
      <c r="Z17" s="390"/>
      <c r="AA17" s="390"/>
      <c r="AB17" s="390"/>
      <c r="AC17" s="390"/>
      <c r="AD17" s="390"/>
      <c r="AE17" s="390"/>
      <c r="AF17" s="390"/>
    </row>
    <row r="18" spans="1:41" ht="15.75" thickBot="1">
      <c r="A18" s="50"/>
      <c r="B18" s="108">
        <v>45689</v>
      </c>
      <c r="C18" s="108">
        <v>45717</v>
      </c>
      <c r="D18" s="108">
        <v>45748</v>
      </c>
      <c r="E18" s="108">
        <v>45778</v>
      </c>
      <c r="F18" s="108">
        <v>45809</v>
      </c>
      <c r="G18" s="108">
        <v>45839</v>
      </c>
      <c r="H18" s="108">
        <v>45870</v>
      </c>
      <c r="I18" s="108">
        <v>45901</v>
      </c>
      <c r="J18" s="108">
        <v>45931</v>
      </c>
      <c r="K18" s="108">
        <v>45962</v>
      </c>
      <c r="L18" s="274">
        <v>45992</v>
      </c>
      <c r="M18" s="274">
        <v>46023</v>
      </c>
      <c r="N18" s="274">
        <v>46054</v>
      </c>
      <c r="O18" s="274">
        <v>46082</v>
      </c>
      <c r="P18" s="274">
        <v>46113</v>
      </c>
      <c r="Q18" s="274">
        <v>46143</v>
      </c>
      <c r="R18" s="274">
        <v>46174</v>
      </c>
    </row>
    <row r="19" spans="1:41">
      <c r="A19" s="53" t="s">
        <v>166</v>
      </c>
      <c r="B19" s="59">
        <v>1007</v>
      </c>
      <c r="C19" s="59">
        <v>1007</v>
      </c>
      <c r="D19" s="59">
        <v>1007</v>
      </c>
      <c r="E19" s="59">
        <v>1007</v>
      </c>
      <c r="F19" s="59">
        <v>1007</v>
      </c>
      <c r="G19" s="59">
        <v>1007</v>
      </c>
      <c r="H19" s="59">
        <v>1007</v>
      </c>
      <c r="I19" s="59">
        <v>1007</v>
      </c>
      <c r="J19" s="59">
        <v>1007</v>
      </c>
      <c r="K19" s="59">
        <v>1019</v>
      </c>
      <c r="L19" s="513">
        <v>1027</v>
      </c>
      <c r="M19" s="513">
        <v>1035</v>
      </c>
      <c r="N19" s="513">
        <v>1038</v>
      </c>
      <c r="O19" s="513">
        <v>1007</v>
      </c>
      <c r="P19" s="513">
        <v>1008</v>
      </c>
      <c r="Q19" s="513">
        <v>996</v>
      </c>
      <c r="R19" s="513">
        <v>1003</v>
      </c>
    </row>
    <row r="20" spans="1:41">
      <c r="A20" s="53" t="s">
        <v>84</v>
      </c>
      <c r="B20" s="50">
        <v>223805</v>
      </c>
      <c r="C20" s="50">
        <v>223805</v>
      </c>
      <c r="D20" s="50">
        <v>223805</v>
      </c>
      <c r="E20" s="50">
        <v>223805</v>
      </c>
      <c r="F20" s="50">
        <v>223805</v>
      </c>
      <c r="G20" s="50">
        <v>223805</v>
      </c>
      <c r="H20" s="50">
        <f>'Combined total CDM to Colco (7)'!C63+'Combined total CDM to Colco (7)'!C64+'Combined total CDM to Colco (7)'!C65</f>
        <v>218815.6</v>
      </c>
      <c r="I20" s="50">
        <f>'Combined total CDM to Colco (7)'!D63+'Combined total CDM to Colco (7)'!D64+'Combined total CDM to Colco (7)'!D65</f>
        <v>266422.69999999995</v>
      </c>
      <c r="J20" s="50">
        <f>'Combined total CDM to Colco (7)'!E63+'Combined total CDM to Colco (7)'!E64+'Combined total CDM to Colco (7)'!E65</f>
        <v>228290.2</v>
      </c>
      <c r="K20" s="50">
        <f>'Combined total CDM to Colco (7)'!F63+'Combined total CDM to Colco (7)'!F64+'Combined total CDM to Colco (7)'!F65</f>
        <v>212737.30000000002</v>
      </c>
      <c r="L20" s="50">
        <f>'Combined total CDM to Colco (7)'!G63+'Combined total CDM to Colco (7)'!G64+'Combined total CDM to Colco (7)'!G65</f>
        <v>253086</v>
      </c>
      <c r="M20" s="50">
        <f>'Combined total CDM to Colco (7)'!H63+'Combined total CDM to Colco (7)'!H64+'Combined total CDM to Colco (7)'!H65</f>
        <v>220419</v>
      </c>
      <c r="N20" s="50">
        <f>'Combined total CDM to Colco (7)'!I63+'Combined total CDM to Colco (7)'!I67+'Combined total CDM to Colco (7)'!I64+'Combined total CDM to Colco (7)'!I65</f>
        <v>218323.25139264454</v>
      </c>
      <c r="O20" s="50">
        <f>'Combined total CDM to Colco (7)'!J63+'Combined total CDM to Colco (7)'!J67+'Combined total CDM to Colco (7)'!J64+'Combined total CDM to Colco (7)'!J65</f>
        <v>241720.90259496495</v>
      </c>
      <c r="P20" s="50">
        <f>'Combined total CDM to Colco (7)'!K63+'Combined total CDM to Colco (7)'!K67+'Combined total CDM to Colco (7)'!K64+'Combined total CDM to Colco (7)'!K65</f>
        <v>269507.27527196379</v>
      </c>
      <c r="Q20" s="50">
        <f>'Combined total CDM to Colco (7)'!L63+'Combined total CDM to Colco (7)'!L67+'Combined total CDM to Colco (7)'!L64+'Combined total CDM to Colco (7)'!L65</f>
        <v>226701.72185347741</v>
      </c>
      <c r="R20" s="50">
        <f>'Combined total CDM to Colco (7)'!M63+'Combined total CDM to Colco (7)'!M67+'Combined total CDM to Colco (7)'!M64+'Combined total CDM to Colco (7)'!M65</f>
        <v>304865.87623568811</v>
      </c>
    </row>
    <row r="21" spans="1:41">
      <c r="A21" s="53" t="s">
        <v>85</v>
      </c>
      <c r="B21" s="50"/>
      <c r="C21" s="50"/>
      <c r="D21" s="50"/>
      <c r="E21" s="50"/>
      <c r="F21" s="50"/>
      <c r="G21" s="50"/>
      <c r="H21" s="50"/>
      <c r="I21" s="50"/>
      <c r="J21" s="50"/>
      <c r="K21" s="50"/>
      <c r="L21" s="103"/>
      <c r="M21" s="103">
        <f>AVERAGE(B19:M19)</f>
        <v>1012</v>
      </c>
      <c r="N21" s="515">
        <f>AVERAGE(C19:N19)</f>
        <v>1014.5833333333334</v>
      </c>
      <c r="O21" s="515">
        <f>AVERAGE(D19:O19)</f>
        <v>1014.5833333333334</v>
      </c>
      <c r="P21" s="515">
        <f t="shared" ref="P21:R21" si="0">AVERAGE(E19:P19)</f>
        <v>1014.6666666666666</v>
      </c>
      <c r="Q21" s="515">
        <f t="shared" si="0"/>
        <v>1013.75</v>
      </c>
      <c r="R21" s="515">
        <f t="shared" si="0"/>
        <v>1013.4166666666666</v>
      </c>
    </row>
    <row r="22" spans="1:41" ht="15.75" thickBot="1">
      <c r="A22" s="53" t="s">
        <v>86</v>
      </c>
      <c r="B22" s="104">
        <f t="shared" ref="B22:I22" si="1">SUM(V19:AG19)</f>
        <v>0</v>
      </c>
      <c r="C22" s="104">
        <f t="shared" si="1"/>
        <v>0</v>
      </c>
      <c r="D22" s="104">
        <f t="shared" si="1"/>
        <v>0</v>
      </c>
      <c r="E22" s="104">
        <f t="shared" si="1"/>
        <v>0</v>
      </c>
      <c r="F22" s="104">
        <f t="shared" si="1"/>
        <v>0</v>
      </c>
      <c r="G22" s="104">
        <f t="shared" si="1"/>
        <v>0</v>
      </c>
      <c r="H22" s="104">
        <f t="shared" si="1"/>
        <v>0</v>
      </c>
      <c r="I22" s="104">
        <f t="shared" si="1"/>
        <v>0</v>
      </c>
      <c r="J22" s="104">
        <f>SUM(AD20:AO20)</f>
        <v>0</v>
      </c>
      <c r="K22" s="104">
        <f>SUM(AE20:AP20)</f>
        <v>0</v>
      </c>
      <c r="L22" s="514">
        <f>SUM(AF20:AQ20)</f>
        <v>0</v>
      </c>
      <c r="M22" s="514">
        <f>SUM(B20:M20)</f>
        <v>2742600.8</v>
      </c>
      <c r="N22" s="514">
        <f>SUM(C20:N20)</f>
        <v>2737119.0513926442</v>
      </c>
      <c r="O22" s="514">
        <f>SUM(D20:O20)</f>
        <v>2755034.9539876091</v>
      </c>
      <c r="P22" s="514">
        <f t="shared" ref="P22:R22" si="2">SUM(E20:P20)</f>
        <v>2800737.2292595729</v>
      </c>
      <c r="Q22" s="514">
        <f t="shared" si="2"/>
        <v>2803633.9511130508</v>
      </c>
      <c r="R22" s="514">
        <f t="shared" si="2"/>
        <v>2884694.8273487389</v>
      </c>
      <c r="S22" s="390"/>
      <c r="T22" s="390"/>
      <c r="U22" s="390"/>
      <c r="V22" s="390"/>
      <c r="W22" s="390"/>
      <c r="X22" s="390"/>
      <c r="Y22" s="390"/>
      <c r="Z22" s="390"/>
      <c r="AA22" s="390"/>
      <c r="AB22" s="390"/>
      <c r="AC22" s="390"/>
      <c r="AD22" s="390"/>
      <c r="AE22" s="390"/>
      <c r="AF22" s="390"/>
    </row>
    <row r="23" spans="1:41">
      <c r="A23" s="53"/>
      <c r="B23" s="113">
        <v>45689</v>
      </c>
      <c r="C23" s="113">
        <v>45717</v>
      </c>
      <c r="D23" s="113">
        <v>45748</v>
      </c>
      <c r="E23" s="113">
        <v>45778</v>
      </c>
      <c r="F23" s="113">
        <v>45809</v>
      </c>
      <c r="G23" s="113">
        <v>45839</v>
      </c>
      <c r="H23" s="113">
        <v>45870</v>
      </c>
      <c r="I23" s="113">
        <v>45901</v>
      </c>
      <c r="J23" s="113">
        <v>45931</v>
      </c>
      <c r="K23" s="113">
        <v>45962</v>
      </c>
      <c r="L23" s="113">
        <v>45992</v>
      </c>
      <c r="M23" s="113">
        <v>46023</v>
      </c>
      <c r="N23" s="113">
        <v>46054</v>
      </c>
      <c r="O23" s="113">
        <v>46082</v>
      </c>
      <c r="P23" s="113">
        <v>46113</v>
      </c>
      <c r="Q23" s="113">
        <v>46143</v>
      </c>
      <c r="R23" s="113">
        <v>46174</v>
      </c>
      <c r="AA23" s="77"/>
      <c r="AB23" s="77"/>
      <c r="AC23" s="77"/>
      <c r="AD23" s="77"/>
      <c r="AE23" s="77"/>
      <c r="AF23" s="77"/>
    </row>
    <row r="24" spans="1:41">
      <c r="A24" s="53" t="s">
        <v>87</v>
      </c>
      <c r="B24" s="116"/>
      <c r="C24" s="116"/>
      <c r="D24" s="116"/>
      <c r="E24" s="116"/>
      <c r="F24" s="116"/>
      <c r="G24" s="116"/>
      <c r="H24" s="116"/>
      <c r="I24" s="116"/>
      <c r="J24" s="116"/>
      <c r="K24" s="116"/>
      <c r="L24" s="515">
        <v>2710</v>
      </c>
      <c r="M24" s="515">
        <f>M22/M21</f>
        <v>2710.0798418972331</v>
      </c>
      <c r="N24" s="515">
        <f>N22/N21</f>
        <v>2697.7764777586635</v>
      </c>
      <c r="O24" s="515">
        <f>O22/O21</f>
        <v>2715.4348622465141</v>
      </c>
      <c r="P24" s="515">
        <f t="shared" ref="P24:Q24" si="3">P22/P21</f>
        <v>2760.2535110968197</v>
      </c>
      <c r="Q24" s="515">
        <f t="shared" si="3"/>
        <v>2765.6068568316159</v>
      </c>
      <c r="R24" s="515">
        <f t="shared" ref="R24" si="4">R22/R21</f>
        <v>2846.5042289437438</v>
      </c>
      <c r="S24" s="516"/>
      <c r="T24" s="516"/>
      <c r="U24" s="516"/>
      <c r="V24" s="516"/>
      <c r="W24" s="516"/>
      <c r="X24" s="516"/>
      <c r="Y24" s="516"/>
      <c r="Z24" s="516"/>
      <c r="AA24" s="516"/>
      <c r="AB24" s="516"/>
      <c r="AC24" s="516"/>
      <c r="AD24" s="516"/>
      <c r="AE24" s="516"/>
      <c r="AF24" s="516"/>
    </row>
    <row r="25" spans="1:41" ht="15.75" thickBot="1">
      <c r="A25" s="53" t="s">
        <v>88</v>
      </c>
      <c r="B25" s="114">
        <v>3000</v>
      </c>
      <c r="C25" s="114">
        <v>3000</v>
      </c>
      <c r="D25" s="114">
        <v>3000</v>
      </c>
      <c r="E25" s="114">
        <v>3000</v>
      </c>
      <c r="F25" s="114">
        <v>3000</v>
      </c>
      <c r="G25" s="114">
        <v>3000</v>
      </c>
      <c r="H25" s="114">
        <v>3000</v>
      </c>
      <c r="I25" s="114">
        <v>3000</v>
      </c>
      <c r="J25" s="114">
        <v>3000</v>
      </c>
      <c r="K25" s="114">
        <v>3000</v>
      </c>
      <c r="L25" s="114">
        <v>3000</v>
      </c>
      <c r="M25" s="114">
        <v>3000</v>
      </c>
      <c r="N25" s="114">
        <v>3000</v>
      </c>
      <c r="O25" s="114">
        <v>3000</v>
      </c>
      <c r="P25" s="114">
        <v>3000</v>
      </c>
      <c r="Q25" s="114">
        <v>3000</v>
      </c>
      <c r="R25" s="114">
        <v>3000</v>
      </c>
      <c r="AA25" s="77"/>
      <c r="AB25" s="77"/>
      <c r="AD25" s="79"/>
      <c r="AE25" s="79"/>
      <c r="AF25" s="79"/>
      <c r="AG25" s="79"/>
      <c r="AH25" s="79"/>
      <c r="AI25" s="79"/>
      <c r="AJ25" s="79"/>
      <c r="AK25" s="79"/>
    </row>
    <row r="26" spans="1:41">
      <c r="A26" s="213" t="s">
        <v>167</v>
      </c>
    </row>
    <row r="27" spans="1:41">
      <c r="P27" s="125"/>
    </row>
    <row r="28" spans="1:41">
      <c r="AO28">
        <f>AM27-H22</f>
        <v>0</v>
      </c>
    </row>
    <row r="31" spans="1:41">
      <c r="AL31" s="214"/>
      <c r="AM31" s="79"/>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296B5-9AA8-4852-BEB1-5B3307EEE868}">
  <sheetPr codeName="Sheet42">
    <tabColor theme="2" tint="-0.249977111117893"/>
  </sheetPr>
  <dimension ref="A16:R20"/>
  <sheetViews>
    <sheetView workbookViewId="0">
      <selection activeCell="M18" sqref="M18"/>
    </sheetView>
  </sheetViews>
  <sheetFormatPr defaultRowHeight="15"/>
  <cols>
    <col min="16" max="16" width="11.140625" customWidth="1"/>
  </cols>
  <sheetData>
    <row r="16" ht="15.75" thickBot="1"/>
    <row r="17" spans="1:18" ht="15.75" thickBot="1">
      <c r="A17" s="301"/>
      <c r="B17" s="302">
        <v>45863</v>
      </c>
      <c r="C17" s="302">
        <v>45894</v>
      </c>
      <c r="D17" s="302">
        <v>45925</v>
      </c>
      <c r="E17" s="302">
        <v>45955</v>
      </c>
      <c r="F17" s="302">
        <v>45986</v>
      </c>
      <c r="G17" s="302">
        <v>46016</v>
      </c>
      <c r="H17" s="302">
        <v>46047</v>
      </c>
      <c r="I17" s="302">
        <v>46078</v>
      </c>
      <c r="J17" s="302">
        <v>46106</v>
      </c>
      <c r="K17" s="302">
        <v>46137</v>
      </c>
      <c r="L17" s="302">
        <v>46167</v>
      </c>
      <c r="M17" s="302">
        <v>46198</v>
      </c>
      <c r="Q17" s="215"/>
      <c r="R17" s="215"/>
    </row>
    <row r="18" spans="1:18" ht="15.75" thickBot="1">
      <c r="A18" s="152" t="s">
        <v>59</v>
      </c>
      <c r="B18" s="152">
        <f>+'[56]Combined farrow rate  (4)'!R17</f>
        <v>89</v>
      </c>
      <c r="C18" s="152">
        <f>+'[56]Combined farrow rate  (4)'!S17</f>
        <v>92</v>
      </c>
      <c r="D18" s="152">
        <f>+'[56]Combined farrow rate  (4)'!T17</f>
        <v>95</v>
      </c>
      <c r="E18" s="152">
        <f>+'[56]Combined farrow rate  (4)'!U17</f>
        <v>95</v>
      </c>
      <c r="F18" s="152">
        <f>+'[56]Combined farrow rate  (4)'!V17</f>
        <v>96</v>
      </c>
      <c r="G18" s="152">
        <f>+'[56]Combined farrow rate  (4)'!W17</f>
        <v>94</v>
      </c>
      <c r="H18" s="152">
        <f>+'Combined farrow rate  (5)'!X17</f>
        <v>93</v>
      </c>
      <c r="I18" s="152">
        <f>+'Combined farrow rate  (5)'!Y17</f>
        <v>93</v>
      </c>
      <c r="J18" s="152">
        <f>+'Combined farrow rate  (5)'!Z17</f>
        <v>94</v>
      </c>
      <c r="K18" s="152">
        <f>+'Combined farrow rate  (5)'!AA17</f>
        <v>93</v>
      </c>
      <c r="L18" s="152">
        <f>+'Combined farrow rate  (5)'!AB17</f>
        <v>95</v>
      </c>
      <c r="M18" s="152">
        <f>+'Combined farrow rate  (5)'!AC17</f>
        <v>96</v>
      </c>
      <c r="N18" s="77">
        <f>AVERAGE(B18:M18)</f>
        <v>93.75</v>
      </c>
    </row>
    <row r="19" spans="1:18" ht="15.75" thickBot="1">
      <c r="A19" s="152" t="s">
        <v>88</v>
      </c>
      <c r="B19" s="152">
        <v>92</v>
      </c>
      <c r="C19" s="152">
        <v>92</v>
      </c>
      <c r="D19" s="152">
        <v>92</v>
      </c>
      <c r="E19" s="152">
        <v>92</v>
      </c>
      <c r="F19" s="152">
        <v>92</v>
      </c>
      <c r="G19" s="152">
        <v>92</v>
      </c>
      <c r="H19" s="152">
        <v>92</v>
      </c>
      <c r="I19" s="152">
        <v>92</v>
      </c>
      <c r="J19" s="152">
        <v>92</v>
      </c>
      <c r="K19" s="152">
        <v>92</v>
      </c>
      <c r="L19" s="152">
        <v>92</v>
      </c>
      <c r="M19" s="152">
        <v>92</v>
      </c>
      <c r="N19" s="77">
        <f>AVERAGE(B19:M19)</f>
        <v>92</v>
      </c>
      <c r="O19" s="293">
        <f>N18-N19</f>
        <v>1.75</v>
      </c>
      <c r="P19" s="291" t="s">
        <v>101</v>
      </c>
    </row>
    <row r="20" spans="1:18" ht="15.75" thickBot="1">
      <c r="A20" s="152" t="s">
        <v>106</v>
      </c>
      <c r="B20" s="152"/>
      <c r="C20" s="152"/>
      <c r="D20" s="152"/>
      <c r="E20" s="152"/>
      <c r="F20" s="152"/>
      <c r="G20" s="152"/>
      <c r="H20" s="152"/>
      <c r="I20" s="152">
        <v>93.9</v>
      </c>
      <c r="J20" s="152">
        <v>96</v>
      </c>
      <c r="K20" s="152">
        <v>92.2</v>
      </c>
      <c r="L20" s="152">
        <v>96.9</v>
      </c>
      <c r="M20" s="152">
        <v>95.1</v>
      </c>
      <c r="N20" s="77">
        <f>AVERAGE(B20:M20)</f>
        <v>94.820000000000007</v>
      </c>
      <c r="O20" s="293">
        <f>N18-N20</f>
        <v>-1.0700000000000074</v>
      </c>
      <c r="P20" s="291" t="s">
        <v>110</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474D-DB10-415A-866E-5D22ACDD15B2}">
  <sheetPr codeName="Sheet43">
    <tabColor theme="2" tint="-0.249977111117893"/>
  </sheetPr>
  <dimension ref="A16:U20"/>
  <sheetViews>
    <sheetView workbookViewId="0">
      <selection activeCell="M18" sqref="K18:M18"/>
    </sheetView>
  </sheetViews>
  <sheetFormatPr defaultRowHeight="15"/>
  <sheetData>
    <row r="16" ht="15.75" thickBot="1"/>
    <row r="17" spans="1:21" ht="15.75" thickBot="1">
      <c r="A17" s="301"/>
      <c r="B17" s="302">
        <v>45863</v>
      </c>
      <c r="C17" s="302">
        <v>45894</v>
      </c>
      <c r="D17" s="302">
        <v>45925</v>
      </c>
      <c r="E17" s="302">
        <v>45955</v>
      </c>
      <c r="F17" s="302">
        <v>45986</v>
      </c>
      <c r="G17" s="302">
        <v>46016</v>
      </c>
      <c r="H17" s="302">
        <v>46047</v>
      </c>
      <c r="I17" s="302">
        <v>46078</v>
      </c>
      <c r="J17" s="302">
        <v>46106</v>
      </c>
      <c r="K17" s="302">
        <v>46137</v>
      </c>
      <c r="L17" s="302">
        <v>46167</v>
      </c>
      <c r="M17" s="302">
        <v>46198</v>
      </c>
      <c r="Q17" s="215"/>
      <c r="U17" s="215"/>
    </row>
    <row r="18" spans="1:21" ht="15.75" thickBot="1">
      <c r="A18" s="152" t="s">
        <v>59</v>
      </c>
      <c r="B18" s="313">
        <f>+'[56]Combined Born alive (4)'!R18</f>
        <v>14</v>
      </c>
      <c r="C18" s="313">
        <f>+'[56]Combined Born alive (4)'!S18</f>
        <v>14.2</v>
      </c>
      <c r="D18" s="313">
        <f>+'[56]Combined Born alive (4)'!T18</f>
        <v>14</v>
      </c>
      <c r="E18" s="313">
        <f>+'[56]Combined Born alive (4)'!U18</f>
        <v>14</v>
      </c>
      <c r="F18" s="313">
        <f>+'[56]Combined Born alive (4)'!V18</f>
        <v>14.7</v>
      </c>
      <c r="G18" s="313">
        <f>+'[56]Combined Born alive (4)'!W18</f>
        <v>16</v>
      </c>
      <c r="H18" s="313">
        <f>+'Combined Born alive (5)'!X18</f>
        <v>15.9</v>
      </c>
      <c r="I18" s="313">
        <f>+'Combined Born alive (5)'!Y18</f>
        <v>16.399999999999999</v>
      </c>
      <c r="J18" s="313">
        <f>+'Combined Born alive (5)'!Z18</f>
        <v>16.399999999999999</v>
      </c>
      <c r="K18" s="313">
        <f>+'Combined Born alive (5)'!AA18</f>
        <v>16.7</v>
      </c>
      <c r="L18" s="313">
        <f>+'Combined Born alive (5)'!AB18</f>
        <v>16.100000000000001</v>
      </c>
      <c r="M18" s="313">
        <f>+'Combined Born alive (5)'!AC18</f>
        <v>16.600000000000001</v>
      </c>
      <c r="N18" s="77">
        <f>AVERAGE(B18:M18)</f>
        <v>15.416666666666666</v>
      </c>
    </row>
    <row r="19" spans="1:21" ht="15.75" thickBot="1">
      <c r="A19" s="152" t="s">
        <v>88</v>
      </c>
      <c r="B19" s="313">
        <v>15</v>
      </c>
      <c r="C19" s="313">
        <v>15</v>
      </c>
      <c r="D19" s="313">
        <v>15</v>
      </c>
      <c r="E19" s="313">
        <v>15</v>
      </c>
      <c r="F19" s="313">
        <v>15</v>
      </c>
      <c r="G19" s="313">
        <v>15</v>
      </c>
      <c r="H19" s="313">
        <v>15</v>
      </c>
      <c r="I19" s="313">
        <v>15</v>
      </c>
      <c r="J19" s="313">
        <v>15</v>
      </c>
      <c r="K19" s="313">
        <v>15</v>
      </c>
      <c r="L19" s="313">
        <v>15</v>
      </c>
      <c r="M19" s="313">
        <v>15</v>
      </c>
      <c r="N19" s="77">
        <f t="shared" ref="N19:N20" si="0">AVERAGE(B19:M19)</f>
        <v>15</v>
      </c>
      <c r="O19" s="292">
        <f>N18-N19</f>
        <v>0.41666666666666607</v>
      </c>
      <c r="P19" s="291" t="s">
        <v>125</v>
      </c>
    </row>
    <row r="20" spans="1:21" ht="15.75" thickBot="1">
      <c r="A20" s="152" t="s">
        <v>60</v>
      </c>
      <c r="B20" s="313"/>
      <c r="C20" s="313"/>
      <c r="D20" s="313"/>
      <c r="E20" s="313"/>
      <c r="F20" s="313"/>
      <c r="G20" s="313"/>
      <c r="H20" s="313"/>
      <c r="I20" s="313">
        <v>14</v>
      </c>
      <c r="J20" s="313">
        <v>13.4</v>
      </c>
      <c r="K20" s="313">
        <v>14.6</v>
      </c>
      <c r="L20" s="313">
        <v>15</v>
      </c>
      <c r="M20" s="313">
        <v>15.1</v>
      </c>
      <c r="N20" s="77">
        <f t="shared" si="0"/>
        <v>14.419999999999998</v>
      </c>
      <c r="O20" s="293">
        <f>N18-N20</f>
        <v>0.99666666666666792</v>
      </c>
      <c r="P20" s="291" t="s">
        <v>168</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22E8-547C-4AE5-ABF1-BE1FD3ED770F}">
  <sheetPr codeName="Sheet44">
    <tabColor theme="2" tint="-0.249977111117893"/>
  </sheetPr>
  <dimension ref="A15:P20"/>
  <sheetViews>
    <sheetView workbookViewId="0">
      <selection activeCell="N17" sqref="N17:N19"/>
    </sheetView>
  </sheetViews>
  <sheetFormatPr defaultRowHeight="15"/>
  <cols>
    <col min="1" max="1" width="11.28515625" bestFit="1" customWidth="1"/>
  </cols>
  <sheetData>
    <row r="15" spans="1:14" ht="15.75" thickBot="1"/>
    <row r="16" spans="1:14" ht="15.75" thickBot="1">
      <c r="A16" s="301"/>
      <c r="B16" s="316">
        <v>45863</v>
      </c>
      <c r="C16" s="316">
        <v>45894</v>
      </c>
      <c r="D16" s="316">
        <v>45925</v>
      </c>
      <c r="E16" s="316">
        <v>45955</v>
      </c>
      <c r="F16" s="316">
        <v>45986</v>
      </c>
      <c r="G16" s="316">
        <v>46016</v>
      </c>
      <c r="H16" s="316">
        <v>46047</v>
      </c>
      <c r="I16" s="316">
        <v>46078</v>
      </c>
      <c r="J16" s="316">
        <v>46106</v>
      </c>
      <c r="K16" s="316">
        <v>46137</v>
      </c>
      <c r="L16" s="316">
        <v>46167</v>
      </c>
      <c r="M16" s="316">
        <v>46198</v>
      </c>
      <c r="N16" s="390"/>
    </row>
    <row r="17" spans="1:16" ht="15.75" thickBot="1">
      <c r="A17" s="152" t="s">
        <v>59</v>
      </c>
      <c r="B17" s="152">
        <f>+'[56]Combined Wean weight  (4)'!S17</f>
        <v>6</v>
      </c>
      <c r="C17" s="152">
        <f>+'[56]Combined Wean weight  (4)'!T17</f>
        <v>8.65</v>
      </c>
      <c r="D17" s="152">
        <f>+'[56]Combined Wean weight  (4)'!U17</f>
        <v>8.64</v>
      </c>
      <c r="E17" s="152">
        <f>+'[56]Combined Wean weight  (4)'!V17</f>
        <v>8.5</v>
      </c>
      <c r="F17" s="152">
        <f>+'[56]Combined Wean weight  (4)'!W17</f>
        <v>8.1999999999999993</v>
      </c>
      <c r="G17" s="152">
        <f>+'[56]Combined Wean weight  (4)'!X17</f>
        <v>8.1</v>
      </c>
      <c r="H17" s="152">
        <f>+'Combined Wean weight  (5)'!Y17</f>
        <v>7.9</v>
      </c>
      <c r="I17" s="152">
        <f>+'Combined Wean weight  (5)'!Z17</f>
        <v>8.25</v>
      </c>
      <c r="J17" s="152">
        <f>+'Combined Wean weight  (5)'!AA17</f>
        <v>8.1199999999999992</v>
      </c>
      <c r="K17" s="152">
        <f>+'Combined Wean weight  (5)'!AB17</f>
        <v>7.93</v>
      </c>
      <c r="L17" s="152">
        <f>+'Combined Wean weight  (5)'!AC17</f>
        <v>8.1</v>
      </c>
      <c r="M17" s="152">
        <f>+'Combined Wean weight  (5)'!AD17</f>
        <v>7.92</v>
      </c>
      <c r="N17" s="77">
        <f>AVERAGE(B17:M17)</f>
        <v>8.0258333333333329</v>
      </c>
      <c r="O17" s="77"/>
    </row>
    <row r="18" spans="1:16" ht="15.75" thickBot="1">
      <c r="A18" s="152" t="s">
        <v>109</v>
      </c>
      <c r="B18" s="152"/>
      <c r="C18" s="152"/>
      <c r="D18" s="152"/>
      <c r="E18" s="152"/>
      <c r="F18" s="152"/>
      <c r="G18" s="152"/>
      <c r="H18" s="152"/>
      <c r="I18" s="152"/>
      <c r="J18" s="152">
        <v>8.1</v>
      </c>
      <c r="K18" s="152">
        <v>7.9</v>
      </c>
      <c r="L18" s="152">
        <v>7.5</v>
      </c>
      <c r="M18" s="152">
        <v>7.4</v>
      </c>
      <c r="N18" s="77">
        <f t="shared" ref="N18:N19" si="0">AVERAGE(B18:M18)</f>
        <v>7.7249999999999996</v>
      </c>
      <c r="O18" s="292">
        <f>N17-N18</f>
        <v>0.30083333333333329</v>
      </c>
      <c r="P18" s="291" t="s">
        <v>169</v>
      </c>
    </row>
    <row r="19" spans="1:16" ht="15.75" thickBot="1">
      <c r="A19" s="152" t="s">
        <v>88</v>
      </c>
      <c r="B19" s="307">
        <v>7.5</v>
      </c>
      <c r="C19" s="307">
        <v>7.5</v>
      </c>
      <c r="D19" s="307">
        <v>7.5</v>
      </c>
      <c r="E19" s="307">
        <v>7.5</v>
      </c>
      <c r="F19" s="307">
        <v>7.5</v>
      </c>
      <c r="G19" s="307">
        <v>7.5</v>
      </c>
      <c r="H19" s="307">
        <v>7.5</v>
      </c>
      <c r="I19" s="307">
        <v>7.5</v>
      </c>
      <c r="J19" s="307">
        <v>7.5</v>
      </c>
      <c r="K19" s="307">
        <v>7.5</v>
      </c>
      <c r="L19" s="307">
        <v>7.5</v>
      </c>
      <c r="M19" s="307">
        <v>7.5</v>
      </c>
      <c r="N19" s="77">
        <f t="shared" si="0"/>
        <v>7.5</v>
      </c>
      <c r="O19" s="293">
        <f>N17-N19</f>
        <v>0.52583333333333293</v>
      </c>
      <c r="P19" s="291" t="s">
        <v>113</v>
      </c>
    </row>
    <row r="20" spans="1:16" ht="15.75" thickBot="1">
      <c r="A20" s="152"/>
      <c r="B20" s="152"/>
      <c r="C20" s="152"/>
      <c r="D20" s="152"/>
      <c r="E20" s="152"/>
      <c r="F20" s="152"/>
      <c r="G20" s="152"/>
      <c r="H20" s="152"/>
      <c r="I20" s="152"/>
      <c r="J20" s="152"/>
      <c r="K20" s="152"/>
      <c r="L20" s="152"/>
      <c r="M20" s="152"/>
      <c r="O20" s="79"/>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6CD3-698C-470C-B65B-402834B93C79}">
  <sheetPr codeName="Sheet45">
    <tabColor theme="2" tint="-0.249977111117893"/>
  </sheetPr>
  <dimension ref="A15:P19"/>
  <sheetViews>
    <sheetView workbookViewId="0">
      <selection activeCell="M17" sqref="M17"/>
    </sheetView>
  </sheetViews>
  <sheetFormatPr defaultRowHeight="15"/>
  <cols>
    <col min="1" max="1" width="11.28515625" bestFit="1" customWidth="1"/>
  </cols>
  <sheetData>
    <row r="15" spans="1:14" ht="15.75" thickBot="1"/>
    <row r="16" spans="1:14" ht="15.75" thickBot="1">
      <c r="A16" s="340"/>
      <c r="B16" s="317">
        <v>45863</v>
      </c>
      <c r="C16" s="317">
        <v>45894</v>
      </c>
      <c r="D16" s="317">
        <v>45925</v>
      </c>
      <c r="E16" s="317">
        <v>45955</v>
      </c>
      <c r="F16" s="317">
        <v>45986</v>
      </c>
      <c r="G16" s="317">
        <v>46016</v>
      </c>
      <c r="H16" s="317">
        <v>46047</v>
      </c>
      <c r="I16" s="317">
        <v>46078</v>
      </c>
      <c r="J16" s="317">
        <v>46106</v>
      </c>
      <c r="K16" s="317">
        <v>46137</v>
      </c>
      <c r="L16" s="317">
        <v>46167</v>
      </c>
      <c r="M16" s="317">
        <v>46198</v>
      </c>
      <c r="N16" s="390"/>
    </row>
    <row r="17" spans="1:16" ht="15.75" thickBot="1">
      <c r="A17" s="313" t="s">
        <v>59</v>
      </c>
      <c r="B17" s="313">
        <f>+'[56]Combined Litter mass  (4)'!R18</f>
        <v>82.7</v>
      </c>
      <c r="C17" s="313">
        <f>+'[56]Combined Litter mass  (4)'!S18</f>
        <v>115.4</v>
      </c>
      <c r="D17" s="313">
        <f>+'[56]Combined Litter mass  (4)'!T18</f>
        <v>117.55</v>
      </c>
      <c r="E17" s="313">
        <f>+'[56]Combined Litter mass  (4)'!U18</f>
        <v>114.13</v>
      </c>
      <c r="F17" s="313">
        <f>+'[56]Combined Litter mass  (4)'!V18</f>
        <v>114.1</v>
      </c>
      <c r="G17" s="313">
        <f>+'[56]Combined Litter mass  (4)'!W18</f>
        <v>119.9</v>
      </c>
      <c r="H17" s="313">
        <f>+'Combined Litter mass  (5)'!W18</f>
        <v>117.35</v>
      </c>
      <c r="I17" s="313">
        <f>+'Combined Litter mass  (5)'!X18</f>
        <v>125.65</v>
      </c>
      <c r="J17" s="313">
        <f>+'Combined Litter mass  (5)'!Y18</f>
        <v>123.82</v>
      </c>
      <c r="K17" s="313">
        <f>+'Combined Litter mass  (5)'!Z18</f>
        <v>122.38</v>
      </c>
      <c r="L17" s="313">
        <f>+'Combined Litter mass  (5)'!AA18</f>
        <v>121.5</v>
      </c>
      <c r="M17" s="313">
        <f>+'Combined Litter mass  (5)'!AB18</f>
        <v>121.02</v>
      </c>
      <c r="N17" s="77">
        <f>AVERAGE(B17:M17)</f>
        <v>116.29166666666667</v>
      </c>
    </row>
    <row r="18" spans="1:16" ht="15.75" thickBot="1">
      <c r="A18" s="313" t="s">
        <v>109</v>
      </c>
      <c r="B18" s="313"/>
      <c r="C18" s="313"/>
      <c r="D18" s="313"/>
      <c r="E18" s="313"/>
      <c r="F18" s="313"/>
      <c r="G18" s="313"/>
      <c r="H18" s="313"/>
      <c r="I18" s="313"/>
      <c r="J18" s="313">
        <v>106.1</v>
      </c>
      <c r="K18" s="313">
        <v>98.2</v>
      </c>
      <c r="L18" s="313">
        <v>93.6</v>
      </c>
      <c r="M18" s="313">
        <v>90.9</v>
      </c>
      <c r="N18" s="77">
        <f t="shared" ref="N18:N19" si="0">AVERAGE(B18:M18)</f>
        <v>97.199999999999989</v>
      </c>
      <c r="O18" s="293">
        <f>N17-N18</f>
        <v>19.091666666666683</v>
      </c>
      <c r="P18" s="291" t="s">
        <v>168</v>
      </c>
    </row>
    <row r="19" spans="1:16" ht="15.75" thickBot="1">
      <c r="A19" s="313" t="s">
        <v>88</v>
      </c>
      <c r="B19" s="307">
        <v>96</v>
      </c>
      <c r="C19" s="307">
        <v>96</v>
      </c>
      <c r="D19" s="307">
        <v>96</v>
      </c>
      <c r="E19" s="307">
        <v>96</v>
      </c>
      <c r="F19" s="307">
        <v>96</v>
      </c>
      <c r="G19" s="307">
        <v>96</v>
      </c>
      <c r="H19" s="307">
        <v>100</v>
      </c>
      <c r="I19" s="307">
        <v>100</v>
      </c>
      <c r="J19" s="307">
        <v>100</v>
      </c>
      <c r="K19" s="307">
        <v>100</v>
      </c>
      <c r="L19" s="307">
        <v>100</v>
      </c>
      <c r="M19" s="307">
        <v>100</v>
      </c>
      <c r="N19" s="77">
        <f t="shared" si="0"/>
        <v>98</v>
      </c>
      <c r="O19" s="293">
        <f>N17-N19</f>
        <v>18.291666666666671</v>
      </c>
      <c r="P19" s="291" t="s">
        <v>101</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2CEFE-65E2-4BB2-B148-D8F4D88780B6}">
  <sheetPr codeName="Sheet46">
    <tabColor theme="2" tint="-0.249977111117893"/>
  </sheetPr>
  <dimension ref="A15:P20"/>
  <sheetViews>
    <sheetView workbookViewId="0">
      <selection activeCell="P5" sqref="P5"/>
    </sheetView>
  </sheetViews>
  <sheetFormatPr defaultRowHeight="15"/>
  <cols>
    <col min="1" max="1" width="11.28515625" bestFit="1" customWidth="1"/>
  </cols>
  <sheetData>
    <row r="15" spans="1:14" ht="15.75" thickBot="1"/>
    <row r="16" spans="1:14" ht="15.75" thickBot="1">
      <c r="A16" s="301"/>
      <c r="B16" s="316">
        <v>45863</v>
      </c>
      <c r="C16" s="316">
        <v>45894</v>
      </c>
      <c r="D16" s="316">
        <v>45925</v>
      </c>
      <c r="E16" s="316">
        <v>45955</v>
      </c>
      <c r="F16" s="316">
        <v>45986</v>
      </c>
      <c r="G16" s="316">
        <v>46016</v>
      </c>
      <c r="H16" s="316">
        <v>46047</v>
      </c>
      <c r="I16" s="316">
        <v>46078</v>
      </c>
      <c r="J16" s="316">
        <v>46106</v>
      </c>
      <c r="K16" s="316">
        <v>46137</v>
      </c>
      <c r="L16" s="316">
        <v>46167</v>
      </c>
      <c r="M16" s="316">
        <v>46198</v>
      </c>
      <c r="N16" s="390"/>
    </row>
    <row r="17" spans="1:16" ht="15.75" thickBot="1">
      <c r="A17" s="152" t="s">
        <v>59</v>
      </c>
      <c r="B17" s="152">
        <f>+'[56]Combined 70 day weight  (4)'!T21</f>
        <v>25.76</v>
      </c>
      <c r="C17" s="152">
        <f>+'[56]Combined 70 day weight  (4)'!U21</f>
        <v>22.34</v>
      </c>
      <c r="D17" s="152">
        <f>+'[56]Combined 70 day weight  (4)'!V21</f>
        <v>25.89</v>
      </c>
      <c r="E17" s="152">
        <f>+'[56]Combined 70 day weight  (4)'!W21</f>
        <v>28.27</v>
      </c>
      <c r="F17" s="152">
        <f>+'[56]Combined 70 day weight  (4)'!X21</f>
        <v>28.28</v>
      </c>
      <c r="G17" s="152">
        <f>+'[56]Combined 70 day weight  (4)'!Y21</f>
        <v>28.3</v>
      </c>
      <c r="H17" s="152">
        <f>+'Combined 70 day weight  (5)'!Z21</f>
        <v>28.24</v>
      </c>
      <c r="I17" s="152">
        <f>+'Combined 70 day weight  (5)'!AA21</f>
        <v>27.9</v>
      </c>
      <c r="J17" s="152">
        <f>+'Combined 70 day weight  (5)'!AB21</f>
        <v>28.11</v>
      </c>
      <c r="K17" s="152">
        <f>+'Combined 70 day weight  (5)'!AC21</f>
        <v>28.24</v>
      </c>
      <c r="L17" s="152">
        <f>+'Combined 70 day weight  (5)'!AD21</f>
        <v>28.33</v>
      </c>
      <c r="M17" s="152">
        <f>+'Combined 70 day weight  (5)'!AE21</f>
        <v>29</v>
      </c>
      <c r="N17" s="77">
        <f>AVERAGE(B17:M17)</f>
        <v>27.388333333333335</v>
      </c>
    </row>
    <row r="18" spans="1:16" ht="15.75" thickBot="1">
      <c r="A18" s="152" t="s">
        <v>109</v>
      </c>
      <c r="B18" s="152"/>
      <c r="C18" s="152"/>
      <c r="D18" s="152"/>
      <c r="E18" s="152"/>
      <c r="F18" s="152"/>
      <c r="G18" s="152"/>
      <c r="H18" s="152"/>
      <c r="I18" s="152"/>
      <c r="J18" s="152"/>
      <c r="K18" s="318">
        <v>28.8</v>
      </c>
      <c r="L18" s="318">
        <v>28.22</v>
      </c>
      <c r="M18" s="318">
        <v>27.24</v>
      </c>
      <c r="N18" s="77">
        <f t="shared" ref="N18:N19" si="0">AVERAGE(B18:M18)</f>
        <v>28.086666666666662</v>
      </c>
      <c r="O18" s="293">
        <f>N17-N18</f>
        <v>-0.69833333333332703</v>
      </c>
      <c r="P18" s="291" t="s">
        <v>110</v>
      </c>
    </row>
    <row r="19" spans="1:16" ht="15.75" thickBot="1">
      <c r="A19" s="152" t="s">
        <v>88</v>
      </c>
      <c r="B19" s="307">
        <v>28</v>
      </c>
      <c r="C19" s="307">
        <v>28</v>
      </c>
      <c r="D19" s="307">
        <v>28</v>
      </c>
      <c r="E19" s="307">
        <v>28</v>
      </c>
      <c r="F19" s="307">
        <v>28</v>
      </c>
      <c r="G19" s="307">
        <v>28</v>
      </c>
      <c r="H19" s="307">
        <v>28</v>
      </c>
      <c r="I19" s="307">
        <v>28</v>
      </c>
      <c r="J19" s="307">
        <v>28</v>
      </c>
      <c r="K19" s="307">
        <v>28</v>
      </c>
      <c r="L19" s="307">
        <v>28</v>
      </c>
      <c r="M19" s="307">
        <v>28</v>
      </c>
      <c r="N19" s="77">
        <f t="shared" si="0"/>
        <v>28</v>
      </c>
      <c r="O19" s="293">
        <f>N17-N19</f>
        <v>-0.61166666666666458</v>
      </c>
      <c r="P19" s="291" t="s">
        <v>125</v>
      </c>
    </row>
    <row r="20" spans="1:16">
      <c r="A20" s="319"/>
      <c r="B20" s="320"/>
      <c r="C20" s="320"/>
      <c r="D20" s="320"/>
      <c r="E20" s="320"/>
      <c r="F20" s="320"/>
      <c r="G20" s="320"/>
      <c r="H20" s="320"/>
      <c r="I20" s="320"/>
      <c r="J20" s="320"/>
      <c r="K20" s="320"/>
      <c r="L20" s="320"/>
      <c r="M20" s="320"/>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49BD1-1E1B-4843-915E-0E2CE02E71D6}">
  <sheetPr codeName="Sheet47">
    <tabColor theme="2" tint="-0.249977111117893"/>
  </sheetPr>
  <dimension ref="A15:P20"/>
  <sheetViews>
    <sheetView workbookViewId="0">
      <selection activeCell="P13" sqref="P13"/>
    </sheetView>
  </sheetViews>
  <sheetFormatPr defaultRowHeight="15"/>
  <cols>
    <col min="1" max="1" width="11.28515625" bestFit="1" customWidth="1"/>
  </cols>
  <sheetData>
    <row r="15" spans="1:14" ht="15.75" thickBot="1"/>
    <row r="16" spans="1:14" ht="15.75" thickBot="1">
      <c r="A16" s="301"/>
      <c r="B16" s="316">
        <v>45863</v>
      </c>
      <c r="C16" s="316">
        <v>45894</v>
      </c>
      <c r="D16" s="316">
        <v>45925</v>
      </c>
      <c r="E16" s="316">
        <v>45955</v>
      </c>
      <c r="F16" s="316">
        <v>45986</v>
      </c>
      <c r="G16" s="316">
        <v>46016</v>
      </c>
      <c r="H16" s="316">
        <v>46047</v>
      </c>
      <c r="I16" s="316">
        <v>46078</v>
      </c>
      <c r="J16" s="316">
        <v>46106</v>
      </c>
      <c r="K16" s="316">
        <v>46137</v>
      </c>
      <c r="L16" s="316">
        <v>46167</v>
      </c>
      <c r="M16" s="316">
        <v>46198</v>
      </c>
      <c r="N16" s="390"/>
    </row>
    <row r="17" spans="1:16" ht="15.75" thickBot="1">
      <c r="A17" s="152" t="s">
        <v>59</v>
      </c>
      <c r="B17" s="309">
        <f>+'[56]Combined 70 day gain  (4)'!T21</f>
        <v>19.010000000000002</v>
      </c>
      <c r="C17" s="309">
        <f>+'[56]Combined 70 day gain  (4)'!U21</f>
        <v>16.399999999999999</v>
      </c>
      <c r="D17" s="309">
        <f>+'[56]Combined 70 day gain  (4)'!V21</f>
        <v>18.350000000000001</v>
      </c>
      <c r="E17" s="309">
        <f>+'[56]Combined 70 day gain  (4)'!W21</f>
        <v>19.690000000000001</v>
      </c>
      <c r="F17" s="309">
        <f>+'[56]Combined 70 day gain  (4)'!X21</f>
        <v>19.75</v>
      </c>
      <c r="G17" s="309">
        <f>+'[56]Combined 70 day gain  (4)'!Y21</f>
        <v>19.84</v>
      </c>
      <c r="H17" s="540">
        <f>+'Combined 70 day gain  (5)'!Z21</f>
        <v>19.989999999999998</v>
      </c>
      <c r="I17" s="540">
        <f>+'Combined 70 day gain  (5)'!AA21</f>
        <v>19.96</v>
      </c>
      <c r="J17" s="540">
        <f>+'Combined 70 day gain  (5)'!AB21</f>
        <v>20.010000000000002</v>
      </c>
      <c r="K17" s="540">
        <f>+'Combined 70 day gain  (5)'!AC21</f>
        <v>20.3</v>
      </c>
      <c r="L17" s="540">
        <f>+'Combined 70 day gain  (5)'!AD21</f>
        <v>20.36</v>
      </c>
      <c r="M17" s="540">
        <f>+'Combined 70 day gain  (5)'!AE21</f>
        <v>21.03</v>
      </c>
      <c r="N17" s="77">
        <f>AVERAGE(B17:M17)</f>
        <v>19.557500000000001</v>
      </c>
    </row>
    <row r="18" spans="1:16" ht="15.75" thickBot="1">
      <c r="A18" s="152" t="s">
        <v>109</v>
      </c>
      <c r="B18" s="152"/>
      <c r="C18" s="152"/>
      <c r="D18" s="152"/>
      <c r="E18" s="152"/>
      <c r="F18" s="152"/>
      <c r="G18" s="152"/>
      <c r="H18" s="152"/>
      <c r="I18" s="152"/>
      <c r="J18" s="152"/>
      <c r="K18" s="321">
        <v>20.8</v>
      </c>
      <c r="L18" s="321">
        <v>20.48</v>
      </c>
      <c r="M18" s="321">
        <v>20.03</v>
      </c>
      <c r="N18" s="77">
        <f t="shared" ref="N18:N19" si="0">AVERAGE(B18:M18)</f>
        <v>20.436666666666667</v>
      </c>
      <c r="O18" s="293">
        <f>N17-N18</f>
        <v>-0.87916666666666643</v>
      </c>
      <c r="P18" s="291" t="s">
        <v>110</v>
      </c>
    </row>
    <row r="19" spans="1:16" ht="15.75" thickBot="1">
      <c r="A19" s="152" t="s">
        <v>88</v>
      </c>
      <c r="B19" s="307">
        <v>21</v>
      </c>
      <c r="C19" s="307">
        <v>21</v>
      </c>
      <c r="D19" s="307">
        <v>21</v>
      </c>
      <c r="E19" s="307">
        <v>21</v>
      </c>
      <c r="F19" s="307">
        <v>21</v>
      </c>
      <c r="G19" s="307">
        <v>21</v>
      </c>
      <c r="H19" s="307">
        <v>21</v>
      </c>
      <c r="I19" s="307">
        <v>21</v>
      </c>
      <c r="J19" s="307">
        <v>21</v>
      </c>
      <c r="K19" s="307">
        <v>21</v>
      </c>
      <c r="L19" s="307">
        <v>21</v>
      </c>
      <c r="M19" s="307">
        <v>21</v>
      </c>
      <c r="N19" s="77">
        <f t="shared" si="0"/>
        <v>21</v>
      </c>
      <c r="O19" s="293">
        <f>N17-N19</f>
        <v>-1.442499999999999</v>
      </c>
      <c r="P19" s="291" t="s">
        <v>125</v>
      </c>
    </row>
    <row r="20" spans="1:16">
      <c r="A20" s="319"/>
      <c r="B20" s="320"/>
      <c r="C20" s="320"/>
      <c r="D20" s="320"/>
      <c r="E20" s="320"/>
      <c r="F20" s="320"/>
      <c r="G20" s="320"/>
      <c r="H20" s="320"/>
      <c r="I20" s="320"/>
      <c r="J20" s="320"/>
      <c r="K20" s="320"/>
      <c r="L20" s="320"/>
      <c r="M20" s="320"/>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9306-561F-4276-9F5C-13A2F7435C2C}">
  <sheetPr codeName="Sheet48">
    <tabColor theme="2" tint="-0.249977111117893"/>
  </sheetPr>
  <dimension ref="A17:P22"/>
  <sheetViews>
    <sheetView workbookViewId="0">
      <selection activeCell="M19" sqref="M19"/>
    </sheetView>
  </sheetViews>
  <sheetFormatPr defaultRowHeight="15"/>
  <sheetData>
    <row r="17" spans="1:16" ht="15.75" thickBot="1"/>
    <row r="18" spans="1:16" ht="15.75" thickBot="1">
      <c r="A18" s="301"/>
      <c r="B18" s="316">
        <v>45863</v>
      </c>
      <c r="C18" s="316">
        <v>45894</v>
      </c>
      <c r="D18" s="316">
        <v>45925</v>
      </c>
      <c r="E18" s="316">
        <v>45955</v>
      </c>
      <c r="F18" s="316">
        <v>45986</v>
      </c>
      <c r="G18" s="316">
        <v>46016</v>
      </c>
      <c r="H18" s="316">
        <v>46047</v>
      </c>
      <c r="I18" s="316">
        <v>46078</v>
      </c>
      <c r="J18" s="316">
        <v>46106</v>
      </c>
      <c r="K18" s="316">
        <v>46137</v>
      </c>
      <c r="L18" s="316">
        <v>46167</v>
      </c>
      <c r="M18" s="316">
        <v>46198</v>
      </c>
      <c r="N18" s="295"/>
    </row>
    <row r="19" spans="1:16" ht="15.75" thickBot="1">
      <c r="A19" s="152" t="s">
        <v>59</v>
      </c>
      <c r="B19" s="152">
        <f>+'[56]Combined WSY   (4)'!S17</f>
        <v>35.299999999999997</v>
      </c>
      <c r="C19" s="152">
        <f>+'[56]Combined WSY   (4)'!T17</f>
        <v>32.4</v>
      </c>
      <c r="D19" s="152">
        <f>+'[56]Combined WSY   (4)'!U17</f>
        <v>33.6</v>
      </c>
      <c r="E19" s="152">
        <f>+'[56]Combined WSY   (4)'!V17</f>
        <v>32.5</v>
      </c>
      <c r="F19" s="152">
        <f>+'[56]Combined WSY   (4)'!W17</f>
        <v>33.700000000000003</v>
      </c>
      <c r="G19" s="152">
        <f>+'[56]Combined WSY   (4)'!X17</f>
        <v>35.700000000000003</v>
      </c>
      <c r="H19" s="152">
        <f>+'Combined WSY   (5)'!Y17</f>
        <v>36.200000000000003</v>
      </c>
      <c r="I19" s="152">
        <f>+'Combined WSY   (5)'!Z17</f>
        <v>36.5</v>
      </c>
      <c r="J19" s="152">
        <f>+'Combined WSY   (5)'!AA17</f>
        <v>37.1</v>
      </c>
      <c r="K19" s="152">
        <f>+'Combined WSY   (5)'!AB17</f>
        <v>37.4</v>
      </c>
      <c r="L19" s="152">
        <f>+'Combined WSY   (5)'!AC17</f>
        <v>37.200000000000003</v>
      </c>
      <c r="M19" s="152">
        <f>+'Combined WSY   (5)'!AD17</f>
        <v>38.6</v>
      </c>
      <c r="N19" s="77">
        <f>AVERAGE(B19:M19)</f>
        <v>35.516666666666666</v>
      </c>
    </row>
    <row r="20" spans="1:16" ht="15.75" thickBot="1">
      <c r="A20" s="152" t="s">
        <v>103</v>
      </c>
      <c r="B20" s="152"/>
      <c r="C20" s="152"/>
      <c r="D20" s="152"/>
      <c r="E20" s="152"/>
      <c r="F20" s="152"/>
      <c r="G20" s="152"/>
      <c r="H20" s="152"/>
      <c r="I20" s="152"/>
      <c r="J20" s="152">
        <v>33.700000000000003</v>
      </c>
      <c r="K20" s="152">
        <v>33.6</v>
      </c>
      <c r="L20" s="152">
        <v>35.799999999999997</v>
      </c>
      <c r="M20" s="152">
        <v>36.299999999999997</v>
      </c>
      <c r="N20" s="77">
        <f t="shared" ref="N20:N21" si="0">AVERAGE(B20:M20)</f>
        <v>34.85</v>
      </c>
      <c r="O20" s="293">
        <f>N19-N20</f>
        <v>0.6666666666666643</v>
      </c>
      <c r="P20" s="291" t="s">
        <v>168</v>
      </c>
    </row>
    <row r="21" spans="1:16" ht="15.75" thickBot="1">
      <c r="A21" s="152" t="s">
        <v>170</v>
      </c>
      <c r="B21" s="307">
        <v>34</v>
      </c>
      <c r="C21" s="307">
        <v>34</v>
      </c>
      <c r="D21" s="307">
        <v>34</v>
      </c>
      <c r="E21" s="307">
        <v>34</v>
      </c>
      <c r="F21" s="307">
        <v>34</v>
      </c>
      <c r="G21" s="307">
        <v>34</v>
      </c>
      <c r="H21" s="307">
        <v>34</v>
      </c>
      <c r="I21" s="307">
        <v>34</v>
      </c>
      <c r="J21" s="307">
        <v>34</v>
      </c>
      <c r="K21" s="307">
        <v>34</v>
      </c>
      <c r="L21" s="307">
        <v>34</v>
      </c>
      <c r="M21" s="307">
        <v>34</v>
      </c>
      <c r="N21" s="77">
        <f t="shared" si="0"/>
        <v>34</v>
      </c>
      <c r="O21" s="293">
        <f>N19-N21</f>
        <v>1.5166666666666657</v>
      </c>
      <c r="P21" s="291" t="s">
        <v>171</v>
      </c>
    </row>
    <row r="22" spans="1:16">
      <c r="N22" s="77"/>
      <c r="O22" s="77"/>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5FFE-2B74-4104-91AD-C29A443BAD9D}">
  <sheetPr codeName="Sheet49">
    <tabColor theme="0" tint="-0.34998626667073579"/>
  </sheetPr>
  <dimension ref="B2:Q21"/>
  <sheetViews>
    <sheetView topLeftCell="A5" zoomScale="79" workbookViewId="0">
      <selection activeCell="P10" sqref="P10"/>
    </sheetView>
  </sheetViews>
  <sheetFormatPr defaultRowHeight="15.75"/>
  <cols>
    <col min="2" max="2" width="29" customWidth="1"/>
    <col min="3" max="3" width="0" style="219" hidden="1" customWidth="1"/>
    <col min="4" max="4" width="9.85546875" style="252" hidden="1" customWidth="1"/>
    <col min="5" max="5" width="9.85546875" style="253" hidden="1" customWidth="1"/>
    <col min="6" max="7" width="9.85546875" style="252" hidden="1" customWidth="1"/>
    <col min="8" max="15" width="9.85546875" style="252" customWidth="1"/>
    <col min="16" max="16" width="9.85546875" style="253" customWidth="1"/>
  </cols>
  <sheetData>
    <row r="2" spans="2:17" ht="19.5" thickBot="1">
      <c r="B2" s="276" t="s">
        <v>172</v>
      </c>
      <c r="C2" s="176"/>
      <c r="D2" s="177"/>
      <c r="E2" s="176"/>
      <c r="F2" s="177"/>
      <c r="G2" s="177"/>
      <c r="H2" s="177"/>
      <c r="I2" s="177"/>
      <c r="J2" s="177"/>
      <c r="K2" s="177"/>
      <c r="L2" s="177"/>
      <c r="M2" s="177"/>
      <c r="N2" s="177"/>
      <c r="O2" s="177"/>
      <c r="P2" s="176"/>
      <c r="Q2" s="204"/>
    </row>
    <row r="3" spans="2:17" ht="19.5" thickBot="1">
      <c r="B3" s="341" t="s">
        <v>140</v>
      </c>
      <c r="C3" s="342">
        <v>45778</v>
      </c>
      <c r="D3" s="343">
        <v>45809</v>
      </c>
      <c r="E3" s="343">
        <v>45839</v>
      </c>
      <c r="F3" s="343">
        <v>45870</v>
      </c>
      <c r="G3" s="342">
        <v>45901</v>
      </c>
      <c r="H3" s="342">
        <v>45931</v>
      </c>
      <c r="I3" s="342">
        <v>45962</v>
      </c>
      <c r="J3" s="391">
        <v>45992</v>
      </c>
      <c r="K3" s="391">
        <v>46023</v>
      </c>
      <c r="L3" s="391">
        <v>46054</v>
      </c>
      <c r="M3" s="391">
        <v>46082</v>
      </c>
      <c r="N3" s="391">
        <v>46113</v>
      </c>
      <c r="O3" s="391">
        <v>46143</v>
      </c>
      <c r="P3" s="435">
        <v>46174</v>
      </c>
      <c r="Q3" s="322" t="s">
        <v>100</v>
      </c>
    </row>
    <row r="4" spans="2:17" ht="19.5" thickBot="1">
      <c r="B4" s="344" t="s">
        <v>173</v>
      </c>
      <c r="C4" s="178">
        <v>1190</v>
      </c>
      <c r="D4" s="250">
        <v>1192</v>
      </c>
      <c r="E4" s="181">
        <v>1204</v>
      </c>
      <c r="F4" s="181">
        <v>1204</v>
      </c>
      <c r="G4" s="181">
        <v>1271</v>
      </c>
      <c r="H4" s="181">
        <v>1259</v>
      </c>
      <c r="I4" s="181">
        <v>1262</v>
      </c>
      <c r="J4" s="494">
        <v>1269</v>
      </c>
      <c r="K4" s="181">
        <v>1265</v>
      </c>
      <c r="L4" s="181">
        <v>1261</v>
      </c>
      <c r="M4" s="181">
        <v>1263</v>
      </c>
      <c r="N4" s="181">
        <v>1255</v>
      </c>
      <c r="O4" s="181">
        <v>1251</v>
      </c>
      <c r="P4" s="547">
        <v>1248</v>
      </c>
      <c r="Q4" s="509"/>
    </row>
    <row r="5" spans="2:17" ht="19.5" thickBot="1">
      <c r="B5" s="344" t="s">
        <v>143</v>
      </c>
      <c r="C5" s="258">
        <v>29</v>
      </c>
      <c r="D5" s="250">
        <v>31</v>
      </c>
      <c r="E5" s="181">
        <v>27</v>
      </c>
      <c r="F5" s="392">
        <v>21</v>
      </c>
      <c r="G5" s="181">
        <v>17</v>
      </c>
      <c r="H5" s="424">
        <v>23</v>
      </c>
      <c r="I5" s="424">
        <v>23</v>
      </c>
      <c r="J5" s="495">
        <v>22</v>
      </c>
      <c r="K5" s="181">
        <v>20</v>
      </c>
      <c r="L5" s="181">
        <v>19</v>
      </c>
      <c r="M5" s="494">
        <v>18</v>
      </c>
      <c r="N5" s="181">
        <v>19</v>
      </c>
      <c r="O5" s="181">
        <v>15</v>
      </c>
      <c r="P5" s="548">
        <v>9</v>
      </c>
      <c r="Q5" s="509">
        <v>18</v>
      </c>
    </row>
    <row r="6" spans="2:17" ht="19.5" thickBot="1">
      <c r="B6" s="344" t="s">
        <v>144</v>
      </c>
      <c r="C6" s="178">
        <v>15.5</v>
      </c>
      <c r="D6" s="250">
        <v>15.6</v>
      </c>
      <c r="E6" s="181">
        <v>14.6</v>
      </c>
      <c r="F6" s="392">
        <v>14.7</v>
      </c>
      <c r="G6" s="181">
        <v>14.5</v>
      </c>
      <c r="H6" s="424">
        <v>14.5</v>
      </c>
      <c r="I6" s="424">
        <v>15.4</v>
      </c>
      <c r="J6" s="495">
        <v>16.600000000000001</v>
      </c>
      <c r="K6" s="181">
        <v>16.399999999999999</v>
      </c>
      <c r="L6" s="181">
        <v>17</v>
      </c>
      <c r="M6" s="494">
        <v>17.3</v>
      </c>
      <c r="N6" s="181">
        <v>17.399999999999999</v>
      </c>
      <c r="O6" s="181">
        <v>16.8</v>
      </c>
      <c r="P6" s="548">
        <v>17.3</v>
      </c>
      <c r="Q6" s="509">
        <v>16.8</v>
      </c>
    </row>
    <row r="7" spans="2:17" ht="19.5" thickBot="1">
      <c r="B7" s="344" t="s">
        <v>145</v>
      </c>
      <c r="C7" s="178">
        <v>15</v>
      </c>
      <c r="D7" s="251">
        <v>15.1</v>
      </c>
      <c r="E7" s="288">
        <v>14</v>
      </c>
      <c r="F7" s="393">
        <v>14.2</v>
      </c>
      <c r="G7" s="288">
        <v>14</v>
      </c>
      <c r="H7" s="427">
        <v>14</v>
      </c>
      <c r="I7" s="427">
        <v>14.7</v>
      </c>
      <c r="J7" s="496">
        <v>16</v>
      </c>
      <c r="K7" s="288">
        <v>15.9</v>
      </c>
      <c r="L7" s="288">
        <v>16.399999999999999</v>
      </c>
      <c r="M7" s="579">
        <v>16.399999999999999</v>
      </c>
      <c r="N7" s="288">
        <v>16.7</v>
      </c>
      <c r="O7" s="288">
        <v>16.100000000000001</v>
      </c>
      <c r="P7" s="549">
        <v>16.600000000000001</v>
      </c>
      <c r="Q7" s="509">
        <v>16</v>
      </c>
    </row>
    <row r="8" spans="2:17" ht="19.5" thickBot="1">
      <c r="B8" s="344" t="s">
        <v>146</v>
      </c>
      <c r="C8" s="178">
        <v>0.5</v>
      </c>
      <c r="D8" s="251">
        <v>0.5</v>
      </c>
      <c r="E8" s="288">
        <v>0.6</v>
      </c>
      <c r="F8" s="393">
        <v>0.6</v>
      </c>
      <c r="G8" s="288">
        <v>0.5</v>
      </c>
      <c r="H8" s="427">
        <v>0.6</v>
      </c>
      <c r="I8" s="427">
        <v>0.7</v>
      </c>
      <c r="J8" s="496">
        <v>0.6</v>
      </c>
      <c r="K8" s="288">
        <v>0.6</v>
      </c>
      <c r="L8" s="288">
        <v>0.5</v>
      </c>
      <c r="M8" s="579">
        <v>0.8</v>
      </c>
      <c r="N8" s="288">
        <v>0.7</v>
      </c>
      <c r="O8" s="288">
        <v>0.8</v>
      </c>
      <c r="P8" s="549">
        <v>0.8</v>
      </c>
      <c r="Q8" s="509">
        <v>0.8</v>
      </c>
    </row>
    <row r="9" spans="2:17" ht="19.5" thickBot="1">
      <c r="B9" s="344" t="s">
        <v>147</v>
      </c>
      <c r="C9" s="178">
        <v>14.1</v>
      </c>
      <c r="D9" s="251">
        <v>14.6</v>
      </c>
      <c r="E9" s="288">
        <v>13.8</v>
      </c>
      <c r="F9" s="393">
        <v>13.2</v>
      </c>
      <c r="G9" s="288">
        <v>13.6</v>
      </c>
      <c r="H9" s="427">
        <v>13.2</v>
      </c>
      <c r="I9" s="427">
        <v>14</v>
      </c>
      <c r="J9" s="496">
        <v>14.8</v>
      </c>
      <c r="K9" s="288">
        <v>15</v>
      </c>
      <c r="L9" s="288">
        <v>15.3</v>
      </c>
      <c r="M9" s="579">
        <v>15.4</v>
      </c>
      <c r="N9" s="288">
        <v>15.8</v>
      </c>
      <c r="O9" s="288">
        <v>15.2</v>
      </c>
      <c r="P9" s="549">
        <v>15.7</v>
      </c>
      <c r="Q9" s="509">
        <v>15</v>
      </c>
    </row>
    <row r="10" spans="2:17" ht="19.5" thickBot="1">
      <c r="B10" s="344" t="s">
        <v>148</v>
      </c>
      <c r="C10" s="178">
        <v>3.4</v>
      </c>
      <c r="D10" s="251">
        <v>3.8</v>
      </c>
      <c r="E10" s="288">
        <v>4.0999999999999996</v>
      </c>
      <c r="F10" s="393">
        <v>3.3</v>
      </c>
      <c r="G10" s="288">
        <v>4.5999999999999996</v>
      </c>
      <c r="H10" s="427">
        <v>3.8</v>
      </c>
      <c r="I10" s="427">
        <v>3.9</v>
      </c>
      <c r="J10" s="496">
        <v>3.9</v>
      </c>
      <c r="K10" s="288">
        <v>4.8</v>
      </c>
      <c r="L10" s="288">
        <v>3.9</v>
      </c>
      <c r="M10" s="579">
        <v>6</v>
      </c>
      <c r="N10" s="288">
        <v>5.4</v>
      </c>
      <c r="O10" s="288">
        <v>5.9</v>
      </c>
      <c r="P10" s="549">
        <v>6.8</v>
      </c>
      <c r="Q10" s="509">
        <v>6</v>
      </c>
    </row>
    <row r="11" spans="2:17" ht="19.5" thickBot="1">
      <c r="B11" s="344" t="s">
        <v>149</v>
      </c>
      <c r="C11" s="179">
        <v>0.54</v>
      </c>
      <c r="D11" s="251">
        <v>0.52</v>
      </c>
      <c r="E11" s="288">
        <v>0.5</v>
      </c>
      <c r="F11" s="393">
        <v>0.43</v>
      </c>
      <c r="G11" s="288">
        <v>0.47199999999999998</v>
      </c>
      <c r="H11" s="427">
        <v>0.48399999999999999</v>
      </c>
      <c r="I11" s="427">
        <v>0.52</v>
      </c>
      <c r="J11" s="496">
        <v>19.84</v>
      </c>
      <c r="K11" s="288">
        <v>0.52</v>
      </c>
      <c r="L11" s="288">
        <v>0.52200000000000002</v>
      </c>
      <c r="M11" s="579">
        <v>0.51500000000000001</v>
      </c>
      <c r="N11" s="288">
        <v>0.53</v>
      </c>
      <c r="O11" s="288">
        <v>0.53100000000000003</v>
      </c>
      <c r="P11" s="549">
        <v>0.55000000000000004</v>
      </c>
      <c r="Q11" s="509"/>
    </row>
    <row r="12" spans="2:17" ht="19.5" thickBot="1">
      <c r="B12" s="344" t="s">
        <v>150</v>
      </c>
      <c r="C12" s="179">
        <v>1.57</v>
      </c>
      <c r="D12" s="251">
        <v>1.55</v>
      </c>
      <c r="E12" s="288">
        <v>1.57</v>
      </c>
      <c r="F12" s="393">
        <v>1.64</v>
      </c>
      <c r="G12" s="288">
        <v>1.6120000000000001</v>
      </c>
      <c r="H12" s="427">
        <v>1.56</v>
      </c>
      <c r="I12" s="427">
        <v>1.59</v>
      </c>
      <c r="J12" s="496">
        <v>1.66</v>
      </c>
      <c r="K12" s="288">
        <v>1.62</v>
      </c>
      <c r="L12" s="288">
        <v>1.57</v>
      </c>
      <c r="M12" s="579">
        <v>1.57</v>
      </c>
      <c r="N12" s="288">
        <v>1.55</v>
      </c>
      <c r="O12" s="288">
        <v>1.57</v>
      </c>
      <c r="P12" s="549">
        <v>1.58</v>
      </c>
      <c r="Q12" s="509"/>
    </row>
    <row r="13" spans="2:17" ht="19.5" thickBot="1">
      <c r="B13" s="344" t="s">
        <v>151</v>
      </c>
      <c r="C13" s="179">
        <v>20.48</v>
      </c>
      <c r="D13" s="251">
        <v>20.03</v>
      </c>
      <c r="E13" s="288">
        <v>19.010000000000002</v>
      </c>
      <c r="F13" s="393">
        <v>16.41</v>
      </c>
      <c r="G13" s="288">
        <v>18.350000000000001</v>
      </c>
      <c r="H13" s="427">
        <v>19.690000000000001</v>
      </c>
      <c r="I13" s="427">
        <v>19.75</v>
      </c>
      <c r="J13" s="496">
        <v>19.84</v>
      </c>
      <c r="K13" s="288">
        <v>19.989999999999998</v>
      </c>
      <c r="L13" s="288">
        <v>19.96</v>
      </c>
      <c r="M13" s="579">
        <v>20.010000000000002</v>
      </c>
      <c r="N13" s="288">
        <v>20.3</v>
      </c>
      <c r="O13" s="288">
        <v>20.36</v>
      </c>
      <c r="P13" s="549">
        <v>21.03</v>
      </c>
      <c r="Q13" s="509"/>
    </row>
    <row r="14" spans="2:17" ht="19.5" thickBot="1">
      <c r="B14" s="344" t="s">
        <v>152</v>
      </c>
      <c r="C14" s="178">
        <v>0.9</v>
      </c>
      <c r="D14" s="251">
        <v>0</v>
      </c>
      <c r="E14" s="288">
        <v>1.08</v>
      </c>
      <c r="F14" s="393">
        <v>1.04</v>
      </c>
      <c r="G14" s="288">
        <v>0.93899999999999995</v>
      </c>
      <c r="H14" s="427">
        <v>0.97</v>
      </c>
      <c r="I14" s="427">
        <v>0.97</v>
      </c>
      <c r="J14" s="496">
        <v>1</v>
      </c>
      <c r="K14" s="288">
        <v>1.03</v>
      </c>
      <c r="L14" s="288">
        <v>0.995</v>
      </c>
      <c r="M14" s="579">
        <v>1.018</v>
      </c>
      <c r="N14" s="288">
        <v>1.014</v>
      </c>
      <c r="O14" s="288">
        <v>1.05</v>
      </c>
      <c r="P14" s="549">
        <v>1.032</v>
      </c>
      <c r="Q14" s="509"/>
    </row>
    <row r="15" spans="2:17" ht="19.5" thickBot="1">
      <c r="B15" s="345" t="s">
        <v>153</v>
      </c>
      <c r="C15" s="346">
        <v>2.6</v>
      </c>
      <c r="D15" s="347">
        <v>0</v>
      </c>
      <c r="E15" s="348">
        <v>2.41</v>
      </c>
      <c r="F15" s="348">
        <v>2.4300000000000002</v>
      </c>
      <c r="G15" s="348">
        <v>2.4</v>
      </c>
      <c r="H15" s="428">
        <v>2.41</v>
      </c>
      <c r="I15" s="428">
        <v>2.39</v>
      </c>
      <c r="J15" s="348">
        <v>2.4500000000000002</v>
      </c>
      <c r="K15" s="532">
        <v>2.41</v>
      </c>
      <c r="L15" s="348">
        <v>2.41</v>
      </c>
      <c r="M15" s="348">
        <v>2.48</v>
      </c>
      <c r="N15" s="532">
        <v>2.44</v>
      </c>
      <c r="O15" s="532">
        <v>2.44</v>
      </c>
      <c r="P15" s="546">
        <v>2.44</v>
      </c>
      <c r="Q15" s="509"/>
    </row>
    <row r="16" spans="2:17" ht="19.5" thickBot="1">
      <c r="B16" s="180"/>
      <c r="C16" s="177"/>
      <c r="D16" s="177"/>
      <c r="E16" s="177"/>
      <c r="F16" s="177"/>
      <c r="G16" s="177"/>
      <c r="H16" s="177"/>
      <c r="I16" s="177"/>
      <c r="J16" s="177"/>
      <c r="K16" s="177"/>
      <c r="L16" s="177"/>
      <c r="M16" s="177"/>
      <c r="N16" s="177"/>
      <c r="O16" s="177"/>
      <c r="P16" s="176"/>
      <c r="Q16" s="204"/>
    </row>
    <row r="17" spans="2:17" ht="19.5" thickBot="1">
      <c r="B17" s="436" t="s">
        <v>154</v>
      </c>
      <c r="C17" s="441">
        <v>45778</v>
      </c>
      <c r="D17" s="442">
        <v>45809</v>
      </c>
      <c r="E17" s="442">
        <v>45839</v>
      </c>
      <c r="F17" s="442">
        <v>45870</v>
      </c>
      <c r="G17" s="442">
        <v>45901</v>
      </c>
      <c r="H17" s="442">
        <v>45931</v>
      </c>
      <c r="I17" s="442">
        <v>45962</v>
      </c>
      <c r="J17" s="484">
        <v>45992</v>
      </c>
      <c r="K17" s="484">
        <v>46023</v>
      </c>
      <c r="L17" s="484">
        <v>46054</v>
      </c>
      <c r="M17" s="441">
        <v>46082</v>
      </c>
      <c r="N17" s="441">
        <v>46113</v>
      </c>
      <c r="O17" s="442">
        <v>46143</v>
      </c>
      <c r="P17" s="437">
        <v>46174</v>
      </c>
      <c r="Q17" s="509"/>
    </row>
    <row r="18" spans="2:17" ht="19.5" thickBot="1">
      <c r="B18" s="438" t="s">
        <v>155</v>
      </c>
      <c r="C18" s="443">
        <v>3</v>
      </c>
      <c r="D18" s="444">
        <v>4</v>
      </c>
      <c r="E18" s="445">
        <v>3</v>
      </c>
      <c r="F18" s="443">
        <v>6</v>
      </c>
      <c r="G18" s="445">
        <v>2</v>
      </c>
      <c r="H18" s="445">
        <v>9</v>
      </c>
      <c r="I18" s="445">
        <v>6</v>
      </c>
      <c r="J18" s="497">
        <v>2</v>
      </c>
      <c r="K18" s="448">
        <v>1</v>
      </c>
      <c r="L18" s="446">
        <v>1</v>
      </c>
      <c r="M18" s="448">
        <v>2</v>
      </c>
      <c r="N18" s="602">
        <v>1</v>
      </c>
      <c r="O18" s="497">
        <v>5</v>
      </c>
      <c r="P18" s="550">
        <v>0</v>
      </c>
      <c r="Q18" s="510"/>
    </row>
    <row r="19" spans="2:17" ht="19.5" thickBot="1">
      <c r="B19" s="439" t="s">
        <v>156</v>
      </c>
      <c r="C19" s="446">
        <v>0</v>
      </c>
      <c r="D19" s="447">
        <v>2</v>
      </c>
      <c r="E19" s="448">
        <v>1</v>
      </c>
      <c r="F19" s="446">
        <v>1</v>
      </c>
      <c r="G19" s="448">
        <v>1</v>
      </c>
      <c r="H19" s="448">
        <v>0</v>
      </c>
      <c r="I19" s="445">
        <v>5</v>
      </c>
      <c r="J19" s="448">
        <v>0</v>
      </c>
      <c r="K19" s="448">
        <v>1</v>
      </c>
      <c r="L19" s="446">
        <v>0</v>
      </c>
      <c r="M19" s="447">
        <v>3</v>
      </c>
      <c r="N19" s="448">
        <v>4</v>
      </c>
      <c r="O19" s="446">
        <v>3</v>
      </c>
      <c r="P19" s="697">
        <v>2</v>
      </c>
      <c r="Q19" s="510"/>
    </row>
    <row r="20" spans="2:17" ht="19.5" thickBot="1">
      <c r="B20" s="439" t="s">
        <v>157</v>
      </c>
      <c r="C20" s="449">
        <v>0.63</v>
      </c>
      <c r="D20" s="370">
        <v>0.63300000000000001</v>
      </c>
      <c r="E20" s="371">
        <v>0.72</v>
      </c>
      <c r="F20" s="394">
        <v>0.86</v>
      </c>
      <c r="G20" s="371">
        <v>2.1</v>
      </c>
      <c r="H20" s="498">
        <v>1.1599999999999999E-2</v>
      </c>
      <c r="I20" s="499">
        <v>7.4000000000000003E-3</v>
      </c>
      <c r="J20" s="498">
        <v>7.1999999999999998E-3</v>
      </c>
      <c r="K20" s="498">
        <v>1.01E-2</v>
      </c>
      <c r="L20" s="500">
        <v>5.7999999999999996E-3</v>
      </c>
      <c r="M20" s="580">
        <v>6.6E-3</v>
      </c>
      <c r="N20" s="498">
        <v>5.4999999999999997E-3</v>
      </c>
      <c r="O20" s="500">
        <v>9.1000000000000004E-3</v>
      </c>
      <c r="P20" s="698">
        <v>7.7000000000000002E-3</v>
      </c>
      <c r="Q20" s="511">
        <v>1.4999999999999999E-2</v>
      </c>
    </row>
    <row r="21" spans="2:17" ht="21.75" thickBot="1">
      <c r="B21" s="440" t="s">
        <v>158</v>
      </c>
      <c r="C21" s="450">
        <v>0</v>
      </c>
      <c r="D21" s="372">
        <v>0</v>
      </c>
      <c r="E21" s="373">
        <v>1.55</v>
      </c>
      <c r="F21" s="373">
        <v>1.79</v>
      </c>
      <c r="G21" s="373">
        <v>2.58</v>
      </c>
      <c r="H21" s="501">
        <v>2.2499999999999999E-2</v>
      </c>
      <c r="I21" s="501">
        <v>2.5600000000000001E-2</v>
      </c>
      <c r="J21" s="501">
        <v>2.35E-2</v>
      </c>
      <c r="K21" s="502">
        <v>2.5499999999999998E-2</v>
      </c>
      <c r="L21" s="502">
        <v>3.39E-2</v>
      </c>
      <c r="M21" s="538">
        <v>2.4799999999999999E-2</v>
      </c>
      <c r="N21" s="502">
        <v>4.0099999999999997E-2</v>
      </c>
      <c r="O21" s="538">
        <v>2.3599999999999999E-2</v>
      </c>
      <c r="P21" s="551">
        <v>2.4500000000000001E-2</v>
      </c>
      <c r="Q21" s="512">
        <v>0.02</v>
      </c>
    </row>
  </sheetData>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8805-F288-4583-97BA-820207383665}">
  <sheetPr codeName="Sheet59">
    <tabColor rgb="FFFFFF00"/>
  </sheetPr>
  <dimension ref="A1:X23"/>
  <sheetViews>
    <sheetView zoomScale="90" zoomScaleNormal="90" workbookViewId="0">
      <selection activeCell="N23" sqref="N23"/>
    </sheetView>
  </sheetViews>
  <sheetFormatPr defaultColWidth="9.140625" defaultRowHeight="15"/>
  <cols>
    <col min="1" max="1" width="24.85546875" style="19" customWidth="1"/>
    <col min="2" max="2" width="9.5703125" style="19" customWidth="1"/>
    <col min="3" max="3" width="7.7109375" style="19" customWidth="1"/>
    <col min="4" max="4" width="8.7109375" style="19" bestFit="1" customWidth="1"/>
    <col min="5" max="5" width="7.5703125" style="19" customWidth="1"/>
    <col min="6" max="6" width="8.42578125" style="19" bestFit="1" customWidth="1"/>
    <col min="7" max="7" width="10.140625" style="19" bestFit="1" customWidth="1"/>
    <col min="8" max="8" width="8.28515625" style="19" customWidth="1"/>
    <col min="9" max="10" width="7.5703125" style="19" customWidth="1"/>
    <col min="11" max="11" width="7.7109375" style="19" customWidth="1"/>
    <col min="12" max="12" width="7.42578125" style="19" customWidth="1"/>
    <col min="13" max="13" width="7.7109375" style="19" customWidth="1"/>
    <col min="14" max="18" width="9.140625" style="19"/>
    <col min="19" max="19" width="12" style="19" bestFit="1" customWidth="1"/>
    <col min="20" max="16384" width="9.140625" style="19"/>
  </cols>
  <sheetData>
    <row r="1" spans="16:22">
      <c r="P1" s="19" t="s">
        <v>114</v>
      </c>
    </row>
    <row r="9" spans="16:22">
      <c r="S9" s="130"/>
    </row>
    <row r="10" spans="16:22">
      <c r="V10" s="130"/>
    </row>
    <row r="19" spans="1:24" ht="15.75" thickBot="1">
      <c r="A19" s="88"/>
      <c r="B19" s="42">
        <v>45839</v>
      </c>
      <c r="C19" s="42">
        <v>45870</v>
      </c>
      <c r="D19" s="42">
        <v>45901</v>
      </c>
      <c r="E19" s="42">
        <v>45931</v>
      </c>
      <c r="F19" s="42">
        <v>45962</v>
      </c>
      <c r="G19" s="42">
        <v>45992</v>
      </c>
      <c r="H19" s="42">
        <v>46023</v>
      </c>
      <c r="I19" s="42">
        <v>46054</v>
      </c>
      <c r="J19" s="42">
        <v>46082</v>
      </c>
      <c r="K19" s="42">
        <v>46113</v>
      </c>
      <c r="L19" s="42">
        <v>46143</v>
      </c>
      <c r="M19" s="42">
        <v>46174</v>
      </c>
      <c r="N19" s="28"/>
      <c r="O19" s="28"/>
      <c r="P19" s="28"/>
      <c r="Q19" s="28"/>
      <c r="R19" s="28"/>
      <c r="S19" s="42"/>
      <c r="T19" s="42"/>
      <c r="U19" s="42"/>
      <c r="V19" s="42"/>
      <c r="W19" s="42"/>
      <c r="X19" s="42"/>
    </row>
    <row r="20" spans="1:24">
      <c r="A20" s="89" t="s">
        <v>59</v>
      </c>
      <c r="B20" s="173">
        <f>IFERROR(SUM('Combined total CDM to Colco (7)'!B24+'Combined total CDM to Colco (7)'!B27)/SUM('Combined pigs sold to colco (7)'!B25+'Combined pigs sold to colco (7)'!B28),0)</f>
        <v>97.837237008871995</v>
      </c>
      <c r="C20" s="173">
        <f>IFERROR(SUM('Combined total CDM to Colco (7)'!C24+'Combined total CDM to Colco (7)'!C27)/SUM('Combined pigs sold to colco (7)'!C25+'Combined pigs sold to colco (7)'!C28),0)</f>
        <v>96.123266909907386</v>
      </c>
      <c r="D20" s="173">
        <f>IFERROR(SUM('Combined total CDM to Colco (7)'!D24+'Combined total CDM to Colco (7)'!D27)/SUM('Combined pigs sold to colco (7)'!D25+'Combined pigs sold to colco (7)'!D28),0)</f>
        <v>94.818505647263251</v>
      </c>
      <c r="E20" s="173">
        <f>IFERROR(SUM('Combined total CDM to Colco (7)'!E24+'Combined total CDM to Colco (7)'!E27)/SUM('Combined pigs sold to colco (7)'!E25+'Combined pigs sold to colco (7)'!E28),0)</f>
        <v>92.617440633245394</v>
      </c>
      <c r="F20" s="173">
        <f>IFERROR(SUM('Combined total CDM to Colco (7)'!F24+'Combined total CDM to Colco (7)'!F27)/SUM('Combined pigs sold to colco (7)'!F25+'Combined pigs sold to colco (7)'!F28),0)</f>
        <v>93.137288135593224</v>
      </c>
      <c r="G20" s="173">
        <f>IFERROR(SUM('Combined total CDM to Colco (7)'!G24+'Combined total CDM to Colco (7)'!G27)/SUM('Combined pigs sold to colco (7)'!G25+'Combined pigs sold to colco (7)'!G28),0)</f>
        <v>90.075474848674602</v>
      </c>
      <c r="H20" s="173">
        <f>IFERROR(SUM('Combined total CDM to Colco (7)'!H24+'Combined total CDM to Colco (7)'!H27)/SUM('Combined pigs sold to colco (7)'!H25+'Combined pigs sold to colco (7)'!H28),0)</f>
        <v>95.359332974717589</v>
      </c>
      <c r="I20" s="173">
        <f>IFERROR(SUM('Combined total CDM to Colco (7)'!I24+'Combined total CDM to Colco (7)'!I27)/SUM('Combined pigs sold to colco (7)'!I25+'Combined pigs sold to colco (7)'!I28),0)</f>
        <v>94.394777463339338</v>
      </c>
      <c r="J20" s="173">
        <f>IFERROR(SUM('Combined total CDM to Colco (7)'!J24+'Combined total CDM to Colco (7)'!J27)/SUM('Combined pigs sold to colco (7)'!J25+'Combined pigs sold to colco (7)'!J28),0)</f>
        <v>92.703421160971601</v>
      </c>
      <c r="K20" s="173">
        <f>IFERROR(SUM('Combined total CDM to Colco (7)'!K24+'Combined total CDM to Colco (7)'!K27)/SUM('Combined pigs sold to colco (7)'!K25+'Combined pigs sold to colco (7)'!K28),0)</f>
        <v>96.421729091841982</v>
      </c>
      <c r="L20" s="173">
        <f>IFERROR(SUM('Combined total CDM to Colco (7)'!L24+'Combined total CDM to Colco (7)'!L27)/SUM('Combined pigs sold to colco (7)'!L25+'Combined pigs sold to colco (7)'!L28),0)</f>
        <v>95.735875984251976</v>
      </c>
      <c r="M20" s="173">
        <f>IFERROR(SUM('Combined total CDM to Colco (7)'!M24+'Combined total CDM to Colco (7)'!M27)/SUM('Combined pigs sold to colco (7)'!M25+'Combined pigs sold to colco (7)'!M28),0)</f>
        <v>96.660875356803047</v>
      </c>
      <c r="N20" s="87">
        <f>AVERAGE(B20:M20)</f>
        <v>94.657102101290107</v>
      </c>
      <c r="O20" s="212"/>
      <c r="P20" s="28"/>
      <c r="Q20" s="28"/>
      <c r="R20" s="28"/>
      <c r="S20" s="490"/>
      <c r="T20" s="490"/>
      <c r="U20" s="490"/>
      <c r="V20" s="490"/>
      <c r="W20" s="490"/>
      <c r="X20" s="490"/>
    </row>
    <row r="21" spans="1:24">
      <c r="A21" s="89" t="s">
        <v>117</v>
      </c>
      <c r="B21" s="174">
        <f>'[3]Grasmere Avg CDM vs Budget (7)'!B20</f>
        <v>94.462793839502837</v>
      </c>
      <c r="C21" s="174">
        <f>'[3]Grasmere Avg CDM vs Budget (7)'!C20</f>
        <v>95.656871780970462</v>
      </c>
      <c r="D21" s="174">
        <f>'[3]Grasmere Avg CDM vs Budget (7)'!D20</f>
        <v>98.935605898696309</v>
      </c>
      <c r="E21" s="174">
        <f>'[3]Grasmere Avg CDM vs Budget (7)'!E20</f>
        <v>98.296455223880599</v>
      </c>
      <c r="F21" s="174">
        <f>'[3]Grasmere Avg CDM vs Budget (7)'!F20</f>
        <v>94.922449521785339</v>
      </c>
      <c r="G21" s="174">
        <f>'[3]Grasmere Avg CDM vs Budget (7)'!G20</f>
        <v>92.729746467165427</v>
      </c>
      <c r="H21" s="174">
        <f>'[3]Grasmere Avg CDM vs Budget (7)'!H20</f>
        <v>94.117688743526841</v>
      </c>
      <c r="I21" s="174">
        <f>'[3]Grasmere Avg CDM vs Budget (7)'!I20</f>
        <v>94.956693121693121</v>
      </c>
      <c r="J21" s="174">
        <f>'[3]Grasmere Avg CDM vs Budget (7)'!J20</f>
        <v>92.276740035693052</v>
      </c>
      <c r="K21" s="174">
        <f>'[3]Grasmere Avg CDM vs Budget (7)'!K20</f>
        <v>93.204591836734693</v>
      </c>
      <c r="L21" s="174">
        <f>'[3]Grasmere Avg CDM vs Budget (7)'!L20</f>
        <v>93.11850462615655</v>
      </c>
      <c r="M21" s="174">
        <f>'[3]Grasmere Avg CDM vs Budget (7)'!M20</f>
        <v>97.856760804450147</v>
      </c>
      <c r="N21" s="87">
        <f>AVERAGE(B21:M21)</f>
        <v>95.044575158354618</v>
      </c>
      <c r="O21" s="87">
        <f>N20-N21</f>
        <v>-0.38747305706451129</v>
      </c>
      <c r="P21" s="28" t="s">
        <v>174</v>
      </c>
      <c r="Q21" s="28"/>
      <c r="R21" s="28"/>
      <c r="S21" s="491"/>
      <c r="T21" s="491"/>
      <c r="U21" s="491"/>
      <c r="V21" s="491"/>
      <c r="W21" s="491"/>
      <c r="X21" s="491"/>
    </row>
    <row r="22" spans="1:24" ht="15.75" thickBot="1">
      <c r="A22" s="196" t="s">
        <v>88</v>
      </c>
      <c r="B22" s="175">
        <f>'[3]Grasmere Avg CDM vs Budget (7)'!B22</f>
        <v>94.300112844714477</v>
      </c>
      <c r="C22" s="175">
        <f>'[3]Grasmere Avg CDM vs Budget (7)'!C22</f>
        <v>94.304306124562913</v>
      </c>
      <c r="D22" s="175">
        <f>'[3]Grasmere Avg CDM vs Budget (7)'!D22</f>
        <v>91.837946087282987</v>
      </c>
      <c r="E22" s="175">
        <f>'[3]Grasmere Avg CDM vs Budget (7)'!E22</f>
        <v>91.814469495926161</v>
      </c>
      <c r="F22" s="175">
        <f>'[3]Grasmere Avg CDM vs Budget (7)'!F22</f>
        <v>91.814468441599402</v>
      </c>
      <c r="G22" s="175">
        <f>'[3]Grasmere Avg CDM vs Budget (7)'!G22</f>
        <v>91.81434560598025</v>
      </c>
      <c r="H22" s="175">
        <f>'[3]Grasmere Avg CDM vs Budget (7)'!H22</f>
        <v>91.814611328199277</v>
      </c>
      <c r="I22" s="175">
        <f>'[3]Grasmere Avg CDM vs Budget (7)'!I22</f>
        <v>91.83145168765607</v>
      </c>
      <c r="J22" s="175">
        <f>'[3]Grasmere Avg CDM vs Budget (7)'!J22</f>
        <v>91.848898916547313</v>
      </c>
      <c r="K22" s="175">
        <f>'[3]Grasmere Avg CDM vs Budget (7)'!K22</f>
        <v>94.322035026783155</v>
      </c>
      <c r="L22" s="175">
        <f>'[3]Grasmere Avg CDM vs Budget (7)'!L22</f>
        <v>94.322035026783155</v>
      </c>
      <c r="M22" s="175">
        <f>'[3]Grasmere Avg CDM vs Budget (7)'!M22</f>
        <v>94.321712749158308</v>
      </c>
      <c r="N22" s="87">
        <f>AVERAGE(B22:M22)</f>
        <v>92.862199444599469</v>
      </c>
      <c r="O22" s="87">
        <f>N20-N22</f>
        <v>1.7949026566906383</v>
      </c>
      <c r="P22" s="28" t="s">
        <v>4</v>
      </c>
      <c r="Q22" s="28"/>
      <c r="R22" s="28"/>
    </row>
    <row r="23" spans="1:24">
      <c r="A23" s="28"/>
      <c r="B23" s="28"/>
      <c r="C23" s="28"/>
      <c r="D23" s="28"/>
      <c r="E23" s="28"/>
      <c r="F23" s="28"/>
      <c r="G23" s="28"/>
      <c r="H23" s="28"/>
      <c r="I23" s="28"/>
      <c r="J23" s="28"/>
      <c r="K23" s="28"/>
      <c r="L23" s="28"/>
      <c r="M23" s="28"/>
      <c r="N23" s="28"/>
      <c r="O23" s="28"/>
      <c r="P23" s="28"/>
      <c r="Q23" s="28"/>
      <c r="R23" s="28"/>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38BC3-289A-43B2-B759-3F4C1A641451}">
  <sheetPr codeName="Sheet58">
    <tabColor rgb="FFFFFF00"/>
  </sheetPr>
  <dimension ref="A2:P46"/>
  <sheetViews>
    <sheetView zoomScale="90" zoomScaleNormal="90" workbookViewId="0">
      <selection activeCell="N23" sqref="N23"/>
    </sheetView>
  </sheetViews>
  <sheetFormatPr defaultColWidth="9" defaultRowHeight="15"/>
  <cols>
    <col min="1" max="1" width="29.42578125" style="19" bestFit="1" customWidth="1"/>
    <col min="2" max="2" width="10.42578125" style="19" customWidth="1"/>
    <col min="3" max="3" width="10.28515625" style="19" customWidth="1"/>
    <col min="4" max="4" width="11.28515625" style="19" customWidth="1"/>
    <col min="5" max="5" width="12" style="19" customWidth="1"/>
    <col min="6" max="6" width="11.28515625" style="19" customWidth="1"/>
    <col min="7" max="7" width="13.5703125" style="19" customWidth="1"/>
    <col min="8" max="8" width="12.7109375" style="19" customWidth="1"/>
    <col min="9" max="9" width="10.42578125" style="19" customWidth="1"/>
    <col min="10" max="10" width="11.7109375" style="19" customWidth="1"/>
    <col min="11" max="11" width="10.42578125" style="19" customWidth="1"/>
    <col min="12" max="12" width="11.28515625" style="19" customWidth="1"/>
    <col min="13" max="13" width="9.7109375" style="19" customWidth="1"/>
    <col min="14" max="14" width="13.28515625" style="19" bestFit="1" customWidth="1"/>
    <col min="15" max="15" width="12.85546875" style="19" customWidth="1"/>
    <col min="16" max="16384" width="9" style="19"/>
  </cols>
  <sheetData>
    <row r="2" spans="1:13" ht="18.75">
      <c r="A2" s="18" t="s">
        <v>175</v>
      </c>
      <c r="M2" s="19" t="s">
        <v>176</v>
      </c>
    </row>
    <row r="3" spans="1:13">
      <c r="M3" s="19" t="s">
        <v>177</v>
      </c>
    </row>
    <row r="4" spans="1:13">
      <c r="M4" s="19" t="s">
        <v>178</v>
      </c>
    </row>
    <row r="19" spans="1:16">
      <c r="A19" s="25"/>
      <c r="B19" s="22">
        <v>45839</v>
      </c>
      <c r="C19" s="22">
        <v>45870</v>
      </c>
      <c r="D19" s="22">
        <v>45901</v>
      </c>
      <c r="E19" s="22">
        <v>45931</v>
      </c>
      <c r="F19" s="22">
        <v>45962</v>
      </c>
      <c r="G19" s="22">
        <v>45992</v>
      </c>
      <c r="H19" s="22">
        <v>46023</v>
      </c>
      <c r="I19" s="22">
        <v>46054</v>
      </c>
      <c r="J19" s="22">
        <v>46082</v>
      </c>
      <c r="K19" s="22">
        <v>46113</v>
      </c>
      <c r="L19" s="22">
        <v>46143</v>
      </c>
      <c r="M19" s="22">
        <v>46174</v>
      </c>
    </row>
    <row r="20" spans="1:16" ht="15.75">
      <c r="A20" s="90" t="s">
        <v>59</v>
      </c>
      <c r="B20" s="131">
        <f>SUM('Combined total CDM to Colco (7)'!B24+'Combined total CDM to Colco (7)'!B27)</f>
        <v>385967.9</v>
      </c>
      <c r="C20" s="131">
        <f>SUM('Combined total CDM to Colco (7)'!C24+'Combined total CDM to Colco (7)'!C27)</f>
        <v>342487.2</v>
      </c>
      <c r="D20" s="131">
        <f>SUM('Combined total CDM to Colco (7)'!D24+'Combined total CDM to Colco (7)'!D27)</f>
        <v>436544.4</v>
      </c>
      <c r="E20" s="131">
        <f>SUM('Combined total CDM to Colco (7)'!E24+'Combined total CDM to Colco (7)'!E27)</f>
        <v>351020.10000000003</v>
      </c>
      <c r="F20" s="131">
        <f>SUM('Combined total CDM to Colco (7)'!F24+'Combined total CDM to Colco (7)'!F27)</f>
        <v>346191.3</v>
      </c>
      <c r="G20" s="131">
        <f>SUM('Combined total CDM to Colco (7)'!G24+'Combined total CDM to Colco (7)'!G27)</f>
        <v>431551.60000000003</v>
      </c>
      <c r="H20" s="131">
        <f>SUM('Combined total CDM to Colco (7)'!H24+'Combined total CDM to Colco (7)'!H27)</f>
        <v>354546</v>
      </c>
      <c r="I20" s="131">
        <f>SUM('Combined total CDM to Colco (7)'!I24+'Combined total CDM to Colco (7)'!I27)</f>
        <v>366912.5</v>
      </c>
      <c r="J20" s="131">
        <f>SUM('Combined total CDM to Colco (7)'!J24+'Combined total CDM to Colco (7)'!J27)</f>
        <v>450353.22000000003</v>
      </c>
      <c r="K20" s="131">
        <f>SUM('Combined total CDM to Colco (7)'!K24+'Combined total CDM to Colco (7)'!K27)</f>
        <v>375851.9</v>
      </c>
      <c r="L20" s="131">
        <f>SUM('Combined total CDM to Colco (7)'!L24+'Combined total CDM to Colco (7)'!L27)</f>
        <v>389070.60000000003</v>
      </c>
      <c r="M20" s="131">
        <f>SUM('Combined total CDM to Colco (7)'!M24+'Combined total CDM to Colco (7)'!M27)</f>
        <v>507952.9</v>
      </c>
      <c r="N20" s="128">
        <f>SUM(B20:M20)</f>
        <v>4738449.62</v>
      </c>
    </row>
    <row r="21" spans="1:16" ht="15.75">
      <c r="A21" s="90" t="s">
        <v>119</v>
      </c>
      <c r="B21" s="132">
        <f>'[3]Grasmere Total CDM to Colco (7)'!B21</f>
        <v>360647.06023785693</v>
      </c>
      <c r="C21" s="132">
        <f>'[3]Grasmere Total CDM to Colco (7)'!C21</f>
        <v>358782.76682026515</v>
      </c>
      <c r="D21" s="132">
        <f>'[3]Grasmere Total CDM to Colco (7)'!D21</f>
        <v>432915.54498572025</v>
      </c>
      <c r="E21" s="132">
        <f>'[3]Grasmere Total CDM to Colco (7)'!E21</f>
        <v>356224.17421195633</v>
      </c>
      <c r="F21" s="132">
        <f>'[3]Grasmere Total CDM to Colco (7)'!F21</f>
        <v>356224.63125238434</v>
      </c>
      <c r="G21" s="132">
        <f>'[3]Grasmere Total CDM to Colco (7)'!G21</f>
        <v>445347.35925426689</v>
      </c>
      <c r="H21" s="132">
        <f>'[3]Grasmere Total CDM to Colco (7)'!H21</f>
        <v>356162.70208083163</v>
      </c>
      <c r="I21" s="132">
        <f>'[3]Grasmere Total CDM to Colco (7)'!I21</f>
        <v>349012.92719852371</v>
      </c>
      <c r="J21" s="132">
        <f>'[3]Grasmere Total CDM to Colco (7)'!J21</f>
        <v>427380.86201826273</v>
      </c>
      <c r="K21" s="132">
        <f>'[3]Grasmere Total CDM to Colco (7)'!K21</f>
        <v>351110.86240622035</v>
      </c>
      <c r="L21" s="132">
        <f>'[3]Grasmere Total CDM to Colco (7)'!L21</f>
        <v>351110.86240622035</v>
      </c>
      <c r="M21" s="132">
        <f>'[3]Grasmere Total CDM to Colco (7)'!M21</f>
        <v>439059.2109409048</v>
      </c>
      <c r="N21" s="128">
        <f>SUM(B21:M21)</f>
        <v>4583978.9638134139</v>
      </c>
      <c r="O21" s="124">
        <f>N20-N21</f>
        <v>154470.65618658625</v>
      </c>
      <c r="P21" s="130" t="s">
        <v>4</v>
      </c>
    </row>
    <row r="22" spans="1:16">
      <c r="A22" s="91" t="s">
        <v>179</v>
      </c>
      <c r="B22" s="39">
        <f>'[3]Grasmere Total CDM to Colco (7)'!B20</f>
        <v>349606.8</v>
      </c>
      <c r="C22" s="39">
        <f>'[3]Grasmere Total CDM to Colco (7)'!C20</f>
        <v>352878.2</v>
      </c>
      <c r="D22" s="39">
        <f>'[3]Grasmere Total CDM to Colco (7)'!D20</f>
        <v>462919.7</v>
      </c>
      <c r="E22" s="39">
        <f>'[3]Grasmere Total CDM to Colco (7)'!E20</f>
        <v>368808.3</v>
      </c>
      <c r="F22" s="39">
        <f>'[3]Grasmere Total CDM to Colco (7)'!F20</f>
        <v>357288.10000000003</v>
      </c>
      <c r="G22" s="39">
        <f>'[3]Grasmere Total CDM to Colco (7)'!G20</f>
        <v>446215.54000000004</v>
      </c>
      <c r="H22" s="39">
        <f>'[3]Grasmere Total CDM to Colco (7)'!H20</f>
        <v>345317.8</v>
      </c>
      <c r="I22" s="39">
        <f>'[3]Grasmere Total CDM to Colco (7)'!I20</f>
        <v>358936.3</v>
      </c>
      <c r="J22" s="39">
        <f>'[3]Grasmere Total CDM to Colco (7)'!J20</f>
        <v>465351.60000000003</v>
      </c>
      <c r="K22" s="39">
        <f>'[3]Grasmere Total CDM to Colco (7)'!K20</f>
        <v>365362</v>
      </c>
      <c r="L22" s="39">
        <f>'[3]Grasmere Total CDM to Colco (7)'!L20</f>
        <v>372380.9</v>
      </c>
      <c r="M22" s="39">
        <f>'[3]Grasmere Total CDM to Colco (7)'!M20</f>
        <v>457382.5</v>
      </c>
      <c r="N22" s="128">
        <f>SUM(B22:M22)</f>
        <v>4702447.74</v>
      </c>
      <c r="O22" s="124">
        <f>N20-N22</f>
        <v>36001.879999999888</v>
      </c>
      <c r="P22" s="130" t="s">
        <v>110</v>
      </c>
    </row>
    <row r="23" spans="1:16">
      <c r="B23" s="124">
        <f>B21/'Grasmere Pigs to Colcom (7)'!B19</f>
        <v>94.300112844714477</v>
      </c>
      <c r="C23" s="30"/>
      <c r="D23" s="30"/>
      <c r="E23" s="30"/>
      <c r="F23" s="30"/>
      <c r="G23" s="30"/>
      <c r="H23" s="30"/>
      <c r="I23" s="30"/>
      <c r="J23" s="30"/>
      <c r="K23" s="30"/>
      <c r="L23" s="30"/>
      <c r="M23" s="30"/>
      <c r="N23" s="30"/>
    </row>
    <row r="24" spans="1:16">
      <c r="B24" s="30"/>
      <c r="C24" s="30"/>
      <c r="D24" s="30"/>
      <c r="E24" s="30"/>
      <c r="F24" s="30"/>
      <c r="G24" s="30"/>
      <c r="H24" s="30"/>
      <c r="I24" s="30"/>
      <c r="J24" s="30"/>
      <c r="K24" s="30"/>
      <c r="L24" s="30"/>
      <c r="M24" s="30"/>
    </row>
    <row r="25" spans="1:16">
      <c r="A25" s="92"/>
      <c r="B25" s="23"/>
      <c r="C25" s="23"/>
      <c r="D25" s="23"/>
      <c r="E25" s="23"/>
      <c r="F25" s="23"/>
      <c r="G25" s="23"/>
      <c r="H25" s="23"/>
      <c r="I25" s="23"/>
      <c r="J25" s="23"/>
      <c r="K25" s="23"/>
      <c r="L25" s="23"/>
      <c r="M25" s="23"/>
      <c r="O25" s="30"/>
    </row>
    <row r="26" spans="1:16">
      <c r="A26" s="92"/>
      <c r="B26" s="40"/>
      <c r="C26" s="40"/>
      <c r="D26" s="40"/>
      <c r="E26" s="26"/>
      <c r="F26" s="26"/>
      <c r="G26" s="26"/>
      <c r="H26" s="40"/>
      <c r="I26" s="40"/>
      <c r="J26" s="40"/>
      <c r="K26" s="40"/>
      <c r="L26" s="40"/>
      <c r="M26" s="40"/>
    </row>
    <row r="27" spans="1:16">
      <c r="A27" s="92"/>
      <c r="B27" s="26"/>
      <c r="C27" s="26"/>
      <c r="D27" s="26"/>
      <c r="E27" s="26"/>
      <c r="F27" s="26"/>
      <c r="G27" s="26"/>
      <c r="H27" s="26"/>
      <c r="I27" s="26"/>
      <c r="J27" s="26"/>
      <c r="K27" s="26"/>
      <c r="L27" s="26"/>
      <c r="M27" s="26"/>
    </row>
    <row r="29" spans="1:16">
      <c r="B29" s="24"/>
      <c r="C29" s="24"/>
      <c r="D29" s="24"/>
      <c r="E29" s="24"/>
      <c r="F29" s="24"/>
      <c r="G29" s="24"/>
      <c r="H29" s="24"/>
      <c r="I29" s="24"/>
      <c r="J29" s="24"/>
      <c r="K29" s="24"/>
      <c r="L29" s="24"/>
      <c r="M29" s="24"/>
    </row>
    <row r="31" spans="1:16">
      <c r="B31" s="24"/>
      <c r="C31" s="24"/>
      <c r="D31" s="24"/>
      <c r="E31" s="24"/>
      <c r="F31" s="24"/>
      <c r="G31" s="24"/>
      <c r="H31" s="24"/>
      <c r="I31" s="24"/>
      <c r="J31" s="24"/>
      <c r="K31" s="24"/>
      <c r="L31" s="24"/>
      <c r="M31" s="24"/>
    </row>
    <row r="46" spans="9:9">
      <c r="I46" s="93"/>
    </row>
  </sheetData>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483A-DD4F-4C20-8C88-C0D9474A0248}">
  <sheetPr codeName="Sheet60">
    <tabColor rgb="FFFFFF00"/>
  </sheetPr>
  <dimension ref="A1:T24"/>
  <sheetViews>
    <sheetView zoomScale="90" zoomScaleNormal="90" workbookViewId="0">
      <selection activeCell="O13" sqref="O13"/>
    </sheetView>
  </sheetViews>
  <sheetFormatPr defaultColWidth="9.140625" defaultRowHeight="15"/>
  <cols>
    <col min="1" max="1" width="9.140625" style="94"/>
    <col min="2" max="13" width="10.140625" style="94" bestFit="1" customWidth="1"/>
    <col min="14" max="14" width="10.28515625" style="94" bestFit="1" customWidth="1"/>
    <col min="15" max="15" width="9.28515625" style="94" bestFit="1" customWidth="1"/>
    <col min="16" max="16384" width="9.140625" style="94"/>
  </cols>
  <sheetData>
    <row r="1" spans="1:20">
      <c r="A1" s="94" t="s">
        <v>114</v>
      </c>
      <c r="S1" s="210"/>
      <c r="T1" s="210"/>
    </row>
    <row r="2" spans="1:20">
      <c r="O2" s="94" t="s">
        <v>160</v>
      </c>
    </row>
    <row r="3" spans="1:20">
      <c r="O3" s="94" t="s">
        <v>161</v>
      </c>
    </row>
    <row r="4" spans="1:20">
      <c r="O4" s="94" t="s">
        <v>162</v>
      </c>
    </row>
    <row r="16" spans="1:20" ht="15.75" thickBot="1"/>
    <row r="17" spans="1:16">
      <c r="A17" s="95"/>
      <c r="B17" s="96">
        <v>45839</v>
      </c>
      <c r="C17" s="96">
        <v>45870</v>
      </c>
      <c r="D17" s="96">
        <v>45901</v>
      </c>
      <c r="E17" s="96">
        <v>45931</v>
      </c>
      <c r="F17" s="96">
        <v>45962</v>
      </c>
      <c r="G17" s="96">
        <v>45992</v>
      </c>
      <c r="H17" s="96">
        <v>46023</v>
      </c>
      <c r="I17" s="96">
        <v>46054</v>
      </c>
      <c r="J17" s="96">
        <v>46082</v>
      </c>
      <c r="K17" s="96">
        <v>46113</v>
      </c>
      <c r="L17" s="96">
        <v>46143</v>
      </c>
      <c r="M17" s="96">
        <v>46174</v>
      </c>
    </row>
    <row r="18" spans="1:16">
      <c r="A18" s="97" t="s">
        <v>59</v>
      </c>
      <c r="B18" s="198">
        <f>SUM('Combined pigs sold to colco (7)'!B25+'Combined pigs sold to colco (7)'!B28)</f>
        <v>3945</v>
      </c>
      <c r="C18" s="198">
        <f>SUM('Combined pigs sold to colco (7)'!C25+'Combined pigs sold to colco (7)'!C28)</f>
        <v>3563</v>
      </c>
      <c r="D18" s="198">
        <f>SUM('Combined pigs sold to colco (7)'!D25+'Combined pigs sold to colco (7)'!D28)</f>
        <v>4604</v>
      </c>
      <c r="E18" s="198">
        <f>SUM('Combined pigs sold to colco (7)'!E25+'Combined pigs sold to colco (7)'!E28)</f>
        <v>3790</v>
      </c>
      <c r="F18" s="198">
        <f>SUM('Combined pigs sold to colco (7)'!F25+'Combined pigs sold to colco (7)'!F28)</f>
        <v>3717</v>
      </c>
      <c r="G18" s="198">
        <f>SUM('Combined pigs sold to colco (7)'!G25+'Combined pigs sold to colco (7)'!G28)</f>
        <v>4791</v>
      </c>
      <c r="H18" s="198">
        <f>SUM('Combined pigs sold to colco (7)'!H25+'Combined pigs sold to colco (7)'!H28)</f>
        <v>3718</v>
      </c>
      <c r="I18" s="198">
        <f>SUM('Combined pigs sold to colco (7)'!I25+'Combined pigs sold to colco (7)'!I28)</f>
        <v>3887</v>
      </c>
      <c r="J18" s="198">
        <f>SUM('Combined pigs sold to colco (7)'!J25+'Combined pigs sold to colco (7)'!J28)</f>
        <v>4858</v>
      </c>
      <c r="K18" s="198">
        <f>SUM('Combined pigs sold to colco (7)'!K25+'Combined pigs sold to colco (7)'!K28)</f>
        <v>3898</v>
      </c>
      <c r="L18" s="198">
        <f>SUM('Combined pigs sold to colco (7)'!L25+'Combined pigs sold to colco (7)'!L28)</f>
        <v>4064</v>
      </c>
      <c r="M18" s="198">
        <f>SUM('Combined pigs sold to colco (7)'!M25+'Combined pigs sold to colco (7)'!M28)</f>
        <v>5255</v>
      </c>
      <c r="N18" s="98">
        <f>SUM(B18:M18)</f>
        <v>50090</v>
      </c>
      <c r="O18" s="98"/>
    </row>
    <row r="19" spans="1:16">
      <c r="A19" s="100" t="s">
        <v>120</v>
      </c>
      <c r="B19" s="197">
        <f>'[3]Grasmere Pigs to Colcom (7)'!B19</f>
        <v>3824.4605373032828</v>
      </c>
      <c r="C19" s="197">
        <f>'[3]Grasmere Pigs to Colcom (7)'!C19</f>
        <v>3804.5215702702153</v>
      </c>
      <c r="D19" s="197">
        <f>'[3]Grasmere Pigs to Colcom (7)'!D19</f>
        <v>4713.9070877551676</v>
      </c>
      <c r="E19" s="197">
        <f>'[3]Grasmere Pigs to Colcom (7)'!E19</f>
        <v>3879.8260902412785</v>
      </c>
      <c r="F19" s="197">
        <f>'[3]Grasmere Pigs to Colcom (7)'!F19</f>
        <v>3879.8311126635645</v>
      </c>
      <c r="G19" s="197">
        <f>'[3]Grasmere Pigs to Colcom (7)'!G19</f>
        <v>4850.5204313655704</v>
      </c>
      <c r="H19" s="197">
        <f>'[3]Grasmere Pigs to Colcom (7)'!H19</f>
        <v>3879.1505723168311</v>
      </c>
      <c r="I19" s="197">
        <f>'[3]Grasmere Pigs to Colcom (7)'!I19</f>
        <v>3800.5816175661944</v>
      </c>
      <c r="J19" s="197">
        <f>'[3]Grasmere Pigs to Colcom (7)'!J19</f>
        <v>4653.086395805085</v>
      </c>
      <c r="K19" s="197">
        <f>'[3]Grasmere Pigs to Colcom (7)'!K19</f>
        <v>3722.469116644068</v>
      </c>
      <c r="L19" s="197">
        <f>'[3]Grasmere Pigs to Colcom (7)'!L19</f>
        <v>3722.469116644068</v>
      </c>
      <c r="M19" s="197">
        <f>'[3]Grasmere Pigs to Colcom (7)'!M19</f>
        <v>4654.9113469615486</v>
      </c>
      <c r="N19" s="98">
        <f>SUM(B19:M19)</f>
        <v>49385.73499553687</v>
      </c>
      <c r="O19" s="208">
        <f>N18-N19</f>
        <v>704.26500446313003</v>
      </c>
      <c r="P19" s="209" t="s">
        <v>4</v>
      </c>
    </row>
    <row r="20" spans="1:16">
      <c r="A20" s="94" t="s">
        <v>179</v>
      </c>
      <c r="B20" s="197">
        <f>'[3]Grasmere Pigs to Colcom (7)'!B18</f>
        <v>3701</v>
      </c>
      <c r="C20" s="197">
        <f>'[3]Grasmere Pigs to Colcom (7)'!C18</f>
        <v>3689</v>
      </c>
      <c r="D20" s="197">
        <f>'[3]Grasmere Pigs to Colcom (7)'!D18</f>
        <v>4679</v>
      </c>
      <c r="E20" s="197">
        <f>'[3]Grasmere Pigs to Colcom (7)'!E18</f>
        <v>3752</v>
      </c>
      <c r="F20" s="197">
        <f>'[3]Grasmere Pigs to Colcom (7)'!F18</f>
        <v>3764</v>
      </c>
      <c r="G20" s="197">
        <f>'[3]Grasmere Pigs to Colcom (7)'!G18</f>
        <v>4812</v>
      </c>
      <c r="H20" s="197">
        <f>'[3]Grasmere Pigs to Colcom (7)'!H18</f>
        <v>3669</v>
      </c>
      <c r="I20" s="197">
        <f>'[3]Grasmere Pigs to Colcom (7)'!I18</f>
        <v>3780</v>
      </c>
      <c r="J20" s="197">
        <f>'[3]Grasmere Pigs to Colcom (7)'!J18</f>
        <v>5043</v>
      </c>
      <c r="K20" s="197">
        <f>'[3]Grasmere Pigs to Colcom (7)'!K18</f>
        <v>3920</v>
      </c>
      <c r="L20" s="197">
        <f>'[3]Grasmere Pigs to Colcom (7)'!L18</f>
        <v>3999</v>
      </c>
      <c r="M20" s="197">
        <f>'[3]Grasmere Pigs to Colcom (7)'!M18</f>
        <v>4674</v>
      </c>
      <c r="N20" s="98">
        <f>SUM(B20:M20)</f>
        <v>49482</v>
      </c>
      <c r="O20" s="99">
        <f>N18-N20</f>
        <v>608</v>
      </c>
      <c r="P20" s="210" t="s">
        <v>168</v>
      </c>
    </row>
    <row r="21" spans="1:16">
      <c r="B21" s="203">
        <v>3750</v>
      </c>
      <c r="C21" s="94">
        <v>3659</v>
      </c>
    </row>
    <row r="22" spans="1:16">
      <c r="B22" s="99">
        <f>B19-B21</f>
        <v>74.460537303282763</v>
      </c>
      <c r="C22" s="203">
        <f>C19-C21</f>
        <v>145.52157027021531</v>
      </c>
    </row>
    <row r="24" spans="1:16">
      <c r="B24" s="489">
        <f>B18/4</f>
        <v>986.25</v>
      </c>
      <c r="C24" s="489">
        <f t="shared" ref="C24:F24" si="0">C18/4</f>
        <v>890.75</v>
      </c>
      <c r="D24" s="489">
        <f>D18/5</f>
        <v>920.8</v>
      </c>
      <c r="E24" s="489">
        <f t="shared" si="0"/>
        <v>947.5</v>
      </c>
      <c r="F24" s="489">
        <f t="shared" si="0"/>
        <v>929.25</v>
      </c>
      <c r="G24" s="489">
        <f>G18/5</f>
        <v>958.2</v>
      </c>
    </row>
  </sheetData>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BECF3-38B5-4942-9610-C613156E48C5}">
  <sheetPr codeName="Sheet61">
    <tabColor rgb="FFFFFF00"/>
  </sheetPr>
  <dimension ref="A2:AW31"/>
  <sheetViews>
    <sheetView topLeftCell="A10" zoomScale="90" zoomScaleNormal="90" workbookViewId="0">
      <selection activeCell="A19" sqref="A19:A25"/>
    </sheetView>
  </sheetViews>
  <sheetFormatPr defaultRowHeight="15"/>
  <cols>
    <col min="1" max="1" width="21.7109375" bestFit="1" customWidth="1"/>
    <col min="16" max="16" width="10.5703125" bestFit="1" customWidth="1"/>
    <col min="38" max="38" width="16" customWidth="1"/>
    <col min="40" max="40" width="12.140625" bestFit="1" customWidth="1"/>
  </cols>
  <sheetData>
    <row r="2" spans="13:41">
      <c r="M2" t="s">
        <v>164</v>
      </c>
    </row>
    <row r="3" spans="13:41">
      <c r="M3" t="s">
        <v>165</v>
      </c>
    </row>
    <row r="6" spans="13:41">
      <c r="AM6" s="77"/>
    </row>
    <row r="15" spans="13:41">
      <c r="AO15">
        <f>AM15-AM9</f>
        <v>0</v>
      </c>
    </row>
    <row r="18" spans="1:49" ht="15.75" thickBot="1">
      <c r="A18" s="50"/>
      <c r="B18" s="108">
        <v>44743</v>
      </c>
      <c r="C18" s="108">
        <v>44774</v>
      </c>
      <c r="D18" s="108">
        <v>44805</v>
      </c>
      <c r="E18" s="108">
        <v>44835</v>
      </c>
      <c r="F18" s="108">
        <v>44866</v>
      </c>
      <c r="G18" s="108">
        <v>44896</v>
      </c>
      <c r="H18" s="108">
        <v>44927</v>
      </c>
      <c r="I18" s="108">
        <v>44958</v>
      </c>
      <c r="J18" s="108">
        <v>44986</v>
      </c>
      <c r="K18" s="108">
        <v>45017</v>
      </c>
      <c r="L18" s="108">
        <v>45047</v>
      </c>
      <c r="M18" s="108">
        <v>45078</v>
      </c>
      <c r="N18" s="108">
        <v>45108</v>
      </c>
      <c r="O18" s="108">
        <v>45139</v>
      </c>
      <c r="P18" s="108">
        <v>45170</v>
      </c>
      <c r="Q18" s="108">
        <v>45200</v>
      </c>
      <c r="R18" s="108">
        <v>45231</v>
      </c>
      <c r="S18" s="108">
        <v>45261</v>
      </c>
      <c r="T18" s="108">
        <v>45292</v>
      </c>
      <c r="U18" s="108">
        <v>45323</v>
      </c>
      <c r="V18" s="108">
        <v>45352</v>
      </c>
      <c r="W18" s="108">
        <v>45383</v>
      </c>
      <c r="X18" s="108">
        <v>45413</v>
      </c>
      <c r="Y18" s="108">
        <v>45444</v>
      </c>
      <c r="Z18" s="108">
        <v>45474</v>
      </c>
      <c r="AA18" s="108">
        <v>45505</v>
      </c>
      <c r="AB18" s="108">
        <v>45536</v>
      </c>
      <c r="AC18" s="108">
        <v>45566</v>
      </c>
      <c r="AD18" s="108">
        <v>45597</v>
      </c>
      <c r="AE18" s="108">
        <v>45627</v>
      </c>
      <c r="AF18" s="108">
        <v>45658</v>
      </c>
      <c r="AG18" s="108">
        <v>45689</v>
      </c>
      <c r="AH18" s="108">
        <v>45717</v>
      </c>
      <c r="AI18" s="108">
        <v>45748</v>
      </c>
      <c r="AJ18" s="108">
        <v>45778</v>
      </c>
      <c r="AK18" s="108">
        <v>45809</v>
      </c>
      <c r="AL18" s="108">
        <v>45839</v>
      </c>
      <c r="AM18" s="108">
        <v>45870</v>
      </c>
      <c r="AN18" s="108">
        <v>45901</v>
      </c>
      <c r="AO18" s="108">
        <v>45931</v>
      </c>
      <c r="AP18" s="108">
        <v>45962</v>
      </c>
      <c r="AQ18" s="108">
        <v>45992</v>
      </c>
      <c r="AR18" s="108">
        <v>46023</v>
      </c>
      <c r="AS18" s="108">
        <v>46054</v>
      </c>
      <c r="AT18" s="108">
        <v>46082</v>
      </c>
      <c r="AU18" s="108">
        <v>46113</v>
      </c>
      <c r="AV18" s="108">
        <v>46143</v>
      </c>
      <c r="AW18" s="108">
        <v>46174</v>
      </c>
    </row>
    <row r="19" spans="1:49">
      <c r="A19" s="53" t="s">
        <v>166</v>
      </c>
      <c r="B19" s="76">
        <v>2073</v>
      </c>
      <c r="C19" s="58">
        <v>2118</v>
      </c>
      <c r="D19" s="58">
        <v>2085</v>
      </c>
      <c r="E19" s="58">
        <v>2176</v>
      </c>
      <c r="F19" s="58">
        <v>2201</v>
      </c>
      <c r="G19" s="58">
        <v>2118</v>
      </c>
      <c r="H19" s="58">
        <v>2112</v>
      </c>
      <c r="I19" s="58">
        <v>2086</v>
      </c>
      <c r="J19" s="58">
        <v>2078</v>
      </c>
      <c r="K19" s="58">
        <v>2061</v>
      </c>
      <c r="L19" s="58">
        <v>2064</v>
      </c>
      <c r="M19" s="58">
        <v>2065</v>
      </c>
      <c r="N19" s="58">
        <v>2081</v>
      </c>
      <c r="O19" s="58">
        <v>2099</v>
      </c>
      <c r="P19" s="58">
        <v>2115</v>
      </c>
      <c r="Q19" s="58">
        <v>2114</v>
      </c>
      <c r="R19" s="58">
        <v>2118</v>
      </c>
      <c r="S19" s="58">
        <v>2091</v>
      </c>
      <c r="T19" s="58">
        <v>2083</v>
      </c>
      <c r="U19" s="58">
        <v>2068</v>
      </c>
      <c r="V19" s="58">
        <v>2076</v>
      </c>
      <c r="W19" s="58">
        <v>2077.9</v>
      </c>
      <c r="X19" s="58">
        <v>2091.9</v>
      </c>
      <c r="Y19" s="59">
        <v>2090.4</v>
      </c>
      <c r="Z19" s="59">
        <v>2103</v>
      </c>
      <c r="AA19" s="59">
        <v>2105</v>
      </c>
      <c r="AB19" s="59">
        <v>2113</v>
      </c>
      <c r="AC19" s="59">
        <v>2123</v>
      </c>
      <c r="AD19" s="59">
        <v>2114</v>
      </c>
      <c r="AE19" s="59">
        <v>2079</v>
      </c>
      <c r="AF19" s="59">
        <v>2038</v>
      </c>
      <c r="AG19" s="59">
        <v>2060</v>
      </c>
      <c r="AH19" s="59">
        <v>2067</v>
      </c>
      <c r="AI19" s="59">
        <v>2078</v>
      </c>
      <c r="AJ19" s="59">
        <v>2086.4</v>
      </c>
      <c r="AK19" s="59">
        <v>2099</v>
      </c>
      <c r="AL19" s="59">
        <v>2096</v>
      </c>
      <c r="AM19" s="59">
        <v>2071</v>
      </c>
      <c r="AN19" s="59">
        <v>2099</v>
      </c>
      <c r="AO19" s="59">
        <v>2092</v>
      </c>
      <c r="AP19" s="59">
        <v>2092</v>
      </c>
      <c r="AQ19" s="59">
        <v>2097</v>
      </c>
      <c r="AR19" s="59">
        <v>2116</v>
      </c>
      <c r="AS19" s="59">
        <v>2115</v>
      </c>
      <c r="AT19" s="59">
        <v>2126</v>
      </c>
      <c r="AU19" s="59">
        <v>2127</v>
      </c>
      <c r="AV19" s="59">
        <v>2147</v>
      </c>
      <c r="AW19" s="59">
        <v>2149</v>
      </c>
    </row>
    <row r="20" spans="1:49">
      <c r="A20" s="53" t="s">
        <v>84</v>
      </c>
      <c r="B20" s="109">
        <v>423241.8</v>
      </c>
      <c r="C20" s="50">
        <v>372477.8</v>
      </c>
      <c r="D20" s="50">
        <v>484987.9</v>
      </c>
      <c r="E20" s="50">
        <v>382155.80000000005</v>
      </c>
      <c r="F20" s="50">
        <v>392006.8</v>
      </c>
      <c r="G20" s="50">
        <v>463714.10000000003</v>
      </c>
      <c r="H20" s="50">
        <v>387132</v>
      </c>
      <c r="I20" s="50">
        <v>406441.69999999995</v>
      </c>
      <c r="J20" s="50">
        <v>492473.2</v>
      </c>
      <c r="K20" s="50">
        <v>384855.4</v>
      </c>
      <c r="L20" s="50">
        <v>407976.7</v>
      </c>
      <c r="M20" s="50">
        <v>497169.2</v>
      </c>
      <c r="N20" s="50">
        <f>SUM('[2]Combined total CDM to Colco (7)'!B29+'[2]Combined total CDM to Colco (7)'!B30+'[2]Combined total CDM to Colco (7)'!B31)</f>
        <v>396960.2</v>
      </c>
      <c r="O20" s="50">
        <v>416403.60000000003</v>
      </c>
      <c r="P20" s="50">
        <v>514440.80000000005</v>
      </c>
      <c r="Q20" s="50">
        <v>363412.10000000003</v>
      </c>
      <c r="R20" s="50">
        <v>356841.60000000003</v>
      </c>
      <c r="S20" s="50">
        <v>465903.5</v>
      </c>
      <c r="T20" s="50">
        <v>383171.80000000005</v>
      </c>
      <c r="U20" s="50">
        <v>380218.9</v>
      </c>
      <c r="V20" s="50">
        <v>485855.85000000009</v>
      </c>
      <c r="W20" s="50">
        <v>392745.00000000006</v>
      </c>
      <c r="X20" s="50">
        <v>408866.1</v>
      </c>
      <c r="Y20" s="50">
        <v>505322.2</v>
      </c>
      <c r="Z20" s="50">
        <f>'[2]Combined total CDM to Colco (7)'!B29+'[2]Combined total CDM to Colco (7)'!B30+'[2]Combined total CDM to Colco (7)'!B31</f>
        <v>396960.2</v>
      </c>
      <c r="AA20" s="50">
        <f>'[2]Combined total CDM to Colco (7)'!C29+'[2]Combined total CDM to Colco (7)'!C30+'[2]Combined total CDM to Colco (7)'!C31</f>
        <v>397894.30000000005</v>
      </c>
      <c r="AB20" s="50">
        <f>'[2]Combined total CDM to Colco (7)'!D29+'[2]Combined total CDM to Colco (7)'!D30+'[2]Combined total CDM to Colco (7)'!D31</f>
        <v>536908.10000000009</v>
      </c>
      <c r="AC20" s="50">
        <f>'[2]Combined total CDM to Colco (7)'!E29+'[2]Combined total CDM to Colco (7)'!E30+'[2]Combined total CDM to Colco (7)'!E31</f>
        <v>443599.1</v>
      </c>
      <c r="AD20" s="50">
        <f>'[2]Combined total CDM to Colco (7)'!F29+'[2]Combined total CDM to Colco (7)'!F30+'[2]Combined total CDM to Colco (7)'!F31</f>
        <v>442279.80000000005</v>
      </c>
      <c r="AE20" s="50">
        <f>'[2]Combined total CDM to Colco (7)'!G29+'[2]Combined total CDM to Colco (7)'!G30+'[2]Combined total CDM to Colco (7)'!G31</f>
        <v>543854.84000000008</v>
      </c>
      <c r="AF20" s="50">
        <f>'[2]Combined total CDM to Colco (7)'!H29+'[2]Combined total CDM to Colco (7)'!H30+'[2]Combined total CDM to Colco (7)'!H31</f>
        <v>415035</v>
      </c>
      <c r="AG20" s="50">
        <f>'[2]Combined total CDM to Colco (7)'!I29+'[2]Combined total CDM to Colco (7)'!I30+'[2]Combined total CDM to Colco (7)'!I31</f>
        <v>431959.19999999995</v>
      </c>
      <c r="AH20" s="50">
        <f>'[2]Combined total CDM to Colco (7)'!J29+'[2]Combined total CDM to Colco (7)'!J30+'[2]Combined total CDM to Colco (7)'!J31</f>
        <v>558455.19999999995</v>
      </c>
      <c r="AI20" s="50">
        <f>'[2]Combined total CDM to Colco (7)'!K29+'[2]Combined total CDM to Colco (7)'!K30+'[2]Combined total CDM to Colco (7)'!K31</f>
        <v>450113.60000000003</v>
      </c>
      <c r="AJ20" s="50">
        <f>'[2]Combined total CDM to Colco (7)'!L29+'[2]Combined total CDM to Colco (7)'!L30+'[2]Combined total CDM to Colco (7)'!L31</f>
        <v>458616.9</v>
      </c>
      <c r="AK20" s="50">
        <f>'[2]Combined total CDM to Colco (7)'!M29+'[2]Combined total CDM to Colco (7)'!M30+'[2]Combined total CDM to Colco (7)'!M31</f>
        <v>540251.69999999995</v>
      </c>
      <c r="AL20" s="50">
        <f>'Combined total CDM to Colco (7)'!B24+'Combined total CDM to Colco (7)'!B25+'Combined total CDM to Colco (7)'!B26</f>
        <v>457259.2</v>
      </c>
      <c r="AM20" s="50">
        <f>'Combined total CDM to Colco (7)'!C24+'Combined total CDM to Colco (7)'!C25+'Combined total CDM to Colco (7)'!C26</f>
        <v>424286.7</v>
      </c>
      <c r="AN20" s="50">
        <f>'Combined total CDM to Colco (7)'!D24+'Combined total CDM to Colco (7)'!D25+'Combined total CDM to Colco (7)'!D26</f>
        <v>539780.5</v>
      </c>
      <c r="AO20" s="50">
        <f>'Combined total CDM to Colco (7)'!E24+'Combined total CDM to Colco (7)'!E25+'Combined total CDM to Colco (7)'!E26</f>
        <v>450567.80000000005</v>
      </c>
      <c r="AP20" s="50">
        <f>'Combined total CDM to Colco (7)'!F24+'Combined total CDM to Colco (7)'!F25+'Combined total CDM to Colco (7)'!F26</f>
        <v>426408.9</v>
      </c>
      <c r="AQ20" s="50">
        <f>'Combined total CDM to Colco (7)'!G24+'Combined total CDM to Colco (7)'!G25+'Combined total CDM to Colco (7)'!G26</f>
        <v>529876.5</v>
      </c>
      <c r="AR20" s="50">
        <f>'Combined total CDM to Colco (7)'!H24+'Combined total CDM to Colco (7)'!H25+'Combined total CDM to Colco (7)'!H26</f>
        <v>446877.4</v>
      </c>
      <c r="AS20" s="50">
        <f>'Combined total CDM to Colco (7)'!I24+'Combined total CDM to Colco (7)'!I25+'Combined total CDM to Colco (7)'!I26+'Combined total CDM to Colco (7)'!I28</f>
        <v>466864.73332143866</v>
      </c>
      <c r="AT20" s="50">
        <f>'Combined total CDM to Colco (7)'!J24+'Combined total CDM to Colco (7)'!J25+'Combined total CDM to Colco (7)'!J26+'Combined total CDM to Colco (7)'!J28</f>
        <v>608337.76476512721</v>
      </c>
      <c r="AU20" s="50">
        <f>'Combined total CDM to Colco (7)'!K24+'Combined total CDM to Colco (7)'!K25+'Combined total CDM to Colco (7)'!K26+'Combined total CDM to Colco (7)'!K28</f>
        <v>490178.82251670246</v>
      </c>
      <c r="AV20" s="50">
        <f>'Combined total CDM to Colco (7)'!L24+'Combined total CDM to Colco (7)'!L25+'Combined total CDM to Colco (7)'!L26+'Combined total CDM to Colco (7)'!L28</f>
        <v>492865.40140615986</v>
      </c>
      <c r="AW20" s="50">
        <f>'Combined total CDM to Colco (7)'!M24+'Combined total CDM to Colco (7)'!M25+'Combined total CDM to Colco (7)'!M26+'Combined total CDM to Colco (7)'!M28</f>
        <v>660211.4953516759</v>
      </c>
    </row>
    <row r="21" spans="1:49">
      <c r="A21" s="53" t="s">
        <v>85</v>
      </c>
      <c r="B21" s="109">
        <v>2082.8333333333335</v>
      </c>
      <c r="C21" s="50">
        <v>2083.3333333333335</v>
      </c>
      <c r="D21" s="50">
        <v>2078.9166666666665</v>
      </c>
      <c r="E21" s="50">
        <v>2082.3333333333335</v>
      </c>
      <c r="F21" s="50">
        <v>2087.8333333333335</v>
      </c>
      <c r="G21" s="50">
        <v>2090.4166666666665</v>
      </c>
      <c r="H21" s="50">
        <v>2095.1666666666665</v>
      </c>
      <c r="I21" s="50">
        <v>2097.9166666666665</v>
      </c>
      <c r="J21" s="50">
        <v>2100.25</v>
      </c>
      <c r="K21" s="50">
        <v>2099.8333333333335</v>
      </c>
      <c r="L21" s="50">
        <v>2101</v>
      </c>
      <c r="M21" s="50">
        <v>2103.0833333333335</v>
      </c>
      <c r="N21" s="50">
        <f t="shared" ref="N21:AK21" si="0">AVERAGE(C19:N19)</f>
        <v>2103.75</v>
      </c>
      <c r="O21" s="50">
        <f t="shared" si="0"/>
        <v>2102.1666666666665</v>
      </c>
      <c r="P21" s="50">
        <f t="shared" si="0"/>
        <v>2104.6666666666665</v>
      </c>
      <c r="Q21" s="50">
        <f t="shared" si="0"/>
        <v>2099.5</v>
      </c>
      <c r="R21" s="50">
        <f t="shared" si="0"/>
        <v>2092.5833333333335</v>
      </c>
      <c r="S21" s="50">
        <f t="shared" si="0"/>
        <v>2090.3333333333335</v>
      </c>
      <c r="T21" s="50">
        <f t="shared" si="0"/>
        <v>2087.9166666666665</v>
      </c>
      <c r="U21" s="50">
        <f t="shared" si="0"/>
        <v>2086.4166666666665</v>
      </c>
      <c r="V21" s="50">
        <f t="shared" si="0"/>
        <v>2086.25</v>
      </c>
      <c r="W21" s="50">
        <f t="shared" si="0"/>
        <v>2087.6583333333333</v>
      </c>
      <c r="X21" s="50">
        <f t="shared" si="0"/>
        <v>2089.9833333333336</v>
      </c>
      <c r="Y21" s="50">
        <f t="shared" si="0"/>
        <v>2092.1000000000004</v>
      </c>
      <c r="Z21" s="50">
        <f t="shared" si="0"/>
        <v>2093.9333333333338</v>
      </c>
      <c r="AA21" s="50">
        <f t="shared" si="0"/>
        <v>2094.4333333333338</v>
      </c>
      <c r="AB21" s="50">
        <f t="shared" si="0"/>
        <v>2094.2666666666669</v>
      </c>
      <c r="AC21" s="50">
        <f t="shared" si="0"/>
        <v>2095.0166666666669</v>
      </c>
      <c r="AD21" s="50">
        <f t="shared" si="0"/>
        <v>2094.6833333333329</v>
      </c>
      <c r="AE21" s="50">
        <f t="shared" si="0"/>
        <v>2093.6833333333329</v>
      </c>
      <c r="AF21" s="50">
        <f t="shared" si="0"/>
        <v>2089.9333333333329</v>
      </c>
      <c r="AG21" s="50">
        <f t="shared" si="0"/>
        <v>2089.2666666666664</v>
      </c>
      <c r="AH21" s="50">
        <f t="shared" si="0"/>
        <v>2088.5166666666669</v>
      </c>
      <c r="AI21" s="50">
        <f t="shared" si="0"/>
        <v>2088.5250000000001</v>
      </c>
      <c r="AJ21" s="50">
        <f t="shared" si="0"/>
        <v>2088.0666666666671</v>
      </c>
      <c r="AK21" s="50">
        <f t="shared" si="0"/>
        <v>2088.7833333333333</v>
      </c>
      <c r="AL21" s="50">
        <f t="shared" ref="AL21:AQ21" si="1">AVERAGE(AA19:AL19)</f>
        <v>2088.2000000000003</v>
      </c>
      <c r="AM21" s="50">
        <f t="shared" si="1"/>
        <v>2085.3666666666668</v>
      </c>
      <c r="AN21" s="50">
        <f t="shared" si="1"/>
        <v>2084.2000000000003</v>
      </c>
      <c r="AO21" s="50">
        <f t="shared" si="1"/>
        <v>2081.6166666666668</v>
      </c>
      <c r="AP21" s="50">
        <f t="shared" si="1"/>
        <v>2079.7833333333333</v>
      </c>
      <c r="AQ21" s="50">
        <f t="shared" si="1"/>
        <v>2081.2833333333333</v>
      </c>
      <c r="AR21" s="50">
        <f>AVERAGE(AG19:AR19)</f>
        <v>2087.7833333333333</v>
      </c>
      <c r="AS21" s="50">
        <f>AVERAGE(AH19:AS19)</f>
        <v>2092.3666666666668</v>
      </c>
      <c r="AT21" s="50">
        <f>AVERAGE(AI19:AT19)</f>
        <v>2097.2833333333333</v>
      </c>
      <c r="AU21" s="50">
        <f t="shared" ref="AU21:AW21" si="2">AVERAGE(AJ19:AU19)</f>
        <v>2101.3666666666668</v>
      </c>
      <c r="AV21" s="50">
        <f t="shared" si="2"/>
        <v>2106.4166666666665</v>
      </c>
      <c r="AW21" s="50">
        <f t="shared" si="2"/>
        <v>2110.5833333333335</v>
      </c>
    </row>
    <row r="22" spans="1:49" ht="15.75" thickBot="1">
      <c r="A22" s="53" t="s">
        <v>86</v>
      </c>
      <c r="B22" s="110">
        <v>4693717.9066275991</v>
      </c>
      <c r="C22" s="104">
        <v>4717838.3552191481</v>
      </c>
      <c r="D22" s="104">
        <v>4765457.9052191488</v>
      </c>
      <c r="E22" s="104">
        <v>4811219.5678742342</v>
      </c>
      <c r="F22" s="104">
        <v>4851163.4602187322</v>
      </c>
      <c r="G22" s="104">
        <v>4924988.2619478386</v>
      </c>
      <c r="H22" s="104">
        <v>4937749.788030332</v>
      </c>
      <c r="I22" s="104">
        <v>4985461.1403815886</v>
      </c>
      <c r="J22" s="104">
        <v>5029026.25</v>
      </c>
      <c r="K22" s="104">
        <v>5036513.5500000007</v>
      </c>
      <c r="L22" s="104">
        <v>5109806.25</v>
      </c>
      <c r="M22" s="104">
        <v>5094632.4000000004</v>
      </c>
      <c r="N22" s="104">
        <f t="shared" ref="N22:AK22" si="3">SUM(C20:N20)</f>
        <v>5068350.8000000007</v>
      </c>
      <c r="O22" s="104">
        <f t="shared" si="3"/>
        <v>5112276.5999999996</v>
      </c>
      <c r="P22" s="104">
        <f t="shared" si="3"/>
        <v>5141729.5</v>
      </c>
      <c r="Q22" s="104">
        <f t="shared" si="3"/>
        <v>5122985.8</v>
      </c>
      <c r="R22" s="104">
        <f t="shared" si="3"/>
        <v>5087820.5999999996</v>
      </c>
      <c r="S22" s="104">
        <f t="shared" si="3"/>
        <v>5090009.9999999991</v>
      </c>
      <c r="T22" s="104">
        <f t="shared" si="3"/>
        <v>5086049.8</v>
      </c>
      <c r="U22" s="104">
        <f t="shared" si="3"/>
        <v>5059827.0000000009</v>
      </c>
      <c r="V22" s="104">
        <f t="shared" si="3"/>
        <v>5053209.6500000004</v>
      </c>
      <c r="W22" s="104">
        <f t="shared" si="3"/>
        <v>5061099.25</v>
      </c>
      <c r="X22" s="104">
        <f t="shared" si="3"/>
        <v>5061988.6499999994</v>
      </c>
      <c r="Y22" s="104">
        <f t="shared" si="3"/>
        <v>5070141.6500000004</v>
      </c>
      <c r="Z22" s="104">
        <f t="shared" si="3"/>
        <v>5070141.6500000004</v>
      </c>
      <c r="AA22" s="104">
        <f t="shared" si="3"/>
        <v>5051632.3500000006</v>
      </c>
      <c r="AB22" s="104">
        <f t="shared" si="3"/>
        <v>5074099.6500000004</v>
      </c>
      <c r="AC22" s="104">
        <f t="shared" si="3"/>
        <v>5154286.6500000004</v>
      </c>
      <c r="AD22" s="104">
        <f t="shared" si="3"/>
        <v>5239724.8500000006</v>
      </c>
      <c r="AE22" s="104">
        <f t="shared" si="3"/>
        <v>5317676.1900000004</v>
      </c>
      <c r="AF22" s="104">
        <f t="shared" si="3"/>
        <v>5349539.3900000006</v>
      </c>
      <c r="AG22" s="104">
        <f t="shared" si="3"/>
        <v>5401279.6900000004</v>
      </c>
      <c r="AH22" s="104">
        <f t="shared" si="3"/>
        <v>5473879.04</v>
      </c>
      <c r="AI22" s="104">
        <f t="shared" si="3"/>
        <v>5531247.6400000006</v>
      </c>
      <c r="AJ22" s="104">
        <f t="shared" si="3"/>
        <v>5580998.4400000004</v>
      </c>
      <c r="AK22" s="104">
        <f t="shared" si="3"/>
        <v>5615927.9400000004</v>
      </c>
      <c r="AL22" s="104">
        <f>SUM(AA20:AL20)</f>
        <v>5676226.9400000004</v>
      </c>
      <c r="AM22" s="104">
        <f>SUM(AB20:AM20)</f>
        <v>5702619.3400000008</v>
      </c>
      <c r="AN22" s="104">
        <f>SUM(AC20:AN20)</f>
        <v>5705491.7400000012</v>
      </c>
      <c r="AO22" s="104">
        <f t="shared" ref="AO22" si="4">SUM(AD20:AO20)</f>
        <v>5712460.4400000004</v>
      </c>
      <c r="AP22" s="104">
        <f>SUM(AE20:AP20)</f>
        <v>5696589.54</v>
      </c>
      <c r="AQ22" s="104">
        <f>SUM(AF20:AQ20)</f>
        <v>5682611.2000000002</v>
      </c>
      <c r="AR22" s="104">
        <f>SUM(AG20:AR20)</f>
        <v>5714453.6000000006</v>
      </c>
      <c r="AS22" s="104">
        <f>SUM(AH20:AS20)</f>
        <v>5749359.1333214398</v>
      </c>
      <c r="AT22" s="104">
        <f>SUM(AI20:AT20)</f>
        <v>5799241.6980865672</v>
      </c>
      <c r="AU22" s="104">
        <f t="shared" ref="AU22:AW22" si="5">SUM(AJ20:AU20)</f>
        <v>5839306.9206032678</v>
      </c>
      <c r="AV22" s="104">
        <f t="shared" si="5"/>
        <v>5873555.422009428</v>
      </c>
      <c r="AW22" s="104">
        <f t="shared" si="5"/>
        <v>5993515.2173611037</v>
      </c>
    </row>
    <row r="23" spans="1:49">
      <c r="A23" s="53"/>
      <c r="B23" s="111">
        <v>44743</v>
      </c>
      <c r="C23" s="112">
        <v>44774</v>
      </c>
      <c r="D23" s="112">
        <v>44805</v>
      </c>
      <c r="E23" s="112">
        <v>44835</v>
      </c>
      <c r="F23" s="112">
        <v>44866</v>
      </c>
      <c r="G23" s="112">
        <v>44896</v>
      </c>
      <c r="H23" s="112">
        <v>44927</v>
      </c>
      <c r="I23" s="112">
        <v>44958</v>
      </c>
      <c r="J23" s="112">
        <v>44986</v>
      </c>
      <c r="K23" s="112">
        <v>45017</v>
      </c>
      <c r="L23" s="112">
        <v>45047</v>
      </c>
      <c r="M23" s="112">
        <v>45078</v>
      </c>
      <c r="N23" s="112">
        <v>45108</v>
      </c>
      <c r="O23" s="112">
        <v>45139</v>
      </c>
      <c r="P23" s="112">
        <v>45170</v>
      </c>
      <c r="Q23" s="112">
        <v>45200</v>
      </c>
      <c r="R23" s="112">
        <v>45231</v>
      </c>
      <c r="S23" s="112">
        <v>45261</v>
      </c>
      <c r="T23" s="112">
        <v>45292</v>
      </c>
      <c r="U23" s="112">
        <v>45323</v>
      </c>
      <c r="V23" s="112">
        <v>45352</v>
      </c>
      <c r="W23" s="112">
        <v>45383</v>
      </c>
      <c r="X23" s="112">
        <v>45413</v>
      </c>
      <c r="Y23" s="113">
        <v>45444</v>
      </c>
      <c r="Z23" s="113">
        <v>45474</v>
      </c>
      <c r="AA23" s="113">
        <v>45505</v>
      </c>
      <c r="AB23" s="113">
        <v>45536</v>
      </c>
      <c r="AC23" s="113">
        <v>45566</v>
      </c>
      <c r="AD23" s="113">
        <v>45597</v>
      </c>
      <c r="AE23" s="113">
        <v>45627</v>
      </c>
      <c r="AF23" s="113">
        <v>45658</v>
      </c>
      <c r="AG23" s="113">
        <v>45689</v>
      </c>
      <c r="AH23" s="113">
        <v>45717</v>
      </c>
      <c r="AI23" s="113">
        <v>45748</v>
      </c>
      <c r="AJ23" s="113">
        <v>45778</v>
      </c>
      <c r="AK23" s="113">
        <v>45809</v>
      </c>
      <c r="AL23" s="113">
        <v>45839</v>
      </c>
      <c r="AM23" s="113">
        <v>45870</v>
      </c>
      <c r="AN23" s="113">
        <v>45901</v>
      </c>
      <c r="AO23" s="113">
        <v>45931</v>
      </c>
      <c r="AP23" s="113">
        <v>45962</v>
      </c>
      <c r="AQ23" s="113">
        <v>45992</v>
      </c>
      <c r="AR23" s="113">
        <v>46023</v>
      </c>
      <c r="AS23" s="113">
        <v>46054</v>
      </c>
      <c r="AT23" s="113">
        <v>46082</v>
      </c>
      <c r="AU23" s="113">
        <v>46113</v>
      </c>
      <c r="AV23" s="113">
        <v>46143</v>
      </c>
      <c r="AW23" s="113">
        <v>46174</v>
      </c>
    </row>
    <row r="24" spans="1:49">
      <c r="A24" s="53" t="s">
        <v>87</v>
      </c>
      <c r="B24" s="109">
        <v>2253.5254412871564</v>
      </c>
      <c r="C24" s="50">
        <v>2264.5624105051911</v>
      </c>
      <c r="D24" s="50">
        <v>2292.2794268901989</v>
      </c>
      <c r="E24" s="50">
        <v>2310.4944299059871</v>
      </c>
      <c r="F24" s="50">
        <v>2323.5396153358656</v>
      </c>
      <c r="G24" s="50">
        <v>2355.9840200667359</v>
      </c>
      <c r="H24" s="50">
        <v>2356.7336511162193</v>
      </c>
      <c r="I24" s="50">
        <v>2376.3866408968847</v>
      </c>
      <c r="J24" s="50">
        <v>2394.4893465063683</v>
      </c>
      <c r="K24" s="50">
        <v>2398.5301452496233</v>
      </c>
      <c r="L24" s="50">
        <v>2432.082936696811</v>
      </c>
      <c r="M24" s="50">
        <v>2422.4586440543644</v>
      </c>
      <c r="N24" s="50">
        <f t="shared" ref="N24:AK24" si="6">N22/N21</f>
        <v>2409.1982412358889</v>
      </c>
      <c r="O24" s="50">
        <f t="shared" si="6"/>
        <v>2431.9083168159837</v>
      </c>
      <c r="P24" s="50">
        <f t="shared" si="6"/>
        <v>2443.0136997149193</v>
      </c>
      <c r="Q24" s="50">
        <f t="shared" si="6"/>
        <v>2440.09802333889</v>
      </c>
      <c r="R24" s="50">
        <f t="shared" si="6"/>
        <v>2431.3586555692723</v>
      </c>
      <c r="S24" s="50">
        <f t="shared" si="6"/>
        <v>2435.0231223090409</v>
      </c>
      <c r="T24" s="50">
        <f t="shared" si="6"/>
        <v>2435.9448253841551</v>
      </c>
      <c r="U24" s="50">
        <f t="shared" si="6"/>
        <v>2425.1277708990701</v>
      </c>
      <c r="V24" s="50">
        <f t="shared" si="6"/>
        <v>2422.1496225284604</v>
      </c>
      <c r="W24" s="50">
        <f t="shared" si="6"/>
        <v>2424.2948039869234</v>
      </c>
      <c r="X24" s="50">
        <f t="shared" si="6"/>
        <v>2422.0234531375841</v>
      </c>
      <c r="Y24" s="50">
        <f t="shared" si="6"/>
        <v>2423.470030113283</v>
      </c>
      <c r="Z24" s="50">
        <f t="shared" si="6"/>
        <v>2421.348172498328</v>
      </c>
      <c r="AA24" s="116">
        <f t="shared" si="6"/>
        <v>2411.9327503063673</v>
      </c>
      <c r="AB24" s="116">
        <f t="shared" si="6"/>
        <v>2422.8527010250205</v>
      </c>
      <c r="AC24" s="116">
        <f t="shared" si="6"/>
        <v>2460.2604513886126</v>
      </c>
      <c r="AD24" s="116">
        <f t="shared" si="6"/>
        <v>2501.4400824309173</v>
      </c>
      <c r="AE24" s="116">
        <f t="shared" si="6"/>
        <v>2539.8665143566768</v>
      </c>
      <c r="AF24" s="116">
        <f t="shared" si="6"/>
        <v>2559.6698730422031</v>
      </c>
      <c r="AG24" s="116">
        <f t="shared" si="6"/>
        <v>2585.2514550560009</v>
      </c>
      <c r="AH24" s="116">
        <f t="shared" si="6"/>
        <v>2620.9410378977104</v>
      </c>
      <c r="AI24" s="116">
        <f t="shared" si="6"/>
        <v>2648.3990567505775</v>
      </c>
      <c r="AJ24" s="116">
        <f t="shared" si="6"/>
        <v>2672.806634526356</v>
      </c>
      <c r="AK24" s="116">
        <f t="shared" si="6"/>
        <v>2688.6120022022392</v>
      </c>
      <c r="AL24" s="116">
        <f>AL22/AL21</f>
        <v>2718.2391246049228</v>
      </c>
      <c r="AM24" s="116">
        <f>AM22/AM21</f>
        <v>2734.5883249948051</v>
      </c>
      <c r="AN24" s="116">
        <f>AN22/AN21</f>
        <v>2737.4972363496786</v>
      </c>
      <c r="AO24" s="116">
        <f t="shared" ref="AO24:AP24" si="7">AO22/AO21</f>
        <v>2744.2422668278664</v>
      </c>
      <c r="AP24" s="116">
        <f t="shared" si="7"/>
        <v>2739.0302868087219</v>
      </c>
      <c r="AQ24" s="116">
        <f t="shared" ref="AQ24" si="8">AQ22/AQ21</f>
        <v>2730.3400305901009</v>
      </c>
      <c r="AR24" s="116">
        <f>AR22/AR21</f>
        <v>2737.0913009811047</v>
      </c>
      <c r="AS24" s="116">
        <f>AS22/AS21</f>
        <v>2747.7780185060487</v>
      </c>
      <c r="AT24" s="116">
        <f>AT22/AT21</f>
        <v>2765.1207664295403</v>
      </c>
      <c r="AU24" s="116">
        <f t="shared" ref="AU24:AV24" si="9">AU22/AU21</f>
        <v>2778.8139086958968</v>
      </c>
      <c r="AV24" s="116">
        <f t="shared" si="9"/>
        <v>2788.4110085893558</v>
      </c>
      <c r="AW24" s="116">
        <f t="shared" ref="AW24" si="10">AW22/AW21</f>
        <v>2839.7434598781238</v>
      </c>
    </row>
    <row r="25" spans="1:49" ht="15.75" thickBot="1">
      <c r="A25" s="53" t="s">
        <v>88</v>
      </c>
      <c r="B25" s="60">
        <v>2400</v>
      </c>
      <c r="C25" s="46">
        <v>2400</v>
      </c>
      <c r="D25" s="46">
        <v>2400</v>
      </c>
      <c r="E25" s="45">
        <v>2400</v>
      </c>
      <c r="F25" s="45">
        <v>2500</v>
      </c>
      <c r="G25" s="45">
        <v>2500</v>
      </c>
      <c r="H25" s="45">
        <v>2500</v>
      </c>
      <c r="I25" s="45">
        <v>2500</v>
      </c>
      <c r="J25" s="45">
        <v>2500</v>
      </c>
      <c r="K25" s="45">
        <v>2500</v>
      </c>
      <c r="L25" s="45">
        <v>2500</v>
      </c>
      <c r="M25" s="45">
        <v>2500</v>
      </c>
      <c r="N25" s="45">
        <v>2500</v>
      </c>
      <c r="O25" s="45">
        <v>2500</v>
      </c>
      <c r="P25" s="45">
        <v>2500</v>
      </c>
      <c r="Q25" s="45">
        <v>2500</v>
      </c>
      <c r="R25" s="45">
        <v>2500</v>
      </c>
      <c r="S25" s="45">
        <v>2500</v>
      </c>
      <c r="T25" s="45">
        <v>2600</v>
      </c>
      <c r="U25" s="45">
        <v>2600</v>
      </c>
      <c r="V25" s="45">
        <v>2600</v>
      </c>
      <c r="W25" s="45">
        <v>2600</v>
      </c>
      <c r="X25" s="45">
        <v>2600</v>
      </c>
      <c r="Y25" s="114">
        <v>2600</v>
      </c>
      <c r="Z25" s="114">
        <v>2600</v>
      </c>
      <c r="AA25" s="114">
        <v>2600</v>
      </c>
      <c r="AB25" s="114">
        <v>2600</v>
      </c>
      <c r="AC25" s="114">
        <v>2600</v>
      </c>
      <c r="AD25" s="114">
        <v>2600</v>
      </c>
      <c r="AE25" s="114">
        <v>2600</v>
      </c>
      <c r="AF25" s="114">
        <v>3006</v>
      </c>
      <c r="AG25" s="114">
        <v>3006</v>
      </c>
      <c r="AH25" s="114">
        <v>3006</v>
      </c>
      <c r="AI25" s="114">
        <v>3006</v>
      </c>
      <c r="AJ25" s="114">
        <v>3006</v>
      </c>
      <c r="AK25" s="114">
        <v>3006</v>
      </c>
      <c r="AL25" s="114">
        <v>3000</v>
      </c>
      <c r="AM25" s="114">
        <v>3000</v>
      </c>
      <c r="AN25" s="114">
        <v>3000</v>
      </c>
      <c r="AO25" s="114">
        <v>3000</v>
      </c>
      <c r="AP25" s="114">
        <v>3000</v>
      </c>
      <c r="AQ25" s="114">
        <v>3000</v>
      </c>
      <c r="AR25" s="114">
        <v>3000</v>
      </c>
      <c r="AS25" s="114">
        <v>3000</v>
      </c>
      <c r="AT25" s="114">
        <v>3000</v>
      </c>
      <c r="AU25" s="114">
        <v>3000</v>
      </c>
      <c r="AV25" s="114">
        <v>3000</v>
      </c>
      <c r="AW25" s="114">
        <v>3000</v>
      </c>
    </row>
    <row r="26" spans="1:49">
      <c r="A26" s="213" t="s">
        <v>167</v>
      </c>
      <c r="AA26" s="77">
        <f>AM6</f>
        <v>0</v>
      </c>
      <c r="AB26" s="77">
        <f>AM6</f>
        <v>0</v>
      </c>
      <c r="AC26">
        <f>AM12</f>
        <v>0</v>
      </c>
      <c r="AD26" s="79">
        <f>AM18</f>
        <v>45870</v>
      </c>
      <c r="AE26" s="79">
        <f>AM25</f>
        <v>3000</v>
      </c>
      <c r="AF26" s="79">
        <f>AM31</f>
        <v>0</v>
      </c>
      <c r="AG26" s="79"/>
      <c r="AH26" s="79"/>
      <c r="AI26" s="79"/>
      <c r="AJ26" s="79"/>
      <c r="AK26" s="79"/>
    </row>
    <row r="27" spans="1:49">
      <c r="P27">
        <f>SUM('[2]Combined pigs sold to colco (7)'!D30:D32)</f>
        <v>344</v>
      </c>
    </row>
    <row r="28" spans="1:49">
      <c r="P28" s="125">
        <f>P27*'[2]Grasmere Avg CDM vs Budget (7)'!D20</f>
        <v>34033.848429151527</v>
      </c>
      <c r="AO28">
        <f>AM28-AM22</f>
        <v>-5702619.3400000008</v>
      </c>
    </row>
    <row r="31" spans="1:49">
      <c r="AL31" s="214"/>
      <c r="AM31" s="79"/>
    </row>
  </sheetData>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03B77-699E-4B8C-AF3E-80B2CC437FAF}">
  <sheetPr codeName="Sheet62">
    <tabColor rgb="FFFFFF00"/>
  </sheetPr>
  <dimension ref="A18:P27"/>
  <sheetViews>
    <sheetView zoomScale="75" zoomScaleNormal="90" workbookViewId="0">
      <selection activeCell="M25" sqref="M25"/>
    </sheetView>
  </sheetViews>
  <sheetFormatPr defaultColWidth="10.28515625" defaultRowHeight="15" customHeight="1"/>
  <cols>
    <col min="1" max="1" width="12.85546875" bestFit="1" customWidth="1"/>
  </cols>
  <sheetData>
    <row r="18" spans="1:16" ht="15" customHeight="1">
      <c r="A18" s="367"/>
      <c r="O18" s="390"/>
    </row>
    <row r="19" spans="1:16" ht="15" customHeight="1">
      <c r="A19" s="77"/>
    </row>
    <row r="20" spans="1:16" ht="15" customHeight="1">
      <c r="A20" s="77"/>
    </row>
    <row r="23" spans="1:16" ht="15" customHeight="1" thickBot="1"/>
    <row r="24" spans="1:16" ht="15" customHeight="1" thickBot="1">
      <c r="A24" s="451"/>
      <c r="B24" s="452">
        <v>45863</v>
      </c>
      <c r="C24" s="452">
        <v>45894</v>
      </c>
      <c r="D24" s="452">
        <v>45925</v>
      </c>
      <c r="E24" s="452">
        <v>45955</v>
      </c>
      <c r="F24" s="452">
        <v>45986</v>
      </c>
      <c r="G24" s="452">
        <v>46016</v>
      </c>
      <c r="H24" s="452">
        <v>46047</v>
      </c>
      <c r="I24" s="452">
        <v>46078</v>
      </c>
      <c r="J24" s="452">
        <v>46106</v>
      </c>
      <c r="K24" s="452">
        <v>46137</v>
      </c>
      <c r="L24" s="452">
        <v>46167</v>
      </c>
      <c r="M24" s="452">
        <v>46198</v>
      </c>
    </row>
    <row r="25" spans="1:16" ht="15" customHeight="1" thickBot="1">
      <c r="A25" s="453" t="s">
        <v>180</v>
      </c>
      <c r="B25" s="453">
        <f>+'[56]Combined farrow rate  (4)'!R13</f>
        <v>91</v>
      </c>
      <c r="C25" s="453">
        <f>+'[56]Combined farrow rate  (4)'!S13</f>
        <v>91</v>
      </c>
      <c r="D25" s="453">
        <f>+'[56]Combined farrow rate  (4)'!T13</f>
        <v>91</v>
      </c>
      <c r="E25" s="453">
        <f>+'[56]Combined farrow rate  (4)'!U13</f>
        <v>94</v>
      </c>
      <c r="F25" s="453">
        <f>+'[56]Combined farrow rate  (4)'!V13</f>
        <v>95</v>
      </c>
      <c r="G25" s="453">
        <f>+'[56]Combined farrow rate  (4)'!W13</f>
        <v>95</v>
      </c>
      <c r="H25" s="453">
        <f>+'Combined farrow rate  (5)'!X13</f>
        <v>95</v>
      </c>
      <c r="I25" s="453">
        <f>+'Combined farrow rate  (5)'!Y13</f>
        <v>93</v>
      </c>
      <c r="J25" s="453">
        <f>+'Combined farrow rate  (5)'!Z13</f>
        <v>91</v>
      </c>
      <c r="K25" s="453">
        <f>+'Combined farrow rate  (5)'!AA13</f>
        <v>94</v>
      </c>
      <c r="L25" s="453">
        <f>+'Combined farrow rate  (5)'!AB13</f>
        <v>94</v>
      </c>
      <c r="M25" s="453">
        <f>+'Combined farrow rate  (5)'!AC13</f>
        <v>95</v>
      </c>
      <c r="N25" s="77">
        <f>AVERAGE(B25:M25)</f>
        <v>93.25</v>
      </c>
    </row>
    <row r="26" spans="1:16" ht="15" customHeight="1" thickBot="1">
      <c r="A26" s="453" t="s">
        <v>109</v>
      </c>
      <c r="B26" s="453">
        <v>87</v>
      </c>
      <c r="C26" s="453">
        <v>90</v>
      </c>
      <c r="D26" s="453">
        <v>93</v>
      </c>
      <c r="E26" s="453">
        <v>94</v>
      </c>
      <c r="F26" s="453">
        <v>96</v>
      </c>
      <c r="G26" s="453">
        <v>93</v>
      </c>
      <c r="H26" s="453">
        <v>88</v>
      </c>
      <c r="I26" s="453">
        <v>90</v>
      </c>
      <c r="J26" s="453">
        <v>91</v>
      </c>
      <c r="K26" s="453">
        <v>90</v>
      </c>
      <c r="L26" s="453">
        <v>92</v>
      </c>
      <c r="M26" s="453">
        <v>92</v>
      </c>
      <c r="N26" s="77">
        <f t="shared" ref="N26:N27" si="0">AVERAGE(B26:M26)</f>
        <v>91.333333333333329</v>
      </c>
      <c r="O26" s="79">
        <f>N25-N26</f>
        <v>1.9166666666666714</v>
      </c>
      <c r="P26" t="s">
        <v>168</v>
      </c>
    </row>
    <row r="27" spans="1:16" ht="15" customHeight="1" thickBot="1">
      <c r="A27" s="453" t="s">
        <v>88</v>
      </c>
      <c r="B27" s="453">
        <v>93</v>
      </c>
      <c r="C27" s="453">
        <v>93</v>
      </c>
      <c r="D27" s="453">
        <v>93</v>
      </c>
      <c r="E27" s="453">
        <v>93</v>
      </c>
      <c r="F27" s="453">
        <v>93</v>
      </c>
      <c r="G27" s="453">
        <v>93</v>
      </c>
      <c r="H27" s="453">
        <v>93</v>
      </c>
      <c r="I27" s="453">
        <v>93</v>
      </c>
      <c r="J27" s="453">
        <v>93</v>
      </c>
      <c r="K27" s="453">
        <v>93</v>
      </c>
      <c r="L27" s="453">
        <v>93</v>
      </c>
      <c r="M27" s="453">
        <v>93</v>
      </c>
      <c r="N27" s="77">
        <f t="shared" si="0"/>
        <v>93</v>
      </c>
      <c r="O27" s="77">
        <f>N25-N27</f>
        <v>0.25</v>
      </c>
      <c r="P27" t="s">
        <v>171</v>
      </c>
    </row>
  </sheetData>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F794-F52A-4282-A22E-4B17D394C62D}">
  <sheetPr codeName="Sheet63">
    <tabColor rgb="FFFFFF00"/>
  </sheetPr>
  <dimension ref="A17:P21"/>
  <sheetViews>
    <sheetView zoomScale="90" zoomScaleNormal="90" workbookViewId="0">
      <selection activeCell="M19" sqref="M19"/>
    </sheetView>
  </sheetViews>
  <sheetFormatPr defaultRowHeight="15"/>
  <cols>
    <col min="1" max="1" width="11.28515625" bestFit="1" customWidth="1"/>
    <col min="2" max="2" width="6.28515625" bestFit="1" customWidth="1"/>
    <col min="3" max="3" width="7.140625" bestFit="1" customWidth="1"/>
    <col min="4" max="4" width="10.5703125" customWidth="1"/>
    <col min="5" max="5" width="7" bestFit="1" customWidth="1"/>
    <col min="6" max="6" width="7.28515625" bestFit="1" customWidth="1"/>
    <col min="7" max="7" width="7.140625" bestFit="1" customWidth="1"/>
    <col min="8" max="8" width="6.85546875" bestFit="1" customWidth="1"/>
    <col min="9" max="9" width="7" bestFit="1" customWidth="1"/>
    <col min="10" max="10" width="7.5703125" bestFit="1" customWidth="1"/>
    <col min="11" max="11" width="7" bestFit="1" customWidth="1"/>
    <col min="12" max="12" width="7.7109375" bestFit="1" customWidth="1"/>
    <col min="13" max="13" width="6.85546875" bestFit="1" customWidth="1"/>
  </cols>
  <sheetData>
    <row r="17" spans="1:16" ht="15.75" thickBot="1"/>
    <row r="18" spans="1:16" ht="15.75" thickBot="1">
      <c r="A18" s="336"/>
      <c r="B18" s="316">
        <v>45863</v>
      </c>
      <c r="C18" s="316">
        <v>45894</v>
      </c>
      <c r="D18" s="316">
        <v>45925</v>
      </c>
      <c r="E18" s="316">
        <v>45955</v>
      </c>
      <c r="F18" s="316">
        <v>45986</v>
      </c>
      <c r="G18" s="316">
        <v>46016</v>
      </c>
      <c r="H18" s="316">
        <v>46047</v>
      </c>
      <c r="I18" s="316">
        <v>46078</v>
      </c>
      <c r="J18" s="316">
        <v>46106</v>
      </c>
      <c r="K18" s="316">
        <v>46137</v>
      </c>
      <c r="L18" s="316">
        <v>46167</v>
      </c>
      <c r="M18" s="316">
        <v>46198</v>
      </c>
      <c r="N18" s="390"/>
    </row>
    <row r="19" spans="1:16" ht="15.75" thickBot="1">
      <c r="A19" s="152" t="s">
        <v>180</v>
      </c>
      <c r="B19" s="313">
        <f>+'[56]Combined Born alive (4)'!R14</f>
        <v>15</v>
      </c>
      <c r="C19" s="313">
        <f>+'[56]Combined Born alive (4)'!S14</f>
        <v>15.2</v>
      </c>
      <c r="D19" s="313">
        <f>+'[56]Combined Born alive (4)'!T14</f>
        <v>15.4</v>
      </c>
      <c r="E19" s="313">
        <f>+'[56]Combined Born alive (4)'!U14</f>
        <v>15.4</v>
      </c>
      <c r="F19" s="313">
        <f>+'[56]Combined Born alive (4)'!V14</f>
        <v>14.8</v>
      </c>
      <c r="G19" s="313">
        <f>+'[56]Combined Born alive (4)'!W14</f>
        <v>15.4</v>
      </c>
      <c r="H19" s="313">
        <f>+'Combined Born alive (5)'!X14</f>
        <v>15.4</v>
      </c>
      <c r="I19" s="313">
        <f>+'Combined Born alive (5)'!Y14</f>
        <v>15.3</v>
      </c>
      <c r="J19" s="313">
        <f>+'Combined Born alive (5)'!Z14</f>
        <v>15.4</v>
      </c>
      <c r="K19" s="313">
        <f>+'Combined Born alive (5)'!AA14</f>
        <v>14.7</v>
      </c>
      <c r="L19" s="313">
        <f>+'Combined Born alive (5)'!AB14</f>
        <v>15.3</v>
      </c>
      <c r="M19" s="313">
        <f>+'Combined Born alive (5)'!AC14</f>
        <v>15.5</v>
      </c>
      <c r="N19" s="257">
        <f>AVERAGE(B19:M19)</f>
        <v>15.233333333333334</v>
      </c>
    </row>
    <row r="20" spans="1:16" ht="15.75" thickBot="1">
      <c r="A20" s="152" t="s">
        <v>109</v>
      </c>
      <c r="B20" s="313">
        <v>14.5</v>
      </c>
      <c r="C20" s="313">
        <v>14.7</v>
      </c>
      <c r="D20" s="313">
        <v>14.5</v>
      </c>
      <c r="E20" s="313">
        <v>15.4</v>
      </c>
      <c r="F20" s="313">
        <v>14.7</v>
      </c>
      <c r="G20" s="313">
        <v>14.8</v>
      </c>
      <c r="H20" s="313">
        <v>14.4</v>
      </c>
      <c r="I20" s="313">
        <v>14.3</v>
      </c>
      <c r="J20" s="313">
        <v>14.8</v>
      </c>
      <c r="K20" s="313">
        <v>14.7</v>
      </c>
      <c r="L20" s="313">
        <v>14.8</v>
      </c>
      <c r="M20" s="313">
        <v>14.2</v>
      </c>
      <c r="N20" s="257">
        <f t="shared" ref="N20:N21" si="0">AVERAGE(B20:M20)</f>
        <v>14.649999999999999</v>
      </c>
      <c r="O20" s="77">
        <f>N19-N20</f>
        <v>0.5833333333333357</v>
      </c>
      <c r="P20" t="s">
        <v>168</v>
      </c>
    </row>
    <row r="21" spans="1:16" ht="15.75" thickBot="1">
      <c r="A21" s="152" t="s">
        <v>88</v>
      </c>
      <c r="B21" s="307">
        <v>14.8</v>
      </c>
      <c r="C21" s="307">
        <v>14.8</v>
      </c>
      <c r="D21" s="307">
        <v>14.8</v>
      </c>
      <c r="E21" s="307">
        <v>14.8</v>
      </c>
      <c r="F21" s="307">
        <v>14.8</v>
      </c>
      <c r="G21" s="307">
        <v>14.8</v>
      </c>
      <c r="H21" s="307">
        <v>14.8</v>
      </c>
      <c r="I21" s="307">
        <v>14.8</v>
      </c>
      <c r="J21" s="307">
        <v>14.8</v>
      </c>
      <c r="K21" s="307">
        <v>14.8</v>
      </c>
      <c r="L21" s="307">
        <v>14.8</v>
      </c>
      <c r="M21" s="307">
        <v>14.8</v>
      </c>
      <c r="N21" s="257">
        <f t="shared" si="0"/>
        <v>14.800000000000002</v>
      </c>
      <c r="O21" s="77">
        <f>N19-N21</f>
        <v>0.43333333333333179</v>
      </c>
      <c r="P21" t="s">
        <v>171</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23E3D-BC26-4F16-8D23-64C13C6A8A83}">
  <sheetPr codeName="Sheet64">
    <tabColor rgb="FFFFFF00"/>
  </sheetPr>
  <dimension ref="A15:P19"/>
  <sheetViews>
    <sheetView workbookViewId="0">
      <selection activeCell="M17" sqref="M17"/>
    </sheetView>
  </sheetViews>
  <sheetFormatPr defaultRowHeight="15"/>
  <cols>
    <col min="1" max="1" width="11.28515625" bestFit="1" customWidth="1"/>
  </cols>
  <sheetData>
    <row r="15" spans="1:14" ht="15.75" thickBot="1"/>
    <row r="16" spans="1:14" ht="15.75" thickBot="1">
      <c r="A16" s="301"/>
      <c r="B16" s="316">
        <v>45863</v>
      </c>
      <c r="C16" s="316">
        <v>45894</v>
      </c>
      <c r="D16" s="316">
        <v>45925</v>
      </c>
      <c r="E16" s="316">
        <v>45955</v>
      </c>
      <c r="F16" s="316">
        <v>45986</v>
      </c>
      <c r="G16" s="316">
        <v>46016</v>
      </c>
      <c r="H16" s="316">
        <v>46047</v>
      </c>
      <c r="I16" s="316">
        <v>46078</v>
      </c>
      <c r="J16" s="316">
        <v>46106</v>
      </c>
      <c r="K16" s="316">
        <v>46137</v>
      </c>
      <c r="L16" s="316">
        <v>46167</v>
      </c>
      <c r="M16" s="316">
        <v>46198</v>
      </c>
      <c r="N16" s="390"/>
    </row>
    <row r="17" spans="1:16" ht="15.75" thickBot="1">
      <c r="A17" s="152" t="s">
        <v>59</v>
      </c>
      <c r="B17" s="152">
        <f>+'[56]Combined Wean weight  (4)'!S13</f>
        <v>7.62</v>
      </c>
      <c r="C17" s="152">
        <f>+'[56]Combined Wean weight  (4)'!T13</f>
        <v>7.6</v>
      </c>
      <c r="D17" s="152">
        <f>+'[56]Combined Wean weight  (4)'!U13</f>
        <v>7.3</v>
      </c>
      <c r="E17" s="152">
        <f>+'[56]Combined Wean weight  (4)'!V13</f>
        <v>7.4</v>
      </c>
      <c r="F17" s="152">
        <f>+'[56]Combined Wean weight  (4)'!W13</f>
        <v>7.25</v>
      </c>
      <c r="G17" s="152">
        <f>+'[56]Combined Wean weight  (4)'!X13</f>
        <v>7.36</v>
      </c>
      <c r="H17" s="152">
        <f>+'Combined Wean weight  (5)'!Y13</f>
        <v>7.03</v>
      </c>
      <c r="I17" s="152">
        <f>+'Combined Wean weight  (5)'!Z13</f>
        <v>6.95</v>
      </c>
      <c r="J17" s="152">
        <f>+'Combined Wean weight  (5)'!AA13</f>
        <v>7.16</v>
      </c>
      <c r="K17" s="152">
        <f>+'Combined Wean weight  (5)'!AB13</f>
        <v>7.11</v>
      </c>
      <c r="L17" s="152">
        <f>+'Combined Wean weight  (5)'!AC13</f>
        <v>7.14</v>
      </c>
      <c r="M17" s="152">
        <f>+'Combined Wean weight  (5)'!AD13</f>
        <v>7.44</v>
      </c>
      <c r="N17" s="77">
        <f>AVERAGE(B17:M17)</f>
        <v>7.28</v>
      </c>
      <c r="O17" s="79"/>
      <c r="P17" s="77"/>
    </row>
    <row r="18" spans="1:16" ht="15.75" thickBot="1">
      <c r="A18" s="152" t="s">
        <v>109</v>
      </c>
      <c r="B18" s="152">
        <v>7.8</v>
      </c>
      <c r="C18" s="152">
        <v>7.7</v>
      </c>
      <c r="D18" s="152">
        <v>7.4</v>
      </c>
      <c r="E18" s="152">
        <v>7.4</v>
      </c>
      <c r="F18" s="152">
        <v>7.06</v>
      </c>
      <c r="G18" s="152">
        <v>7.26</v>
      </c>
      <c r="H18" s="152">
        <v>7.3000000000000007</v>
      </c>
      <c r="I18" s="152">
        <v>7.3</v>
      </c>
      <c r="J18" s="152">
        <v>7.3</v>
      </c>
      <c r="K18" s="152">
        <v>7.2</v>
      </c>
      <c r="L18" s="152">
        <v>7.5</v>
      </c>
      <c r="M18" s="152">
        <v>7.6</v>
      </c>
      <c r="N18" s="77">
        <f>AVERAGE(B18:M18)</f>
        <v>7.4016666666666664</v>
      </c>
      <c r="O18" s="292">
        <f>N17-N18</f>
        <v>-0.12166666666666615</v>
      </c>
      <c r="P18" s="292" t="s">
        <v>181</v>
      </c>
    </row>
    <row r="19" spans="1:16" ht="15.75" thickBot="1">
      <c r="A19" s="152" t="s">
        <v>88</v>
      </c>
      <c r="B19" s="324">
        <v>7.5</v>
      </c>
      <c r="C19" s="324">
        <v>7.5</v>
      </c>
      <c r="D19" s="324">
        <v>7.5</v>
      </c>
      <c r="E19" s="324">
        <v>7.5</v>
      </c>
      <c r="F19" s="324">
        <v>7.5</v>
      </c>
      <c r="G19" s="324">
        <v>7.5</v>
      </c>
      <c r="H19" s="324">
        <v>7.5</v>
      </c>
      <c r="I19" s="324">
        <v>7.5</v>
      </c>
      <c r="J19" s="324">
        <v>7.5</v>
      </c>
      <c r="K19" s="324">
        <v>7.5</v>
      </c>
      <c r="L19" s="324">
        <v>7.5</v>
      </c>
      <c r="M19" s="324">
        <v>7.5</v>
      </c>
      <c r="N19" s="77">
        <f>AVERAGE(B19:M19)</f>
        <v>7.5</v>
      </c>
      <c r="O19" s="292">
        <f>N17-N19</f>
        <v>-0.21999999999999975</v>
      </c>
      <c r="P19" s="293" t="s">
        <v>182</v>
      </c>
    </row>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5EE1-0FDA-4610-A82A-3224A8108AE3}">
  <sheetPr codeName="Sheet65">
    <tabColor rgb="FFFFFF00"/>
  </sheetPr>
  <dimension ref="A20:P29"/>
  <sheetViews>
    <sheetView zoomScale="80" zoomScaleNormal="80" workbookViewId="0">
      <selection activeCell="R14" sqref="R14"/>
    </sheetView>
  </sheetViews>
  <sheetFormatPr defaultRowHeight="15"/>
  <sheetData>
    <row r="20" spans="1:16" ht="15.75" thickBot="1"/>
    <row r="21" spans="1:16" ht="15.75" thickBot="1">
      <c r="A21" s="301"/>
      <c r="B21" s="316">
        <v>45839</v>
      </c>
      <c r="C21" s="316">
        <v>45870</v>
      </c>
      <c r="D21" s="316">
        <v>45901</v>
      </c>
      <c r="E21" s="316">
        <v>45931</v>
      </c>
      <c r="F21" s="316">
        <v>45962</v>
      </c>
      <c r="G21" s="316">
        <v>45992</v>
      </c>
      <c r="H21" s="316">
        <v>46023</v>
      </c>
      <c r="I21" s="316">
        <v>46054</v>
      </c>
      <c r="J21" s="316">
        <v>46082</v>
      </c>
      <c r="K21" s="316">
        <v>46113</v>
      </c>
      <c r="L21" s="316">
        <v>46143</v>
      </c>
      <c r="M21" s="316">
        <v>46174</v>
      </c>
      <c r="N21" s="390"/>
    </row>
    <row r="22" spans="1:16" ht="15.75" thickBot="1">
      <c r="A22" s="152" t="s">
        <v>59</v>
      </c>
      <c r="B22" s="325">
        <f>+'[56]Combined Litter mass  (4)'!R14</f>
        <v>96.62</v>
      </c>
      <c r="C22" s="325">
        <f>+'[56]Combined Litter mass  (4)'!S14</f>
        <v>102.5</v>
      </c>
      <c r="D22" s="325">
        <f>+'[56]Combined Litter mass  (4)'!T14</f>
        <v>98.2</v>
      </c>
      <c r="E22" s="325">
        <f>+'[56]Combined Litter mass  (4)'!U14</f>
        <v>102.4</v>
      </c>
      <c r="F22" s="325">
        <f>+'[56]Combined Litter mass  (4)'!V14</f>
        <v>100.3</v>
      </c>
      <c r="G22" s="325">
        <f>+'[56]Combined Litter mass  (4)'!W14</f>
        <v>98.46</v>
      </c>
      <c r="H22" s="325">
        <f>+'Combined Litter mass  (5)'!W14</f>
        <v>98.95</v>
      </c>
      <c r="I22" s="325">
        <f>+'Combined Litter mass  (5)'!X14</f>
        <v>97.18</v>
      </c>
      <c r="J22" s="325">
        <f>+'Combined Litter mass  (5)'!Y14</f>
        <v>99.93</v>
      </c>
      <c r="K22" s="325">
        <f>+'Combined Litter mass  (5)'!Z14</f>
        <v>98.73</v>
      </c>
      <c r="L22" s="325">
        <f>+'Combined Litter mass  (5)'!AA14</f>
        <v>99.58</v>
      </c>
      <c r="M22" s="325">
        <f>+'Combined Litter mass  (5)'!AB14</f>
        <v>102.72</v>
      </c>
      <c r="N22" s="419">
        <f>AVERAGE(B22:M22)</f>
        <v>99.630833333333342</v>
      </c>
      <c r="O22" s="77"/>
    </row>
    <row r="23" spans="1:16" ht="15.75" thickBot="1">
      <c r="A23" s="152" t="s">
        <v>117</v>
      </c>
      <c r="B23" s="325">
        <v>102.33</v>
      </c>
      <c r="C23" s="325">
        <v>100</v>
      </c>
      <c r="D23" s="325">
        <v>97.28</v>
      </c>
      <c r="E23" s="325">
        <v>99.08</v>
      </c>
      <c r="F23" s="325">
        <v>97.3</v>
      </c>
      <c r="G23" s="325">
        <v>99.04</v>
      </c>
      <c r="H23" s="325">
        <v>99.75</v>
      </c>
      <c r="I23" s="325">
        <v>97.9</v>
      </c>
      <c r="J23" s="313">
        <v>95.92</v>
      </c>
      <c r="K23" s="313">
        <v>97.25</v>
      </c>
      <c r="L23" s="313">
        <v>98.98</v>
      </c>
      <c r="M23" s="313">
        <v>102.8</v>
      </c>
      <c r="N23" s="419">
        <f t="shared" ref="N23:N24" si="0">AVERAGE(B23:M23)</f>
        <v>98.969166666666652</v>
      </c>
      <c r="O23" s="293">
        <f>N22-N23</f>
        <v>0.66166666666669016</v>
      </c>
      <c r="P23" s="293" t="s">
        <v>107</v>
      </c>
    </row>
    <row r="24" spans="1:16" ht="15.75" thickBot="1">
      <c r="A24" s="152" t="s">
        <v>88</v>
      </c>
      <c r="B24" s="313">
        <v>100</v>
      </c>
      <c r="C24" s="313">
        <v>100</v>
      </c>
      <c r="D24" s="313">
        <v>100</v>
      </c>
      <c r="E24" s="313">
        <v>100</v>
      </c>
      <c r="F24" s="313">
        <v>100</v>
      </c>
      <c r="G24" s="313">
        <v>100</v>
      </c>
      <c r="H24" s="313">
        <v>100</v>
      </c>
      <c r="I24" s="313">
        <v>100</v>
      </c>
      <c r="J24" s="313">
        <v>100</v>
      </c>
      <c r="K24" s="313">
        <v>100</v>
      </c>
      <c r="L24" s="313">
        <v>100</v>
      </c>
      <c r="M24" s="313">
        <v>100</v>
      </c>
      <c r="N24" s="419">
        <f t="shared" si="0"/>
        <v>100</v>
      </c>
      <c r="O24" s="293">
        <f>N22-N24</f>
        <v>-0.36916666666665776</v>
      </c>
      <c r="P24" s="293" t="s">
        <v>182</v>
      </c>
    </row>
    <row r="26" spans="1:16">
      <c r="H26" s="77">
        <f>SUM(B22:G22)</f>
        <v>598.48</v>
      </c>
    </row>
    <row r="27" spans="1:16">
      <c r="H27" s="77">
        <f>SUM(H23:M23)</f>
        <v>592.6</v>
      </c>
    </row>
    <row r="28" spans="1:16">
      <c r="H28" s="77">
        <f>SUM(H26:H27)</f>
        <v>1191.08</v>
      </c>
    </row>
    <row r="29" spans="1:16">
      <c r="H29">
        <f>H28/12</f>
        <v>99.256666666666661</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0C10-C965-41E2-B262-A01DBAEC0735}">
  <sheetPr codeName="Sheet66">
    <tabColor rgb="FFFFFF00"/>
  </sheetPr>
  <dimension ref="A18:P22"/>
  <sheetViews>
    <sheetView zoomScale="90" zoomScaleNormal="90" workbookViewId="0">
      <selection activeCell="M20" sqref="M20"/>
    </sheetView>
  </sheetViews>
  <sheetFormatPr defaultRowHeight="15"/>
  <cols>
    <col min="1" max="1" width="11.28515625" bestFit="1" customWidth="1"/>
  </cols>
  <sheetData>
    <row r="18" spans="1:16" ht="15.75" thickBot="1"/>
    <row r="19" spans="1:16" ht="15.75" thickBot="1">
      <c r="A19" s="301"/>
      <c r="B19" s="316">
        <v>45863</v>
      </c>
      <c r="C19" s="316">
        <v>45894</v>
      </c>
      <c r="D19" s="316">
        <v>45925</v>
      </c>
      <c r="E19" s="316">
        <v>45955</v>
      </c>
      <c r="F19" s="316">
        <v>45986</v>
      </c>
      <c r="G19" s="316">
        <v>46016</v>
      </c>
      <c r="H19" s="316">
        <v>46047</v>
      </c>
      <c r="I19" s="316">
        <v>46078</v>
      </c>
      <c r="J19" s="316">
        <v>46106</v>
      </c>
      <c r="K19" s="316">
        <v>46137</v>
      </c>
      <c r="L19" s="316">
        <v>46167</v>
      </c>
      <c r="M19" s="316">
        <v>46198</v>
      </c>
      <c r="N19" s="390"/>
    </row>
    <row r="20" spans="1:16" ht="15.75" thickBot="1">
      <c r="A20" s="152" t="s">
        <v>59</v>
      </c>
      <c r="B20" s="152">
        <f>+'[56]Combined 70 day weight  (4)'!T15</f>
        <v>27.77</v>
      </c>
      <c r="C20" s="152">
        <f>+'[56]Combined 70 day weight  (4)'!U15</f>
        <v>28.68</v>
      </c>
      <c r="D20" s="152">
        <f>+'[56]Combined 70 day weight  (4)'!V15</f>
        <v>28.21</v>
      </c>
      <c r="E20" s="152">
        <f>+'[56]Combined 70 day weight  (4)'!W15</f>
        <v>28.16</v>
      </c>
      <c r="F20" s="152">
        <f>+'[56]Combined 70 day weight  (4)'!X15</f>
        <v>28.31</v>
      </c>
      <c r="G20" s="152">
        <f>+'[56]Combined 70 day weight  (4)'!Y15</f>
        <v>28.03</v>
      </c>
      <c r="H20" s="152">
        <f>+'Combined 70 day weight  (5)'!Z15</f>
        <v>28.51</v>
      </c>
      <c r="I20" s="152">
        <f>+'Combined 70 day weight  (5)'!AA15</f>
        <v>27.81</v>
      </c>
      <c r="J20" s="152">
        <f>+'Combined 70 day weight  (5)'!AB15</f>
        <v>28.72</v>
      </c>
      <c r="K20" s="152">
        <f>+'Combined 70 day weight  (5)'!AC15</f>
        <v>29.04</v>
      </c>
      <c r="L20" s="152">
        <f>+'Combined 70 day weight  (5)'!AD15</f>
        <v>29.15</v>
      </c>
      <c r="M20" s="152">
        <f>+'Combined 70 day weight  (5)'!AE15</f>
        <v>28.79</v>
      </c>
      <c r="N20" s="77">
        <f>AVERAGE(B20:M20)</f>
        <v>28.431666666666668</v>
      </c>
      <c r="O20" s="77"/>
      <c r="P20" s="77"/>
    </row>
    <row r="21" spans="1:16" ht="15.75" thickBot="1">
      <c r="A21" s="152" t="s">
        <v>109</v>
      </c>
      <c r="B21" s="231">
        <v>29.38</v>
      </c>
      <c r="C21" s="231">
        <v>29.17</v>
      </c>
      <c r="D21" s="231">
        <v>29.3</v>
      </c>
      <c r="E21" s="231">
        <v>28.85</v>
      </c>
      <c r="F21" s="231">
        <v>28.99</v>
      </c>
      <c r="G21" s="231">
        <v>26.89</v>
      </c>
      <c r="H21" s="231">
        <v>26.81</v>
      </c>
      <c r="I21" s="231">
        <v>26.95</v>
      </c>
      <c r="J21" s="231">
        <v>27.22</v>
      </c>
      <c r="K21" s="231">
        <v>27.36</v>
      </c>
      <c r="L21" s="231">
        <v>27.33</v>
      </c>
      <c r="M21" s="231">
        <v>27.09</v>
      </c>
      <c r="N21" s="77">
        <f t="shared" ref="N21:N22" si="0">AVERAGE(B21:M21)</f>
        <v>27.944999999999993</v>
      </c>
      <c r="O21" s="293">
        <f>N20-N21</f>
        <v>0.48666666666667524</v>
      </c>
      <c r="P21" s="293" t="s">
        <v>107</v>
      </c>
    </row>
    <row r="22" spans="1:16" ht="15.75" thickBot="1">
      <c r="A22" s="152" t="s">
        <v>88</v>
      </c>
      <c r="B22" s="310">
        <v>29</v>
      </c>
      <c r="C22" s="310">
        <v>29</v>
      </c>
      <c r="D22" s="310">
        <v>29</v>
      </c>
      <c r="E22" s="310">
        <v>29</v>
      </c>
      <c r="F22" s="310">
        <v>29</v>
      </c>
      <c r="G22" s="310">
        <v>29</v>
      </c>
      <c r="H22" s="310">
        <v>29</v>
      </c>
      <c r="I22" s="310">
        <v>29</v>
      </c>
      <c r="J22" s="310">
        <v>29</v>
      </c>
      <c r="K22" s="310">
        <v>29</v>
      </c>
      <c r="L22" s="310">
        <v>29</v>
      </c>
      <c r="M22" s="310">
        <v>29</v>
      </c>
      <c r="N22" s="77">
        <f t="shared" si="0"/>
        <v>29</v>
      </c>
      <c r="O22" s="293">
        <f>N20-N22</f>
        <v>-0.56833333333333158</v>
      </c>
      <c r="P22" s="293" t="s">
        <v>183</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F9D0E-1EC9-4A64-A8FE-B6AB519D4068}">
  <sheetPr codeName="Sheet67">
    <tabColor rgb="FFFFFF00"/>
  </sheetPr>
  <dimension ref="A18:P23"/>
  <sheetViews>
    <sheetView zoomScale="80" zoomScaleNormal="80" workbookViewId="0">
      <selection activeCell="T21" sqref="T21"/>
    </sheetView>
  </sheetViews>
  <sheetFormatPr defaultRowHeight="15"/>
  <cols>
    <col min="1" max="1" width="11.28515625" bestFit="1" customWidth="1"/>
  </cols>
  <sheetData>
    <row r="18" spans="1:16" ht="15.75" thickBot="1"/>
    <row r="19" spans="1:16" ht="15.75" thickBot="1">
      <c r="A19" s="301"/>
      <c r="B19" s="316">
        <v>45839</v>
      </c>
      <c r="C19" s="316">
        <v>45870</v>
      </c>
      <c r="D19" s="316">
        <v>45901</v>
      </c>
      <c r="E19" s="316">
        <v>45931</v>
      </c>
      <c r="F19" s="316">
        <v>45962</v>
      </c>
      <c r="G19" s="316">
        <v>45992</v>
      </c>
      <c r="H19" s="316">
        <v>46023</v>
      </c>
      <c r="I19" s="316">
        <v>46054</v>
      </c>
      <c r="J19" s="316">
        <v>46082</v>
      </c>
      <c r="K19" s="316">
        <v>46113</v>
      </c>
      <c r="L19" s="316">
        <v>46143</v>
      </c>
      <c r="M19" s="316">
        <v>46174</v>
      </c>
      <c r="N19" s="390"/>
    </row>
    <row r="20" spans="1:16" ht="15.75" thickBot="1">
      <c r="A20" s="152" t="s">
        <v>59</v>
      </c>
      <c r="B20" s="152">
        <f>+'[56]Combined 70 day gain  (4)'!T15</f>
        <v>20.239999999999998</v>
      </c>
      <c r="C20" s="152">
        <f>+'[56]Combined 70 day gain  (4)'!U15</f>
        <v>21</v>
      </c>
      <c r="D20" s="152">
        <f>+'[56]Combined 70 day gain  (4)'!V15</f>
        <v>20.71</v>
      </c>
      <c r="E20" s="152">
        <f>+'[56]Combined 70 day gain  (4)'!W15</f>
        <v>20.68</v>
      </c>
      <c r="F20" s="152">
        <f>+'[56]Combined 70 day gain  (4)'!X15</f>
        <v>20.93</v>
      </c>
      <c r="G20" s="152">
        <f>+'[56]Combined 70 day gain  (4)'!Y15</f>
        <v>20.77</v>
      </c>
      <c r="H20" s="152">
        <f>+'Combined 70 day gain  (5)'!Z15</f>
        <v>21.12</v>
      </c>
      <c r="I20" s="152">
        <f>+'Combined 70 day gain  (5)'!AA15</f>
        <v>20.74</v>
      </c>
      <c r="J20" s="152">
        <f>+'Combined 70 day gain  (5)'!AB15</f>
        <v>21.77</v>
      </c>
      <c r="K20" s="152">
        <f>+'Combined 70 day gain  (5)'!AC15</f>
        <v>21.82</v>
      </c>
      <c r="L20" s="152">
        <f>+'Combined 70 day gain  (5)'!AD15</f>
        <v>21.81</v>
      </c>
      <c r="M20" s="152">
        <f>+'Combined 70 day gain  (5)'!AE15</f>
        <v>21.54</v>
      </c>
      <c r="N20" s="77">
        <f>AVERAGE(B20:M20)</f>
        <v>21.094166666666666</v>
      </c>
      <c r="O20" s="77"/>
    </row>
    <row r="21" spans="1:16" ht="15.75" thickBot="1">
      <c r="A21" s="152" t="s">
        <v>109</v>
      </c>
      <c r="B21" s="152">
        <v>21.76</v>
      </c>
      <c r="C21" s="152">
        <v>21.26</v>
      </c>
      <c r="D21" s="152">
        <v>21.41</v>
      </c>
      <c r="E21" s="152">
        <v>21.51</v>
      </c>
      <c r="F21" s="152">
        <v>21.56</v>
      </c>
      <c r="G21" s="152">
        <v>19.670000000000002</v>
      </c>
      <c r="H21" s="152">
        <v>19.45</v>
      </c>
      <c r="I21" s="152">
        <v>19.59</v>
      </c>
      <c r="J21" s="152">
        <v>19.93</v>
      </c>
      <c r="K21" s="152">
        <v>20.18</v>
      </c>
      <c r="L21" s="152">
        <v>20.170000000000002</v>
      </c>
      <c r="M21" s="152">
        <v>19.79</v>
      </c>
      <c r="N21" s="77">
        <f t="shared" ref="N21:N22" si="0">AVERAGE(B21:M21)</f>
        <v>20.523333333333333</v>
      </c>
      <c r="O21" s="293">
        <f>N20-N21</f>
        <v>0.57083333333333286</v>
      </c>
      <c r="P21" s="293" t="s">
        <v>99</v>
      </c>
    </row>
    <row r="22" spans="1:16" ht="15.75" thickBot="1">
      <c r="A22" s="152" t="s">
        <v>88</v>
      </c>
      <c r="B22" s="152">
        <v>21.5</v>
      </c>
      <c r="C22" s="152">
        <v>21.5</v>
      </c>
      <c r="D22" s="152">
        <v>21.5</v>
      </c>
      <c r="E22" s="152">
        <v>21.5</v>
      </c>
      <c r="F22" s="152">
        <v>21.5</v>
      </c>
      <c r="G22" s="152">
        <v>21.5</v>
      </c>
      <c r="H22" s="152">
        <v>21.5</v>
      </c>
      <c r="I22" s="152">
        <v>21.5</v>
      </c>
      <c r="J22" s="152">
        <v>21.5</v>
      </c>
      <c r="K22" s="152">
        <v>21.5</v>
      </c>
      <c r="L22" s="152">
        <v>21.5</v>
      </c>
      <c r="M22" s="152">
        <v>21.5</v>
      </c>
      <c r="N22" s="77">
        <f t="shared" si="0"/>
        <v>21.5</v>
      </c>
      <c r="O22" s="293">
        <f>N20-N22</f>
        <v>-0.40583333333333371</v>
      </c>
      <c r="P22" s="293" t="s">
        <v>125</v>
      </c>
    </row>
    <row r="23" spans="1:16">
      <c r="O23" s="77"/>
      <c r="P23" s="77"/>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3AD1E-5DC5-4860-ACF4-8096D4C69298}">
  <sheetPr codeName="Sheet68">
    <tabColor rgb="FFFFFF00"/>
  </sheetPr>
  <dimension ref="A18:P27"/>
  <sheetViews>
    <sheetView zoomScale="90" zoomScaleNormal="90" workbookViewId="0">
      <selection activeCell="S11" sqref="S11"/>
    </sheetView>
  </sheetViews>
  <sheetFormatPr defaultRowHeight="15"/>
  <cols>
    <col min="1" max="1" width="11.28515625" bestFit="1" customWidth="1"/>
    <col min="2" max="2" width="7.28515625" customWidth="1"/>
    <col min="3" max="3" width="7.7109375" bestFit="1" customWidth="1"/>
    <col min="4" max="4" width="8" customWidth="1"/>
    <col min="5" max="5" width="7" bestFit="1" customWidth="1"/>
    <col min="6" max="6" width="7.28515625" bestFit="1" customWidth="1"/>
    <col min="7" max="7" width="7.140625" bestFit="1" customWidth="1"/>
    <col min="8" max="8" width="6.85546875" bestFit="1" customWidth="1"/>
    <col min="9" max="9" width="7" bestFit="1" customWidth="1"/>
    <col min="10" max="10" width="7.5703125" bestFit="1" customWidth="1"/>
    <col min="11" max="11" width="7" bestFit="1" customWidth="1"/>
    <col min="12" max="12" width="7.7109375" bestFit="1" customWidth="1"/>
    <col min="13" max="13" width="6.85546875" bestFit="1" customWidth="1"/>
  </cols>
  <sheetData>
    <row r="18" spans="1:16" ht="15.75" thickBot="1"/>
    <row r="19" spans="1:16" ht="15.75" thickBot="1">
      <c r="A19" s="336"/>
      <c r="B19" s="316">
        <v>45839</v>
      </c>
      <c r="C19" s="316">
        <v>45870</v>
      </c>
      <c r="D19" s="316">
        <v>45901</v>
      </c>
      <c r="E19" s="316">
        <v>45931</v>
      </c>
      <c r="F19" s="316">
        <v>45962</v>
      </c>
      <c r="G19" s="316">
        <v>45992</v>
      </c>
      <c r="H19" s="316">
        <v>46023</v>
      </c>
      <c r="I19" s="316">
        <v>46054</v>
      </c>
      <c r="J19" s="316">
        <v>46082</v>
      </c>
      <c r="K19" s="316">
        <v>46113</v>
      </c>
      <c r="L19" s="316">
        <v>46143</v>
      </c>
      <c r="M19" s="316">
        <v>46174</v>
      </c>
      <c r="N19" s="390"/>
    </row>
    <row r="20" spans="1:16" ht="15.75" thickBot="1">
      <c r="A20" s="152" t="s">
        <v>180</v>
      </c>
      <c r="B20" s="152">
        <f>+'[56]Combined WSY   (4)'!S13</f>
        <v>30.8</v>
      </c>
      <c r="C20" s="152">
        <f>+'[56]Combined WSY   (4)'!T13</f>
        <v>33.1</v>
      </c>
      <c r="D20" s="152">
        <f>+'[56]Combined WSY   (4)'!U13</f>
        <v>32.799999999999997</v>
      </c>
      <c r="E20" s="152">
        <f>+'[56]Combined WSY   (4)'!V13</f>
        <v>33.5</v>
      </c>
      <c r="F20" s="152">
        <f>+'[56]Combined WSY   (4)'!W13</f>
        <v>33.4</v>
      </c>
      <c r="G20" s="152">
        <f>+'[56]Combined WSY   (4)'!X13</f>
        <v>33</v>
      </c>
      <c r="H20" s="152">
        <f>+'Combined WSY   (5)'!Y13</f>
        <v>33.200000000000003</v>
      </c>
      <c r="I20" s="152">
        <f>+'Combined WSY   (5)'!Z13</f>
        <v>35.200000000000003</v>
      </c>
      <c r="J20" s="152">
        <f>+'Combined WSY   (5)'!AA13</f>
        <v>33.1</v>
      </c>
      <c r="K20" s="152">
        <f>+'Combined WSY   (5)'!AB13</f>
        <v>34.299999999999997</v>
      </c>
      <c r="L20" s="152">
        <f>+'Combined WSY   (5)'!AC13</f>
        <v>32.9</v>
      </c>
      <c r="M20" s="152">
        <f>+'Combined WSY   (5)'!AD13</f>
        <v>33.4</v>
      </c>
      <c r="N20" s="77">
        <f>AVERAGE(B20:M20)</f>
        <v>33.225000000000001</v>
      </c>
    </row>
    <row r="21" spans="1:16" ht="15.75" thickBot="1">
      <c r="A21" s="152" t="s">
        <v>109</v>
      </c>
      <c r="B21" s="152">
        <v>31.6</v>
      </c>
      <c r="C21" s="152">
        <v>31.6</v>
      </c>
      <c r="D21" s="152">
        <v>32.5</v>
      </c>
      <c r="E21" s="152">
        <v>32.6</v>
      </c>
      <c r="F21" s="152">
        <v>32.700000000000003</v>
      </c>
      <c r="G21" s="152">
        <v>32.5</v>
      </c>
      <c r="H21" s="152">
        <v>32.799999999999997</v>
      </c>
      <c r="I21" s="152">
        <v>32.299999999999997</v>
      </c>
      <c r="J21" s="152">
        <v>32.6</v>
      </c>
      <c r="K21" s="152">
        <v>32.6</v>
      </c>
      <c r="L21" s="152">
        <v>33.1</v>
      </c>
      <c r="M21" s="152">
        <v>32.200000000000003</v>
      </c>
      <c r="N21" s="77">
        <f t="shared" ref="N21:N22" si="0">AVERAGE(B21:M21)</f>
        <v>32.425000000000004</v>
      </c>
      <c r="O21" s="77">
        <f>N20-N21</f>
        <v>0.79999999999999716</v>
      </c>
      <c r="P21" t="s">
        <v>168</v>
      </c>
    </row>
    <row r="22" spans="1:16" ht="15.75" thickBot="1">
      <c r="A22" s="152" t="s">
        <v>88</v>
      </c>
      <c r="B22" s="307">
        <v>33</v>
      </c>
      <c r="C22" s="307">
        <v>33</v>
      </c>
      <c r="D22" s="307">
        <v>33</v>
      </c>
      <c r="E22" s="307">
        <v>33</v>
      </c>
      <c r="F22" s="307">
        <v>33</v>
      </c>
      <c r="G22" s="307">
        <v>33</v>
      </c>
      <c r="H22" s="307">
        <v>33</v>
      </c>
      <c r="I22" s="307">
        <v>33</v>
      </c>
      <c r="J22" s="307">
        <v>33</v>
      </c>
      <c r="K22" s="307">
        <v>33</v>
      </c>
      <c r="L22" s="307">
        <v>33</v>
      </c>
      <c r="M22" s="307">
        <v>33</v>
      </c>
      <c r="N22" s="77">
        <f t="shared" si="0"/>
        <v>33</v>
      </c>
      <c r="O22" s="77">
        <f>N20-N22</f>
        <v>0.22500000000000142</v>
      </c>
      <c r="P22" t="s">
        <v>171</v>
      </c>
    </row>
    <row r="23" spans="1:16">
      <c r="A23" s="77"/>
    </row>
    <row r="25" spans="1:16">
      <c r="B25" t="e">
        <f>#REF!*B20</f>
        <v>#REF!</v>
      </c>
      <c r="C25" t="e">
        <f>#REF!*C20</f>
        <v>#REF!</v>
      </c>
      <c r="D25" t="e">
        <f>#REF!*D20</f>
        <v>#REF!</v>
      </c>
      <c r="E25" t="e">
        <f>#REF!*E20</f>
        <v>#REF!</v>
      </c>
      <c r="F25" t="e">
        <f>#REF!*F20</f>
        <v>#REF!</v>
      </c>
    </row>
    <row r="26" spans="1:16">
      <c r="B26" t="e">
        <f>#REF!*#REF!</f>
        <v>#REF!</v>
      </c>
      <c r="C26" t="e">
        <f>#REF!*#REF!</f>
        <v>#REF!</v>
      </c>
      <c r="D26" t="e">
        <f>#REF!*#REF!</f>
        <v>#REF!</v>
      </c>
      <c r="E26" t="e">
        <f>#REF!*#REF!</f>
        <v>#REF!</v>
      </c>
      <c r="F26" t="e">
        <f>#REF!*#REF!</f>
        <v>#REF!</v>
      </c>
    </row>
    <row r="27" spans="1:16">
      <c r="B27" t="e">
        <f>SUM(B25:B26)/SUM(#REF!)</f>
        <v>#REF!</v>
      </c>
      <c r="C27" t="e">
        <f>SUM(C25:C26)/SUM(#REF!)</f>
        <v>#REF!</v>
      </c>
      <c r="D27" t="e">
        <f>SUM(D25:D26)/SUM(#REF!)</f>
        <v>#REF!</v>
      </c>
      <c r="E27" t="e">
        <f>SUM(E25:E26)/SUM(#REF!)</f>
        <v>#REF!</v>
      </c>
      <c r="F27" t="e">
        <f>SUM(F25:F26)/SUM(#REF!)</f>
        <v>#REF!</v>
      </c>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95B6E-7D8C-49B7-B163-69BA146EAE40}">
  <sheetPr codeName="Sheet69">
    <tabColor rgb="FFFFFF00"/>
    <pageSetUpPr fitToPage="1"/>
  </sheetPr>
  <dimension ref="A1:AEE43"/>
  <sheetViews>
    <sheetView zoomScale="68" workbookViewId="0">
      <pane xSplit="2" topLeftCell="F1" activePane="topRight" state="frozen"/>
      <selection pane="topRight" activeCell="P13" sqref="P13"/>
      <selection activeCell="K25" sqref="K25:L25"/>
    </sheetView>
  </sheetViews>
  <sheetFormatPr defaultColWidth="13.28515625" defaultRowHeight="21" customHeight="1"/>
  <cols>
    <col min="1" max="1" width="13.28515625" style="83"/>
    <col min="2" max="2" width="55.7109375" style="83" bestFit="1" customWidth="1"/>
    <col min="3" max="4" width="11.28515625" style="81" hidden="1" customWidth="1"/>
    <col min="5" max="5" width="11.28515625" style="80" customWidth="1"/>
    <col min="6" max="6" width="11.28515625" style="81" customWidth="1"/>
    <col min="7" max="7" width="15.28515625" style="81" customWidth="1"/>
    <col min="8" max="15" width="11.28515625" style="81" customWidth="1"/>
    <col min="16" max="16" width="11.28515625" style="80" customWidth="1"/>
    <col min="17" max="17" width="13.28515625" style="205"/>
    <col min="18" max="18" width="13.28515625" style="81" customWidth="1"/>
    <col min="19" max="25" width="13.28515625" style="80" customWidth="1"/>
    <col min="26" max="26" width="13.28515625" style="81" customWidth="1"/>
    <col min="27" max="29" width="13.28515625" style="80" customWidth="1"/>
    <col min="30" max="30" width="17.7109375" style="81" customWidth="1"/>
    <col min="31" max="31" width="13.28515625" style="80" customWidth="1"/>
    <col min="32" max="36" width="13.28515625" style="80"/>
    <col min="37" max="37" width="0" style="81" hidden="1" customWidth="1"/>
    <col min="38" max="38" width="0" style="80" hidden="1" customWidth="1"/>
    <col min="39" max="39" width="0" style="81" hidden="1" customWidth="1"/>
    <col min="40" max="40" width="0" style="80" hidden="1" customWidth="1"/>
    <col min="41" max="41" width="0" style="81" hidden="1" customWidth="1"/>
    <col min="42" max="42" width="0" style="80" hidden="1" customWidth="1"/>
    <col min="43" max="43" width="0" style="81" hidden="1" customWidth="1"/>
    <col min="44" max="46" width="13.28515625" style="80"/>
    <col min="47" max="16384" width="13.28515625" style="83"/>
  </cols>
  <sheetData>
    <row r="1" spans="1:811" ht="21" customHeight="1" thickBot="1"/>
    <row r="2" spans="1:811" ht="21" customHeight="1" thickBot="1">
      <c r="B2" s="622" t="s">
        <v>184</v>
      </c>
      <c r="C2" s="623" t="s">
        <v>185</v>
      </c>
      <c r="D2" s="624"/>
      <c r="E2" s="625"/>
      <c r="F2" s="624"/>
      <c r="G2" s="624"/>
      <c r="H2" s="624"/>
      <c r="I2" s="624"/>
      <c r="J2" s="624"/>
      <c r="K2" s="624"/>
      <c r="L2" s="624"/>
      <c r="M2" s="624"/>
      <c r="N2" s="624"/>
      <c r="O2" s="624"/>
      <c r="P2" s="625"/>
      <c r="Q2" s="626"/>
      <c r="R2" s="190"/>
      <c r="S2" s="190"/>
      <c r="T2" s="190"/>
      <c r="U2" s="190"/>
      <c r="V2" s="190"/>
      <c r="W2" s="190"/>
      <c r="X2" s="190"/>
      <c r="Z2" s="80"/>
      <c r="AK2" s="80"/>
      <c r="AM2" s="80"/>
      <c r="AO2" s="80"/>
      <c r="AQ2" s="80"/>
      <c r="AU2" s="80"/>
      <c r="AV2" s="80"/>
      <c r="AW2" s="80"/>
      <c r="AX2" s="82"/>
      <c r="AY2" s="80"/>
    </row>
    <row r="3" spans="1:811" s="84" customFormat="1" ht="21" customHeight="1" thickBot="1">
      <c r="A3" s="621"/>
      <c r="B3" s="356" t="s">
        <v>186</v>
      </c>
      <c r="C3" s="357">
        <v>45778</v>
      </c>
      <c r="D3" s="358">
        <v>45809</v>
      </c>
      <c r="E3" s="357">
        <v>45839</v>
      </c>
      <c r="F3" s="357">
        <v>45870</v>
      </c>
      <c r="G3" s="357">
        <v>45901</v>
      </c>
      <c r="H3" s="357">
        <v>45931</v>
      </c>
      <c r="I3" s="357">
        <v>45962</v>
      </c>
      <c r="J3" s="357">
        <v>45992</v>
      </c>
      <c r="K3" s="357">
        <v>46023</v>
      </c>
      <c r="L3" s="357">
        <v>46054</v>
      </c>
      <c r="M3" s="395">
        <v>46082</v>
      </c>
      <c r="N3" s="395">
        <v>46113</v>
      </c>
      <c r="O3" s="395">
        <v>46143</v>
      </c>
      <c r="P3" s="552">
        <v>46174</v>
      </c>
      <c r="Q3" s="616" t="s">
        <v>100</v>
      </c>
      <c r="R3" s="190"/>
      <c r="S3" s="190"/>
      <c r="T3" s="190"/>
      <c r="U3" s="190"/>
      <c r="V3" s="190"/>
      <c r="W3" s="190"/>
      <c r="X3" s="190" t="s">
        <v>100</v>
      </c>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c r="KX3" s="80"/>
      <c r="KY3" s="80"/>
      <c r="KZ3" s="80"/>
      <c r="LA3" s="80"/>
      <c r="LB3" s="80"/>
      <c r="LC3" s="80"/>
      <c r="LD3" s="80"/>
      <c r="LE3" s="80"/>
      <c r="LF3" s="80"/>
      <c r="LG3" s="80"/>
      <c r="LH3" s="80"/>
      <c r="LI3" s="80"/>
      <c r="LJ3" s="80"/>
      <c r="LK3" s="80"/>
      <c r="LL3" s="80"/>
      <c r="LM3" s="80"/>
      <c r="LN3" s="80"/>
      <c r="LO3" s="80"/>
      <c r="LP3" s="80"/>
      <c r="LQ3" s="80"/>
      <c r="LR3" s="80"/>
      <c r="LS3" s="80"/>
      <c r="LT3" s="80"/>
      <c r="LU3" s="80"/>
      <c r="LV3" s="80"/>
      <c r="LW3" s="80"/>
      <c r="LX3" s="80"/>
      <c r="LY3" s="80"/>
      <c r="LZ3" s="80"/>
      <c r="MA3" s="80"/>
      <c r="MB3" s="80"/>
      <c r="MC3" s="80"/>
      <c r="MD3" s="80"/>
      <c r="ME3" s="80"/>
      <c r="MF3" s="80"/>
      <c r="MG3" s="80"/>
      <c r="MH3" s="80"/>
      <c r="MI3" s="80"/>
      <c r="MJ3" s="80"/>
      <c r="MK3" s="80"/>
      <c r="ML3" s="80"/>
      <c r="MM3" s="80"/>
      <c r="MN3" s="80"/>
      <c r="MO3" s="80"/>
      <c r="MP3" s="80"/>
      <c r="MQ3" s="80"/>
      <c r="MR3" s="80"/>
      <c r="MS3" s="80"/>
      <c r="MT3" s="80"/>
      <c r="MU3" s="80"/>
      <c r="MV3" s="80"/>
      <c r="MW3" s="80"/>
      <c r="MX3" s="80"/>
      <c r="MY3" s="80"/>
      <c r="MZ3" s="80"/>
      <c r="NA3" s="80"/>
      <c r="NB3" s="80"/>
      <c r="NC3" s="80"/>
      <c r="ND3" s="80"/>
      <c r="NE3" s="80"/>
      <c r="NF3" s="80"/>
      <c r="NG3" s="80"/>
      <c r="NH3" s="80"/>
      <c r="NI3" s="80"/>
      <c r="NJ3" s="80"/>
      <c r="NK3" s="80"/>
      <c r="NL3" s="80"/>
      <c r="NM3" s="80"/>
      <c r="NN3" s="80"/>
      <c r="NO3" s="80"/>
      <c r="NP3" s="80"/>
      <c r="NQ3" s="80"/>
      <c r="NR3" s="80"/>
      <c r="NS3" s="80"/>
      <c r="NT3" s="80"/>
      <c r="NU3" s="80"/>
      <c r="NV3" s="80"/>
      <c r="NW3" s="80"/>
      <c r="NX3" s="80"/>
      <c r="NY3" s="80"/>
      <c r="NZ3" s="80"/>
      <c r="OA3" s="80"/>
      <c r="OB3" s="80"/>
      <c r="OC3" s="80"/>
      <c r="OD3" s="80"/>
      <c r="OE3" s="80"/>
      <c r="OF3" s="80"/>
      <c r="OG3" s="80"/>
      <c r="OH3" s="80"/>
      <c r="OI3" s="80"/>
      <c r="OJ3" s="80"/>
      <c r="OK3" s="80"/>
      <c r="OL3" s="80"/>
      <c r="OM3" s="80"/>
      <c r="ON3" s="80"/>
      <c r="OO3" s="80"/>
      <c r="OP3" s="80"/>
      <c r="OQ3" s="80"/>
      <c r="OR3" s="80"/>
      <c r="OS3" s="80"/>
      <c r="OT3" s="80"/>
      <c r="OU3" s="80"/>
      <c r="OV3" s="80"/>
      <c r="OW3" s="80"/>
      <c r="OX3" s="80"/>
      <c r="OY3" s="80"/>
      <c r="OZ3" s="80"/>
      <c r="PA3" s="80"/>
      <c r="PB3" s="80"/>
      <c r="PC3" s="80"/>
      <c r="PD3" s="80"/>
      <c r="PE3" s="80"/>
      <c r="PF3" s="80"/>
      <c r="PG3" s="80"/>
      <c r="PH3" s="80"/>
      <c r="PI3" s="80"/>
      <c r="PJ3" s="80"/>
      <c r="PK3" s="80"/>
      <c r="PL3" s="80"/>
      <c r="PM3" s="80"/>
      <c r="PN3" s="80"/>
      <c r="PO3" s="80"/>
      <c r="PP3" s="80"/>
      <c r="PQ3" s="80"/>
      <c r="PR3" s="80"/>
      <c r="PS3" s="80"/>
      <c r="PT3" s="80"/>
      <c r="PU3" s="80"/>
      <c r="PV3" s="80"/>
      <c r="PW3" s="80"/>
      <c r="PX3" s="80"/>
      <c r="PY3" s="80"/>
      <c r="PZ3" s="80"/>
      <c r="QA3" s="80"/>
      <c r="QB3" s="80"/>
      <c r="QC3" s="80"/>
      <c r="QD3" s="80"/>
      <c r="QE3" s="80"/>
      <c r="QF3" s="80"/>
      <c r="QG3" s="80"/>
      <c r="QH3" s="80"/>
      <c r="QI3" s="80"/>
      <c r="QJ3" s="80"/>
      <c r="QK3" s="80"/>
      <c r="QL3" s="80"/>
      <c r="QM3" s="80"/>
      <c r="QN3" s="80"/>
      <c r="QO3" s="80"/>
      <c r="QP3" s="80"/>
      <c r="QQ3" s="80"/>
      <c r="QR3" s="80"/>
      <c r="QS3" s="80"/>
      <c r="QT3" s="80"/>
      <c r="QU3" s="80"/>
      <c r="QV3" s="80"/>
      <c r="QW3" s="80"/>
      <c r="QX3" s="80"/>
      <c r="QY3" s="80"/>
      <c r="QZ3" s="80"/>
      <c r="RA3" s="80"/>
      <c r="RB3" s="80"/>
      <c r="RC3" s="80"/>
      <c r="RD3" s="80"/>
      <c r="RE3" s="80"/>
      <c r="RF3" s="80"/>
      <c r="RG3" s="80"/>
      <c r="RH3" s="80"/>
      <c r="RI3" s="80"/>
      <c r="RJ3" s="80"/>
      <c r="RK3" s="80"/>
      <c r="RL3" s="80"/>
      <c r="RM3" s="80"/>
      <c r="RN3" s="80"/>
      <c r="RO3" s="80"/>
      <c r="RP3" s="80"/>
      <c r="RQ3" s="80"/>
      <c r="RR3" s="80"/>
      <c r="RS3" s="80"/>
      <c r="RT3" s="80"/>
      <c r="RU3" s="80"/>
      <c r="RV3" s="80"/>
      <c r="RW3" s="80"/>
      <c r="RX3" s="80"/>
      <c r="RY3" s="80"/>
      <c r="RZ3" s="80"/>
      <c r="SA3" s="80"/>
      <c r="SB3" s="80"/>
      <c r="SC3" s="80"/>
      <c r="SD3" s="80"/>
      <c r="SE3" s="80"/>
      <c r="SF3" s="80"/>
      <c r="SG3" s="80"/>
      <c r="SH3" s="80"/>
      <c r="SI3" s="80"/>
      <c r="SJ3" s="80"/>
      <c r="SK3" s="80"/>
      <c r="SL3" s="80"/>
      <c r="SM3" s="80"/>
      <c r="SN3" s="80"/>
      <c r="SO3" s="80"/>
      <c r="SP3" s="80"/>
      <c r="SQ3" s="80"/>
      <c r="SR3" s="80"/>
      <c r="SS3" s="80"/>
      <c r="ST3" s="80"/>
      <c r="SU3" s="80"/>
      <c r="SV3" s="80"/>
      <c r="SW3" s="80"/>
      <c r="SX3" s="80"/>
      <c r="SY3" s="80"/>
      <c r="SZ3" s="80"/>
      <c r="TA3" s="80"/>
      <c r="TB3" s="80"/>
      <c r="TC3" s="80"/>
      <c r="TD3" s="80"/>
      <c r="TE3" s="80"/>
      <c r="TF3" s="80"/>
      <c r="TG3" s="80"/>
      <c r="TH3" s="80"/>
      <c r="TI3" s="80"/>
      <c r="TJ3" s="80"/>
      <c r="TK3" s="80"/>
      <c r="TL3" s="80"/>
      <c r="TM3" s="80"/>
      <c r="TN3" s="80"/>
      <c r="TO3" s="80"/>
      <c r="TP3" s="80"/>
      <c r="TQ3" s="80"/>
      <c r="TR3" s="80"/>
      <c r="TS3" s="80"/>
      <c r="TT3" s="80"/>
      <c r="TU3" s="80"/>
      <c r="TV3" s="80"/>
      <c r="TW3" s="80"/>
      <c r="TX3" s="80"/>
      <c r="TY3" s="80"/>
      <c r="TZ3" s="80"/>
      <c r="UA3" s="80"/>
      <c r="UB3" s="80"/>
      <c r="UC3" s="80"/>
      <c r="UD3" s="80"/>
      <c r="UE3" s="80"/>
      <c r="UF3" s="80"/>
      <c r="UG3" s="80"/>
      <c r="UH3" s="80"/>
      <c r="UI3" s="80"/>
      <c r="UJ3" s="80"/>
      <c r="UK3" s="80"/>
      <c r="UL3" s="80"/>
      <c r="UM3" s="80"/>
      <c r="UN3" s="80"/>
      <c r="UO3" s="80"/>
      <c r="UP3" s="80"/>
      <c r="UQ3" s="80"/>
      <c r="UR3" s="80"/>
      <c r="US3" s="80"/>
      <c r="UT3" s="80"/>
      <c r="UU3" s="80"/>
      <c r="UV3" s="80"/>
      <c r="UW3" s="80"/>
      <c r="UX3" s="80"/>
      <c r="UY3" s="80"/>
      <c r="UZ3" s="80"/>
      <c r="VA3" s="80"/>
      <c r="VB3" s="80"/>
      <c r="VC3" s="80"/>
      <c r="VD3" s="80"/>
      <c r="VE3" s="80"/>
      <c r="VF3" s="80"/>
      <c r="VG3" s="80"/>
      <c r="VH3" s="80"/>
      <c r="VI3" s="80"/>
      <c r="VJ3" s="80"/>
      <c r="VK3" s="80"/>
      <c r="VL3" s="80"/>
      <c r="VM3" s="80"/>
      <c r="VN3" s="80"/>
      <c r="VO3" s="80"/>
      <c r="VP3" s="80"/>
      <c r="VQ3" s="80"/>
      <c r="VR3" s="80"/>
      <c r="VS3" s="80"/>
      <c r="VT3" s="80"/>
      <c r="VU3" s="80"/>
      <c r="VV3" s="80"/>
      <c r="VW3" s="80"/>
      <c r="VX3" s="80"/>
      <c r="VY3" s="80"/>
      <c r="VZ3" s="80"/>
      <c r="WA3" s="80"/>
      <c r="WB3" s="80"/>
      <c r="WC3" s="80"/>
      <c r="WD3" s="80"/>
      <c r="WE3" s="80"/>
      <c r="WF3" s="80"/>
      <c r="WG3" s="80"/>
      <c r="WH3" s="80"/>
      <c r="WI3" s="80"/>
      <c r="WJ3" s="80"/>
      <c r="WK3" s="80"/>
      <c r="WL3" s="80"/>
      <c r="WM3" s="80"/>
      <c r="WN3" s="80"/>
      <c r="WO3" s="80"/>
      <c r="WP3" s="80"/>
      <c r="WQ3" s="80"/>
      <c r="WR3" s="80"/>
      <c r="WS3" s="80"/>
      <c r="WT3" s="80"/>
      <c r="WU3" s="80"/>
      <c r="WV3" s="80"/>
      <c r="WW3" s="80"/>
      <c r="WX3" s="80"/>
      <c r="WY3" s="80"/>
      <c r="WZ3" s="80"/>
      <c r="XA3" s="80"/>
      <c r="XB3" s="80"/>
      <c r="XC3" s="80"/>
      <c r="XD3" s="80"/>
      <c r="XE3" s="80"/>
      <c r="XF3" s="80"/>
      <c r="XG3" s="80"/>
      <c r="XH3" s="80"/>
      <c r="XI3" s="80"/>
      <c r="XJ3" s="80"/>
      <c r="XK3" s="80"/>
      <c r="XL3" s="80"/>
      <c r="XM3" s="80"/>
      <c r="XN3" s="80"/>
      <c r="XO3" s="80"/>
      <c r="XP3" s="80"/>
      <c r="XQ3" s="80"/>
      <c r="XR3" s="80"/>
      <c r="XS3" s="80"/>
      <c r="XT3" s="80"/>
      <c r="XU3" s="80"/>
      <c r="XV3" s="80"/>
      <c r="XW3" s="80"/>
      <c r="XX3" s="80"/>
      <c r="XY3" s="80"/>
      <c r="XZ3" s="80"/>
      <c r="YA3" s="80"/>
      <c r="YB3" s="80"/>
      <c r="YC3" s="80"/>
      <c r="YD3" s="80"/>
      <c r="YE3" s="80"/>
      <c r="YF3" s="80"/>
      <c r="YG3" s="80"/>
      <c r="YH3" s="80"/>
      <c r="YI3" s="80"/>
      <c r="YJ3" s="80"/>
      <c r="YK3" s="80"/>
      <c r="YL3" s="80"/>
      <c r="YM3" s="80"/>
      <c r="YN3" s="80"/>
      <c r="YO3" s="80"/>
      <c r="YP3" s="80"/>
      <c r="YQ3" s="80"/>
      <c r="YR3" s="80"/>
      <c r="YS3" s="80"/>
      <c r="YT3" s="80"/>
      <c r="YU3" s="80"/>
      <c r="YV3" s="80"/>
      <c r="YW3" s="80"/>
      <c r="YX3" s="80"/>
      <c r="YY3" s="80"/>
      <c r="YZ3" s="80"/>
      <c r="ZA3" s="80"/>
      <c r="ZB3" s="80"/>
      <c r="ZC3" s="80"/>
      <c r="ZD3" s="80"/>
      <c r="ZE3" s="80"/>
      <c r="ZF3" s="80"/>
      <c r="ZG3" s="80"/>
      <c r="ZH3" s="80"/>
      <c r="ZI3" s="80"/>
      <c r="ZJ3" s="80"/>
      <c r="ZK3" s="80"/>
      <c r="ZL3" s="80"/>
      <c r="ZM3" s="80"/>
      <c r="ZN3" s="80"/>
      <c r="ZO3" s="80"/>
      <c r="ZP3" s="80"/>
      <c r="ZQ3" s="80"/>
      <c r="ZR3" s="80"/>
      <c r="ZS3" s="80"/>
      <c r="ZT3" s="80"/>
      <c r="ZU3" s="80"/>
      <c r="ZV3" s="80"/>
      <c r="ZW3" s="80"/>
      <c r="ZX3" s="80"/>
      <c r="ZY3" s="80"/>
      <c r="ZZ3" s="80"/>
      <c r="AAA3" s="80"/>
      <c r="AAB3" s="80"/>
      <c r="AAC3" s="80"/>
      <c r="AAD3" s="80"/>
      <c r="AAE3" s="80"/>
      <c r="AAF3" s="80"/>
      <c r="AAG3" s="80"/>
      <c r="AAH3" s="80"/>
      <c r="AAI3" s="80"/>
      <c r="AAJ3" s="80"/>
      <c r="AAK3" s="80"/>
      <c r="AAL3" s="80"/>
      <c r="AAM3" s="80"/>
      <c r="AAN3" s="80"/>
      <c r="AAO3" s="80"/>
      <c r="AAP3" s="80"/>
      <c r="AAQ3" s="80"/>
      <c r="AAR3" s="80"/>
      <c r="AAS3" s="80"/>
      <c r="AAT3" s="80"/>
      <c r="AAU3" s="80"/>
      <c r="AAV3" s="80"/>
      <c r="AAW3" s="80"/>
      <c r="AAX3" s="80"/>
      <c r="AAY3" s="80"/>
      <c r="AAZ3" s="80"/>
      <c r="ABA3" s="80"/>
      <c r="ABB3" s="80"/>
      <c r="ABC3" s="80"/>
      <c r="ABD3" s="80"/>
      <c r="ABE3" s="80"/>
      <c r="ABF3" s="80"/>
      <c r="ABG3" s="80"/>
      <c r="ABH3" s="80"/>
      <c r="ABI3" s="80"/>
      <c r="ABJ3" s="80"/>
      <c r="ABK3" s="80"/>
      <c r="ABL3" s="80"/>
      <c r="ABM3" s="80"/>
      <c r="ABN3" s="80"/>
      <c r="ABO3" s="80"/>
      <c r="ABP3" s="80"/>
      <c r="ABQ3" s="80"/>
      <c r="ABR3" s="80"/>
      <c r="ABS3" s="80"/>
      <c r="ABT3" s="80"/>
      <c r="ABU3" s="80"/>
      <c r="ABV3" s="80"/>
      <c r="ABW3" s="80"/>
      <c r="ABX3" s="80"/>
      <c r="ABY3" s="80"/>
      <c r="ABZ3" s="80"/>
      <c r="ACA3" s="80"/>
      <c r="ACB3" s="80"/>
      <c r="ACC3" s="80"/>
      <c r="ACD3" s="80"/>
      <c r="ACE3" s="80"/>
      <c r="ACF3" s="80"/>
      <c r="ACG3" s="80"/>
      <c r="ACH3" s="80"/>
      <c r="ACI3" s="80"/>
      <c r="ACJ3" s="80"/>
      <c r="ACK3" s="80"/>
      <c r="ACL3" s="80"/>
      <c r="ACM3" s="80"/>
      <c r="ACN3" s="80"/>
      <c r="ACO3" s="80"/>
      <c r="ACP3" s="80"/>
      <c r="ACQ3" s="80"/>
      <c r="ACR3" s="80"/>
      <c r="ACS3" s="80"/>
      <c r="ACT3" s="80"/>
      <c r="ACU3" s="80"/>
      <c r="ACV3" s="80"/>
      <c r="ACW3" s="80"/>
      <c r="ACX3" s="80"/>
      <c r="ACY3" s="80"/>
      <c r="ACZ3" s="80"/>
      <c r="ADA3" s="80"/>
      <c r="ADB3" s="80"/>
      <c r="ADC3" s="80"/>
      <c r="ADD3" s="80"/>
      <c r="ADE3" s="80"/>
      <c r="ADF3" s="80"/>
      <c r="ADG3" s="80"/>
      <c r="ADH3" s="80"/>
      <c r="ADI3" s="80"/>
      <c r="ADJ3" s="80"/>
      <c r="ADK3" s="80"/>
      <c r="ADL3" s="80"/>
      <c r="ADM3" s="80"/>
      <c r="ADN3" s="80"/>
      <c r="ADO3" s="80"/>
      <c r="ADP3" s="80"/>
      <c r="ADQ3" s="80"/>
      <c r="ADR3" s="80"/>
      <c r="ADS3" s="80"/>
      <c r="ADT3" s="80"/>
      <c r="ADU3" s="80"/>
      <c r="ADV3" s="80"/>
      <c r="ADW3" s="80"/>
      <c r="ADX3" s="80"/>
      <c r="ADY3" s="80"/>
      <c r="ADZ3" s="80"/>
      <c r="AEA3" s="80"/>
      <c r="AEB3" s="80"/>
      <c r="AEC3" s="80"/>
      <c r="AED3" s="80"/>
      <c r="AEE3" s="80"/>
    </row>
    <row r="4" spans="1:811" ht="21" customHeight="1">
      <c r="B4" s="454" t="s">
        <v>173</v>
      </c>
      <c r="C4" s="455">
        <v>2335</v>
      </c>
      <c r="D4" s="456">
        <v>2538</v>
      </c>
      <c r="E4" s="457">
        <v>2427</v>
      </c>
      <c r="F4" s="458">
        <v>2460</v>
      </c>
      <c r="G4" s="457">
        <v>2524</v>
      </c>
      <c r="H4" s="457">
        <v>2569</v>
      </c>
      <c r="I4" s="457">
        <v>2597</v>
      </c>
      <c r="J4" s="457">
        <v>2604</v>
      </c>
      <c r="K4" s="457">
        <v>2618</v>
      </c>
      <c r="L4" s="457">
        <v>2611</v>
      </c>
      <c r="M4" s="533">
        <v>2609</v>
      </c>
      <c r="N4" s="603">
        <v>2616</v>
      </c>
      <c r="O4" s="603">
        <v>2629</v>
      </c>
      <c r="P4" s="613">
        <v>2640</v>
      </c>
      <c r="Q4" s="627"/>
      <c r="R4" s="191"/>
      <c r="S4" s="190">
        <v>13</v>
      </c>
      <c r="T4" s="190">
        <v>12</v>
      </c>
      <c r="U4" s="190">
        <v>11</v>
      </c>
      <c r="V4" s="190">
        <v>10</v>
      </c>
      <c r="W4" s="190"/>
      <c r="X4" s="190"/>
      <c r="AU4" s="80"/>
      <c r="AX4" s="82"/>
      <c r="AY4" s="80"/>
    </row>
    <row r="5" spans="1:811" ht="21" hidden="1" customHeight="1" thickBot="1">
      <c r="B5" s="359" t="s">
        <v>187</v>
      </c>
      <c r="C5" s="193">
        <v>1</v>
      </c>
      <c r="D5" s="248">
        <v>1</v>
      </c>
      <c r="E5" s="289">
        <v>0</v>
      </c>
      <c r="F5" s="396">
        <v>0</v>
      </c>
      <c r="G5" s="289">
        <v>0</v>
      </c>
      <c r="H5" s="289">
        <v>0</v>
      </c>
      <c r="I5" s="289">
        <v>0</v>
      </c>
      <c r="J5" s="289"/>
      <c r="K5" s="289"/>
      <c r="L5" s="289"/>
      <c r="M5" s="534"/>
      <c r="N5" s="557"/>
      <c r="O5" s="557"/>
      <c r="P5" s="628"/>
      <c r="Q5" s="627"/>
      <c r="R5" s="191" t="s">
        <v>188</v>
      </c>
      <c r="S5" s="190">
        <v>26.68</v>
      </c>
      <c r="T5" s="190">
        <v>25.71</v>
      </c>
      <c r="U5" s="190">
        <v>26.45</v>
      </c>
      <c r="V5" s="190">
        <v>24.64</v>
      </c>
      <c r="W5" s="190">
        <f>AVERAGE(S5:V5)</f>
        <v>25.87</v>
      </c>
      <c r="X5" s="190"/>
      <c r="AU5" s="80"/>
      <c r="AX5" s="82"/>
      <c r="AY5" s="80"/>
    </row>
    <row r="6" spans="1:811" ht="21" customHeight="1">
      <c r="B6" s="359" t="s">
        <v>143</v>
      </c>
      <c r="C6" s="193">
        <v>20</v>
      </c>
      <c r="D6" s="248">
        <v>16</v>
      </c>
      <c r="E6" s="289">
        <v>10</v>
      </c>
      <c r="F6" s="396">
        <v>12</v>
      </c>
      <c r="G6" s="289">
        <v>15</v>
      </c>
      <c r="H6" s="289">
        <v>21</v>
      </c>
      <c r="I6" s="289">
        <v>19</v>
      </c>
      <c r="J6" s="289">
        <v>14</v>
      </c>
      <c r="K6" s="289">
        <v>19</v>
      </c>
      <c r="L6" s="289">
        <v>25</v>
      </c>
      <c r="M6" s="581">
        <v>17</v>
      </c>
      <c r="N6" s="289">
        <v>11</v>
      </c>
      <c r="O6" s="289">
        <v>10</v>
      </c>
      <c r="P6" s="614">
        <v>16</v>
      </c>
      <c r="Q6" s="627">
        <v>18</v>
      </c>
      <c r="R6" s="191" t="s">
        <v>189</v>
      </c>
      <c r="S6" s="190">
        <v>19.66</v>
      </c>
      <c r="T6" s="190">
        <v>18.61</v>
      </c>
      <c r="U6" s="190">
        <v>18.77</v>
      </c>
      <c r="V6" s="190">
        <v>17.41</v>
      </c>
      <c r="W6" s="190">
        <f>AVERAGE(S6:V6)</f>
        <v>18.612499999999997</v>
      </c>
      <c r="X6" s="190"/>
      <c r="AU6" s="80"/>
      <c r="AX6" s="82"/>
      <c r="AY6" s="80"/>
    </row>
    <row r="7" spans="1:811" ht="21" customHeight="1">
      <c r="B7" s="359" t="s">
        <v>144</v>
      </c>
      <c r="C7" s="193">
        <v>15.8</v>
      </c>
      <c r="D7" s="248">
        <v>15.1</v>
      </c>
      <c r="E7" s="289">
        <v>16.100000000000001</v>
      </c>
      <c r="F7" s="396">
        <v>16.3</v>
      </c>
      <c r="G7" s="289">
        <v>16.3</v>
      </c>
      <c r="H7" s="289">
        <v>16.399999999999999</v>
      </c>
      <c r="I7" s="289">
        <v>15.8</v>
      </c>
      <c r="J7" s="289">
        <v>16.399999999999999</v>
      </c>
      <c r="K7" s="289">
        <v>16.399999999999999</v>
      </c>
      <c r="L7" s="289">
        <v>16.2</v>
      </c>
      <c r="M7" s="581">
        <v>16.3</v>
      </c>
      <c r="N7" s="289">
        <v>15.8</v>
      </c>
      <c r="O7" s="289">
        <v>16.399999999999999</v>
      </c>
      <c r="P7" s="614">
        <v>16.399999999999999</v>
      </c>
      <c r="Q7" s="627">
        <v>16.399999999999999</v>
      </c>
      <c r="R7" s="191" t="s">
        <v>190</v>
      </c>
      <c r="S7" s="190">
        <v>0.504</v>
      </c>
      <c r="T7" s="190">
        <v>0.47699999999999998</v>
      </c>
      <c r="U7" s="190">
        <v>0.48099999999999998</v>
      </c>
      <c r="V7" s="190">
        <v>0.44600000000000001</v>
      </c>
      <c r="W7" s="190">
        <f>AVERAGE(S7:V7)</f>
        <v>0.47699999999999998</v>
      </c>
      <c r="X7" s="190"/>
      <c r="Y7" s="80" t="s">
        <v>188</v>
      </c>
      <c r="Z7" s="81" t="s">
        <v>189</v>
      </c>
      <c r="AA7" s="80" t="s">
        <v>190</v>
      </c>
      <c r="AB7" s="80" t="s">
        <v>191</v>
      </c>
      <c r="AC7" s="80" t="s">
        <v>192</v>
      </c>
      <c r="AU7" s="80"/>
      <c r="AX7" s="82"/>
      <c r="AY7" s="80"/>
    </row>
    <row r="8" spans="1:811" ht="21" customHeight="1">
      <c r="B8" s="359" t="s">
        <v>145</v>
      </c>
      <c r="C8" s="193">
        <v>14.9</v>
      </c>
      <c r="D8" s="248">
        <v>14.1</v>
      </c>
      <c r="E8" s="289">
        <v>15</v>
      </c>
      <c r="F8" s="396">
        <v>15.2</v>
      </c>
      <c r="G8" s="289">
        <v>15.4</v>
      </c>
      <c r="H8" s="289">
        <v>15.4</v>
      </c>
      <c r="I8" s="289">
        <v>14.8</v>
      </c>
      <c r="J8" s="289">
        <v>15.4</v>
      </c>
      <c r="K8" s="289">
        <v>15.4</v>
      </c>
      <c r="L8" s="289">
        <v>15.3</v>
      </c>
      <c r="M8" s="581">
        <v>15.4</v>
      </c>
      <c r="N8" s="289">
        <v>14.7</v>
      </c>
      <c r="O8" s="289">
        <v>15.3</v>
      </c>
      <c r="P8" s="614">
        <v>15.5</v>
      </c>
      <c r="Q8" s="627">
        <v>15.5</v>
      </c>
      <c r="R8" s="191" t="s">
        <v>191</v>
      </c>
      <c r="S8" s="190">
        <v>1.68</v>
      </c>
      <c r="T8" s="190">
        <v>1.67</v>
      </c>
      <c r="U8" s="190">
        <v>1.69</v>
      </c>
      <c r="V8" s="190">
        <v>1.62</v>
      </c>
      <c r="W8" s="190">
        <f>AVERAGE(S8:V8)</f>
        <v>1.6649999999999998</v>
      </c>
      <c r="X8" s="190"/>
      <c r="Y8" s="80">
        <v>29.31</v>
      </c>
      <c r="Z8" s="81">
        <v>21.44</v>
      </c>
      <c r="AA8" s="80">
        <v>0.54900000000000004</v>
      </c>
      <c r="AB8" s="80">
        <v>1.69</v>
      </c>
      <c r="AC8" s="80">
        <v>3.31</v>
      </c>
      <c r="AU8" s="80"/>
      <c r="AX8" s="82"/>
      <c r="AY8" s="80"/>
    </row>
    <row r="9" spans="1:811" ht="21" customHeight="1">
      <c r="B9" s="359" t="s">
        <v>146</v>
      </c>
      <c r="C9" s="193">
        <v>0.9</v>
      </c>
      <c r="D9" s="248">
        <v>1</v>
      </c>
      <c r="E9" s="289">
        <v>1.1000000000000001</v>
      </c>
      <c r="F9" s="396">
        <v>1.1000000000000001</v>
      </c>
      <c r="G9" s="289">
        <v>1</v>
      </c>
      <c r="H9" s="289">
        <v>1</v>
      </c>
      <c r="I9" s="289">
        <v>1</v>
      </c>
      <c r="J9" s="289">
        <v>1</v>
      </c>
      <c r="K9" s="289">
        <v>0.9</v>
      </c>
      <c r="L9" s="289">
        <v>0.9</v>
      </c>
      <c r="M9" s="581">
        <v>0.8</v>
      </c>
      <c r="N9" s="289">
        <v>1</v>
      </c>
      <c r="O9" s="289">
        <v>1.1000000000000001</v>
      </c>
      <c r="P9" s="614">
        <v>0.9</v>
      </c>
      <c r="Q9" s="627">
        <v>0.9</v>
      </c>
      <c r="R9" s="191" t="s">
        <v>192</v>
      </c>
      <c r="S9" s="190">
        <v>1.68</v>
      </c>
      <c r="T9" s="190">
        <v>0.91</v>
      </c>
      <c r="U9" s="190">
        <v>2</v>
      </c>
      <c r="V9" s="190">
        <v>1.37</v>
      </c>
      <c r="W9" s="190">
        <f>AVERAGE(S9:V9)</f>
        <v>1.49</v>
      </c>
      <c r="X9" s="190"/>
      <c r="Y9" s="80">
        <v>28.8</v>
      </c>
      <c r="Z9" s="81">
        <v>21.3</v>
      </c>
      <c r="AA9" s="80">
        <v>0.54600000000000004</v>
      </c>
      <c r="AB9" s="80">
        <v>1.67</v>
      </c>
      <c r="AC9" s="80">
        <v>2.9</v>
      </c>
      <c r="AI9" s="85"/>
      <c r="AU9" s="80"/>
      <c r="AX9" s="82"/>
      <c r="AY9" s="80"/>
    </row>
    <row r="10" spans="1:811" ht="21" customHeight="1">
      <c r="B10" s="359" t="s">
        <v>147</v>
      </c>
      <c r="C10" s="193">
        <v>13.5</v>
      </c>
      <c r="D10" s="248">
        <v>13.4</v>
      </c>
      <c r="E10" s="289">
        <v>12.7</v>
      </c>
      <c r="F10" s="396">
        <v>13.6</v>
      </c>
      <c r="G10" s="289">
        <v>13.3</v>
      </c>
      <c r="H10" s="289">
        <v>13.9</v>
      </c>
      <c r="I10" s="289">
        <v>13.8</v>
      </c>
      <c r="J10" s="289">
        <v>13.5</v>
      </c>
      <c r="K10" s="289">
        <v>13.5</v>
      </c>
      <c r="L10" s="289">
        <v>14.5</v>
      </c>
      <c r="M10" s="581">
        <v>13.6</v>
      </c>
      <c r="N10" s="289">
        <v>14</v>
      </c>
      <c r="O10" s="289">
        <v>13.4</v>
      </c>
      <c r="P10" s="614">
        <v>13.7</v>
      </c>
      <c r="Q10" s="627">
        <v>14.3</v>
      </c>
      <c r="R10" s="191"/>
      <c r="S10" s="190"/>
      <c r="T10" s="190"/>
      <c r="U10" s="190"/>
      <c r="V10" s="190"/>
      <c r="W10" s="190"/>
      <c r="X10" s="190"/>
      <c r="AI10" s="85"/>
      <c r="AU10" s="80"/>
      <c r="AX10" s="82"/>
      <c r="AY10" s="80"/>
    </row>
    <row r="11" spans="1:811" ht="21" customHeight="1">
      <c r="B11" s="359" t="s">
        <v>148</v>
      </c>
      <c r="C11" s="193">
        <v>9</v>
      </c>
      <c r="D11" s="248">
        <v>8.1999999999999993</v>
      </c>
      <c r="E11" s="289">
        <v>10.4</v>
      </c>
      <c r="F11" s="396">
        <v>10.3</v>
      </c>
      <c r="G11" s="289">
        <v>11.3</v>
      </c>
      <c r="H11" s="289">
        <v>9.9</v>
      </c>
      <c r="I11" s="289">
        <v>9.9</v>
      </c>
      <c r="J11" s="289">
        <v>9.5</v>
      </c>
      <c r="K11" s="289">
        <v>9.3000000000000007</v>
      </c>
      <c r="L11" s="289">
        <v>8.5</v>
      </c>
      <c r="M11" s="581">
        <v>8.6999999999999993</v>
      </c>
      <c r="N11" s="289">
        <v>9.8000000000000007</v>
      </c>
      <c r="O11" s="289">
        <v>9.3000000000000007</v>
      </c>
      <c r="P11" s="614">
        <v>9.6999999999999993</v>
      </c>
      <c r="Q11" s="627">
        <v>8</v>
      </c>
      <c r="R11" s="191"/>
      <c r="S11" s="190"/>
      <c r="T11" s="190"/>
      <c r="U11" s="190"/>
      <c r="V11" s="190"/>
      <c r="W11" s="190"/>
      <c r="X11" s="190"/>
      <c r="AI11" s="85"/>
      <c r="AU11" s="80"/>
      <c r="AX11" s="82"/>
      <c r="AY11" s="80"/>
    </row>
    <row r="12" spans="1:811" ht="21" customHeight="1">
      <c r="B12" s="359" t="s">
        <v>149</v>
      </c>
      <c r="C12" s="193">
        <v>0.53</v>
      </c>
      <c r="D12" s="248">
        <v>0.57099999999999995</v>
      </c>
      <c r="E12" s="289">
        <v>0.52700000000000002</v>
      </c>
      <c r="F12" s="396">
        <v>0.54600000000000004</v>
      </c>
      <c r="G12" s="289">
        <v>0.54</v>
      </c>
      <c r="H12" s="289">
        <v>0.54</v>
      </c>
      <c r="I12" s="289">
        <v>0.55000000000000004</v>
      </c>
      <c r="J12" s="289">
        <v>0.54</v>
      </c>
      <c r="K12" s="289">
        <v>0.55000000000000004</v>
      </c>
      <c r="L12" s="290">
        <v>0.51400000000000001</v>
      </c>
      <c r="M12" s="582">
        <v>0.54500000000000004</v>
      </c>
      <c r="N12" s="290">
        <v>0.56699999999999995</v>
      </c>
      <c r="O12" s="290">
        <v>0.57399999999999995</v>
      </c>
      <c r="P12" s="699">
        <v>0.55800000000000005</v>
      </c>
      <c r="Q12" s="627">
        <v>0.55000000000000004</v>
      </c>
      <c r="R12" s="191"/>
      <c r="S12" s="190"/>
      <c r="T12" s="190"/>
      <c r="U12" s="190"/>
      <c r="V12" s="190"/>
      <c r="W12" s="190"/>
      <c r="X12" s="190"/>
      <c r="AI12" s="86"/>
      <c r="AU12" s="80"/>
      <c r="AX12" s="82"/>
      <c r="AY12" s="80"/>
    </row>
    <row r="13" spans="1:811" ht="21" customHeight="1">
      <c r="B13" s="359" t="s">
        <v>150</v>
      </c>
      <c r="C13" s="192">
        <v>1.59</v>
      </c>
      <c r="D13" s="248">
        <v>1.59</v>
      </c>
      <c r="E13" s="289">
        <v>1.54</v>
      </c>
      <c r="F13" s="396">
        <v>1.47</v>
      </c>
      <c r="G13" s="289">
        <v>1.49</v>
      </c>
      <c r="H13" s="289">
        <v>1.5</v>
      </c>
      <c r="I13" s="289">
        <v>1.46</v>
      </c>
      <c r="J13" s="289">
        <v>1.48</v>
      </c>
      <c r="K13" s="289">
        <v>1.48</v>
      </c>
      <c r="L13" s="289">
        <v>1.53</v>
      </c>
      <c r="M13" s="581">
        <v>1.5</v>
      </c>
      <c r="N13" s="289">
        <v>1.47</v>
      </c>
      <c r="O13" s="289">
        <v>1.51</v>
      </c>
      <c r="P13" s="614">
        <v>1.47</v>
      </c>
      <c r="Q13" s="627">
        <v>1.55</v>
      </c>
      <c r="R13" s="191"/>
      <c r="S13" s="190"/>
      <c r="T13" s="190"/>
      <c r="U13" s="190"/>
      <c r="V13" s="190"/>
      <c r="W13" s="190"/>
      <c r="X13" s="190"/>
      <c r="AU13" s="80"/>
      <c r="AX13" s="82"/>
      <c r="AY13" s="80"/>
    </row>
    <row r="14" spans="1:811" ht="21" customHeight="1">
      <c r="B14" s="359" t="s">
        <v>151</v>
      </c>
      <c r="C14" s="193">
        <v>20.170000000000002</v>
      </c>
      <c r="D14" s="248">
        <v>19.79</v>
      </c>
      <c r="E14" s="289">
        <v>20.239999999999998</v>
      </c>
      <c r="F14" s="396">
        <v>21</v>
      </c>
      <c r="G14" s="289">
        <v>20.71</v>
      </c>
      <c r="H14" s="289">
        <v>20.68</v>
      </c>
      <c r="I14" s="289">
        <v>20.93</v>
      </c>
      <c r="J14" s="289">
        <v>20.77</v>
      </c>
      <c r="K14" s="289">
        <v>21.12</v>
      </c>
      <c r="L14" s="289">
        <v>20.74</v>
      </c>
      <c r="M14" s="581">
        <v>21.77</v>
      </c>
      <c r="N14" s="289">
        <v>21.82</v>
      </c>
      <c r="O14" s="289">
        <v>21.81</v>
      </c>
      <c r="P14" s="614">
        <v>21.39</v>
      </c>
      <c r="Q14" s="627">
        <v>21.5</v>
      </c>
      <c r="R14" s="191"/>
      <c r="S14" s="190"/>
      <c r="T14" s="190"/>
      <c r="U14" s="190"/>
      <c r="V14" s="190"/>
      <c r="W14" s="190"/>
      <c r="X14" s="190"/>
      <c r="AA14" s="80">
        <v>1.01</v>
      </c>
      <c r="AB14" s="80">
        <v>2.48</v>
      </c>
      <c r="AC14" s="80">
        <v>3.25</v>
      </c>
      <c r="AU14" s="80"/>
      <c r="AX14" s="82"/>
      <c r="AY14" s="80"/>
    </row>
    <row r="15" spans="1:811" ht="21" customHeight="1">
      <c r="B15" s="359" t="s">
        <v>152</v>
      </c>
      <c r="C15" s="193">
        <v>1</v>
      </c>
      <c r="D15" s="248">
        <v>1.06</v>
      </c>
      <c r="E15" s="289">
        <v>1.08</v>
      </c>
      <c r="F15" s="396">
        <v>1.06</v>
      </c>
      <c r="G15" s="289">
        <v>1.03</v>
      </c>
      <c r="H15" s="289">
        <v>1</v>
      </c>
      <c r="I15" s="289">
        <v>0.98</v>
      </c>
      <c r="J15" s="289">
        <v>0.96</v>
      </c>
      <c r="K15" s="289">
        <v>1.03</v>
      </c>
      <c r="L15" s="290">
        <v>1.0149999999999999</v>
      </c>
      <c r="M15" s="582">
        <v>1.0009999999999999</v>
      </c>
      <c r="N15" s="290">
        <v>1.0069999999999999</v>
      </c>
      <c r="O15" s="290">
        <v>1.0329999999999999</v>
      </c>
      <c r="P15" s="614">
        <v>1.0529999999999999</v>
      </c>
      <c r="Q15" s="627">
        <v>1.05</v>
      </c>
      <c r="R15" s="191"/>
      <c r="S15" s="190"/>
      <c r="T15" s="190"/>
      <c r="U15" s="190"/>
      <c r="V15" s="190"/>
      <c r="W15" s="190"/>
      <c r="X15" s="190"/>
      <c r="AA15" s="80">
        <v>1.01</v>
      </c>
      <c r="AB15" s="80">
        <v>2.41</v>
      </c>
      <c r="AC15" s="80">
        <v>3.6</v>
      </c>
      <c r="AU15" s="80"/>
      <c r="AX15" s="82"/>
      <c r="AY15" s="80"/>
    </row>
    <row r="16" spans="1:811" ht="21" customHeight="1" thickBot="1">
      <c r="B16" s="360" t="s">
        <v>153</v>
      </c>
      <c r="C16" s="361">
        <v>2.4500000000000002</v>
      </c>
      <c r="D16" s="362">
        <v>2.41</v>
      </c>
      <c r="E16" s="363">
        <v>2.4900000000000002</v>
      </c>
      <c r="F16" s="363">
        <v>2.38</v>
      </c>
      <c r="G16" s="363">
        <v>2.4500000000000002</v>
      </c>
      <c r="H16" s="363">
        <v>2.4700000000000002</v>
      </c>
      <c r="I16" s="363">
        <v>2.4700000000000002</v>
      </c>
      <c r="J16" s="363">
        <v>2.4900000000000002</v>
      </c>
      <c r="K16" s="363">
        <v>2.4500000000000002</v>
      </c>
      <c r="L16" s="363">
        <v>2.38</v>
      </c>
      <c r="M16" s="583">
        <v>2.4700000000000002</v>
      </c>
      <c r="N16" s="604">
        <v>2.5299999999999998</v>
      </c>
      <c r="O16" s="604">
        <v>2.41</v>
      </c>
      <c r="P16" s="615">
        <v>2.4300000000000002</v>
      </c>
      <c r="Q16" s="627">
        <v>2.4</v>
      </c>
      <c r="R16" s="191"/>
      <c r="S16" s="190"/>
      <c r="T16" s="190"/>
      <c r="U16" s="190"/>
      <c r="V16" s="190"/>
      <c r="W16" s="190"/>
      <c r="X16" s="190"/>
      <c r="AA16" s="80">
        <v>1</v>
      </c>
      <c r="AB16" s="80">
        <v>2.44</v>
      </c>
      <c r="AC16" s="80">
        <v>2.2000000000000002</v>
      </c>
      <c r="AU16" s="80"/>
      <c r="AX16" s="82"/>
      <c r="AY16" s="80"/>
    </row>
    <row r="17" spans="2:52" ht="21" customHeight="1" thickBot="1">
      <c r="B17" s="629"/>
      <c r="C17" s="191"/>
      <c r="D17" s="191"/>
      <c r="E17" s="191"/>
      <c r="F17" s="191"/>
      <c r="G17" s="191"/>
      <c r="H17" s="191"/>
      <c r="I17" s="191"/>
      <c r="J17" s="191"/>
      <c r="K17" s="191"/>
      <c r="L17" s="191"/>
      <c r="M17" s="584"/>
      <c r="N17" s="584"/>
      <c r="O17" s="584"/>
      <c r="P17" s="553"/>
      <c r="Q17" s="617"/>
      <c r="R17" s="191"/>
      <c r="S17" s="190"/>
      <c r="T17" s="190"/>
      <c r="U17" s="190"/>
      <c r="V17" s="190"/>
      <c r="W17" s="190"/>
      <c r="X17" s="190"/>
      <c r="AU17" s="80"/>
      <c r="AV17" s="80"/>
      <c r="AW17" s="80"/>
      <c r="AX17" s="82"/>
      <c r="AY17" s="80"/>
    </row>
    <row r="18" spans="2:52" ht="21" customHeight="1" thickBot="1">
      <c r="B18" s="459"/>
      <c r="C18" s="460">
        <v>45778</v>
      </c>
      <c r="D18" s="461">
        <v>45809</v>
      </c>
      <c r="E18" s="461">
        <v>45839</v>
      </c>
      <c r="F18" s="460">
        <v>45870</v>
      </c>
      <c r="G18" s="460">
        <v>45901</v>
      </c>
      <c r="H18" s="460">
        <v>45931</v>
      </c>
      <c r="I18" s="460">
        <v>45962</v>
      </c>
      <c r="J18" s="460">
        <v>45992</v>
      </c>
      <c r="K18" s="460">
        <v>46023</v>
      </c>
      <c r="L18" s="460">
        <v>46054</v>
      </c>
      <c r="M18" s="462">
        <v>46082</v>
      </c>
      <c r="N18" s="462">
        <v>46113</v>
      </c>
      <c r="O18" s="462">
        <v>46143</v>
      </c>
      <c r="P18" s="554">
        <v>46174</v>
      </c>
      <c r="Q18" s="510"/>
      <c r="R18" s="191"/>
      <c r="S18" s="190"/>
      <c r="T18" s="190"/>
      <c r="U18" s="190"/>
      <c r="V18" s="190"/>
      <c r="W18" s="190"/>
      <c r="X18" s="190"/>
      <c r="Z18" s="80"/>
      <c r="AK18" s="80"/>
      <c r="AO18" s="80"/>
      <c r="AQ18" s="80"/>
      <c r="AU18" s="80"/>
      <c r="AV18" s="80"/>
      <c r="AW18" s="80"/>
      <c r="AX18" s="80"/>
      <c r="AY18" s="80"/>
      <c r="AZ18" s="80"/>
    </row>
    <row r="19" spans="2:52" ht="21" customHeight="1" thickBot="1">
      <c r="B19" s="463" t="s">
        <v>155</v>
      </c>
      <c r="C19" s="192">
        <v>6</v>
      </c>
      <c r="D19" s="464">
        <v>15</v>
      </c>
      <c r="E19" s="465">
        <v>5</v>
      </c>
      <c r="F19" s="466">
        <v>9</v>
      </c>
      <c r="G19" s="465">
        <v>9</v>
      </c>
      <c r="H19" s="465">
        <v>9</v>
      </c>
      <c r="I19" s="465">
        <v>8</v>
      </c>
      <c r="J19" s="465">
        <v>9</v>
      </c>
      <c r="K19" s="465">
        <v>8</v>
      </c>
      <c r="L19" s="465">
        <v>8</v>
      </c>
      <c r="M19" s="585">
        <v>12</v>
      </c>
      <c r="N19" s="585">
        <v>2</v>
      </c>
      <c r="O19" s="585">
        <v>8</v>
      </c>
      <c r="P19" s="555">
        <v>7</v>
      </c>
      <c r="Q19" s="510"/>
      <c r="R19" s="191"/>
      <c r="S19" s="190"/>
      <c r="T19" s="190"/>
      <c r="U19" s="190"/>
      <c r="V19" s="190"/>
      <c r="W19" s="190"/>
      <c r="X19" s="190"/>
      <c r="Z19" s="80"/>
      <c r="AK19" s="80"/>
      <c r="AO19" s="80"/>
      <c r="AQ19" s="80"/>
      <c r="AU19" s="80"/>
      <c r="AV19" s="80"/>
      <c r="AW19" s="80"/>
      <c r="AX19" s="80"/>
      <c r="AY19" s="80"/>
      <c r="AZ19" s="80"/>
    </row>
    <row r="20" spans="2:52" ht="21" customHeight="1" thickBot="1">
      <c r="B20" s="351" t="s">
        <v>156</v>
      </c>
      <c r="C20" s="467">
        <v>7</v>
      </c>
      <c r="D20" s="464">
        <v>4</v>
      </c>
      <c r="E20" s="468">
        <v>1</v>
      </c>
      <c r="F20" s="469">
        <v>1</v>
      </c>
      <c r="G20" s="468">
        <v>2</v>
      </c>
      <c r="H20" s="468">
        <v>2</v>
      </c>
      <c r="I20" s="468">
        <v>0</v>
      </c>
      <c r="J20" s="468">
        <v>2</v>
      </c>
      <c r="K20" s="468">
        <v>4</v>
      </c>
      <c r="L20" s="468">
        <v>2</v>
      </c>
      <c r="M20" s="586">
        <v>1</v>
      </c>
      <c r="N20" s="468">
        <v>1</v>
      </c>
      <c r="O20" s="468">
        <v>0</v>
      </c>
      <c r="P20" s="587">
        <v>0</v>
      </c>
      <c r="Q20" s="511"/>
      <c r="R20" s="191"/>
      <c r="S20" s="190"/>
      <c r="T20" s="190"/>
      <c r="U20" s="190"/>
      <c r="V20" s="190"/>
      <c r="W20" s="190"/>
      <c r="X20" s="190"/>
      <c r="Z20" s="80"/>
      <c r="AK20" s="80"/>
      <c r="AO20" s="80"/>
      <c r="AQ20" s="80"/>
      <c r="AU20" s="80"/>
      <c r="AV20" s="80"/>
      <c r="AW20" s="80"/>
      <c r="AX20" s="80"/>
      <c r="AY20" s="80"/>
      <c r="AZ20" s="80"/>
    </row>
    <row r="21" spans="2:52" ht="21" customHeight="1" thickBot="1">
      <c r="B21" s="351" t="s">
        <v>157</v>
      </c>
      <c r="C21" s="192">
        <v>1.02</v>
      </c>
      <c r="D21" s="249">
        <v>1.53</v>
      </c>
      <c r="E21" s="290">
        <v>1.2</v>
      </c>
      <c r="F21" s="398">
        <v>1.7</v>
      </c>
      <c r="G21" s="290">
        <v>1.44</v>
      </c>
      <c r="H21" s="401">
        <v>1.04E-2</v>
      </c>
      <c r="I21" s="401">
        <v>9.5999999999999992E-3</v>
      </c>
      <c r="J21" s="401">
        <v>5.4999999999999997E-3</v>
      </c>
      <c r="K21" s="401">
        <v>6.6E-3</v>
      </c>
      <c r="L21" s="401">
        <v>7.4000000000000003E-3</v>
      </c>
      <c r="M21" s="588">
        <v>7.0000000000000001E-3</v>
      </c>
      <c r="N21" s="401">
        <v>6.4000000000000003E-3</v>
      </c>
      <c r="O21" s="401">
        <v>7.6E-3</v>
      </c>
      <c r="P21" s="402">
        <v>8.8000000000000005E-3</v>
      </c>
      <c r="Q21" s="529">
        <v>5.0000000000000001E-3</v>
      </c>
      <c r="R21" s="191"/>
      <c r="S21" s="190"/>
      <c r="T21" s="190"/>
      <c r="U21" s="190"/>
      <c r="V21" s="190"/>
      <c r="W21" s="190"/>
      <c r="X21" s="190"/>
      <c r="Z21" s="80"/>
      <c r="AK21" s="80"/>
      <c r="AO21" s="80"/>
      <c r="AQ21" s="80"/>
      <c r="AU21" s="80"/>
      <c r="AV21" s="80"/>
      <c r="AW21" s="80"/>
      <c r="AX21" s="80"/>
      <c r="AY21" s="80"/>
      <c r="AZ21" s="80"/>
    </row>
    <row r="22" spans="2:52" ht="21" customHeight="1" thickBot="1">
      <c r="B22" s="352" t="s">
        <v>158</v>
      </c>
      <c r="C22" s="353">
        <v>1.92</v>
      </c>
      <c r="D22" s="354">
        <v>2.36</v>
      </c>
      <c r="E22" s="355">
        <v>1.71</v>
      </c>
      <c r="F22" s="355">
        <v>1.76</v>
      </c>
      <c r="G22" s="355">
        <v>1.68</v>
      </c>
      <c r="H22" s="407">
        <v>1.6299999999999999E-2</v>
      </c>
      <c r="I22" s="407">
        <v>0.02</v>
      </c>
      <c r="J22" s="407">
        <v>1.5699999999999999E-2</v>
      </c>
      <c r="K22" s="407">
        <v>1.66E-2</v>
      </c>
      <c r="L22" s="407">
        <v>1.44E-2</v>
      </c>
      <c r="M22" s="407">
        <v>1.5699999999999999E-2</v>
      </c>
      <c r="N22" s="605">
        <v>2.1999999999999999E-2</v>
      </c>
      <c r="O22" s="605">
        <v>1.8200000000000001E-2</v>
      </c>
      <c r="P22" s="556">
        <v>1.7399999999999999E-2</v>
      </c>
      <c r="Q22" s="529">
        <v>1.2999999999999999E-2</v>
      </c>
      <c r="R22" s="191"/>
      <c r="S22" s="190"/>
      <c r="T22" s="190"/>
      <c r="U22" s="190"/>
      <c r="V22" s="190"/>
      <c r="W22" s="190"/>
      <c r="X22" s="190"/>
      <c r="Z22" s="80"/>
      <c r="AK22" s="80"/>
      <c r="AO22" s="80"/>
      <c r="AQ22" s="80"/>
      <c r="AU22" s="80"/>
      <c r="AV22" s="80"/>
      <c r="AW22" s="80"/>
      <c r="AX22" s="80"/>
      <c r="AY22" s="80"/>
      <c r="AZ22" s="80"/>
    </row>
    <row r="23" spans="2:52" ht="21" customHeight="1">
      <c r="B23" s="194"/>
      <c r="C23" s="191"/>
      <c r="D23" s="191"/>
      <c r="E23" s="190"/>
      <c r="F23" s="191"/>
      <c r="G23" s="191"/>
      <c r="H23" s="191"/>
      <c r="I23" s="191"/>
      <c r="J23" s="191"/>
      <c r="K23" s="191"/>
      <c r="L23" s="191"/>
      <c r="M23" s="191"/>
      <c r="N23" s="191"/>
      <c r="O23" s="191"/>
      <c r="P23" s="190"/>
      <c r="Q23" s="517"/>
      <c r="R23" s="191"/>
      <c r="S23" s="190"/>
      <c r="T23" s="190"/>
      <c r="U23" s="190"/>
      <c r="V23" s="190"/>
      <c r="W23" s="190"/>
      <c r="X23" s="190"/>
    </row>
    <row r="24" spans="2:52" ht="21" customHeight="1">
      <c r="B24" s="194"/>
      <c r="C24" s="191"/>
      <c r="D24" s="191"/>
      <c r="E24" s="190"/>
      <c r="F24" s="191"/>
      <c r="G24" s="191"/>
      <c r="H24" s="191"/>
      <c r="I24" s="191"/>
      <c r="J24" s="191"/>
      <c r="K24" s="191"/>
      <c r="L24" s="191"/>
      <c r="M24" s="191"/>
      <c r="N24" s="191"/>
      <c r="O24" s="191"/>
      <c r="P24" s="190"/>
      <c r="Q24" s="518"/>
      <c r="R24" s="191"/>
      <c r="S24" s="190"/>
      <c r="T24" s="190"/>
      <c r="U24" s="190"/>
      <c r="V24" s="190"/>
      <c r="W24" s="190"/>
      <c r="X24" s="190"/>
    </row>
    <row r="25" spans="2:52" ht="21" hidden="1" customHeight="1">
      <c r="B25" s="194"/>
      <c r="C25" s="191"/>
      <c r="D25" s="191"/>
      <c r="E25" s="190"/>
      <c r="F25" s="191"/>
      <c r="G25" s="191"/>
      <c r="H25" s="191"/>
      <c r="I25" s="191"/>
      <c r="J25" s="191"/>
      <c r="K25" s="191"/>
      <c r="L25" s="191"/>
      <c r="M25" s="191"/>
      <c r="N25" s="191"/>
      <c r="O25" s="191"/>
      <c r="P25" s="190"/>
      <c r="Q25" s="518"/>
      <c r="R25" s="191"/>
      <c r="S25" s="190"/>
      <c r="T25" s="190"/>
      <c r="U25" s="190"/>
      <c r="V25" s="190"/>
      <c r="W25" s="190"/>
      <c r="X25" s="190"/>
    </row>
    <row r="26" spans="2:52" ht="21" hidden="1" customHeight="1">
      <c r="B26" s="194"/>
      <c r="C26" s="191"/>
      <c r="D26" s="191"/>
      <c r="E26" s="190"/>
      <c r="F26" s="191"/>
      <c r="G26" s="191"/>
      <c r="H26" s="191"/>
      <c r="I26" s="191"/>
      <c r="J26" s="191"/>
      <c r="K26" s="191"/>
      <c r="L26" s="191"/>
      <c r="M26" s="191"/>
      <c r="N26" s="191"/>
      <c r="O26" s="191"/>
      <c r="P26" s="190"/>
      <c r="Q26" s="204"/>
      <c r="R26" s="191"/>
      <c r="S26" s="190"/>
      <c r="T26" s="190"/>
      <c r="U26" s="190"/>
      <c r="V26" s="190"/>
      <c r="W26" s="190"/>
      <c r="X26" s="190"/>
    </row>
    <row r="27" spans="2:52" ht="21" hidden="1" customHeight="1">
      <c r="B27" s="194"/>
      <c r="C27" s="191"/>
      <c r="D27" s="191"/>
      <c r="E27" s="190"/>
      <c r="F27" s="191"/>
      <c r="G27" s="191"/>
      <c r="H27" s="191"/>
      <c r="I27" s="191"/>
      <c r="J27" s="191"/>
      <c r="K27" s="191"/>
      <c r="L27" s="191"/>
      <c r="M27" s="191"/>
      <c r="N27" s="191"/>
      <c r="O27" s="191"/>
      <c r="P27" s="190"/>
      <c r="Q27" s="204"/>
      <c r="R27" s="191"/>
      <c r="S27" s="190"/>
      <c r="T27" s="190"/>
      <c r="U27" s="190"/>
      <c r="V27" s="190"/>
      <c r="W27" s="190"/>
      <c r="X27" s="190"/>
    </row>
    <row r="28" spans="2:52" ht="21" customHeight="1">
      <c r="B28" s="194"/>
      <c r="C28" s="191"/>
      <c r="D28" s="191"/>
      <c r="E28" s="190"/>
      <c r="F28" s="191"/>
      <c r="G28" s="191"/>
      <c r="H28" s="191"/>
      <c r="I28" s="191"/>
      <c r="J28" s="191"/>
      <c r="K28" s="191"/>
      <c r="L28" s="191"/>
      <c r="M28" s="191"/>
      <c r="N28" s="191"/>
      <c r="O28" s="191"/>
      <c r="P28" s="190"/>
      <c r="Q28" s="204"/>
      <c r="R28" s="191"/>
      <c r="S28" s="190"/>
      <c r="T28" s="190"/>
      <c r="U28" s="190"/>
      <c r="V28" s="190"/>
      <c r="W28" s="190"/>
      <c r="X28" s="190"/>
    </row>
    <row r="29" spans="2:52" ht="21" customHeight="1">
      <c r="B29" s="194"/>
      <c r="C29" s="191"/>
      <c r="D29" s="191"/>
      <c r="E29" s="190"/>
      <c r="F29" s="191"/>
      <c r="G29" s="191"/>
      <c r="H29" s="191"/>
      <c r="I29" s="191"/>
      <c r="J29" s="191"/>
      <c r="K29" s="191"/>
      <c r="L29" s="191"/>
      <c r="M29" s="191"/>
      <c r="N29" s="191"/>
      <c r="O29" s="191"/>
      <c r="P29" s="190"/>
      <c r="Q29" s="204"/>
      <c r="R29" s="191"/>
      <c r="S29" s="190"/>
      <c r="T29" s="190"/>
      <c r="U29" s="190"/>
      <c r="V29" s="190"/>
      <c r="W29" s="190"/>
      <c r="X29" s="190"/>
    </row>
    <row r="30" spans="2:52" ht="21" customHeight="1">
      <c r="B30" s="194"/>
      <c r="C30" s="191"/>
      <c r="D30" s="191"/>
      <c r="E30" s="190"/>
      <c r="F30" s="191"/>
      <c r="G30" s="191"/>
      <c r="H30" s="191"/>
      <c r="I30" s="191"/>
      <c r="J30" s="191"/>
      <c r="K30" s="191"/>
      <c r="L30" s="191"/>
      <c r="M30" s="191"/>
      <c r="N30" s="191"/>
      <c r="O30" s="191"/>
      <c r="P30" s="190"/>
      <c r="Q30" s="204"/>
      <c r="R30" s="191"/>
      <c r="S30" s="190"/>
      <c r="T30" s="190"/>
      <c r="U30" s="190"/>
      <c r="V30" s="190"/>
      <c r="W30" s="190"/>
      <c r="X30" s="190"/>
    </row>
    <row r="31" spans="2:52" ht="21" customHeight="1">
      <c r="B31" s="194"/>
      <c r="C31" s="191"/>
      <c r="D31" s="191"/>
      <c r="E31" s="190"/>
      <c r="F31" s="191"/>
      <c r="G31" s="191"/>
      <c r="H31" s="191"/>
      <c r="I31" s="191"/>
      <c r="J31" s="191"/>
      <c r="K31" s="191"/>
      <c r="L31" s="191"/>
      <c r="M31" s="191"/>
      <c r="N31" s="191"/>
      <c r="O31" s="191"/>
      <c r="P31" s="190"/>
      <c r="Q31" s="204"/>
      <c r="R31" s="191"/>
      <c r="S31" s="190"/>
      <c r="T31" s="190"/>
      <c r="U31" s="190"/>
      <c r="V31" s="190"/>
      <c r="W31" s="190"/>
      <c r="X31" s="190"/>
    </row>
    <row r="32" spans="2:52" ht="21" customHeight="1">
      <c r="B32" s="194"/>
      <c r="C32" s="191"/>
      <c r="D32" s="191"/>
      <c r="E32" s="190"/>
      <c r="F32" s="191"/>
      <c r="G32" s="191"/>
      <c r="H32" s="191"/>
      <c r="I32" s="191"/>
      <c r="J32" s="191"/>
      <c r="K32" s="191"/>
      <c r="L32" s="191"/>
      <c r="M32" s="191"/>
      <c r="N32" s="191"/>
      <c r="O32" s="191"/>
      <c r="P32" s="190"/>
      <c r="Q32" s="204"/>
      <c r="R32" s="191"/>
      <c r="S32" s="190"/>
      <c r="T32" s="190"/>
      <c r="U32" s="190"/>
      <c r="V32" s="190"/>
      <c r="W32" s="190"/>
      <c r="X32" s="190"/>
    </row>
    <row r="33" spans="2:42" ht="21" customHeight="1">
      <c r="B33" s="194"/>
      <c r="C33" s="191"/>
      <c r="D33" s="191"/>
      <c r="E33" s="190"/>
      <c r="F33" s="191"/>
      <c r="G33" s="191"/>
      <c r="H33" s="191"/>
      <c r="I33" s="191"/>
      <c r="J33" s="191"/>
      <c r="K33" s="191"/>
      <c r="L33" s="191"/>
      <c r="M33" s="191"/>
      <c r="N33" s="191"/>
      <c r="O33" s="191"/>
      <c r="P33" s="190"/>
      <c r="Q33" s="204"/>
      <c r="R33" s="191"/>
      <c r="S33" s="190"/>
      <c r="T33" s="190"/>
      <c r="U33" s="190"/>
      <c r="V33" s="190"/>
      <c r="W33" s="190"/>
      <c r="X33" s="190"/>
      <c r="AK33" s="80"/>
      <c r="AL33" s="80">
        <v>17</v>
      </c>
      <c r="AM33" s="80">
        <v>16</v>
      </c>
      <c r="AN33" s="81">
        <v>15</v>
      </c>
      <c r="AO33" s="81">
        <v>14</v>
      </c>
    </row>
    <row r="34" spans="2:42" ht="21" customHeight="1">
      <c r="B34" s="194"/>
      <c r="C34" s="191"/>
      <c r="D34" s="191"/>
      <c r="E34" s="190"/>
      <c r="F34" s="191"/>
      <c r="G34" s="191"/>
      <c r="H34" s="191"/>
      <c r="I34" s="191"/>
      <c r="J34" s="191"/>
      <c r="K34" s="191"/>
      <c r="L34" s="191"/>
      <c r="M34" s="191"/>
      <c r="N34" s="191"/>
      <c r="O34" s="191"/>
      <c r="P34" s="190"/>
      <c r="Q34" s="204"/>
      <c r="R34" s="191"/>
      <c r="S34" s="190"/>
      <c r="T34" s="190"/>
      <c r="U34" s="190"/>
      <c r="V34" s="190"/>
      <c r="W34" s="190"/>
      <c r="X34" s="190"/>
      <c r="AK34" s="80" t="s">
        <v>193</v>
      </c>
      <c r="AL34" s="80">
        <v>27.6</v>
      </c>
      <c r="AM34" s="80">
        <v>26.88</v>
      </c>
      <c r="AN34" s="81">
        <v>28.06</v>
      </c>
      <c r="AO34" s="81">
        <v>26.29</v>
      </c>
      <c r="AP34" s="86">
        <f t="shared" ref="AP34:AP43" si="0">AVERAGE(AL34:AO34)</f>
        <v>27.207500000000003</v>
      </c>
    </row>
    <row r="35" spans="2:42" ht="21" customHeight="1">
      <c r="B35" s="194"/>
      <c r="C35" s="191"/>
      <c r="D35" s="191"/>
      <c r="E35" s="190"/>
      <c r="F35" s="191"/>
      <c r="G35" s="191"/>
      <c r="H35" s="191"/>
      <c r="I35" s="191"/>
      <c r="J35" s="191"/>
      <c r="K35" s="191"/>
      <c r="L35" s="191"/>
      <c r="M35" s="191"/>
      <c r="N35" s="191"/>
      <c r="O35" s="191"/>
      <c r="P35" s="190"/>
      <c r="Q35" s="204"/>
      <c r="R35" s="191"/>
      <c r="S35" s="190"/>
      <c r="T35" s="190"/>
      <c r="U35" s="190"/>
      <c r="V35" s="190"/>
      <c r="W35" s="190"/>
      <c r="X35" s="190"/>
      <c r="AK35" s="80" t="s">
        <v>194</v>
      </c>
      <c r="AL35" s="80">
        <v>21.51</v>
      </c>
      <c r="AM35" s="80">
        <v>19.61</v>
      </c>
      <c r="AN35" s="81">
        <v>20.47</v>
      </c>
      <c r="AO35" s="81">
        <v>18.87</v>
      </c>
      <c r="AP35" s="86">
        <f t="shared" si="0"/>
        <v>20.115000000000002</v>
      </c>
    </row>
    <row r="36" spans="2:42" ht="21" customHeight="1">
      <c r="B36" s="194"/>
      <c r="C36" s="191"/>
      <c r="D36" s="191"/>
      <c r="E36" s="190"/>
      <c r="F36" s="191"/>
      <c r="G36" s="191"/>
      <c r="H36" s="191"/>
      <c r="I36" s="191"/>
      <c r="J36" s="191"/>
      <c r="K36" s="191"/>
      <c r="L36" s="191"/>
      <c r="M36" s="191"/>
      <c r="N36" s="191"/>
      <c r="O36" s="191"/>
      <c r="P36" s="190"/>
      <c r="Q36" s="204"/>
      <c r="R36" s="191"/>
      <c r="S36" s="190"/>
      <c r="T36" s="190"/>
      <c r="U36" s="190"/>
      <c r="V36" s="190"/>
      <c r="W36" s="190"/>
      <c r="X36" s="190"/>
      <c r="AK36" s="80" t="s">
        <v>195</v>
      </c>
      <c r="AL36" s="80">
        <v>0.61399999999999999</v>
      </c>
      <c r="AM36" s="80">
        <v>0.502</v>
      </c>
      <c r="AN36" s="81">
        <v>0.52400000000000002</v>
      </c>
      <c r="AO36" s="81">
        <v>0.48299999999999998</v>
      </c>
      <c r="AP36" s="86">
        <f t="shared" si="0"/>
        <v>0.53075000000000006</v>
      </c>
    </row>
    <row r="37" spans="2:42" ht="21" customHeight="1">
      <c r="B37" s="194"/>
      <c r="C37" s="191"/>
      <c r="D37" s="191"/>
      <c r="E37" s="190"/>
      <c r="F37" s="191"/>
      <c r="G37" s="191"/>
      <c r="H37" s="191"/>
      <c r="I37" s="191"/>
      <c r="J37" s="191"/>
      <c r="K37" s="191"/>
      <c r="L37" s="191"/>
      <c r="M37" s="191"/>
      <c r="N37" s="191"/>
      <c r="O37" s="191"/>
      <c r="P37" s="190"/>
      <c r="Q37" s="204"/>
      <c r="R37" s="191"/>
      <c r="S37" s="190"/>
      <c r="T37" s="190"/>
      <c r="U37" s="190"/>
      <c r="V37" s="190"/>
      <c r="W37" s="190"/>
      <c r="X37" s="190"/>
      <c r="AK37" s="80" t="s">
        <v>196</v>
      </c>
      <c r="AL37" s="80">
        <v>1.39</v>
      </c>
      <c r="AM37" s="80">
        <v>1.66</v>
      </c>
      <c r="AN37" s="81">
        <v>1.67</v>
      </c>
      <c r="AO37" s="81">
        <v>1.71</v>
      </c>
      <c r="AP37" s="86">
        <f t="shared" si="0"/>
        <v>1.6074999999999999</v>
      </c>
    </row>
    <row r="38" spans="2:42" ht="21" customHeight="1">
      <c r="Q38" s="204"/>
      <c r="AK38" s="80" t="s">
        <v>197</v>
      </c>
      <c r="AL38" s="80">
        <v>0.93</v>
      </c>
      <c r="AM38" s="80">
        <v>1.73</v>
      </c>
      <c r="AN38" s="81">
        <v>0.8</v>
      </c>
      <c r="AO38" s="81">
        <v>0.51</v>
      </c>
      <c r="AP38" s="86">
        <f t="shared" si="0"/>
        <v>0.99249999999999994</v>
      </c>
    </row>
    <row r="39" spans="2:42" ht="21" customHeight="1">
      <c r="Q39" s="204"/>
      <c r="AK39" s="80"/>
      <c r="AM39" s="80"/>
      <c r="AN39" s="81"/>
      <c r="AP39" s="86" t="e">
        <f t="shared" si="0"/>
        <v>#DIV/0!</v>
      </c>
    </row>
    <row r="40" spans="2:42" ht="21" customHeight="1">
      <c r="Q40" s="204"/>
      <c r="AK40" s="80"/>
      <c r="AM40" s="80"/>
      <c r="AN40" s="81"/>
      <c r="AP40" s="86" t="e">
        <f t="shared" si="0"/>
        <v>#DIV/0!</v>
      </c>
    </row>
    <row r="41" spans="2:42" ht="21" customHeight="1">
      <c r="AK41" s="80" t="s">
        <v>190</v>
      </c>
      <c r="AL41" s="80">
        <v>0.95699999999999996</v>
      </c>
      <c r="AM41" s="80">
        <v>0.97</v>
      </c>
      <c r="AN41" s="81">
        <v>1</v>
      </c>
      <c r="AO41" s="81">
        <v>0.96</v>
      </c>
      <c r="AP41" s="86">
        <f t="shared" si="0"/>
        <v>0.97175</v>
      </c>
    </row>
    <row r="42" spans="2:42" ht="21" customHeight="1">
      <c r="AK42" s="80" t="s">
        <v>191</v>
      </c>
      <c r="AL42" s="80">
        <v>2.4500000000000002</v>
      </c>
      <c r="AM42" s="80">
        <v>2.4</v>
      </c>
      <c r="AN42" s="81">
        <v>2.4300000000000002</v>
      </c>
      <c r="AO42" s="81">
        <v>2.42</v>
      </c>
      <c r="AP42" s="86">
        <f t="shared" si="0"/>
        <v>2.4249999999999998</v>
      </c>
    </row>
    <row r="43" spans="2:42" ht="21" customHeight="1">
      <c r="AK43" s="80"/>
      <c r="AL43" s="80">
        <v>2.61</v>
      </c>
      <c r="AM43" s="80">
        <v>2.71</v>
      </c>
      <c r="AN43" s="81">
        <v>2.93</v>
      </c>
      <c r="AO43" s="81">
        <v>1.95</v>
      </c>
      <c r="AP43" s="80">
        <f t="shared" si="0"/>
        <v>2.5499999999999998</v>
      </c>
    </row>
  </sheetData>
  <pageMargins left="0.7" right="0.7" top="0.75" bottom="0.75" header="0.3" footer="0.3"/>
  <pageSetup paperSize="9" scale="63" orientation="landscape" r:id="rId1"/>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97B7B-1625-486B-BDE2-CB293206D367}">
  <sheetPr codeName="Sheet78">
    <tabColor rgb="FF00B050"/>
  </sheetPr>
  <dimension ref="A10:P20"/>
  <sheetViews>
    <sheetView workbookViewId="0">
      <selection activeCell="N21" sqref="N21"/>
    </sheetView>
  </sheetViews>
  <sheetFormatPr defaultRowHeight="15"/>
  <cols>
    <col min="1" max="2" width="11.28515625" bestFit="1" customWidth="1"/>
    <col min="8" max="8" width="11.5703125" bestFit="1" customWidth="1"/>
  </cols>
  <sheetData>
    <row r="10" spans="5:5">
      <c r="E10" t="s">
        <v>114</v>
      </c>
    </row>
    <row r="17" spans="1:16" ht="15.75" thickBot="1">
      <c r="A17" s="50"/>
      <c r="B17" s="108">
        <v>45839</v>
      </c>
      <c r="C17" s="108">
        <v>45870</v>
      </c>
      <c r="D17" s="108">
        <v>45901</v>
      </c>
      <c r="E17" s="108">
        <v>45931</v>
      </c>
      <c r="F17" s="108">
        <v>45962</v>
      </c>
      <c r="G17" s="108">
        <v>45992</v>
      </c>
      <c r="H17" s="108">
        <v>46023</v>
      </c>
      <c r="I17" s="108">
        <v>46054</v>
      </c>
      <c r="J17" s="108">
        <v>46082</v>
      </c>
      <c r="K17" s="108">
        <v>46113</v>
      </c>
      <c r="L17" s="108">
        <v>46143</v>
      </c>
      <c r="M17" s="108">
        <v>46174</v>
      </c>
    </row>
    <row r="18" spans="1:16">
      <c r="A18" s="103" t="s">
        <v>59</v>
      </c>
      <c r="B18" s="133">
        <f>IFERROR(SUM('Combined total CDM to Colco (7)'!B34+'Combined total CDM to Colco (7)'!B37)/SUM('Combined pigs sold to colco (7)'!B35+'Combined pigs sold to colco (7)'!B38),0)</f>
        <v>91.902397260273972</v>
      </c>
      <c r="C18" s="133">
        <f>IFERROR(SUM('Combined total CDM to Colco (7)'!C34+'Combined total CDM to Colco (7)'!C37)/SUM('Combined pigs sold to colco (7)'!C35+'Combined pigs sold to colco (7)'!C38),0)</f>
        <v>93.897784491440078</v>
      </c>
      <c r="D18" s="133">
        <f>IFERROR(SUM('Combined total CDM to Colco (7)'!D34+'Combined total CDM to Colco (7)'!D37)/SUM('Combined pigs sold to colco (7)'!D35+'Combined pigs sold to colco (7)'!D38),0)</f>
        <v>92.361740493923961</v>
      </c>
      <c r="E18" s="133">
        <f>IFERROR(SUM('Combined total CDM to Colco (7)'!E34+'Combined total CDM to Colco (7)'!E37)/SUM('Combined pigs sold to colco (7)'!E35+'Combined pigs sold to colco (7)'!E38),0)</f>
        <v>90.936411736411742</v>
      </c>
      <c r="F18" s="133">
        <f>IFERROR(SUM('Combined total CDM to Colco (7)'!F34+'Combined total CDM to Colco (7)'!F37)/SUM('Combined pigs sold to colco (7)'!F35+'Combined pigs sold to colco (7)'!F38),0)</f>
        <v>90.423282254078117</v>
      </c>
      <c r="G18" s="133">
        <f>IFERROR(SUM('Combined total CDM to Colco (7)'!G34+'Combined total CDM to Colco (7)'!G37)/SUM('Combined pigs sold to colco (7)'!G35+'Combined pigs sold to colco (7)'!G38),0)</f>
        <v>89.066889763779528</v>
      </c>
      <c r="H18" s="133">
        <f>IFERROR(SUM('Combined total CDM to Colco (7)'!H34+'Combined total CDM to Colco (7)'!H37)/SUM('Combined pigs sold to colco (7)'!H35+'Combined pigs sold to colco (7)'!H38),0)</f>
        <v>89.810581506196385</v>
      </c>
      <c r="I18" s="133">
        <f>IFERROR(SUM('Combined total CDM to Colco (7)'!I34+'Combined total CDM to Colco (7)'!I37)/SUM('Combined pigs sold to colco (7)'!I35+'Combined pigs sold to colco (7)'!I38),0)</f>
        <v>89.580375180375185</v>
      </c>
      <c r="J18" s="133">
        <f>IFERROR(SUM('Combined total CDM to Colco (7)'!J34+'Combined total CDM to Colco (7)'!J37)/SUM('Combined pigs sold to colco (7)'!J35+'Combined pigs sold to colco (7)'!J38),0)</f>
        <v>86.185586231624242</v>
      </c>
      <c r="K18" s="133">
        <f>IFERROR(SUM('Combined total CDM to Colco (7)'!K34+'Combined total CDM to Colco (7)'!K37)/SUM('Combined pigs sold to colco (7)'!K35+'Combined pigs sold to colco (7)'!K38),0)</f>
        <v>90.566978346456693</v>
      </c>
      <c r="L18" s="133">
        <f>IFERROR(SUM('Combined total CDM to Colco (7)'!L34+'Combined total CDM to Colco (7)'!L37)/SUM('Combined pigs sold to colco (7)'!L35+'Combined pigs sold to colco (7)'!L38),0)</f>
        <v>87.94496826835902</v>
      </c>
      <c r="M18" s="133">
        <f>IFERROR(SUM('Combined total CDM to Colco (7)'!M34+'Combined total CDM to Colco (7)'!M37)/SUM('Combined pigs sold to colco (7)'!M35+'Combined pigs sold to colco (7)'!M38),0)</f>
        <v>91.390674673260335</v>
      </c>
      <c r="N18" s="141">
        <f>AVERAGE(B18:M18)</f>
        <v>90.338972517181617</v>
      </c>
    </row>
    <row r="19" spans="1:16">
      <c r="A19" s="103" t="s">
        <v>109</v>
      </c>
      <c r="B19" s="134">
        <f>'[3]Richlands Avg CDM over budg (7)'!B18</f>
        <v>90.99419619928095</v>
      </c>
      <c r="C19" s="134">
        <f>'[3]Richlands Avg CDM over budg (7)'!C18</f>
        <v>95.463095238095235</v>
      </c>
      <c r="D19" s="134">
        <f>'[3]Richlands Avg CDM over budg (7)'!D18</f>
        <v>93.946836363636365</v>
      </c>
      <c r="E19" s="134">
        <f>'[3]Richlands Avg CDM over budg (7)'!E18</f>
        <v>95.789555880917533</v>
      </c>
      <c r="F19" s="134">
        <f>'[3]Richlands Avg CDM over budg (7)'!F18</f>
        <v>92.643467702768334</v>
      </c>
      <c r="G19" s="134">
        <f>'[3]Richlands Avg CDM over budg (7)'!G18</f>
        <v>89.455454545454558</v>
      </c>
      <c r="H19" s="134">
        <f>'[3]Richlands Avg CDM over budg (7)'!H18</f>
        <v>96.641706349206345</v>
      </c>
      <c r="I19" s="134">
        <f>'[3]Richlands Avg CDM over budg (7)'!I18</f>
        <v>93.94070208728651</v>
      </c>
      <c r="J19" s="134">
        <f>'[3]Richlands Avg CDM over budg (7)'!J18</f>
        <v>89.452394881170022</v>
      </c>
      <c r="K19" s="134">
        <f>'[3]Richlands Avg CDM over budg (7)'!K18</f>
        <v>89.748077296562442</v>
      </c>
      <c r="L19" s="134">
        <f>'[3]Richlands Avg CDM over budg (7)'!L18</f>
        <v>89.168285939968413</v>
      </c>
      <c r="M19" s="134">
        <f>'[3]Richlands Avg CDM over budg (7)'!M18</f>
        <v>91.447388486465883</v>
      </c>
      <c r="N19" s="141">
        <f>AVERAGE(B19:M19)</f>
        <v>92.390930080901043</v>
      </c>
      <c r="O19" s="125">
        <f>N18-N19</f>
        <v>-2.0519575637194265</v>
      </c>
      <c r="P19" t="s">
        <v>110</v>
      </c>
    </row>
    <row r="20" spans="1:16" ht="15.75" thickBot="1">
      <c r="A20" s="103" t="s">
        <v>88</v>
      </c>
      <c r="B20" s="150">
        <f>'[3]Richlands Avg CDM over budg (7)'!B20</f>
        <v>92.185536062502891</v>
      </c>
      <c r="C20" s="150">
        <f>'[3]Richlands Avg CDM over budg (7)'!C20</f>
        <v>92.308026024756202</v>
      </c>
      <c r="D20" s="150">
        <f>'[3]Richlands Avg CDM over budg (7)'!D20</f>
        <v>89.30387903184851</v>
      </c>
      <c r="E20" s="150">
        <f>'[3]Richlands Avg CDM over budg (7)'!E20</f>
        <v>89.304634166550443</v>
      </c>
      <c r="F20" s="150">
        <f>'[3]Richlands Avg CDM over budg (7)'!F20</f>
        <v>89.304632487264684</v>
      </c>
      <c r="G20" s="150">
        <f>'[3]Richlands Avg CDM over budg (7)'!G20</f>
        <v>89.30443683987086</v>
      </c>
      <c r="H20" s="150">
        <f>'[3]Richlands Avg CDM over budg (7)'!H20</f>
        <v>89.304860070594813</v>
      </c>
      <c r="I20" s="150">
        <f>'[3]Richlands Avg CDM over budg (7)'!I20</f>
        <v>89.33085228233935</v>
      </c>
      <c r="J20" s="150">
        <f>'[3]Richlands Avg CDM over budg (7)'!J20</f>
        <v>89.357735860980057</v>
      </c>
      <c r="K20" s="150">
        <f>'[3]Richlands Avg CDM over budg (7)'!K20</f>
        <v>92.308062597773471</v>
      </c>
      <c r="L20" s="150">
        <f>'[3]Richlands Avg CDM over budg (7)'!L20</f>
        <v>92.308062597773471</v>
      </c>
      <c r="M20" s="150">
        <f>'[3]Richlands Avg CDM over budg (7)'!M20</f>
        <v>92.307552785590474</v>
      </c>
      <c r="N20" s="141">
        <f>AVERAGE(B20:M20)</f>
        <v>90.552355900653765</v>
      </c>
      <c r="O20" s="125">
        <f>N18-N20</f>
        <v>-0.21338338347214858</v>
      </c>
      <c r="P20" t="s">
        <v>182</v>
      </c>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88FBE-4D91-47F8-8E22-F27C9B2819E1}">
  <sheetPr codeName="Sheet79">
    <tabColor rgb="FF00B050"/>
  </sheetPr>
  <dimension ref="A2:Q24"/>
  <sheetViews>
    <sheetView topLeftCell="B1" zoomScale="80" zoomScaleNormal="80" workbookViewId="0">
      <selection activeCell="N24" sqref="N24"/>
    </sheetView>
  </sheetViews>
  <sheetFormatPr defaultRowHeight="15"/>
  <cols>
    <col min="2" max="2" width="12.28515625" bestFit="1" customWidth="1"/>
    <col min="3" max="7" width="12.42578125" bestFit="1" customWidth="1"/>
    <col min="8" max="13" width="12.28515625" bestFit="1" customWidth="1"/>
    <col min="14" max="14" width="14.5703125" customWidth="1"/>
    <col min="15" max="15" width="13.28515625" customWidth="1"/>
  </cols>
  <sheetData>
    <row r="2" spans="17:17">
      <c r="Q2" s="19" t="s">
        <v>176</v>
      </c>
    </row>
    <row r="3" spans="17:17">
      <c r="Q3" s="19" t="s">
        <v>177</v>
      </c>
    </row>
    <row r="4" spans="17:17">
      <c r="Q4" s="19" t="s">
        <v>178</v>
      </c>
    </row>
    <row r="20" spans="1:16" ht="15.75" thickBot="1">
      <c r="A20" s="50"/>
      <c r="B20" s="108">
        <v>45839</v>
      </c>
      <c r="C20" s="108">
        <v>45870</v>
      </c>
      <c r="D20" s="108">
        <v>45901</v>
      </c>
      <c r="E20" s="108">
        <v>45931</v>
      </c>
      <c r="F20" s="108">
        <v>45962</v>
      </c>
      <c r="G20" s="108">
        <v>45992</v>
      </c>
      <c r="H20" s="108">
        <v>46023</v>
      </c>
      <c r="I20" s="108">
        <v>46054</v>
      </c>
      <c r="J20" s="108">
        <v>46082</v>
      </c>
      <c r="K20" s="108">
        <v>46113</v>
      </c>
      <c r="L20" s="108">
        <v>46143</v>
      </c>
      <c r="M20" s="108">
        <v>46174</v>
      </c>
    </row>
    <row r="21" spans="1:16" ht="15.75">
      <c r="A21" s="103" t="s">
        <v>59</v>
      </c>
      <c r="B21" s="136">
        <f>SUM('Combined total CDM to Colco (7)'!B34+'Combined total CDM to Colco (7)'!B37)</f>
        <v>187848.5</v>
      </c>
      <c r="C21" s="136">
        <f>SUM('Combined total CDM to Colco (7)'!C34+'Combined total CDM to Colco (7)'!C37)</f>
        <v>186481</v>
      </c>
      <c r="D21" s="136">
        <f>SUM('Combined total CDM to Colco (7)'!D34+'Combined total CDM to Colco (7)'!D37)</f>
        <v>235614.80000000002</v>
      </c>
      <c r="E21" s="136">
        <f>SUM('Combined total CDM to Colco (7)'!E34+'Combined total CDM to Colco (7)'!E37)</f>
        <v>189056.80000000002</v>
      </c>
      <c r="F21" s="136">
        <f>SUM('Combined total CDM to Colco (7)'!F34+'Combined total CDM to Colco (7)'!F37)</f>
        <v>182926.30000000002</v>
      </c>
      <c r="G21" s="136">
        <f>SUM('Combined total CDM to Colco (7)'!G34+'Combined total CDM to Colco (7)'!G37)</f>
        <v>226229.9</v>
      </c>
      <c r="H21" s="136">
        <f>SUM('Combined total CDM to Colco (7)'!H34+'Combined total CDM to Colco (7)'!H37)</f>
        <v>188422.6</v>
      </c>
      <c r="I21" s="136">
        <f>SUM('Combined total CDM to Colco (7)'!I34+'Combined total CDM to Colco (7)'!I37)</f>
        <v>186237.6</v>
      </c>
      <c r="J21" s="136">
        <f>SUM('Combined total CDM to Colco (7)'!J34+'Combined total CDM to Colco (7)'!J37)</f>
        <v>240371.6</v>
      </c>
      <c r="K21" s="136">
        <f>SUM('Combined total CDM to Colco (7)'!K34+'Combined total CDM to Colco (7)'!K37)</f>
        <v>184032.1</v>
      </c>
      <c r="L21" s="136">
        <f>SUM('Combined total CDM to Colco (7)'!L34+'Combined total CDM to Colco (7)'!L37)</f>
        <v>194006.6</v>
      </c>
      <c r="M21" s="136">
        <f>SUM('Combined total CDM to Colco (7)'!M34+'Combined total CDM to Colco (7)'!M37)</f>
        <v>258727</v>
      </c>
      <c r="N21" s="125">
        <f>SUM(B21:M21)</f>
        <v>2459954.8000000003</v>
      </c>
    </row>
    <row r="22" spans="1:16" ht="16.5" thickBot="1">
      <c r="A22" s="103" t="s">
        <v>118</v>
      </c>
      <c r="B22" s="267">
        <f>'[3]Richlands total CDM to Colc (7)'!B22</f>
        <v>196573.55228318018</v>
      </c>
      <c r="C22" s="267">
        <f>'[3]Richlands total CDM to Colc (7)'!C22</f>
        <v>178402.17654237946</v>
      </c>
      <c r="D22" s="267">
        <f>'[3]Richlands total CDM to Colc (7)'!D22</f>
        <v>224650.22910077398</v>
      </c>
      <c r="E22" s="267">
        <f>'[3]Richlands total CDM to Colc (7)'!E22</f>
        <v>179617.67832022297</v>
      </c>
      <c r="F22" s="267">
        <f>'[3]Richlands total CDM to Colc (7)'!F22</f>
        <v>179617.90614144003</v>
      </c>
      <c r="G22" s="267">
        <f>'[3]Richlands total CDM to Colc (7)'!G22</f>
        <v>224555.56595885061</v>
      </c>
      <c r="H22" s="267">
        <f>'[3]Richlands total CDM to Colc (7)'!H22</f>
        <v>179587.03627004183</v>
      </c>
      <c r="I22" s="267">
        <f>'[3]Richlands total CDM to Colc (7)'!I22</f>
        <v>176130.85952471581</v>
      </c>
      <c r="J22" s="267">
        <f>'[3]Richlands total CDM to Colc (7)'!J22</f>
        <v>215869.21436430834</v>
      </c>
      <c r="K22" s="267">
        <f>'[3]Richlands total CDM to Colc (7)'!K22</f>
        <v>178397.25915592784</v>
      </c>
      <c r="L22" s="267">
        <f>'[3]Richlands total CDM to Colc (7)'!L22</f>
        <v>178397.25915592784</v>
      </c>
      <c r="M22" s="267">
        <f>'[3]Richlands total CDM to Colc (7)'!M22</f>
        <v>223082.28777987143</v>
      </c>
      <c r="N22" s="125">
        <f>SUM(B22:M22)</f>
        <v>2334881.0245976406</v>
      </c>
      <c r="O22" s="125">
        <f>N21-N22</f>
        <v>125073.77540235966</v>
      </c>
      <c r="P22" t="s">
        <v>4</v>
      </c>
    </row>
    <row r="23" spans="1:16">
      <c r="A23" t="s">
        <v>179</v>
      </c>
      <c r="B23" s="199">
        <f>'[3]Richlands total CDM to Colc (7)'!B21</f>
        <v>177165.7</v>
      </c>
      <c r="C23" s="199">
        <f>'[3]Richlands total CDM to Colc (7)'!C21</f>
        <v>160378</v>
      </c>
      <c r="D23" s="199">
        <f>'[3]Richlands total CDM to Colc (7)'!D21</f>
        <v>258353.80000000002</v>
      </c>
      <c r="E23" s="199">
        <f>'[3]Richlands total CDM to Colc (7)'!E21</f>
        <v>196272.80000000002</v>
      </c>
      <c r="F23" s="199">
        <f>'[3]Richlands total CDM to Colc (7)'!F21</f>
        <v>190752.9</v>
      </c>
      <c r="G23" s="199">
        <f>'[3]Richlands total CDM to Colc (7)'!G21</f>
        <v>177121.80000000002</v>
      </c>
      <c r="H23" s="199">
        <f>'[3]Richlands total CDM to Colc (7)'!H21</f>
        <v>243537.1</v>
      </c>
      <c r="I23" s="199">
        <f>'[3]Richlands total CDM to Colc (7)'!I21</f>
        <v>198026.99999999997</v>
      </c>
      <c r="J23" s="199">
        <f>'[3]Richlands total CDM to Colc (7)'!J21</f>
        <v>244652.30000000002</v>
      </c>
      <c r="K23" s="199">
        <f>'[3]Richlands total CDM to Colc (7)'!K21</f>
        <v>145930.37368421053</v>
      </c>
      <c r="L23" s="199">
        <f>'[3]Richlands total CDM to Colc (7)'!L21</f>
        <v>225774.1</v>
      </c>
      <c r="M23" s="199">
        <f>'[3]Richlands total CDM to Colc (7)'!M21</f>
        <v>239866.5</v>
      </c>
      <c r="N23" s="125">
        <f>SUM(B23:M23)</f>
        <v>2457832.3736842107</v>
      </c>
      <c r="O23" s="125">
        <f>N21-N23</f>
        <v>2122.4263157895766</v>
      </c>
      <c r="P23" t="s">
        <v>110</v>
      </c>
    </row>
    <row r="24" spans="1:16">
      <c r="B24" s="125">
        <f>B22/'Richlands Pigs to Colcom (7)'!B21</f>
        <v>92.185536062502891</v>
      </c>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33661-16EF-4A0A-A1BE-5EC4CE7A8AE7}">
  <sheetPr codeName="Sheet80">
    <tabColor rgb="FF00B050"/>
  </sheetPr>
  <dimension ref="A19:P23"/>
  <sheetViews>
    <sheetView zoomScale="90" zoomScaleNormal="90" workbookViewId="0">
      <selection activeCell="B20" sqref="B20:M20"/>
    </sheetView>
  </sheetViews>
  <sheetFormatPr defaultRowHeight="15"/>
  <cols>
    <col min="2" max="13" width="10.140625" bestFit="1" customWidth="1"/>
    <col min="15" max="15" width="10.28515625" bestFit="1" customWidth="1"/>
  </cols>
  <sheetData>
    <row r="19" spans="1:16" ht="15.75" thickBot="1">
      <c r="A19" s="50"/>
      <c r="B19" s="108">
        <v>45839</v>
      </c>
      <c r="C19" s="108">
        <v>45870</v>
      </c>
      <c r="D19" s="108">
        <v>45901</v>
      </c>
      <c r="E19" s="108">
        <v>45931</v>
      </c>
      <c r="F19" s="108">
        <v>45962</v>
      </c>
      <c r="G19" s="108">
        <v>45992</v>
      </c>
      <c r="H19" s="108">
        <v>46023</v>
      </c>
      <c r="I19" s="108">
        <v>46054</v>
      </c>
      <c r="J19" s="108">
        <v>46082</v>
      </c>
      <c r="K19" s="108">
        <v>46113</v>
      </c>
      <c r="L19" s="108">
        <v>46143</v>
      </c>
      <c r="M19" s="108">
        <v>46174</v>
      </c>
    </row>
    <row r="20" spans="1:16" ht="15.75">
      <c r="A20" s="268" t="s">
        <v>59</v>
      </c>
      <c r="B20" s="269">
        <f>'Combined pigs sold to colco (7)'!B35+'Combined pigs sold to colco (7)'!B38</f>
        <v>2044</v>
      </c>
      <c r="C20" s="269">
        <f>'Combined pigs sold to colco (7)'!C35+'Combined pigs sold to colco (7)'!C38</f>
        <v>1986</v>
      </c>
      <c r="D20" s="269">
        <f>'Combined pigs sold to colco (7)'!D35+'Combined pigs sold to colco (7)'!D38</f>
        <v>2551</v>
      </c>
      <c r="E20" s="269">
        <f>'Combined pigs sold to colco (7)'!E35+'Combined pigs sold to colco (7)'!E38</f>
        <v>2079</v>
      </c>
      <c r="F20" s="269">
        <f>'Combined pigs sold to colco (7)'!F35+'Combined pigs sold to colco (7)'!F38</f>
        <v>2023</v>
      </c>
      <c r="G20" s="269">
        <f>'Combined pigs sold to colco (7)'!G35+'Combined pigs sold to colco (7)'!G38</f>
        <v>2540</v>
      </c>
      <c r="H20" s="269">
        <f>'Combined pigs sold to colco (7)'!H35+'Combined pigs sold to colco (7)'!H38</f>
        <v>2098</v>
      </c>
      <c r="I20" s="269">
        <f>'Combined pigs sold to colco (7)'!I35+'Combined pigs sold to colco (7)'!I38</f>
        <v>2079</v>
      </c>
      <c r="J20" s="269">
        <f>'Combined pigs sold to colco (7)'!J35+'Combined pigs sold to colco (7)'!J38</f>
        <v>2789</v>
      </c>
      <c r="K20" s="269">
        <f>'Combined pigs sold to colco (7)'!K35+'Combined pigs sold to colco (7)'!K38</f>
        <v>2032</v>
      </c>
      <c r="L20" s="269">
        <f>'Combined pigs sold to colco (7)'!L35+'Combined pigs sold to colco (7)'!L38</f>
        <v>2206</v>
      </c>
      <c r="M20" s="269">
        <f>'Combined pigs sold to colco (7)'!M35+'Combined pigs sold to colco (7)'!M38</f>
        <v>2831</v>
      </c>
      <c r="N20" s="126">
        <f>SUM(B20:M20)</f>
        <v>27258</v>
      </c>
      <c r="O20" s="125"/>
    </row>
    <row r="21" spans="1:16" ht="16.5" thickBot="1">
      <c r="A21" s="268" t="s">
        <v>120</v>
      </c>
      <c r="B21" s="270">
        <f>'[3]Richlands Pigs to Colcom (7)'!B21</f>
        <v>2132.3687064085734</v>
      </c>
      <c r="C21" s="270">
        <f>'[3]Richlands Pigs to Colcom (7)'!C21</f>
        <v>1932.6832587074666</v>
      </c>
      <c r="D21" s="270">
        <f>'[3]Richlands Pigs to Colcom (7)'!D21</f>
        <v>2515.5707852360679</v>
      </c>
      <c r="E21" s="270">
        <f>'[3]Richlands Pigs to Colcom (7)'!E21</f>
        <v>2011.2917990934427</v>
      </c>
      <c r="F21" s="270">
        <f>'[3]Richlands Pigs to Colcom (7)'!F21</f>
        <v>2011.2943879709096</v>
      </c>
      <c r="G21" s="270">
        <f>'[3]Richlands Pigs to Colcom (7)'!G21</f>
        <v>2514.4950677142115</v>
      </c>
      <c r="H21" s="270">
        <f>'[3]Richlands Pigs to Colcom (7)'!H21</f>
        <v>2010.9435939777482</v>
      </c>
      <c r="I21" s="270">
        <f>'[3]Richlands Pigs to Colcom (7)'!I21</f>
        <v>1971.6688582354068</v>
      </c>
      <c r="J21" s="270">
        <f>'[3]Richlands Pigs to Colcom (7)'!J21</f>
        <v>2415.7865268671403</v>
      </c>
      <c r="K21" s="270">
        <f>'[3]Richlands Pigs to Colcom (7)'!K21</f>
        <v>1932.6292214937125</v>
      </c>
      <c r="L21" s="270">
        <f>'[3]Richlands Pigs to Colcom (7)'!L21</f>
        <v>1932.6292214937125</v>
      </c>
      <c r="M21" s="270">
        <f>'[3]Richlands Pigs to Colcom (7)'!M21</f>
        <v>2416.7284371414444</v>
      </c>
      <c r="N21" s="126">
        <f>SUM(B21:M21)</f>
        <v>25798.08986433984</v>
      </c>
      <c r="O21" s="127">
        <f>N20-N21</f>
        <v>1459.9101356601604</v>
      </c>
      <c r="P21" t="s">
        <v>4</v>
      </c>
    </row>
    <row r="22" spans="1:16">
      <c r="B22">
        <v>2069</v>
      </c>
      <c r="C22">
        <v>1974</v>
      </c>
      <c r="N22" s="126"/>
      <c r="O22" s="126"/>
    </row>
    <row r="23" spans="1:16">
      <c r="B23" s="129">
        <f>B21-B22</f>
        <v>63.368706408573416</v>
      </c>
      <c r="C23" s="129">
        <f>C21-C22</f>
        <v>-41.316741292533379</v>
      </c>
    </row>
  </sheetData>
  <pageMargins left="0.7" right="0.7" top="0.75" bottom="0.75"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05B54-C4BA-4EFD-89CF-4C767C4FB107}">
  <sheetPr codeName="Sheet81">
    <tabColor rgb="FF00B050"/>
  </sheetPr>
  <dimension ref="A2:AX27"/>
  <sheetViews>
    <sheetView zoomScale="90" zoomScaleNormal="90" workbookViewId="0">
      <selection activeCell="A20" sqref="A20:A26"/>
    </sheetView>
  </sheetViews>
  <sheetFormatPr defaultRowHeight="15"/>
  <cols>
    <col min="1" max="1" width="18.140625" bestFit="1" customWidth="1"/>
    <col min="16" max="16" width="11.5703125" bestFit="1" customWidth="1"/>
    <col min="33" max="38" width="14.85546875" customWidth="1"/>
    <col min="39" max="39" width="22" bestFit="1" customWidth="1"/>
  </cols>
  <sheetData>
    <row r="2" spans="33:33">
      <c r="AG2" t="s">
        <v>83</v>
      </c>
    </row>
    <row r="3" spans="33:33">
      <c r="AG3" t="s">
        <v>198</v>
      </c>
    </row>
    <row r="4" spans="33:33">
      <c r="AG4" t="s">
        <v>199</v>
      </c>
    </row>
    <row r="5" spans="33:33">
      <c r="AG5" t="s">
        <v>200</v>
      </c>
    </row>
    <row r="9" spans="33:33">
      <c r="AG9" t="s">
        <v>83</v>
      </c>
    </row>
    <row r="10" spans="33:33">
      <c r="AG10" t="s">
        <v>201</v>
      </c>
    </row>
    <row r="11" spans="33:33">
      <c r="AG11" t="s">
        <v>199</v>
      </c>
    </row>
    <row r="12" spans="33:33">
      <c r="AG12" t="s">
        <v>200</v>
      </c>
    </row>
    <row r="19" spans="1:50" ht="15.75" thickBot="1">
      <c r="A19" s="50"/>
      <c r="B19" s="108">
        <v>44713</v>
      </c>
      <c r="C19" s="108">
        <v>44743</v>
      </c>
      <c r="D19" s="108">
        <v>44774</v>
      </c>
      <c r="E19" s="108">
        <v>44805</v>
      </c>
      <c r="F19" s="108">
        <v>44835</v>
      </c>
      <c r="G19" s="108">
        <v>44866</v>
      </c>
      <c r="H19" s="108">
        <v>44896</v>
      </c>
      <c r="I19" s="108">
        <v>44927</v>
      </c>
      <c r="J19" s="108">
        <v>44958</v>
      </c>
      <c r="K19" s="108">
        <v>44986</v>
      </c>
      <c r="L19" s="108">
        <v>45017</v>
      </c>
      <c r="M19" s="108">
        <v>45047</v>
      </c>
      <c r="N19" s="108">
        <v>45078</v>
      </c>
      <c r="O19" s="108">
        <v>45108</v>
      </c>
      <c r="P19" s="108">
        <v>45139</v>
      </c>
      <c r="Q19" s="108">
        <v>45170</v>
      </c>
      <c r="R19" s="108">
        <v>45200</v>
      </c>
      <c r="S19" s="108">
        <v>45231</v>
      </c>
      <c r="T19" s="108">
        <v>45261</v>
      </c>
      <c r="U19" s="108">
        <v>45292</v>
      </c>
      <c r="V19" s="108">
        <v>45323</v>
      </c>
      <c r="W19" s="108">
        <v>45352</v>
      </c>
      <c r="X19" s="108">
        <v>45383</v>
      </c>
      <c r="Y19" s="108">
        <v>45413</v>
      </c>
      <c r="Z19" s="108">
        <v>45444</v>
      </c>
      <c r="AA19" s="108">
        <v>45474</v>
      </c>
      <c r="AB19" s="108">
        <v>45505</v>
      </c>
      <c r="AC19" s="108">
        <v>45536</v>
      </c>
      <c r="AD19" s="108">
        <v>45566</v>
      </c>
      <c r="AE19" s="108">
        <v>45597</v>
      </c>
      <c r="AF19" s="108">
        <v>45627</v>
      </c>
      <c r="AG19" s="108">
        <v>45658</v>
      </c>
      <c r="AH19" s="108">
        <v>45689</v>
      </c>
      <c r="AI19" s="108">
        <v>45717</v>
      </c>
      <c r="AJ19" s="108">
        <v>45748</v>
      </c>
      <c r="AK19" s="108">
        <v>45778</v>
      </c>
      <c r="AL19" s="108">
        <v>45809</v>
      </c>
      <c r="AM19" s="108">
        <v>45839</v>
      </c>
      <c r="AN19" s="108">
        <v>45870</v>
      </c>
      <c r="AO19" s="108">
        <v>45901</v>
      </c>
      <c r="AP19" s="108">
        <v>45931</v>
      </c>
      <c r="AQ19" s="108">
        <v>45962</v>
      </c>
      <c r="AR19" s="108">
        <v>45992</v>
      </c>
      <c r="AS19" s="108">
        <v>46023</v>
      </c>
      <c r="AT19" s="108">
        <v>46054</v>
      </c>
      <c r="AU19" s="108">
        <v>46082</v>
      </c>
      <c r="AV19" s="108">
        <v>46113</v>
      </c>
      <c r="AW19" s="108">
        <v>46143</v>
      </c>
      <c r="AX19" s="108">
        <v>46174</v>
      </c>
    </row>
    <row r="20" spans="1:50">
      <c r="A20" s="118" t="s">
        <v>83</v>
      </c>
      <c r="B20" s="76">
        <v>1031</v>
      </c>
      <c r="C20" s="58">
        <v>1040</v>
      </c>
      <c r="D20" s="58">
        <v>1055</v>
      </c>
      <c r="E20" s="58">
        <v>990</v>
      </c>
      <c r="F20" s="58">
        <v>1008</v>
      </c>
      <c r="G20" s="58">
        <v>1018</v>
      </c>
      <c r="H20" s="58">
        <v>1021</v>
      </c>
      <c r="I20" s="58">
        <v>1029</v>
      </c>
      <c r="J20" s="58">
        <v>1021</v>
      </c>
      <c r="K20" s="58">
        <v>1014</v>
      </c>
      <c r="L20" s="58">
        <v>1003</v>
      </c>
      <c r="M20" s="58">
        <v>992</v>
      </c>
      <c r="N20" s="58">
        <v>993</v>
      </c>
      <c r="O20" s="58">
        <v>1001</v>
      </c>
      <c r="P20" s="58">
        <v>1010</v>
      </c>
      <c r="Q20" s="58">
        <v>1029</v>
      </c>
      <c r="R20" s="58">
        <v>1038</v>
      </c>
      <c r="S20" s="58">
        <v>1041</v>
      </c>
      <c r="T20" s="58">
        <v>1037</v>
      </c>
      <c r="U20" s="58">
        <v>1039</v>
      </c>
      <c r="V20" s="58">
        <v>1035</v>
      </c>
      <c r="W20" s="58">
        <v>1034.9000000000001</v>
      </c>
      <c r="X20" s="58">
        <v>1009.3</v>
      </c>
      <c r="Y20" s="58">
        <v>1011.1</v>
      </c>
      <c r="Z20" s="59">
        <v>1017.4</v>
      </c>
      <c r="AA20" s="59">
        <v>1022</v>
      </c>
      <c r="AB20" s="59">
        <v>1036</v>
      </c>
      <c r="AC20" s="59">
        <v>1052</v>
      </c>
      <c r="AD20" s="59">
        <v>1044</v>
      </c>
      <c r="AE20" s="59">
        <v>1043</v>
      </c>
      <c r="AF20" s="59">
        <v>1034</v>
      </c>
      <c r="AG20" s="59">
        <v>1026</v>
      </c>
      <c r="AH20" s="59">
        <v>1009</v>
      </c>
      <c r="AI20" s="59">
        <v>1007</v>
      </c>
      <c r="AJ20" s="59">
        <v>1001</v>
      </c>
      <c r="AK20" s="59">
        <v>993.5</v>
      </c>
      <c r="AL20" s="59">
        <v>986</v>
      </c>
      <c r="AM20" s="59">
        <v>989</v>
      </c>
      <c r="AN20" s="59">
        <v>999</v>
      </c>
      <c r="AO20" s="59">
        <v>1011</v>
      </c>
      <c r="AP20" s="59">
        <v>1014</v>
      </c>
      <c r="AQ20" s="59">
        <v>1014</v>
      </c>
      <c r="AR20" s="59">
        <v>1008</v>
      </c>
      <c r="AS20" s="59">
        <v>1015</v>
      </c>
      <c r="AT20" s="59">
        <v>1006</v>
      </c>
      <c r="AU20" s="59">
        <v>999</v>
      </c>
      <c r="AV20" s="59">
        <v>1000</v>
      </c>
      <c r="AW20" s="59">
        <v>996</v>
      </c>
      <c r="AX20" s="59">
        <v>996</v>
      </c>
    </row>
    <row r="21" spans="1:50">
      <c r="A21" s="118" t="s">
        <v>202</v>
      </c>
      <c r="B21" s="109">
        <v>231299.5</v>
      </c>
      <c r="C21" s="50">
        <v>265849.5</v>
      </c>
      <c r="D21" s="50">
        <v>188640.59999999998</v>
      </c>
      <c r="E21" s="50">
        <v>239068.20000000004</v>
      </c>
      <c r="F21" s="50">
        <v>190661.30000000002</v>
      </c>
      <c r="G21" s="50">
        <v>187439.69999999998</v>
      </c>
      <c r="H21" s="50">
        <v>243550.6</v>
      </c>
      <c r="I21" s="50">
        <v>144439.29999999999</v>
      </c>
      <c r="J21" s="50">
        <v>212020.1</v>
      </c>
      <c r="K21" s="50">
        <v>248229.3</v>
      </c>
      <c r="L21" s="50">
        <v>197646.1</v>
      </c>
      <c r="M21" s="50">
        <v>194985</v>
      </c>
      <c r="N21" s="50">
        <v>256632</v>
      </c>
      <c r="O21" s="50">
        <f>SUM('[2]Combined total CDM to Colco (7)'!B39+'[2]Combined total CDM to Colco (7)'!B40+'[2]Combined total CDM to Colco (7)'!B41)</f>
        <v>220950.7</v>
      </c>
      <c r="P21" s="50">
        <v>181625.00000000003</v>
      </c>
      <c r="Q21" s="50">
        <v>266031.5</v>
      </c>
      <c r="R21" s="50">
        <v>191202.00000000003</v>
      </c>
      <c r="S21" s="50">
        <v>190852.70000000004</v>
      </c>
      <c r="T21" s="50">
        <v>240408.7</v>
      </c>
      <c r="U21" s="50">
        <v>180487.19999999998</v>
      </c>
      <c r="V21" s="50">
        <v>197373.8</v>
      </c>
      <c r="W21" s="50">
        <v>243176.53999999998</v>
      </c>
      <c r="X21" s="50">
        <v>200923.9</v>
      </c>
      <c r="Y21" s="50">
        <v>203662.3</v>
      </c>
      <c r="Z21" s="50">
        <v>252113.60000000003</v>
      </c>
      <c r="AA21" s="50">
        <f>'[2]Combined total CDM to Colco (7)'!B39+'[2]Combined total CDM to Colco (7)'!B40+'[2]Combined total CDM to Colco (7)'!B41</f>
        <v>220950.7</v>
      </c>
      <c r="AB21" s="50">
        <f>'[2]Combined total CDM to Colco (7)'!C39+'[2]Combined total CDM to Colco (7)'!C40+'[2]Combined total CDM to Colco (7)'!C41</f>
        <v>205054</v>
      </c>
      <c r="AC21" s="50">
        <f>'[2]Combined total CDM to Colco (7)'!D39+'[2]Combined total CDM to Colco (7)'!D40+'[2]Combined total CDM to Colco (7)'!D41</f>
        <v>297895.10000000003</v>
      </c>
      <c r="AD21" s="50">
        <f>'[2]Combined total CDM to Colco (7)'!E39+'[2]Combined total CDM to Colco (7)'!E40+'[2]Combined total CDM to Colco (7)'!E41</f>
        <v>227913.7</v>
      </c>
      <c r="AE21" s="50">
        <f>'[2]Combined total CDM to Colco (7)'!F39+'[2]Combined total CDM to Colco (7)'!F40+'[2]Combined total CDM to Colco (7)'!F41</f>
        <v>217943.8</v>
      </c>
      <c r="AF21" s="50">
        <f>'[2]Combined total CDM to Colco (7)'!G39+'[2]Combined total CDM to Colco (7)'!G40+'[2]Combined total CDM to Colco (7)'!G41</f>
        <v>211318.90000000002</v>
      </c>
      <c r="AG21" s="50">
        <f>'[2]Combined total CDM to Colco (7)'!H39+'[2]Combined total CDM to Colco (7)'!H40+'[2]Combined total CDM to Colco (7)'!H41</f>
        <v>266612.8</v>
      </c>
      <c r="AH21" s="50">
        <f>'[2]Combined total CDM to Colco (7)'!I39+'[2]Combined total CDM to Colco (7)'!I40+'[2]Combined total CDM to Colco (7)'!I41</f>
        <v>222387.89999999997</v>
      </c>
      <c r="AI21" s="50">
        <f>'[2]Combined total CDM to Colco (7)'!J39+'[2]Combined total CDM to Colco (7)'!J40+'[2]Combined total CDM to Colco (7)'!J41</f>
        <v>276163.7</v>
      </c>
      <c r="AJ21" s="50">
        <f>'[2]Combined total CDM to Colco (7)'!K39+'[2]Combined total CDM to Colco (7)'!K40+'[2]Combined total CDM to Colco (7)'!K41</f>
        <v>173078.9736842105</v>
      </c>
      <c r="AK21" s="50">
        <f>'[2]Combined total CDM to Colco (7)'!L39+'[2]Combined total CDM to Colco (7)'!L40+'[2]Combined total CDM to Colco (7)'!L41</f>
        <v>246552.40000000002</v>
      </c>
      <c r="AL21" s="50">
        <f>'[2]Combined total CDM to Colco (7)'!M39+'[2]Combined total CDM to Colco (7)'!M40+'[2]Combined total CDM to Colco (7)'!M41</f>
        <v>282311.40000000002</v>
      </c>
      <c r="AM21" s="50">
        <f>'Combined total CDM to Colco (7)'!B34+'Combined total CDM to Colco (7)'!B35+'Combined total CDM to Colco (7)'!B36</f>
        <v>226309</v>
      </c>
      <c r="AN21" s="50">
        <f>'Combined total CDM to Colco (7)'!C34+'Combined total CDM to Colco (7)'!C35+'Combined total CDM to Colco (7)'!C36</f>
        <v>236588.89999999997</v>
      </c>
      <c r="AO21" s="50">
        <f>'Combined total CDM to Colco (7)'!D34+'Combined total CDM to Colco (7)'!D35+'Combined total CDM to Colco (7)'!D36</f>
        <v>280306.5</v>
      </c>
      <c r="AP21" s="50">
        <f>'Combined total CDM to Colco (7)'!E34+'Combined total CDM to Colco (7)'!E35+'Combined total CDM to Colco (7)'!E36</f>
        <v>207317.9</v>
      </c>
      <c r="AQ21" s="50">
        <f>'Combined total CDM to Colco (7)'!F34+'Combined total CDM to Colco (7)'!F35+'Combined total CDM to Colco (7)'!F36</f>
        <v>194513.00000000003</v>
      </c>
      <c r="AR21" s="50">
        <f>'Combined total CDM to Colco (7)'!G34+'Combined total CDM to Colco (7)'!G35+'Combined total CDM to Colco (7)'!G36</f>
        <v>270550</v>
      </c>
      <c r="AS21" s="50">
        <f>'Combined total CDM to Colco (7)'!H34+'Combined total CDM to Colco (7)'!H35+'Combined total CDM to Colco (7)'!H36</f>
        <v>219210.5</v>
      </c>
      <c r="AT21" s="50">
        <f>'Combined total CDM to Colco (7)'!I34+'Combined total CDM to Colco (7)'!I35+'Combined total CDM to Colco (7)'!I36</f>
        <v>231658.8</v>
      </c>
      <c r="AU21" s="50">
        <f>'Combined total CDM to Colco (7)'!J34+'Combined total CDM to Colco (7)'!J35+'Combined total CDM to Colco (7)'!J36</f>
        <v>270787.3</v>
      </c>
      <c r="AV21" s="50">
        <f>'Combined total CDM to Colco (7)'!K34+'Combined total CDM to Colco (7)'!K35+'Combined total CDM to Colco (7)'!K36</f>
        <v>205903.59999999998</v>
      </c>
      <c r="AW21" s="50">
        <f>'Combined total CDM to Colco (7)'!L34+'Combined total CDM to Colco (7)'!L35+'Combined total CDM to Colco (7)'!L36</f>
        <v>219776.30000000002</v>
      </c>
      <c r="AX21" s="50">
        <f>'Combined total CDM to Colco (7)'!M34+'Combined total CDM to Colco (7)'!M35+'Combined total CDM to Colco (7)'!M36</f>
        <v>286905.69999999995</v>
      </c>
    </row>
    <row r="22" spans="1:50">
      <c r="A22" s="118" t="s">
        <v>85</v>
      </c>
      <c r="B22" s="109">
        <v>1042.0833333333333</v>
      </c>
      <c r="C22" s="50">
        <v>1042.0833333333333</v>
      </c>
      <c r="D22" s="50">
        <v>1042.0833333333333</v>
      </c>
      <c r="E22" s="50">
        <v>1035.6666666666667</v>
      </c>
      <c r="F22" s="50">
        <v>1030.6666666666667</v>
      </c>
      <c r="G22" s="50">
        <v>1026</v>
      </c>
      <c r="H22" s="50">
        <v>1022.3333333333334</v>
      </c>
      <c r="I22" s="50">
        <v>1020.75</v>
      </c>
      <c r="J22" s="50">
        <v>1020.3333333333334</v>
      </c>
      <c r="K22" s="50">
        <v>1021</v>
      </c>
      <c r="L22" s="50">
        <v>1021.3333333333334</v>
      </c>
      <c r="M22" s="50">
        <v>1018.5</v>
      </c>
      <c r="N22" s="50">
        <v>1015.3333333333334</v>
      </c>
      <c r="O22" s="50">
        <f t="shared" ref="O22:AL22" si="0">AVERAGE(D20:O20)</f>
        <v>1012.0833333333334</v>
      </c>
      <c r="P22" s="50">
        <f t="shared" si="0"/>
        <v>1008.3333333333334</v>
      </c>
      <c r="Q22" s="50">
        <f t="shared" si="0"/>
        <v>1011.5833333333334</v>
      </c>
      <c r="R22" s="50">
        <f t="shared" si="0"/>
        <v>1014.0833333333334</v>
      </c>
      <c r="S22" s="50">
        <f t="shared" si="0"/>
        <v>1016</v>
      </c>
      <c r="T22" s="50">
        <f t="shared" si="0"/>
        <v>1017.3333333333334</v>
      </c>
      <c r="U22" s="50">
        <f t="shared" si="0"/>
        <v>1018.1666666666666</v>
      </c>
      <c r="V22" s="50">
        <f t="shared" si="0"/>
        <v>1019.3333333333334</v>
      </c>
      <c r="W22" s="50">
        <f t="shared" si="0"/>
        <v>1021.0749999999999</v>
      </c>
      <c r="X22" s="50">
        <f t="shared" si="0"/>
        <v>1021.5999999999999</v>
      </c>
      <c r="Y22" s="50">
        <f t="shared" si="0"/>
        <v>1023.1916666666666</v>
      </c>
      <c r="Z22" s="50">
        <f t="shared" si="0"/>
        <v>1025.2249999999999</v>
      </c>
      <c r="AA22" s="50">
        <f t="shared" si="0"/>
        <v>1026.9749999999999</v>
      </c>
      <c r="AB22" s="50">
        <f t="shared" si="0"/>
        <v>1029.1416666666667</v>
      </c>
      <c r="AC22" s="50">
        <f t="shared" si="0"/>
        <v>1031.0583333333332</v>
      </c>
      <c r="AD22" s="50">
        <f t="shared" si="0"/>
        <v>1031.5583333333334</v>
      </c>
      <c r="AE22" s="50">
        <f t="shared" si="0"/>
        <v>1031.7250000000001</v>
      </c>
      <c r="AF22" s="50">
        <f t="shared" si="0"/>
        <v>1031.4750000000001</v>
      </c>
      <c r="AG22" s="50">
        <f t="shared" si="0"/>
        <v>1030.3916666666667</v>
      </c>
      <c r="AH22" s="50">
        <f t="shared" si="0"/>
        <v>1028.2250000000001</v>
      </c>
      <c r="AI22" s="50">
        <f t="shared" si="0"/>
        <v>1025.8999999999999</v>
      </c>
      <c r="AJ22" s="50">
        <f t="shared" si="0"/>
        <v>1025.2083333333333</v>
      </c>
      <c r="AK22" s="50">
        <f t="shared" si="0"/>
        <v>1023.7416666666667</v>
      </c>
      <c r="AL22" s="50">
        <f t="shared" si="0"/>
        <v>1021.125</v>
      </c>
      <c r="AM22" s="50">
        <f t="shared" ref="AM22:AR22" si="1">AVERAGE(AB20:AM20)</f>
        <v>1018.375</v>
      </c>
      <c r="AN22" s="50">
        <f t="shared" si="1"/>
        <v>1015.2916666666666</v>
      </c>
      <c r="AO22" s="50">
        <f t="shared" si="1"/>
        <v>1011.875</v>
      </c>
      <c r="AP22" s="50">
        <f t="shared" si="1"/>
        <v>1009.375</v>
      </c>
      <c r="AQ22" s="50">
        <f t="shared" si="1"/>
        <v>1006.9583333333334</v>
      </c>
      <c r="AR22" s="50">
        <f t="shared" si="1"/>
        <v>1004.7916666666666</v>
      </c>
      <c r="AS22" s="50">
        <f>AVERAGE(AH20:AS20)</f>
        <v>1003.875</v>
      </c>
      <c r="AT22" s="50">
        <f>AVERAGE(AI20:AT20)</f>
        <v>1003.625</v>
      </c>
      <c r="AU22" s="50">
        <f t="shared" ref="AU22" si="2">AVERAGE(AJ20:AU20)</f>
        <v>1002.9583333333334</v>
      </c>
      <c r="AV22" s="50">
        <f t="shared" ref="AV22" si="3">AVERAGE(AK20:AV20)</f>
        <v>1002.875</v>
      </c>
      <c r="AW22" s="50">
        <f t="shared" ref="AW22:AX22" si="4">AVERAGE(AL20:AW20)</f>
        <v>1003.0833333333334</v>
      </c>
      <c r="AX22" s="50">
        <f t="shared" si="4"/>
        <v>1003.9166666666666</v>
      </c>
    </row>
    <row r="23" spans="1:50" ht="15.75" thickBot="1">
      <c r="A23" s="118" t="s">
        <v>86</v>
      </c>
      <c r="B23" s="110">
        <v>2440244.7308063544</v>
      </c>
      <c r="C23" s="104">
        <v>2530068.0308063542</v>
      </c>
      <c r="D23" s="104">
        <v>2536937.738552833</v>
      </c>
      <c r="E23" s="104">
        <v>2499081.6166497809</v>
      </c>
      <c r="F23" s="104">
        <v>2510905.6166497809</v>
      </c>
      <c r="G23" s="104">
        <v>2523154.9319607858</v>
      </c>
      <c r="H23" s="104">
        <v>2544805.8048714488</v>
      </c>
      <c r="I23" s="104">
        <v>2492652.4735090192</v>
      </c>
      <c r="J23" s="104">
        <v>2509699.8760326179</v>
      </c>
      <c r="K23" s="104">
        <v>2510006.9</v>
      </c>
      <c r="L23" s="104">
        <v>2569236.4</v>
      </c>
      <c r="M23" s="104">
        <v>2543829.2000000002</v>
      </c>
      <c r="N23" s="104">
        <v>2569161.7000000002</v>
      </c>
      <c r="O23" s="104">
        <f t="shared" ref="O23:AL23" si="5">SUM(D21:O21)</f>
        <v>2524262.9000000004</v>
      </c>
      <c r="P23" s="104">
        <f t="shared" si="5"/>
        <v>2517247.3000000007</v>
      </c>
      <c r="Q23" s="104">
        <f t="shared" si="5"/>
        <v>2544210.6</v>
      </c>
      <c r="R23" s="104">
        <f t="shared" si="5"/>
        <v>2544751.2999999998</v>
      </c>
      <c r="S23" s="104">
        <f t="shared" si="5"/>
        <v>2548164.2999999998</v>
      </c>
      <c r="T23" s="104">
        <f t="shared" si="5"/>
        <v>2545022.4000000004</v>
      </c>
      <c r="U23" s="104">
        <f t="shared" si="5"/>
        <v>2581070.3000000003</v>
      </c>
      <c r="V23" s="104">
        <f t="shared" si="5"/>
        <v>2566424</v>
      </c>
      <c r="W23" s="104">
        <f t="shared" si="5"/>
        <v>2561371.2399999998</v>
      </c>
      <c r="X23" s="104">
        <f t="shared" si="5"/>
        <v>2564649.0399999996</v>
      </c>
      <c r="Y23" s="104">
        <f t="shared" si="5"/>
        <v>2573326.34</v>
      </c>
      <c r="Z23" s="104">
        <f t="shared" si="5"/>
        <v>2568807.94</v>
      </c>
      <c r="AA23" s="104">
        <f t="shared" si="5"/>
        <v>2568807.9400000004</v>
      </c>
      <c r="AB23" s="104">
        <f t="shared" si="5"/>
        <v>2592236.9400000004</v>
      </c>
      <c r="AC23" s="104">
        <f t="shared" si="5"/>
        <v>2624100.5400000005</v>
      </c>
      <c r="AD23" s="104">
        <f t="shared" si="5"/>
        <v>2660812.2400000002</v>
      </c>
      <c r="AE23" s="104">
        <f t="shared" si="5"/>
        <v>2687903.34</v>
      </c>
      <c r="AF23" s="104">
        <f t="shared" si="5"/>
        <v>2658813.54</v>
      </c>
      <c r="AG23" s="104">
        <f t="shared" si="5"/>
        <v>2744939.1399999997</v>
      </c>
      <c r="AH23" s="104">
        <f t="shared" si="5"/>
        <v>2769953.2399999998</v>
      </c>
      <c r="AI23" s="104">
        <f t="shared" si="5"/>
        <v>2802940.4</v>
      </c>
      <c r="AJ23" s="104">
        <f t="shared" si="5"/>
        <v>2775095.4736842103</v>
      </c>
      <c r="AK23" s="104">
        <f t="shared" si="5"/>
        <v>2817985.5736842109</v>
      </c>
      <c r="AL23" s="104">
        <f t="shared" si="5"/>
        <v>2848183.3736842102</v>
      </c>
      <c r="AM23" s="104">
        <f t="shared" ref="AM23:AR23" si="6">SUM(AB21:AM21)</f>
        <v>2853541.6736842101</v>
      </c>
      <c r="AN23" s="104">
        <f t="shared" si="6"/>
        <v>2885076.5736842104</v>
      </c>
      <c r="AO23" s="104">
        <f t="shared" si="6"/>
        <v>2867487.9736842103</v>
      </c>
      <c r="AP23" s="104">
        <f t="shared" si="6"/>
        <v>2846892.1736842101</v>
      </c>
      <c r="AQ23" s="104">
        <f t="shared" si="6"/>
        <v>2823461.3736842102</v>
      </c>
      <c r="AR23" s="104">
        <f t="shared" si="6"/>
        <v>2882692.4736842103</v>
      </c>
      <c r="AS23" s="104">
        <f>SUM(AH21:AS21)</f>
        <v>2835290.1736842105</v>
      </c>
      <c r="AT23" s="104">
        <f>SUM(AI21:AT21)</f>
        <v>2844561.0736842104</v>
      </c>
      <c r="AU23" s="104">
        <f t="shared" ref="AU23" si="7">SUM(AJ21:AU21)</f>
        <v>2839184.6736842101</v>
      </c>
      <c r="AV23" s="104">
        <f t="shared" ref="AV23" si="8">SUM(AK21:AV21)</f>
        <v>2872009.2999999993</v>
      </c>
      <c r="AW23" s="104">
        <f t="shared" ref="AW23:AX23" si="9">SUM(AL21:AW21)</f>
        <v>2845233.1999999997</v>
      </c>
      <c r="AX23" s="104">
        <f t="shared" si="9"/>
        <v>2849827.5</v>
      </c>
    </row>
    <row r="24" spans="1:50" ht="15.75" thickBot="1">
      <c r="A24" s="117"/>
      <c r="B24" s="119">
        <v>44713</v>
      </c>
      <c r="C24" s="119">
        <v>44743</v>
      </c>
      <c r="D24" s="119">
        <v>44774</v>
      </c>
      <c r="E24" s="119">
        <v>44805</v>
      </c>
      <c r="F24" s="119">
        <v>44835</v>
      </c>
      <c r="G24" s="119">
        <v>44866</v>
      </c>
      <c r="H24" s="119">
        <v>44896</v>
      </c>
      <c r="I24" s="119">
        <v>44927</v>
      </c>
      <c r="J24" s="119">
        <v>44958</v>
      </c>
      <c r="K24" s="119">
        <v>44986</v>
      </c>
      <c r="L24" s="119">
        <v>45017</v>
      </c>
      <c r="M24" s="119">
        <v>45047</v>
      </c>
      <c r="N24" s="119">
        <v>45078</v>
      </c>
      <c r="O24" s="119">
        <v>45108</v>
      </c>
      <c r="P24" s="119">
        <v>45139</v>
      </c>
      <c r="Q24" s="119">
        <v>45170</v>
      </c>
      <c r="R24" s="119">
        <v>45200</v>
      </c>
      <c r="S24" s="119">
        <v>45231</v>
      </c>
      <c r="T24" s="119">
        <v>45261</v>
      </c>
      <c r="U24" s="119">
        <v>45292</v>
      </c>
      <c r="V24" s="119">
        <v>45323</v>
      </c>
      <c r="W24" s="119">
        <v>45352</v>
      </c>
      <c r="X24" s="119">
        <v>45383</v>
      </c>
      <c r="Y24" s="119">
        <v>45413</v>
      </c>
      <c r="Z24" s="119">
        <v>45444</v>
      </c>
      <c r="AA24" s="119">
        <v>45474</v>
      </c>
      <c r="AB24" s="119">
        <v>45505</v>
      </c>
      <c r="AC24" s="119">
        <v>45536</v>
      </c>
      <c r="AD24" s="119">
        <v>45566</v>
      </c>
      <c r="AE24" s="119">
        <v>45597</v>
      </c>
      <c r="AF24" s="119">
        <v>45627</v>
      </c>
      <c r="AG24" s="119">
        <v>45658</v>
      </c>
      <c r="AH24" s="119">
        <v>45689</v>
      </c>
      <c r="AI24" s="119">
        <v>45717</v>
      </c>
      <c r="AJ24" s="119">
        <v>45748</v>
      </c>
      <c r="AK24" s="119">
        <v>45778</v>
      </c>
      <c r="AL24" s="119">
        <v>45809</v>
      </c>
      <c r="AM24" s="119">
        <v>45839</v>
      </c>
      <c r="AN24" s="119">
        <v>45870</v>
      </c>
      <c r="AO24" s="119">
        <v>45901</v>
      </c>
      <c r="AP24" s="119">
        <v>45931</v>
      </c>
      <c r="AQ24" s="119">
        <v>45962</v>
      </c>
      <c r="AR24" s="119">
        <v>45992</v>
      </c>
      <c r="AS24" s="119">
        <v>46023</v>
      </c>
      <c r="AT24" s="119">
        <v>46054</v>
      </c>
      <c r="AU24" s="119">
        <v>46082</v>
      </c>
      <c r="AV24" s="119">
        <v>46113</v>
      </c>
      <c r="AW24" s="119">
        <v>46143</v>
      </c>
      <c r="AX24" s="119">
        <v>46174</v>
      </c>
    </row>
    <row r="25" spans="1:50">
      <c r="A25" s="118" t="s">
        <v>87</v>
      </c>
      <c r="B25" s="76">
        <v>2341.6982622691926</v>
      </c>
      <c r="C25" s="58">
        <v>2427.894151913335</v>
      </c>
      <c r="D25" s="58">
        <v>2434.4864344369453</v>
      </c>
      <c r="E25" s="58">
        <v>2413.0173318150441</v>
      </c>
      <c r="F25" s="58">
        <v>2436.1956177067732</v>
      </c>
      <c r="G25" s="58">
        <v>2459.2153332951129</v>
      </c>
      <c r="H25" s="58">
        <v>2489.2133728771914</v>
      </c>
      <c r="I25" s="58">
        <v>2441.9813602831441</v>
      </c>
      <c r="J25" s="58">
        <v>2459.6862555040357</v>
      </c>
      <c r="K25" s="58">
        <v>2458.3809010773753</v>
      </c>
      <c r="L25" s="58">
        <v>2515.5708877284592</v>
      </c>
      <c r="M25" s="58">
        <v>2497.6231713303882</v>
      </c>
      <c r="N25" s="58">
        <v>2530.3628036769533</v>
      </c>
      <c r="O25" s="58">
        <f t="shared" ref="O25:AL25" si="10">O23/O22</f>
        <v>2494.1255496088929</v>
      </c>
      <c r="P25" s="58">
        <f t="shared" si="10"/>
        <v>2496.4436033057859</v>
      </c>
      <c r="Q25" s="58">
        <f t="shared" si="10"/>
        <v>2515.0776175961778</v>
      </c>
      <c r="R25" s="58">
        <f t="shared" si="10"/>
        <v>2509.4104363546712</v>
      </c>
      <c r="S25" s="58">
        <f t="shared" si="10"/>
        <v>2508.0357283464564</v>
      </c>
      <c r="T25" s="58">
        <f t="shared" si="10"/>
        <v>2501.6602883355181</v>
      </c>
      <c r="U25" s="58">
        <f t="shared" si="10"/>
        <v>2535.0174824030123</v>
      </c>
      <c r="V25" s="58">
        <f t="shared" si="10"/>
        <v>2517.7475474166122</v>
      </c>
      <c r="W25" s="58">
        <f t="shared" si="10"/>
        <v>2508.5045075043458</v>
      </c>
      <c r="X25" s="58">
        <f t="shared" si="10"/>
        <v>2510.4238841033671</v>
      </c>
      <c r="Y25" s="58">
        <f t="shared" si="10"/>
        <v>2514.9993142373128</v>
      </c>
      <c r="Z25" s="58">
        <f t="shared" si="10"/>
        <v>2505.6040771537955</v>
      </c>
      <c r="AA25" s="58">
        <f t="shared" si="10"/>
        <v>2501.3344433895672</v>
      </c>
      <c r="AB25" s="58">
        <f t="shared" si="10"/>
        <v>2518.8339214717771</v>
      </c>
      <c r="AC25" s="58">
        <f t="shared" si="10"/>
        <v>2545.0553622087346</v>
      </c>
      <c r="AD25" s="107">
        <f t="shared" si="10"/>
        <v>2579.4103484210782</v>
      </c>
      <c r="AE25" s="107">
        <f t="shared" si="10"/>
        <v>2605.2517289006273</v>
      </c>
      <c r="AF25" s="107">
        <f t="shared" si="10"/>
        <v>2577.6810295935429</v>
      </c>
      <c r="AG25" s="107">
        <f t="shared" si="10"/>
        <v>2663.9764555549264</v>
      </c>
      <c r="AH25" s="107">
        <f t="shared" si="10"/>
        <v>2693.9174207979763</v>
      </c>
      <c r="AI25" s="107">
        <f t="shared" si="10"/>
        <v>2732.1770153036359</v>
      </c>
      <c r="AJ25" s="107">
        <f t="shared" si="10"/>
        <v>2706.8600434229243</v>
      </c>
      <c r="AK25" s="107">
        <f t="shared" si="10"/>
        <v>2752.6334674446298</v>
      </c>
      <c r="AL25" s="107">
        <f t="shared" si="10"/>
        <v>2789.2602508842797</v>
      </c>
      <c r="AM25" s="107">
        <f>AM23/AM22</f>
        <v>2802.0539326713738</v>
      </c>
      <c r="AN25" s="107">
        <f>AN23/AN22</f>
        <v>2841.6234156203495</v>
      </c>
      <c r="AO25" s="107">
        <f>AO23/AO22</f>
        <v>2833.8361691752543</v>
      </c>
      <c r="AP25" s="107">
        <f t="shared" ref="AP25:AQ25" si="11">AP23/AP22</f>
        <v>2820.450450708815</v>
      </c>
      <c r="AQ25" s="107">
        <f t="shared" si="11"/>
        <v>2803.9505510994763</v>
      </c>
      <c r="AR25" s="107">
        <f t="shared" ref="AR25:AS25" si="12">AR23/AR22</f>
        <v>2868.9454434344207</v>
      </c>
      <c r="AS25" s="107">
        <f t="shared" si="12"/>
        <v>2824.3458335790915</v>
      </c>
      <c r="AT25" s="107">
        <f t="shared" ref="AT25:AU25" si="13">AT23/AT22</f>
        <v>2834.2867840918775</v>
      </c>
      <c r="AU25" s="107">
        <f t="shared" si="13"/>
        <v>2830.8101935283553</v>
      </c>
      <c r="AV25" s="107">
        <f t="shared" ref="AV25:AW25" si="14">AV23/AV22</f>
        <v>2863.7759441605376</v>
      </c>
      <c r="AW25" s="107">
        <f t="shared" si="14"/>
        <v>2836.4873639611196</v>
      </c>
      <c r="AX25" s="107">
        <f t="shared" ref="AX25" si="15">AX23/AX22</f>
        <v>2838.7092222129991</v>
      </c>
    </row>
    <row r="26" spans="1:50" ht="15.75" thickBot="1">
      <c r="A26" s="118" t="s">
        <v>88</v>
      </c>
      <c r="B26" s="60">
        <v>2400</v>
      </c>
      <c r="C26" s="46">
        <v>2400</v>
      </c>
      <c r="D26" s="46">
        <v>2400</v>
      </c>
      <c r="E26" s="45">
        <v>2400</v>
      </c>
      <c r="F26" s="45">
        <v>2500</v>
      </c>
      <c r="G26" s="45">
        <v>2500</v>
      </c>
      <c r="H26" s="45">
        <v>2500</v>
      </c>
      <c r="I26" s="45">
        <v>2500</v>
      </c>
      <c r="J26" s="45">
        <v>2500</v>
      </c>
      <c r="K26" s="45">
        <v>2500</v>
      </c>
      <c r="L26" s="45">
        <v>2500</v>
      </c>
      <c r="M26" s="45">
        <v>2500</v>
      </c>
      <c r="N26" s="45">
        <v>2500</v>
      </c>
      <c r="O26" s="45">
        <v>2500</v>
      </c>
      <c r="P26" s="45">
        <v>2500</v>
      </c>
      <c r="Q26" s="45">
        <v>2500</v>
      </c>
      <c r="R26" s="45">
        <v>2500</v>
      </c>
      <c r="S26" s="45">
        <v>2500</v>
      </c>
      <c r="T26" s="45">
        <v>2600</v>
      </c>
      <c r="U26" s="45">
        <v>2600</v>
      </c>
      <c r="V26" s="45">
        <v>2600</v>
      </c>
      <c r="W26" s="45">
        <v>2600</v>
      </c>
      <c r="X26" s="45">
        <v>2600</v>
      </c>
      <c r="Y26" s="114">
        <v>2600</v>
      </c>
      <c r="Z26" s="114">
        <v>2600</v>
      </c>
      <c r="AA26" s="114">
        <v>2600</v>
      </c>
      <c r="AB26" s="114">
        <v>2600</v>
      </c>
      <c r="AC26" s="114">
        <v>2600</v>
      </c>
      <c r="AD26" s="114">
        <v>2600</v>
      </c>
      <c r="AE26" s="114">
        <v>2600</v>
      </c>
      <c r="AF26" s="114">
        <v>2600</v>
      </c>
      <c r="AG26" s="114">
        <v>2887</v>
      </c>
      <c r="AH26" s="114">
        <v>2887</v>
      </c>
      <c r="AI26" s="114">
        <v>2887</v>
      </c>
      <c r="AJ26" s="114">
        <v>2887</v>
      </c>
      <c r="AK26" s="114">
        <v>2887</v>
      </c>
      <c r="AL26" s="114">
        <v>2887</v>
      </c>
      <c r="AM26" s="114">
        <v>3000</v>
      </c>
      <c r="AN26" s="114">
        <v>3000</v>
      </c>
      <c r="AO26" s="114">
        <v>3000</v>
      </c>
      <c r="AP26" s="114">
        <v>3000</v>
      </c>
      <c r="AQ26" s="114">
        <v>3000</v>
      </c>
      <c r="AR26" s="114">
        <v>3000</v>
      </c>
      <c r="AS26" s="114">
        <v>3000</v>
      </c>
      <c r="AT26" s="114">
        <v>3000</v>
      </c>
      <c r="AU26" s="114">
        <v>3000</v>
      </c>
      <c r="AV26" s="114">
        <v>3000</v>
      </c>
      <c r="AW26" s="114">
        <v>3000</v>
      </c>
      <c r="AX26" s="114">
        <v>3000</v>
      </c>
    </row>
    <row r="27" spans="1:50">
      <c r="AB27">
        <f>AC27</f>
        <v>0</v>
      </c>
      <c r="AC27">
        <f>AM6</f>
        <v>0</v>
      </c>
      <c r="AD27">
        <f>AM13</f>
        <v>0</v>
      </c>
      <c r="AE27">
        <f>AN20</f>
        <v>999</v>
      </c>
      <c r="AF27">
        <f>AN26</f>
        <v>3000</v>
      </c>
      <c r="AG27">
        <f>AN32</f>
        <v>0</v>
      </c>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BBD4-CD6D-4E0A-A197-28D795F6A218}">
  <sheetPr codeName="Sheet82">
    <tabColor rgb="FF00B050"/>
  </sheetPr>
  <dimension ref="A17:P26"/>
  <sheetViews>
    <sheetView zoomScale="90" zoomScaleNormal="90" workbookViewId="0">
      <selection activeCell="M19" sqref="M19"/>
    </sheetView>
  </sheetViews>
  <sheetFormatPr defaultRowHeight="15"/>
  <sheetData>
    <row r="17" spans="1:16" ht="15.75" thickBot="1"/>
    <row r="18" spans="1:16" ht="15.75" thickBot="1">
      <c r="A18" s="301"/>
      <c r="B18" s="316">
        <v>45839</v>
      </c>
      <c r="C18" s="316">
        <v>45870</v>
      </c>
      <c r="D18" s="316">
        <v>45901</v>
      </c>
      <c r="E18" s="316">
        <v>45931</v>
      </c>
      <c r="F18" s="316">
        <v>45962</v>
      </c>
      <c r="G18" s="316">
        <v>45992</v>
      </c>
      <c r="H18" s="316">
        <v>46023</v>
      </c>
      <c r="I18" s="316">
        <v>46054</v>
      </c>
      <c r="J18" s="316">
        <v>46082</v>
      </c>
      <c r="K18" s="316">
        <v>46113</v>
      </c>
      <c r="L18" s="316">
        <v>46143</v>
      </c>
      <c r="M18" s="316">
        <v>46174</v>
      </c>
      <c r="N18" s="390"/>
    </row>
    <row r="19" spans="1:16" ht="15.75" thickBot="1">
      <c r="A19" s="152" t="s">
        <v>59</v>
      </c>
      <c r="B19" s="152">
        <f>+'[56]Combined farrow rate  (4)'!R14</f>
        <v>91</v>
      </c>
      <c r="C19" s="152">
        <f>+'[56]Combined farrow rate  (4)'!S14</f>
        <v>94</v>
      </c>
      <c r="D19" s="152">
        <f>+'[56]Combined farrow rate  (4)'!T14</f>
        <v>94</v>
      </c>
      <c r="E19" s="152">
        <f>+'[56]Combined farrow rate  (4)'!U14</f>
        <v>95</v>
      </c>
      <c r="F19" s="152">
        <f>+'[56]Combined farrow rate  (4)'!V14</f>
        <v>94</v>
      </c>
      <c r="G19" s="152">
        <f>+'[56]Combined farrow rate  (4)'!W14</f>
        <v>94</v>
      </c>
      <c r="H19" s="152">
        <f>+'Combined farrow rate  (5)'!X14</f>
        <v>95</v>
      </c>
      <c r="I19" s="152">
        <f>+'Combined farrow rate  (5)'!Y14</f>
        <v>93</v>
      </c>
      <c r="J19" s="152">
        <f>+'Combined farrow rate  (5)'!Z14</f>
        <v>92</v>
      </c>
      <c r="K19" s="152">
        <f>+'Combined farrow rate  (5)'!AA14</f>
        <v>93</v>
      </c>
      <c r="L19" s="152">
        <f>+'Combined farrow rate  (5)'!AB14</f>
        <v>93</v>
      </c>
      <c r="M19" s="152">
        <f>+'Combined farrow rate  (5)'!AC14</f>
        <v>93</v>
      </c>
      <c r="N19" s="77">
        <f>AVERAGE(B19:M19)</f>
        <v>93.416666666666671</v>
      </c>
      <c r="O19" s="77"/>
      <c r="P19" s="77"/>
    </row>
    <row r="20" spans="1:16" ht="15.75" thickBot="1">
      <c r="A20" s="152" t="s">
        <v>103</v>
      </c>
      <c r="B20" s="231">
        <v>91.88</v>
      </c>
      <c r="C20" s="231">
        <v>92</v>
      </c>
      <c r="D20" s="231">
        <v>94</v>
      </c>
      <c r="E20" s="231">
        <v>93</v>
      </c>
      <c r="F20" s="231">
        <v>91</v>
      </c>
      <c r="G20" s="231">
        <v>93</v>
      </c>
      <c r="H20" s="231">
        <v>93</v>
      </c>
      <c r="I20" s="231">
        <v>91</v>
      </c>
      <c r="J20" s="231">
        <v>91</v>
      </c>
      <c r="K20" s="231">
        <v>92</v>
      </c>
      <c r="L20" s="231">
        <v>90</v>
      </c>
      <c r="M20" s="231">
        <v>92.2</v>
      </c>
      <c r="N20" s="77">
        <f t="shared" ref="N20:N21" si="0">AVERAGE(B20:M20)</f>
        <v>92.006666666666661</v>
      </c>
      <c r="O20" s="293">
        <f>N19-N20</f>
        <v>1.4100000000000108</v>
      </c>
      <c r="P20" s="293" t="s">
        <v>99</v>
      </c>
    </row>
    <row r="21" spans="1:16" ht="15.75" thickBot="1">
      <c r="A21" s="152" t="s">
        <v>170</v>
      </c>
      <c r="B21" s="152">
        <v>91.8</v>
      </c>
      <c r="C21" s="152">
        <v>91.8</v>
      </c>
      <c r="D21" s="152">
        <v>91.8</v>
      </c>
      <c r="E21" s="152">
        <v>91.8</v>
      </c>
      <c r="F21" s="152">
        <v>91.8</v>
      </c>
      <c r="G21" s="152">
        <v>91.8</v>
      </c>
      <c r="H21" s="152">
        <v>91.8</v>
      </c>
      <c r="I21" s="152">
        <v>91.8</v>
      </c>
      <c r="J21" s="152">
        <v>91.8</v>
      </c>
      <c r="K21" s="152">
        <v>91.8</v>
      </c>
      <c r="L21" s="152">
        <v>91.8</v>
      </c>
      <c r="M21" s="152">
        <v>91.8</v>
      </c>
      <c r="N21" s="77">
        <f t="shared" si="0"/>
        <v>91.799999999999969</v>
      </c>
      <c r="O21" s="293">
        <f>N19-N21</f>
        <v>1.6166666666667027</v>
      </c>
      <c r="P21" s="293" t="s">
        <v>101</v>
      </c>
    </row>
    <row r="22" spans="1:16">
      <c r="O22" s="77"/>
      <c r="P22" s="77"/>
    </row>
    <row r="26" spans="1:16" ht="18" customHeight="1"/>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0150-03BF-4344-BEC7-D3BA48486133}">
  <sheetPr codeName="Sheet83">
    <tabColor rgb="FF00B050"/>
  </sheetPr>
  <dimension ref="A17:P22"/>
  <sheetViews>
    <sheetView zoomScale="90" zoomScaleNormal="90" workbookViewId="0">
      <selection activeCell="S29" sqref="S29"/>
    </sheetView>
  </sheetViews>
  <sheetFormatPr defaultRowHeight="15"/>
  <sheetData>
    <row r="17" spans="1:16" ht="15.75" thickBot="1"/>
    <row r="18" spans="1:16" ht="15.75" thickBot="1">
      <c r="A18" s="301"/>
      <c r="B18" s="316">
        <v>45839</v>
      </c>
      <c r="C18" s="316">
        <v>45870</v>
      </c>
      <c r="D18" s="316">
        <v>45901</v>
      </c>
      <c r="E18" s="316">
        <v>45931</v>
      </c>
      <c r="F18" s="316">
        <v>45962</v>
      </c>
      <c r="G18" s="316">
        <v>45992</v>
      </c>
      <c r="H18" s="316">
        <v>46023</v>
      </c>
      <c r="I18" s="316">
        <v>46054</v>
      </c>
      <c r="J18" s="316">
        <v>46082</v>
      </c>
      <c r="K18" s="316">
        <v>46113</v>
      </c>
      <c r="L18" s="316">
        <v>46143</v>
      </c>
      <c r="M18" s="316">
        <v>46174</v>
      </c>
      <c r="N18" s="390"/>
    </row>
    <row r="19" spans="1:16" ht="15.75" thickBot="1">
      <c r="A19" s="152" t="s">
        <v>59</v>
      </c>
      <c r="B19" s="152">
        <f>+'[56]Combined Born alive (4)'!R15</f>
        <v>14.9</v>
      </c>
      <c r="C19" s="152">
        <f>+'[56]Combined Born alive (4)'!S15</f>
        <v>14.9</v>
      </c>
      <c r="D19" s="152">
        <f>+'[56]Combined Born alive (4)'!T15</f>
        <v>15.5</v>
      </c>
      <c r="E19" s="152">
        <f>+'[56]Combined Born alive (4)'!U15</f>
        <v>15</v>
      </c>
      <c r="F19" s="152">
        <f>+'[56]Combined Born alive (4)'!V15</f>
        <v>15.3</v>
      </c>
      <c r="G19" s="152">
        <f>+'[56]Combined Born alive (4)'!W15</f>
        <v>15.2</v>
      </c>
      <c r="H19" s="152">
        <f>+'Combined Born alive (5)'!X15</f>
        <v>15</v>
      </c>
      <c r="I19" s="152">
        <f>+'Combined Born alive (5)'!Y15</f>
        <v>15.3</v>
      </c>
      <c r="J19" s="152">
        <f>+'Combined Born alive (5)'!Z15</f>
        <v>15.2</v>
      </c>
      <c r="K19" s="152">
        <f>+'Combined Born alive (5)'!AA15</f>
        <v>14.3</v>
      </c>
      <c r="L19" s="152">
        <f>+'Combined Born alive (5)'!AB15</f>
        <v>15.3</v>
      </c>
      <c r="M19" s="152">
        <f>+'Combined Born alive (5)'!AC15</f>
        <v>15.4</v>
      </c>
      <c r="N19" s="77">
        <f>AVERAGE(B19:M19)</f>
        <v>15.108333333333334</v>
      </c>
      <c r="O19" s="77"/>
      <c r="P19" s="77"/>
    </row>
    <row r="20" spans="1:16" ht="15.75" thickBot="1">
      <c r="A20" s="152" t="s">
        <v>103</v>
      </c>
      <c r="B20" s="152">
        <v>14.4</v>
      </c>
      <c r="C20" s="152">
        <v>14</v>
      </c>
      <c r="D20" s="152">
        <v>14.4</v>
      </c>
      <c r="E20" s="152">
        <v>14.4</v>
      </c>
      <c r="F20" s="152">
        <v>14.2</v>
      </c>
      <c r="G20" s="152">
        <v>14.9</v>
      </c>
      <c r="H20" s="152">
        <v>14.7</v>
      </c>
      <c r="I20" s="152">
        <v>14.4</v>
      </c>
      <c r="J20" s="152">
        <v>14.2</v>
      </c>
      <c r="K20" s="152">
        <v>14.8</v>
      </c>
      <c r="L20" s="152">
        <v>15</v>
      </c>
      <c r="M20" s="152">
        <v>14.4</v>
      </c>
      <c r="N20" s="77">
        <f t="shared" ref="N20:N21" si="0">AVERAGE(B20:M20)</f>
        <v>14.483333333333334</v>
      </c>
      <c r="O20" s="293">
        <f>N19-N20</f>
        <v>0.625</v>
      </c>
      <c r="P20" s="293" t="s">
        <v>99</v>
      </c>
    </row>
    <row r="21" spans="1:16" ht="15.75" thickBot="1">
      <c r="A21" s="152" t="s">
        <v>170</v>
      </c>
      <c r="B21" s="307">
        <v>14.4</v>
      </c>
      <c r="C21" s="307">
        <v>14.4</v>
      </c>
      <c r="D21" s="307">
        <v>14.4</v>
      </c>
      <c r="E21" s="307">
        <v>14.4</v>
      </c>
      <c r="F21" s="307">
        <v>14.4</v>
      </c>
      <c r="G21" s="307">
        <v>14.4</v>
      </c>
      <c r="H21" s="307">
        <v>14.4</v>
      </c>
      <c r="I21" s="307">
        <v>14.4</v>
      </c>
      <c r="J21" s="307">
        <v>14.4</v>
      </c>
      <c r="K21" s="307">
        <v>14.4</v>
      </c>
      <c r="L21" s="307">
        <v>14.4</v>
      </c>
      <c r="M21" s="307">
        <v>14.4</v>
      </c>
      <c r="N21" s="77">
        <f t="shared" si="0"/>
        <v>14.400000000000004</v>
      </c>
      <c r="O21" s="293">
        <f>N19-N21</f>
        <v>0.70833333333333037</v>
      </c>
      <c r="P21" s="293" t="s">
        <v>101</v>
      </c>
    </row>
    <row r="22" spans="1:16">
      <c r="N22" s="77"/>
      <c r="O22" s="77"/>
      <c r="P22" s="77"/>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C391-9643-41E7-932C-4FE934A0F5B9}">
  <sheetPr codeName="Sheet84">
    <tabColor rgb="FF00B050"/>
  </sheetPr>
  <dimension ref="A17:P22"/>
  <sheetViews>
    <sheetView zoomScale="90" zoomScaleNormal="90" workbookViewId="0">
      <selection activeCell="P10" sqref="P10"/>
    </sheetView>
  </sheetViews>
  <sheetFormatPr defaultRowHeight="15"/>
  <cols>
    <col min="1" max="1" width="10" customWidth="1"/>
  </cols>
  <sheetData>
    <row r="17" spans="1:16" ht="15.75" thickBot="1"/>
    <row r="18" spans="1:16" ht="15.75" thickBot="1">
      <c r="A18" s="301"/>
      <c r="B18" s="316">
        <v>45839</v>
      </c>
      <c r="C18" s="316">
        <v>45870</v>
      </c>
      <c r="D18" s="316">
        <v>45901</v>
      </c>
      <c r="E18" s="316">
        <v>45931</v>
      </c>
      <c r="F18" s="316">
        <v>45962</v>
      </c>
      <c r="G18" s="316">
        <v>45992</v>
      </c>
      <c r="H18" s="316">
        <v>46023</v>
      </c>
      <c r="I18" s="316">
        <v>46054</v>
      </c>
      <c r="J18" s="316">
        <v>46082</v>
      </c>
      <c r="K18" s="316">
        <v>46113</v>
      </c>
      <c r="L18" s="316">
        <v>46143</v>
      </c>
      <c r="M18" s="316">
        <v>46174</v>
      </c>
      <c r="N18" s="390"/>
    </row>
    <row r="19" spans="1:16" ht="15.75" thickBot="1">
      <c r="A19" s="152" t="s">
        <v>59</v>
      </c>
      <c r="B19" s="231">
        <f>+'[56]Combined Wean weight  (4)'!S14</f>
        <v>6.6</v>
      </c>
      <c r="C19" s="231">
        <f>+'[56]Combined Wean weight  (4)'!T14</f>
        <v>6.9</v>
      </c>
      <c r="D19" s="231">
        <f>+'[56]Combined Wean weight  (4)'!U14</f>
        <v>6.8</v>
      </c>
      <c r="E19" s="231">
        <f>+'[56]Combined Wean weight  (4)'!V14</f>
        <v>6.7</v>
      </c>
      <c r="F19" s="231">
        <f>+'[56]Combined Wean weight  (4)'!W14</f>
        <v>6.7</v>
      </c>
      <c r="G19" s="231">
        <f>+'[56]Combined Wean weight  (4)'!X14</f>
        <v>6.6</v>
      </c>
      <c r="H19" s="231">
        <f>+'Combined Wean weight  (5)'!Y14</f>
        <v>6.15</v>
      </c>
      <c r="I19" s="231">
        <f>+'Combined Wean weight  (5)'!Z14</f>
        <v>6.2</v>
      </c>
      <c r="J19" s="231">
        <f>+'Combined Wean weight  (5)'!AA14</f>
        <v>6.3</v>
      </c>
      <c r="K19" s="231">
        <f>+'Combined Wean weight  (5)'!AB14</f>
        <v>6.43</v>
      </c>
      <c r="L19" s="231">
        <f>+'Combined Wean weight  (5)'!AC14</f>
        <v>6.65</v>
      </c>
      <c r="M19" s="231">
        <f>+'Combined Wean weight  (5)'!AD14</f>
        <v>6.74</v>
      </c>
      <c r="N19" s="77">
        <f>AVERAGE(B19:M19)</f>
        <v>6.564166666666666</v>
      </c>
      <c r="O19" s="77"/>
      <c r="P19" s="77"/>
    </row>
    <row r="20" spans="1:16" ht="15.75" thickBot="1">
      <c r="A20" s="152" t="s">
        <v>103</v>
      </c>
      <c r="B20" s="152">
        <v>7</v>
      </c>
      <c r="C20" s="152">
        <v>7.3</v>
      </c>
      <c r="D20" s="152">
        <v>7.4</v>
      </c>
      <c r="E20" s="152">
        <v>7.1</v>
      </c>
      <c r="F20" s="152">
        <v>6.7</v>
      </c>
      <c r="G20" s="152">
        <v>6.8</v>
      </c>
      <c r="H20" s="152">
        <v>6.3250000000000002</v>
      </c>
      <c r="I20" s="152">
        <v>6.6</v>
      </c>
      <c r="J20" s="152">
        <v>6.4</v>
      </c>
      <c r="K20" s="152">
        <v>6.4</v>
      </c>
      <c r="L20" s="152">
        <v>6.6</v>
      </c>
      <c r="M20" s="152">
        <v>6.6</v>
      </c>
      <c r="N20" s="77">
        <f t="shared" ref="N20:N21" si="0">AVERAGE(B20:M20)</f>
        <v>6.7687499999999998</v>
      </c>
      <c r="O20" s="293">
        <f>N19-N20</f>
        <v>-0.20458333333333378</v>
      </c>
      <c r="P20" s="293" t="s">
        <v>203</v>
      </c>
    </row>
    <row r="21" spans="1:16" ht="15.75" thickBot="1">
      <c r="A21" s="152" t="s">
        <v>170</v>
      </c>
      <c r="B21" s="307">
        <v>6.8</v>
      </c>
      <c r="C21" s="307">
        <v>6.8</v>
      </c>
      <c r="D21" s="307">
        <v>6.8</v>
      </c>
      <c r="E21" s="307">
        <v>6.8</v>
      </c>
      <c r="F21" s="307">
        <v>6.8</v>
      </c>
      <c r="G21" s="307">
        <v>6.8</v>
      </c>
      <c r="H21" s="307">
        <v>6.8</v>
      </c>
      <c r="I21" s="307">
        <v>6.8</v>
      </c>
      <c r="J21" s="307">
        <v>6.8</v>
      </c>
      <c r="K21" s="307">
        <v>6.8</v>
      </c>
      <c r="L21" s="307">
        <v>6.8</v>
      </c>
      <c r="M21" s="307">
        <v>6.8</v>
      </c>
      <c r="N21" s="77">
        <f t="shared" si="0"/>
        <v>6.799999999999998</v>
      </c>
      <c r="O21" s="293">
        <f>N19-N21</f>
        <v>-0.23583333333333201</v>
      </c>
      <c r="P21" s="293" t="s">
        <v>125</v>
      </c>
    </row>
    <row r="22" spans="1:16">
      <c r="O22" s="77"/>
      <c r="P22" s="77"/>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6190-1DA4-4884-8F3B-2950D9D2E8B9}">
  <sheetPr codeName="Sheet85">
    <tabColor rgb="FF00B050"/>
  </sheetPr>
  <dimension ref="A20:P29"/>
  <sheetViews>
    <sheetView zoomScale="80" zoomScaleNormal="80" workbookViewId="0">
      <selection activeCell="P13" sqref="P13"/>
    </sheetView>
  </sheetViews>
  <sheetFormatPr defaultRowHeight="15"/>
  <sheetData>
    <row r="20" spans="1:16" ht="15.75" thickBot="1"/>
    <row r="21" spans="1:16" ht="15.75" thickBot="1">
      <c r="A21" s="301"/>
      <c r="B21" s="316">
        <v>45839</v>
      </c>
      <c r="C21" s="316">
        <v>45870</v>
      </c>
      <c r="D21" s="316">
        <v>45901</v>
      </c>
      <c r="E21" s="316">
        <v>45931</v>
      </c>
      <c r="F21" s="316">
        <v>45962</v>
      </c>
      <c r="G21" s="316">
        <v>45992</v>
      </c>
      <c r="H21" s="316">
        <v>46023</v>
      </c>
      <c r="I21" s="316">
        <v>46054</v>
      </c>
      <c r="J21" s="316">
        <v>46082</v>
      </c>
      <c r="K21" s="316">
        <v>46113</v>
      </c>
      <c r="L21" s="316">
        <v>46143</v>
      </c>
      <c r="M21" s="316">
        <v>46174</v>
      </c>
      <c r="N21" s="390"/>
    </row>
    <row r="22" spans="1:16" ht="15.75" thickBot="1">
      <c r="A22" s="152" t="s">
        <v>59</v>
      </c>
      <c r="B22" s="230">
        <f>+'[56]Combined Litter mass  (4)'!R15</f>
        <v>89.3</v>
      </c>
      <c r="C22" s="230">
        <f>+'[56]Combined Litter mass  (4)'!S15</f>
        <v>93.48</v>
      </c>
      <c r="D22" s="230">
        <f>+'[56]Combined Litter mass  (4)'!T15</f>
        <v>94.45</v>
      </c>
      <c r="E22" s="230">
        <f>+'[56]Combined Litter mass  (4)'!U15</f>
        <v>93.7</v>
      </c>
      <c r="F22" s="230">
        <f>+'[56]Combined Litter mass  (4)'!V15</f>
        <v>92.91</v>
      </c>
      <c r="G22" s="230">
        <f>+'[56]Combined Litter mass  (4)'!W15</f>
        <v>91.29</v>
      </c>
      <c r="H22" s="230">
        <f>+'Combined Litter mass  (5)'!W15</f>
        <v>84.97</v>
      </c>
      <c r="I22" s="230">
        <f>+'Combined Litter mass  (5)'!X15</f>
        <v>86.09</v>
      </c>
      <c r="J22" s="230">
        <f>+'Combined Litter mass  (5)'!Y15</f>
        <v>86.88</v>
      </c>
      <c r="K22" s="230">
        <f>+'Combined Litter mass  (5)'!Z15</f>
        <v>88.54</v>
      </c>
      <c r="L22" s="230">
        <f>+'Combined Litter mass  (5)'!AA15</f>
        <v>87.2</v>
      </c>
      <c r="M22" s="230">
        <f>+'Combined Litter mass  (5)'!AB15</f>
        <v>93.93</v>
      </c>
      <c r="N22" s="79">
        <f>AVERAGE(B22:M22)</f>
        <v>90.228333333333339</v>
      </c>
      <c r="O22" s="77"/>
    </row>
    <row r="23" spans="1:16" ht="15.75" thickBot="1">
      <c r="A23" s="152" t="s">
        <v>179</v>
      </c>
      <c r="B23" s="231">
        <v>97.03904375667021</v>
      </c>
      <c r="C23" s="231">
        <v>98.045171824973337</v>
      </c>
      <c r="D23" s="231">
        <v>96.635287086446112</v>
      </c>
      <c r="E23" s="231">
        <v>96.643400637619564</v>
      </c>
      <c r="F23" s="231">
        <v>94.092452508004257</v>
      </c>
      <c r="G23" s="231">
        <v>93.303820704375667</v>
      </c>
      <c r="H23" s="231">
        <v>91.294849593480308</v>
      </c>
      <c r="I23" s="231">
        <v>88.69</v>
      </c>
      <c r="J23" s="231">
        <v>83.85</v>
      </c>
      <c r="K23" s="231">
        <v>85.04</v>
      </c>
      <c r="L23" s="231">
        <v>88.61</v>
      </c>
      <c r="M23" s="231">
        <v>89.9</v>
      </c>
      <c r="N23" s="79">
        <f t="shared" ref="N23:N24" si="0">AVERAGE(B23:M23)</f>
        <v>91.928668842630785</v>
      </c>
      <c r="O23" s="293">
        <f>N22-N23</f>
        <v>-1.7003355092974459</v>
      </c>
      <c r="P23" s="293" t="s">
        <v>203</v>
      </c>
    </row>
    <row r="24" spans="1:16" ht="15.75" thickBot="1">
      <c r="A24" s="152" t="s">
        <v>170</v>
      </c>
      <c r="B24" s="152">
        <v>100</v>
      </c>
      <c r="C24" s="152">
        <v>100</v>
      </c>
      <c r="D24" s="152">
        <v>100</v>
      </c>
      <c r="E24" s="152">
        <v>100</v>
      </c>
      <c r="F24" s="152">
        <v>100</v>
      </c>
      <c r="G24" s="152">
        <v>100</v>
      </c>
      <c r="H24" s="152">
        <v>100</v>
      </c>
      <c r="I24" s="152">
        <v>100</v>
      </c>
      <c r="J24" s="152">
        <v>100</v>
      </c>
      <c r="K24" s="152">
        <v>100</v>
      </c>
      <c r="L24" s="152">
        <v>100</v>
      </c>
      <c r="M24" s="152">
        <v>100</v>
      </c>
      <c r="N24" s="79">
        <f t="shared" si="0"/>
        <v>100</v>
      </c>
      <c r="O24" s="293">
        <f>N22-N24</f>
        <v>-9.7716666666666612</v>
      </c>
      <c r="P24" s="293" t="s">
        <v>204</v>
      </c>
    </row>
    <row r="26" spans="1:16">
      <c r="G26" s="79">
        <f>SUM(B22:G22)</f>
        <v>555.13</v>
      </c>
    </row>
    <row r="27" spans="1:16">
      <c r="G27" s="77">
        <f>SUM(H23:M23)</f>
        <v>527.38484959348034</v>
      </c>
    </row>
    <row r="28" spans="1:16">
      <c r="G28">
        <f>SUM(G26:G27)</f>
        <v>1082.5148495934804</v>
      </c>
    </row>
    <row r="29" spans="1:16">
      <c r="G29">
        <f>G28/12</f>
        <v>90.209570799456699</v>
      </c>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2E506-D272-43EA-B0FC-E803DA1404EB}">
  <sheetPr codeName="Sheet86">
    <tabColor rgb="FF00B050"/>
  </sheetPr>
  <dimension ref="A18:P22"/>
  <sheetViews>
    <sheetView zoomScale="90" zoomScaleNormal="90" workbookViewId="0">
      <selection activeCell="P9" sqref="P9"/>
    </sheetView>
  </sheetViews>
  <sheetFormatPr defaultRowHeight="15"/>
  <cols>
    <col min="1" max="1" width="11.28515625" bestFit="1" customWidth="1"/>
  </cols>
  <sheetData>
    <row r="18" spans="1:16" ht="15.75" thickBot="1"/>
    <row r="19" spans="1:16" ht="15.75" thickBot="1">
      <c r="A19" s="301"/>
      <c r="B19" s="316">
        <v>45863</v>
      </c>
      <c r="C19" s="316">
        <v>45894</v>
      </c>
      <c r="D19" s="316">
        <v>45925</v>
      </c>
      <c r="E19" s="316">
        <v>45955</v>
      </c>
      <c r="F19" s="316">
        <v>45986</v>
      </c>
      <c r="G19" s="316">
        <v>46016</v>
      </c>
      <c r="H19" s="316">
        <v>46047</v>
      </c>
      <c r="I19" s="316">
        <v>46078</v>
      </c>
      <c r="J19" s="316">
        <v>46106</v>
      </c>
      <c r="K19" s="316">
        <v>46137</v>
      </c>
      <c r="L19" s="316">
        <v>46167</v>
      </c>
      <c r="M19" s="316">
        <v>46198</v>
      </c>
      <c r="N19" s="390"/>
    </row>
    <row r="20" spans="1:16" ht="15.75" thickBot="1">
      <c r="A20" s="152" t="s">
        <v>59</v>
      </c>
      <c r="B20" s="152">
        <f>+'[56]Combined 70 day weight  (4)'!T16</f>
        <v>27.4</v>
      </c>
      <c r="C20" s="152">
        <f>+'[56]Combined 70 day weight  (4)'!U16</f>
        <v>27.54</v>
      </c>
      <c r="D20" s="152">
        <f>+'[56]Combined 70 day weight  (4)'!V16</f>
        <v>27.7</v>
      </c>
      <c r="E20" s="152">
        <f>+'[56]Combined 70 day weight  (4)'!W16</f>
        <v>28.46</v>
      </c>
      <c r="F20" s="152">
        <f>+'[56]Combined 70 day weight  (4)'!X16</f>
        <v>27.44</v>
      </c>
      <c r="G20" s="152">
        <f>+'[56]Combined 70 day weight  (4)'!Y16</f>
        <v>27.31</v>
      </c>
      <c r="H20" s="152">
        <f>+'Combined 70 day weight  (5)'!Z16</f>
        <v>26.72</v>
      </c>
      <c r="I20" s="152">
        <f>+'Combined 70 day weight  (5)'!AA16</f>
        <v>26.94</v>
      </c>
      <c r="J20" s="152">
        <f>+'Combined 70 day weight  (5)'!AB16</f>
        <v>26.82</v>
      </c>
      <c r="K20" s="152">
        <f>+'Combined 70 day weight  (5)'!AC16</f>
        <v>26.93</v>
      </c>
      <c r="L20" s="152">
        <f>+'Combined 70 day weight  (5)'!AD16</f>
        <v>26.08</v>
      </c>
      <c r="M20" s="152">
        <f>+'Combined 70 day weight  (5)'!AE16</f>
        <v>27.63</v>
      </c>
      <c r="N20" s="79">
        <f>AVERAGE(B20:M20)</f>
        <v>27.247499999999999</v>
      </c>
      <c r="O20" s="77"/>
      <c r="P20" s="77"/>
    </row>
    <row r="21" spans="1:16" ht="15.75" thickBot="1">
      <c r="A21" s="152" t="s">
        <v>109</v>
      </c>
      <c r="B21" s="231">
        <v>27.8</v>
      </c>
      <c r="C21" s="231">
        <v>28.88</v>
      </c>
      <c r="D21" s="231">
        <v>28.72</v>
      </c>
      <c r="E21" s="231">
        <v>29.08</v>
      </c>
      <c r="F21" s="231">
        <v>28.54</v>
      </c>
      <c r="G21" s="231">
        <v>27.52</v>
      </c>
      <c r="H21" s="231">
        <v>27.692499999999999</v>
      </c>
      <c r="I21" s="231">
        <v>26.28</v>
      </c>
      <c r="J21" s="231">
        <v>26.9</v>
      </c>
      <c r="K21" s="231">
        <v>27.26</v>
      </c>
      <c r="L21" s="231">
        <v>27.32</v>
      </c>
      <c r="M21" s="231">
        <v>27.76</v>
      </c>
      <c r="N21" s="79">
        <f t="shared" ref="N21:N22" si="0">AVERAGE(B21:M21)</f>
        <v>27.812708333333333</v>
      </c>
      <c r="O21" s="293">
        <f>N20-N21</f>
        <v>-0.56520833333333442</v>
      </c>
      <c r="P21" s="293" t="s">
        <v>205</v>
      </c>
    </row>
    <row r="22" spans="1:16" ht="15.75" thickBot="1">
      <c r="A22" s="152" t="s">
        <v>88</v>
      </c>
      <c r="B22" s="310">
        <v>28</v>
      </c>
      <c r="C22" s="310">
        <v>28</v>
      </c>
      <c r="D22" s="310">
        <v>28</v>
      </c>
      <c r="E22" s="310">
        <v>28</v>
      </c>
      <c r="F22" s="310">
        <v>28</v>
      </c>
      <c r="G22" s="310">
        <v>28</v>
      </c>
      <c r="H22" s="310">
        <v>28</v>
      </c>
      <c r="I22" s="310">
        <v>28</v>
      </c>
      <c r="J22" s="310">
        <v>28</v>
      </c>
      <c r="K22" s="310">
        <v>28</v>
      </c>
      <c r="L22" s="310">
        <v>28</v>
      </c>
      <c r="M22" s="310">
        <v>28</v>
      </c>
      <c r="N22" s="79">
        <f t="shared" si="0"/>
        <v>28</v>
      </c>
      <c r="O22" s="293">
        <f>N20-N22</f>
        <v>-0.75250000000000128</v>
      </c>
      <c r="P22" s="293" t="s">
        <v>182</v>
      </c>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8D986-5EA5-4A67-9092-6E2687814FE3}">
  <sheetPr codeName="Sheet87">
    <tabColor rgb="FF00B050"/>
  </sheetPr>
  <dimension ref="A19:P23"/>
  <sheetViews>
    <sheetView zoomScale="90" zoomScaleNormal="90" workbookViewId="0">
      <selection activeCell="P9" sqref="P9"/>
    </sheetView>
  </sheetViews>
  <sheetFormatPr defaultRowHeight="15"/>
  <cols>
    <col min="1" max="1" width="11.28515625" bestFit="1" customWidth="1"/>
  </cols>
  <sheetData>
    <row r="19" spans="1:16" ht="15.75" thickBot="1"/>
    <row r="20" spans="1:16" ht="15.75" thickBot="1">
      <c r="A20" s="301"/>
      <c r="B20" s="316">
        <v>45863</v>
      </c>
      <c r="C20" s="316">
        <v>45894</v>
      </c>
      <c r="D20" s="316">
        <v>45925</v>
      </c>
      <c r="E20" s="316">
        <v>45955</v>
      </c>
      <c r="F20" s="316">
        <v>45986</v>
      </c>
      <c r="G20" s="316">
        <v>46016</v>
      </c>
      <c r="H20" s="316">
        <v>46047</v>
      </c>
      <c r="I20" s="316">
        <v>46078</v>
      </c>
      <c r="J20" s="316">
        <v>46106</v>
      </c>
      <c r="K20" s="316">
        <v>46137</v>
      </c>
      <c r="L20" s="316">
        <v>46167</v>
      </c>
      <c r="M20" s="316">
        <v>46198</v>
      </c>
      <c r="N20" s="390"/>
    </row>
    <row r="21" spans="1:16" ht="15.75" thickBot="1">
      <c r="A21" s="152" t="s">
        <v>59</v>
      </c>
      <c r="B21" s="152">
        <f>+'[56]Combined 70 day gain  (4)'!T16</f>
        <v>20.7</v>
      </c>
      <c r="C21" s="152">
        <f>+'[56]Combined 70 day gain  (4)'!U16</f>
        <v>20.99</v>
      </c>
      <c r="D21" s="152">
        <f>+'[56]Combined 70 day gain  (4)'!V16</f>
        <v>20.85</v>
      </c>
      <c r="E21" s="152">
        <f>+'[56]Combined 70 day gain  (4)'!W16</f>
        <v>21.51</v>
      </c>
      <c r="F21" s="152">
        <f>+'[56]Combined 70 day gain  (4)'!X16</f>
        <v>20.78</v>
      </c>
      <c r="G21" s="152">
        <f>+'[56]Combined 70 day gain  (4)'!Y16</f>
        <v>20.53</v>
      </c>
      <c r="H21" s="152">
        <f>+'Combined 70 day gain  (5)'!Z16</f>
        <v>20.02</v>
      </c>
      <c r="I21" s="152">
        <f>+'Combined 70 day gain  (5)'!AA16</f>
        <v>20.61</v>
      </c>
      <c r="J21" s="152">
        <f>+'Combined 70 day gain  (5)'!AB16</f>
        <v>20.100000000000001</v>
      </c>
      <c r="K21" s="152">
        <f>+'Combined 70 day gain  (5)'!AC16</f>
        <v>20.64</v>
      </c>
      <c r="L21" s="152">
        <f>+'Combined 70 day gain  (5)'!AD16</f>
        <v>19.93</v>
      </c>
      <c r="M21" s="152">
        <f>+'Combined 70 day gain  (5)'!AE16</f>
        <v>20.92</v>
      </c>
      <c r="N21" s="79">
        <f>AVERAGE(B21:M21)</f>
        <v>20.631666666666671</v>
      </c>
      <c r="O21" s="77"/>
    </row>
    <row r="22" spans="1:16" ht="15.75" thickBot="1">
      <c r="A22" s="152" t="s">
        <v>109</v>
      </c>
      <c r="B22" s="231">
        <v>21.59</v>
      </c>
      <c r="C22" s="231">
        <v>21.76</v>
      </c>
      <c r="D22" s="231">
        <v>21.6</v>
      </c>
      <c r="E22" s="231">
        <v>21.55</v>
      </c>
      <c r="F22" s="231">
        <v>21.35</v>
      </c>
      <c r="G22" s="231">
        <v>20.63</v>
      </c>
      <c r="H22" s="231">
        <v>20.8125</v>
      </c>
      <c r="I22" s="231">
        <v>19.93</v>
      </c>
      <c r="J22" s="231">
        <v>20.27</v>
      </c>
      <c r="K22" s="231">
        <v>20.9</v>
      </c>
      <c r="L22" s="231">
        <v>20.92</v>
      </c>
      <c r="M22" s="231">
        <v>21.37</v>
      </c>
      <c r="N22" s="79">
        <f t="shared" ref="N22:N23" si="0">AVERAGE(B22:M22)</f>
        <v>21.056875000000002</v>
      </c>
      <c r="O22" s="293">
        <f>N21-N22</f>
        <v>-0.4252083333333303</v>
      </c>
      <c r="P22" s="293" t="s">
        <v>203</v>
      </c>
    </row>
    <row r="23" spans="1:16" ht="15.75" thickBot="1">
      <c r="A23" s="152" t="s">
        <v>88</v>
      </c>
      <c r="B23" s="152">
        <v>20.8</v>
      </c>
      <c r="C23" s="152">
        <v>20.8</v>
      </c>
      <c r="D23" s="152">
        <v>20.8</v>
      </c>
      <c r="E23" s="152">
        <v>20.8</v>
      </c>
      <c r="F23" s="152">
        <v>20.8</v>
      </c>
      <c r="G23" s="152">
        <v>20.8</v>
      </c>
      <c r="H23" s="152">
        <v>20.8</v>
      </c>
      <c r="I23" s="152">
        <v>20.8</v>
      </c>
      <c r="J23" s="152">
        <v>20.8</v>
      </c>
      <c r="K23" s="152">
        <v>20.8</v>
      </c>
      <c r="L23" s="152">
        <v>20.8</v>
      </c>
      <c r="M23" s="152">
        <v>20.8</v>
      </c>
      <c r="N23" s="79">
        <f t="shared" si="0"/>
        <v>20.800000000000004</v>
      </c>
      <c r="O23" s="293">
        <f>N22-N23</f>
        <v>0.2568749999999973</v>
      </c>
      <c r="P23" s="293" t="s">
        <v>101</v>
      </c>
    </row>
  </sheetData>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6603-BC08-4C18-8A65-A9CBAB1B7204}">
  <sheetPr codeName="Sheet88">
    <tabColor rgb="FF00B050"/>
  </sheetPr>
  <dimension ref="A17:P22"/>
  <sheetViews>
    <sheetView zoomScale="90" zoomScaleNormal="90" workbookViewId="0">
      <selection activeCell="M19" sqref="M19"/>
    </sheetView>
  </sheetViews>
  <sheetFormatPr defaultRowHeight="15"/>
  <sheetData>
    <row r="17" spans="1:16" ht="15.75" thickBot="1"/>
    <row r="18" spans="1:16" ht="15.75" thickBot="1">
      <c r="A18" s="301"/>
      <c r="B18" s="316">
        <v>45839</v>
      </c>
      <c r="C18" s="316">
        <v>45870</v>
      </c>
      <c r="D18" s="316">
        <v>45901</v>
      </c>
      <c r="E18" s="316">
        <v>45931</v>
      </c>
      <c r="F18" s="316">
        <v>45962</v>
      </c>
      <c r="G18" s="316">
        <v>45992</v>
      </c>
      <c r="H18" s="316">
        <v>46023</v>
      </c>
      <c r="I18" s="316">
        <v>46054</v>
      </c>
      <c r="J18" s="316">
        <v>46082</v>
      </c>
      <c r="K18" s="316">
        <v>46113</v>
      </c>
      <c r="L18" s="316">
        <v>46143</v>
      </c>
      <c r="M18" s="316">
        <v>46174</v>
      </c>
      <c r="N18" s="390"/>
    </row>
    <row r="19" spans="1:16" ht="15.75" thickBot="1">
      <c r="A19" s="152" t="s">
        <v>59</v>
      </c>
      <c r="B19" s="152">
        <f>+'[56]Combined WSY   (4)'!S14</f>
        <v>33</v>
      </c>
      <c r="C19" s="152">
        <f>+'[56]Combined WSY   (4)'!T14</f>
        <v>33.200000000000003</v>
      </c>
      <c r="D19" s="152">
        <f>+'[56]Combined WSY   (4)'!U14</f>
        <v>33.700000000000003</v>
      </c>
      <c r="E19" s="152">
        <f>+'[56]Combined WSY   (4)'!V14</f>
        <v>33.4</v>
      </c>
      <c r="F19" s="152">
        <f>+'[56]Combined WSY   (4)'!W14</f>
        <v>33.299999999999997</v>
      </c>
      <c r="G19" s="152">
        <f>+'[56]Combined WSY   (4)'!X14</f>
        <v>33.799999999999997</v>
      </c>
      <c r="H19" s="152">
        <f>+'Combined WSY   (5)'!Y14</f>
        <v>33.1</v>
      </c>
      <c r="I19" s="152">
        <f>+'Combined WSY   (5)'!Z14</f>
        <v>33.200000000000003</v>
      </c>
      <c r="J19" s="152">
        <f>+'Combined WSY   (5)'!AA14</f>
        <v>32.799999999999997</v>
      </c>
      <c r="K19" s="152">
        <f>+'Combined WSY   (5)'!AB14</f>
        <v>33</v>
      </c>
      <c r="L19" s="152">
        <f>+'Combined WSY   (5)'!AC14</f>
        <v>31.8</v>
      </c>
      <c r="M19" s="152">
        <f>+'Combined WSY   (5)'!AD14</f>
        <v>33.4</v>
      </c>
      <c r="N19" s="77">
        <f>AVERAGE(B19:M19)</f>
        <v>33.141666666666673</v>
      </c>
      <c r="O19" s="77"/>
    </row>
    <row r="20" spans="1:16" ht="15.75" thickBot="1">
      <c r="A20" s="152" t="s">
        <v>103</v>
      </c>
      <c r="B20" s="152">
        <v>31.7</v>
      </c>
      <c r="C20" s="152">
        <v>31.5</v>
      </c>
      <c r="D20" s="152">
        <v>32</v>
      </c>
      <c r="E20" s="152">
        <v>32</v>
      </c>
      <c r="F20" s="152">
        <v>32.700000000000003</v>
      </c>
      <c r="G20" s="152">
        <v>32.4</v>
      </c>
      <c r="H20" s="152">
        <v>32.5</v>
      </c>
      <c r="I20" s="152">
        <v>31.9</v>
      </c>
      <c r="J20" s="152">
        <v>31.2</v>
      </c>
      <c r="K20" s="152">
        <v>31.3</v>
      </c>
      <c r="L20" s="152">
        <v>32.299999999999997</v>
      </c>
      <c r="M20" s="152">
        <v>33.1</v>
      </c>
      <c r="N20" s="77">
        <f t="shared" ref="N20:N21" si="0">AVERAGE(B20:M20)</f>
        <v>32.050000000000004</v>
      </c>
      <c r="O20" s="293">
        <f>N19-N20</f>
        <v>1.0916666666666686</v>
      </c>
      <c r="P20" s="293" t="s">
        <v>99</v>
      </c>
    </row>
    <row r="21" spans="1:16" ht="15.75" thickBot="1">
      <c r="A21" s="152" t="s">
        <v>170</v>
      </c>
      <c r="B21" s="307">
        <v>31.5</v>
      </c>
      <c r="C21" s="307">
        <v>31.5</v>
      </c>
      <c r="D21" s="307">
        <v>31.5</v>
      </c>
      <c r="E21" s="307">
        <v>31.5</v>
      </c>
      <c r="F21" s="307">
        <v>31.5</v>
      </c>
      <c r="G21" s="307">
        <v>31.5</v>
      </c>
      <c r="H21" s="307">
        <v>31.5</v>
      </c>
      <c r="I21" s="307">
        <v>31.5</v>
      </c>
      <c r="J21" s="307">
        <v>31.5</v>
      </c>
      <c r="K21" s="307">
        <v>31.5</v>
      </c>
      <c r="L21" s="307">
        <v>31.5</v>
      </c>
      <c r="M21" s="307">
        <v>31.5</v>
      </c>
      <c r="N21" s="77">
        <f t="shared" si="0"/>
        <v>31.5</v>
      </c>
      <c r="O21" s="293">
        <f>N20-N21</f>
        <v>0.55000000000000426</v>
      </c>
      <c r="P21" s="293" t="s">
        <v>101</v>
      </c>
    </row>
    <row r="22" spans="1:16">
      <c r="O22" s="77"/>
      <c r="P22" s="77"/>
    </row>
  </sheetData>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0E5B8-C0FF-4BEA-AB37-D04A1A0C729C}">
  <sheetPr codeName="Sheet89">
    <tabColor rgb="FF00B050"/>
    <pageSetUpPr fitToPage="1"/>
  </sheetPr>
  <dimension ref="A1:AEO35"/>
  <sheetViews>
    <sheetView topLeftCell="A10" zoomScale="81" workbookViewId="0">
      <pane xSplit="2" topLeftCell="S1" activePane="topRight" state="frozen"/>
      <selection pane="topRight" activeCell="AA4" sqref="AA4:AA21"/>
      <selection activeCell="K19" sqref="K19:L19"/>
    </sheetView>
  </sheetViews>
  <sheetFormatPr defaultColWidth="13.28515625" defaultRowHeight="21"/>
  <cols>
    <col min="1" max="1" width="13.28515625" style="83"/>
    <col min="2" max="2" width="30.85546875" style="83" customWidth="1"/>
    <col min="3" max="3" width="8.28515625" style="202" hidden="1" customWidth="1"/>
    <col min="4" max="4" width="7.140625" style="81" hidden="1" customWidth="1"/>
    <col min="5" max="5" width="13" style="81" hidden="1" customWidth="1"/>
    <col min="6" max="8" width="7.140625" style="81" hidden="1" customWidth="1"/>
    <col min="9" max="9" width="10.7109375" style="81" hidden="1" customWidth="1"/>
    <col min="10" max="10" width="11" style="81" hidden="1" customWidth="1"/>
    <col min="11" max="11" width="10.5703125" style="81" hidden="1" customWidth="1"/>
    <col min="12" max="12" width="10.140625" style="81" hidden="1" customWidth="1"/>
    <col min="13" max="14" width="9.7109375" style="81" hidden="1" customWidth="1"/>
    <col min="15" max="15" width="8.85546875" style="81" hidden="1" customWidth="1"/>
    <col min="16" max="16" width="10.140625" style="81" hidden="1" customWidth="1"/>
    <col min="17" max="18" width="10.5703125" style="81" hidden="1" customWidth="1"/>
    <col min="19" max="25" width="10.5703125" style="81" customWidth="1"/>
    <col min="26" max="26" width="10.5703125" style="80" customWidth="1"/>
    <col min="27" max="27" width="13.28515625" style="205"/>
    <col min="28" max="34" width="13.28515625" style="80"/>
    <col min="35" max="35" width="13.28515625" style="81"/>
    <col min="36" max="38" width="13.28515625" style="80"/>
    <col min="39" max="39" width="13.28515625" style="81"/>
    <col min="40" max="40" width="13.28515625" style="80"/>
    <col min="41" max="41" width="13.28515625" style="81"/>
    <col min="42" max="46" width="13.28515625" style="80"/>
    <col min="47" max="47" width="13.28515625" style="81"/>
    <col min="48" max="48" width="13.28515625" style="80"/>
    <col min="49" max="49" width="13.28515625" style="81"/>
    <col min="50" max="50" width="13.28515625" style="80"/>
    <col min="51" max="51" width="13.28515625" style="81"/>
    <col min="52" max="52" width="13.28515625" style="80"/>
    <col min="53" max="53" width="13.28515625" style="81"/>
    <col min="54" max="56" width="13.28515625" style="80"/>
    <col min="57" max="16384" width="13.28515625" style="83"/>
  </cols>
  <sheetData>
    <row r="1" spans="1:821" ht="21.75" thickBot="1"/>
    <row r="2" spans="1:821" ht="21" customHeight="1">
      <c r="B2" s="631" t="s">
        <v>206</v>
      </c>
      <c r="C2" s="632"/>
      <c r="D2" s="624"/>
      <c r="E2" s="624"/>
      <c r="F2" s="624"/>
      <c r="G2" s="624"/>
      <c r="H2" s="624"/>
      <c r="I2" s="624"/>
      <c r="J2" s="624"/>
      <c r="K2" s="624"/>
      <c r="L2" s="624"/>
      <c r="M2" s="624"/>
      <c r="N2" s="624"/>
      <c r="O2" s="624"/>
      <c r="P2" s="624"/>
      <c r="Q2" s="624"/>
      <c r="R2" s="624"/>
      <c r="S2" s="624"/>
      <c r="T2" s="624"/>
      <c r="U2" s="624"/>
      <c r="V2" s="624"/>
      <c r="W2" s="624"/>
      <c r="X2" s="624"/>
      <c r="Y2" s="624"/>
      <c r="Z2" s="625"/>
      <c r="AA2" s="626"/>
      <c r="AI2" s="80"/>
      <c r="AU2" s="80"/>
      <c r="AW2" s="80"/>
      <c r="AY2" s="80"/>
      <c r="BA2" s="80"/>
      <c r="BE2" s="80"/>
      <c r="BF2" s="80"/>
      <c r="BG2" s="80"/>
      <c r="BH2" s="82"/>
      <c r="BI2" s="80"/>
    </row>
    <row r="3" spans="1:821" s="84" customFormat="1" ht="21" customHeight="1">
      <c r="A3" s="83"/>
      <c r="B3" s="647" t="s">
        <v>140</v>
      </c>
      <c r="C3" s="634">
        <v>45474</v>
      </c>
      <c r="D3" s="634">
        <v>45505</v>
      </c>
      <c r="E3" s="634">
        <v>45536</v>
      </c>
      <c r="F3" s="634">
        <v>45566</v>
      </c>
      <c r="G3" s="634">
        <v>45597</v>
      </c>
      <c r="H3" s="634">
        <v>45627</v>
      </c>
      <c r="I3" s="634">
        <v>45658</v>
      </c>
      <c r="J3" s="634">
        <v>45689</v>
      </c>
      <c r="K3" s="634">
        <v>45717</v>
      </c>
      <c r="L3" s="634">
        <v>45748</v>
      </c>
      <c r="M3" s="634">
        <v>45778</v>
      </c>
      <c r="N3" s="634">
        <v>45809</v>
      </c>
      <c r="O3" s="634">
        <v>45839</v>
      </c>
      <c r="P3" s="634">
        <v>45870</v>
      </c>
      <c r="Q3" s="634">
        <v>45901</v>
      </c>
      <c r="R3" s="634">
        <v>45931</v>
      </c>
      <c r="S3" s="634">
        <v>45962</v>
      </c>
      <c r="T3" s="634">
        <v>45992</v>
      </c>
      <c r="U3" s="634">
        <v>46023</v>
      </c>
      <c r="V3" s="634">
        <v>46054</v>
      </c>
      <c r="W3" s="634">
        <v>46082</v>
      </c>
      <c r="X3" s="634">
        <v>46113</v>
      </c>
      <c r="Y3" s="634">
        <v>46143</v>
      </c>
      <c r="Z3" s="635">
        <v>46174</v>
      </c>
      <c r="AA3" s="648" t="s">
        <v>100</v>
      </c>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c r="KX3" s="80"/>
      <c r="KY3" s="80"/>
      <c r="KZ3" s="80"/>
      <c r="LA3" s="80"/>
      <c r="LB3" s="80"/>
      <c r="LC3" s="80"/>
      <c r="LD3" s="80"/>
      <c r="LE3" s="80"/>
      <c r="LF3" s="80"/>
      <c r="LG3" s="80"/>
      <c r="LH3" s="80"/>
      <c r="LI3" s="80"/>
      <c r="LJ3" s="80"/>
      <c r="LK3" s="80"/>
      <c r="LL3" s="80"/>
      <c r="LM3" s="80"/>
      <c r="LN3" s="80"/>
      <c r="LO3" s="80"/>
      <c r="LP3" s="80"/>
      <c r="LQ3" s="80"/>
      <c r="LR3" s="80"/>
      <c r="LS3" s="80"/>
      <c r="LT3" s="80"/>
      <c r="LU3" s="80"/>
      <c r="LV3" s="80"/>
      <c r="LW3" s="80"/>
      <c r="LX3" s="80"/>
      <c r="LY3" s="80"/>
      <c r="LZ3" s="80"/>
      <c r="MA3" s="80"/>
      <c r="MB3" s="80"/>
      <c r="MC3" s="80"/>
      <c r="MD3" s="80"/>
      <c r="ME3" s="80"/>
      <c r="MF3" s="80"/>
      <c r="MG3" s="80"/>
      <c r="MH3" s="80"/>
      <c r="MI3" s="80"/>
      <c r="MJ3" s="80"/>
      <c r="MK3" s="80"/>
      <c r="ML3" s="80"/>
      <c r="MM3" s="80"/>
      <c r="MN3" s="80"/>
      <c r="MO3" s="80"/>
      <c r="MP3" s="80"/>
      <c r="MQ3" s="80"/>
      <c r="MR3" s="80"/>
      <c r="MS3" s="80"/>
      <c r="MT3" s="80"/>
      <c r="MU3" s="80"/>
      <c r="MV3" s="80"/>
      <c r="MW3" s="80"/>
      <c r="MX3" s="80"/>
      <c r="MY3" s="80"/>
      <c r="MZ3" s="80"/>
      <c r="NA3" s="80"/>
      <c r="NB3" s="80"/>
      <c r="NC3" s="80"/>
      <c r="ND3" s="80"/>
      <c r="NE3" s="80"/>
      <c r="NF3" s="80"/>
      <c r="NG3" s="80"/>
      <c r="NH3" s="80"/>
      <c r="NI3" s="80"/>
      <c r="NJ3" s="80"/>
      <c r="NK3" s="80"/>
      <c r="NL3" s="80"/>
      <c r="NM3" s="80"/>
      <c r="NN3" s="80"/>
      <c r="NO3" s="80"/>
      <c r="NP3" s="80"/>
      <c r="NQ3" s="80"/>
      <c r="NR3" s="80"/>
      <c r="NS3" s="80"/>
      <c r="NT3" s="80"/>
      <c r="NU3" s="80"/>
      <c r="NV3" s="80"/>
      <c r="NW3" s="80"/>
      <c r="NX3" s="80"/>
      <c r="NY3" s="80"/>
      <c r="NZ3" s="80"/>
      <c r="OA3" s="80"/>
      <c r="OB3" s="80"/>
      <c r="OC3" s="80"/>
      <c r="OD3" s="80"/>
      <c r="OE3" s="80"/>
      <c r="OF3" s="80"/>
      <c r="OG3" s="80"/>
      <c r="OH3" s="80"/>
      <c r="OI3" s="80"/>
      <c r="OJ3" s="80"/>
      <c r="OK3" s="80"/>
      <c r="OL3" s="80"/>
      <c r="OM3" s="80"/>
      <c r="ON3" s="80"/>
      <c r="OO3" s="80"/>
      <c r="OP3" s="80"/>
      <c r="OQ3" s="80"/>
      <c r="OR3" s="80"/>
      <c r="OS3" s="80"/>
      <c r="OT3" s="80"/>
      <c r="OU3" s="80"/>
      <c r="OV3" s="80"/>
      <c r="OW3" s="80"/>
      <c r="OX3" s="80"/>
      <c r="OY3" s="80"/>
      <c r="OZ3" s="80"/>
      <c r="PA3" s="80"/>
      <c r="PB3" s="80"/>
      <c r="PC3" s="80"/>
      <c r="PD3" s="80"/>
      <c r="PE3" s="80"/>
      <c r="PF3" s="80"/>
      <c r="PG3" s="80"/>
      <c r="PH3" s="80"/>
      <c r="PI3" s="80"/>
      <c r="PJ3" s="80"/>
      <c r="PK3" s="80"/>
      <c r="PL3" s="80"/>
      <c r="PM3" s="80"/>
      <c r="PN3" s="80"/>
      <c r="PO3" s="80"/>
      <c r="PP3" s="80"/>
      <c r="PQ3" s="80"/>
      <c r="PR3" s="80"/>
      <c r="PS3" s="80"/>
      <c r="PT3" s="80"/>
      <c r="PU3" s="80"/>
      <c r="PV3" s="80"/>
      <c r="PW3" s="80"/>
      <c r="PX3" s="80"/>
      <c r="PY3" s="80"/>
      <c r="PZ3" s="80"/>
      <c r="QA3" s="80"/>
      <c r="QB3" s="80"/>
      <c r="QC3" s="80"/>
      <c r="QD3" s="80"/>
      <c r="QE3" s="80"/>
      <c r="QF3" s="80"/>
      <c r="QG3" s="80"/>
      <c r="QH3" s="80"/>
      <c r="QI3" s="80"/>
      <c r="QJ3" s="80"/>
      <c r="QK3" s="80"/>
      <c r="QL3" s="80"/>
      <c r="QM3" s="80"/>
      <c r="QN3" s="80"/>
      <c r="QO3" s="80"/>
      <c r="QP3" s="80"/>
      <c r="QQ3" s="80"/>
      <c r="QR3" s="80"/>
      <c r="QS3" s="80"/>
      <c r="QT3" s="80"/>
      <c r="QU3" s="80"/>
      <c r="QV3" s="80"/>
      <c r="QW3" s="80"/>
      <c r="QX3" s="80"/>
      <c r="QY3" s="80"/>
      <c r="QZ3" s="80"/>
      <c r="RA3" s="80"/>
      <c r="RB3" s="80"/>
      <c r="RC3" s="80"/>
      <c r="RD3" s="80"/>
      <c r="RE3" s="80"/>
      <c r="RF3" s="80"/>
      <c r="RG3" s="80"/>
      <c r="RH3" s="80"/>
      <c r="RI3" s="80"/>
      <c r="RJ3" s="80"/>
      <c r="RK3" s="80"/>
      <c r="RL3" s="80"/>
      <c r="RM3" s="80"/>
      <c r="RN3" s="80"/>
      <c r="RO3" s="80"/>
      <c r="RP3" s="80"/>
      <c r="RQ3" s="80"/>
      <c r="RR3" s="80"/>
      <c r="RS3" s="80"/>
      <c r="RT3" s="80"/>
      <c r="RU3" s="80"/>
      <c r="RV3" s="80"/>
      <c r="RW3" s="80"/>
      <c r="RX3" s="80"/>
      <c r="RY3" s="80"/>
      <c r="RZ3" s="80"/>
      <c r="SA3" s="80"/>
      <c r="SB3" s="80"/>
      <c r="SC3" s="80"/>
      <c r="SD3" s="80"/>
      <c r="SE3" s="80"/>
      <c r="SF3" s="80"/>
      <c r="SG3" s="80"/>
      <c r="SH3" s="80"/>
      <c r="SI3" s="80"/>
      <c r="SJ3" s="80"/>
      <c r="SK3" s="80"/>
      <c r="SL3" s="80"/>
      <c r="SM3" s="80"/>
      <c r="SN3" s="80"/>
      <c r="SO3" s="80"/>
      <c r="SP3" s="80"/>
      <c r="SQ3" s="80"/>
      <c r="SR3" s="80"/>
      <c r="SS3" s="80"/>
      <c r="ST3" s="80"/>
      <c r="SU3" s="80"/>
      <c r="SV3" s="80"/>
      <c r="SW3" s="80"/>
      <c r="SX3" s="80"/>
      <c r="SY3" s="80"/>
      <c r="SZ3" s="80"/>
      <c r="TA3" s="80"/>
      <c r="TB3" s="80"/>
      <c r="TC3" s="80"/>
      <c r="TD3" s="80"/>
      <c r="TE3" s="80"/>
      <c r="TF3" s="80"/>
      <c r="TG3" s="80"/>
      <c r="TH3" s="80"/>
      <c r="TI3" s="80"/>
      <c r="TJ3" s="80"/>
      <c r="TK3" s="80"/>
      <c r="TL3" s="80"/>
      <c r="TM3" s="80"/>
      <c r="TN3" s="80"/>
      <c r="TO3" s="80"/>
      <c r="TP3" s="80"/>
      <c r="TQ3" s="80"/>
      <c r="TR3" s="80"/>
      <c r="TS3" s="80"/>
      <c r="TT3" s="80"/>
      <c r="TU3" s="80"/>
      <c r="TV3" s="80"/>
      <c r="TW3" s="80"/>
      <c r="TX3" s="80"/>
      <c r="TY3" s="80"/>
      <c r="TZ3" s="80"/>
      <c r="UA3" s="80"/>
      <c r="UB3" s="80"/>
      <c r="UC3" s="80"/>
      <c r="UD3" s="80"/>
      <c r="UE3" s="80"/>
      <c r="UF3" s="80"/>
      <c r="UG3" s="80"/>
      <c r="UH3" s="80"/>
      <c r="UI3" s="80"/>
      <c r="UJ3" s="80"/>
      <c r="UK3" s="80"/>
      <c r="UL3" s="80"/>
      <c r="UM3" s="80"/>
      <c r="UN3" s="80"/>
      <c r="UO3" s="80"/>
      <c r="UP3" s="80"/>
      <c r="UQ3" s="80"/>
      <c r="UR3" s="80"/>
      <c r="US3" s="80"/>
      <c r="UT3" s="80"/>
      <c r="UU3" s="80"/>
      <c r="UV3" s="80"/>
      <c r="UW3" s="80"/>
      <c r="UX3" s="80"/>
      <c r="UY3" s="80"/>
      <c r="UZ3" s="80"/>
      <c r="VA3" s="80"/>
      <c r="VB3" s="80"/>
      <c r="VC3" s="80"/>
      <c r="VD3" s="80"/>
      <c r="VE3" s="80"/>
      <c r="VF3" s="80"/>
      <c r="VG3" s="80"/>
      <c r="VH3" s="80"/>
      <c r="VI3" s="80"/>
      <c r="VJ3" s="80"/>
      <c r="VK3" s="80"/>
      <c r="VL3" s="80"/>
      <c r="VM3" s="80"/>
      <c r="VN3" s="80"/>
      <c r="VO3" s="80"/>
      <c r="VP3" s="80"/>
      <c r="VQ3" s="80"/>
      <c r="VR3" s="80"/>
      <c r="VS3" s="80"/>
      <c r="VT3" s="80"/>
      <c r="VU3" s="80"/>
      <c r="VV3" s="80"/>
      <c r="VW3" s="80"/>
      <c r="VX3" s="80"/>
      <c r="VY3" s="80"/>
      <c r="VZ3" s="80"/>
      <c r="WA3" s="80"/>
      <c r="WB3" s="80"/>
      <c r="WC3" s="80"/>
      <c r="WD3" s="80"/>
      <c r="WE3" s="80"/>
      <c r="WF3" s="80"/>
      <c r="WG3" s="80"/>
      <c r="WH3" s="80"/>
      <c r="WI3" s="80"/>
      <c r="WJ3" s="80"/>
      <c r="WK3" s="80"/>
      <c r="WL3" s="80"/>
      <c r="WM3" s="80"/>
      <c r="WN3" s="80"/>
      <c r="WO3" s="80"/>
      <c r="WP3" s="80"/>
      <c r="WQ3" s="80"/>
      <c r="WR3" s="80"/>
      <c r="WS3" s="80"/>
      <c r="WT3" s="80"/>
      <c r="WU3" s="80"/>
      <c r="WV3" s="80"/>
      <c r="WW3" s="80"/>
      <c r="WX3" s="80"/>
      <c r="WY3" s="80"/>
      <c r="WZ3" s="80"/>
      <c r="XA3" s="80"/>
      <c r="XB3" s="80"/>
      <c r="XC3" s="80"/>
      <c r="XD3" s="80"/>
      <c r="XE3" s="80"/>
      <c r="XF3" s="80"/>
      <c r="XG3" s="80"/>
      <c r="XH3" s="80"/>
      <c r="XI3" s="80"/>
      <c r="XJ3" s="80"/>
      <c r="XK3" s="80"/>
      <c r="XL3" s="80"/>
      <c r="XM3" s="80"/>
      <c r="XN3" s="80"/>
      <c r="XO3" s="80"/>
      <c r="XP3" s="80"/>
      <c r="XQ3" s="80"/>
      <c r="XR3" s="80"/>
      <c r="XS3" s="80"/>
      <c r="XT3" s="80"/>
      <c r="XU3" s="80"/>
      <c r="XV3" s="80"/>
      <c r="XW3" s="80"/>
      <c r="XX3" s="80"/>
      <c r="XY3" s="80"/>
      <c r="XZ3" s="80"/>
      <c r="YA3" s="80"/>
      <c r="YB3" s="80"/>
      <c r="YC3" s="80"/>
      <c r="YD3" s="80"/>
      <c r="YE3" s="80"/>
      <c r="YF3" s="80"/>
      <c r="YG3" s="80"/>
      <c r="YH3" s="80"/>
      <c r="YI3" s="80"/>
      <c r="YJ3" s="80"/>
      <c r="YK3" s="80"/>
      <c r="YL3" s="80"/>
      <c r="YM3" s="80"/>
      <c r="YN3" s="80"/>
      <c r="YO3" s="80"/>
      <c r="YP3" s="80"/>
      <c r="YQ3" s="80"/>
      <c r="YR3" s="80"/>
      <c r="YS3" s="80"/>
      <c r="YT3" s="80"/>
      <c r="YU3" s="80"/>
      <c r="YV3" s="80"/>
      <c r="YW3" s="80"/>
      <c r="YX3" s="80"/>
      <c r="YY3" s="80"/>
      <c r="YZ3" s="80"/>
      <c r="ZA3" s="80"/>
      <c r="ZB3" s="80"/>
      <c r="ZC3" s="80"/>
      <c r="ZD3" s="80"/>
      <c r="ZE3" s="80"/>
      <c r="ZF3" s="80"/>
      <c r="ZG3" s="80"/>
      <c r="ZH3" s="80"/>
      <c r="ZI3" s="80"/>
      <c r="ZJ3" s="80"/>
      <c r="ZK3" s="80"/>
      <c r="ZL3" s="80"/>
      <c r="ZM3" s="80"/>
      <c r="ZN3" s="80"/>
      <c r="ZO3" s="80"/>
      <c r="ZP3" s="80"/>
      <c r="ZQ3" s="80"/>
      <c r="ZR3" s="80"/>
      <c r="ZS3" s="80"/>
      <c r="ZT3" s="80"/>
      <c r="ZU3" s="80"/>
      <c r="ZV3" s="80"/>
      <c r="ZW3" s="80"/>
      <c r="ZX3" s="80"/>
      <c r="ZY3" s="80"/>
      <c r="ZZ3" s="80"/>
      <c r="AAA3" s="80"/>
      <c r="AAB3" s="80"/>
      <c r="AAC3" s="80"/>
      <c r="AAD3" s="80"/>
      <c r="AAE3" s="80"/>
      <c r="AAF3" s="80"/>
      <c r="AAG3" s="80"/>
      <c r="AAH3" s="80"/>
      <c r="AAI3" s="80"/>
      <c r="AAJ3" s="80"/>
      <c r="AAK3" s="80"/>
      <c r="AAL3" s="80"/>
      <c r="AAM3" s="80"/>
      <c r="AAN3" s="80"/>
      <c r="AAO3" s="80"/>
      <c r="AAP3" s="80"/>
      <c r="AAQ3" s="80"/>
      <c r="AAR3" s="80"/>
      <c r="AAS3" s="80"/>
      <c r="AAT3" s="80"/>
      <c r="AAU3" s="80"/>
      <c r="AAV3" s="80"/>
      <c r="AAW3" s="80"/>
      <c r="AAX3" s="80"/>
      <c r="AAY3" s="80"/>
      <c r="AAZ3" s="80"/>
      <c r="ABA3" s="80"/>
      <c r="ABB3" s="80"/>
      <c r="ABC3" s="80"/>
      <c r="ABD3" s="80"/>
      <c r="ABE3" s="80"/>
      <c r="ABF3" s="80"/>
      <c r="ABG3" s="80"/>
      <c r="ABH3" s="80"/>
      <c r="ABI3" s="80"/>
      <c r="ABJ3" s="80"/>
      <c r="ABK3" s="80"/>
      <c r="ABL3" s="80"/>
      <c r="ABM3" s="80"/>
      <c r="ABN3" s="80"/>
      <c r="ABO3" s="80"/>
      <c r="ABP3" s="80"/>
      <c r="ABQ3" s="80"/>
      <c r="ABR3" s="80"/>
      <c r="ABS3" s="80"/>
      <c r="ABT3" s="80"/>
      <c r="ABU3" s="80"/>
      <c r="ABV3" s="80"/>
      <c r="ABW3" s="80"/>
      <c r="ABX3" s="80"/>
      <c r="ABY3" s="80"/>
      <c r="ABZ3" s="80"/>
      <c r="ACA3" s="80"/>
      <c r="ACB3" s="80"/>
      <c r="ACC3" s="80"/>
      <c r="ACD3" s="80"/>
      <c r="ACE3" s="80"/>
      <c r="ACF3" s="80"/>
      <c r="ACG3" s="80"/>
      <c r="ACH3" s="80"/>
      <c r="ACI3" s="80"/>
      <c r="ACJ3" s="80"/>
      <c r="ACK3" s="80"/>
      <c r="ACL3" s="80"/>
      <c r="ACM3" s="80"/>
      <c r="ACN3" s="80"/>
      <c r="ACO3" s="80"/>
      <c r="ACP3" s="80"/>
      <c r="ACQ3" s="80"/>
      <c r="ACR3" s="80"/>
      <c r="ACS3" s="80"/>
      <c r="ACT3" s="80"/>
      <c r="ACU3" s="80"/>
      <c r="ACV3" s="80"/>
      <c r="ACW3" s="80"/>
      <c r="ACX3" s="80"/>
      <c r="ACY3" s="80"/>
      <c r="ACZ3" s="80"/>
      <c r="ADA3" s="80"/>
      <c r="ADB3" s="80"/>
      <c r="ADC3" s="80"/>
      <c r="ADD3" s="80"/>
      <c r="ADE3" s="80"/>
      <c r="ADF3" s="80"/>
      <c r="ADG3" s="80"/>
      <c r="ADH3" s="80"/>
      <c r="ADI3" s="80"/>
      <c r="ADJ3" s="80"/>
      <c r="ADK3" s="80"/>
      <c r="ADL3" s="80"/>
      <c r="ADM3" s="80"/>
      <c r="ADN3" s="80"/>
      <c r="ADO3" s="80"/>
      <c r="ADP3" s="80"/>
      <c r="ADQ3" s="80"/>
      <c r="ADR3" s="80"/>
      <c r="ADS3" s="80"/>
      <c r="ADT3" s="80"/>
      <c r="ADU3" s="80"/>
      <c r="ADV3" s="80"/>
      <c r="ADW3" s="80"/>
      <c r="ADX3" s="80"/>
      <c r="ADY3" s="80"/>
      <c r="ADZ3" s="80"/>
      <c r="AEA3" s="80"/>
      <c r="AEB3" s="80"/>
      <c r="AEC3" s="80"/>
      <c r="AED3" s="80"/>
      <c r="AEE3" s="80"/>
      <c r="AEF3" s="80"/>
      <c r="AEG3" s="80"/>
      <c r="AEH3" s="80"/>
      <c r="AEI3" s="80"/>
      <c r="AEJ3" s="80"/>
      <c r="AEK3" s="80"/>
      <c r="AEL3" s="80"/>
      <c r="AEM3" s="80"/>
      <c r="AEN3" s="80"/>
      <c r="AEO3" s="80"/>
    </row>
    <row r="4" spans="1:821" ht="21" customHeight="1">
      <c r="B4" s="649" t="s">
        <v>173</v>
      </c>
      <c r="C4" s="403">
        <v>1271</v>
      </c>
      <c r="D4" s="289">
        <v>1298</v>
      </c>
      <c r="E4" s="289">
        <v>1305</v>
      </c>
      <c r="F4" s="289">
        <v>1300</v>
      </c>
      <c r="G4" s="289">
        <v>1298</v>
      </c>
      <c r="H4" s="289">
        <v>1311</v>
      </c>
      <c r="I4" s="289">
        <v>1276</v>
      </c>
      <c r="J4" s="289">
        <v>1270</v>
      </c>
      <c r="K4" s="289">
        <v>1252</v>
      </c>
      <c r="L4" s="289">
        <v>1241</v>
      </c>
      <c r="M4" s="289">
        <v>1235</v>
      </c>
      <c r="N4" s="289">
        <v>1241</v>
      </c>
      <c r="O4" s="289">
        <v>1246</v>
      </c>
      <c r="P4" s="289">
        <v>1270</v>
      </c>
      <c r="Q4" s="289">
        <v>1269</v>
      </c>
      <c r="R4" s="289">
        <v>1265</v>
      </c>
      <c r="S4" s="289">
        <v>1240</v>
      </c>
      <c r="T4" s="289">
        <v>1269</v>
      </c>
      <c r="U4" s="289">
        <v>1270</v>
      </c>
      <c r="V4" s="289">
        <v>1266</v>
      </c>
      <c r="W4" s="289">
        <v>1241</v>
      </c>
      <c r="X4" s="289">
        <v>1250</v>
      </c>
      <c r="Y4" s="289">
        <v>1259</v>
      </c>
      <c r="Z4" s="397">
        <v>1267</v>
      </c>
      <c r="AA4" s="521"/>
      <c r="BE4" s="80"/>
      <c r="BH4" s="82"/>
      <c r="BI4" s="80"/>
    </row>
    <row r="5" spans="1:821" ht="21" customHeight="1">
      <c r="B5" s="649" t="s">
        <v>143</v>
      </c>
      <c r="C5" s="403">
        <v>21</v>
      </c>
      <c r="D5" s="289">
        <v>24</v>
      </c>
      <c r="E5" s="289">
        <v>19</v>
      </c>
      <c r="F5" s="289">
        <v>25</v>
      </c>
      <c r="G5" s="289">
        <v>24</v>
      </c>
      <c r="H5" s="289">
        <v>14</v>
      </c>
      <c r="I5" s="289">
        <v>16</v>
      </c>
      <c r="J5" s="289">
        <v>16</v>
      </c>
      <c r="K5" s="289">
        <v>30</v>
      </c>
      <c r="L5" s="289">
        <v>21</v>
      </c>
      <c r="M5" s="289">
        <v>22</v>
      </c>
      <c r="N5" s="289">
        <v>29</v>
      </c>
      <c r="O5" s="289">
        <v>16</v>
      </c>
      <c r="P5" s="289">
        <v>19</v>
      </c>
      <c r="Q5" s="289">
        <v>17</v>
      </c>
      <c r="R5" s="289">
        <v>18</v>
      </c>
      <c r="S5" s="289">
        <v>18</v>
      </c>
      <c r="T5" s="289">
        <v>22</v>
      </c>
      <c r="U5" s="289">
        <v>17</v>
      </c>
      <c r="V5" s="289">
        <v>18</v>
      </c>
      <c r="W5" s="289">
        <v>24</v>
      </c>
      <c r="X5" s="289">
        <v>21</v>
      </c>
      <c r="Y5" s="289">
        <v>21</v>
      </c>
      <c r="Z5" s="397">
        <v>16</v>
      </c>
      <c r="AA5" s="521">
        <v>18</v>
      </c>
      <c r="BE5" s="80"/>
      <c r="BH5" s="82"/>
      <c r="BI5" s="80"/>
    </row>
    <row r="6" spans="1:821" ht="21" customHeight="1">
      <c r="B6" s="649" t="s">
        <v>144</v>
      </c>
      <c r="C6" s="403">
        <v>15.5</v>
      </c>
      <c r="D6" s="289">
        <v>14.7</v>
      </c>
      <c r="E6" s="289">
        <v>15.3</v>
      </c>
      <c r="F6" s="289">
        <v>15.4</v>
      </c>
      <c r="G6" s="289">
        <v>15.2</v>
      </c>
      <c r="H6" s="289">
        <v>16</v>
      </c>
      <c r="I6" s="289">
        <v>15.5</v>
      </c>
      <c r="J6" s="289">
        <v>15.3</v>
      </c>
      <c r="K6" s="289">
        <v>15.1</v>
      </c>
      <c r="L6" s="289">
        <v>15.7</v>
      </c>
      <c r="M6" s="289">
        <v>15.8</v>
      </c>
      <c r="N6" s="289">
        <v>15.3</v>
      </c>
      <c r="O6" s="289">
        <v>15.7</v>
      </c>
      <c r="P6" s="289">
        <v>15.7</v>
      </c>
      <c r="Q6" s="289">
        <v>16.3</v>
      </c>
      <c r="R6" s="289">
        <v>15.8</v>
      </c>
      <c r="S6" s="289">
        <v>16.100000000000001</v>
      </c>
      <c r="T6" s="289">
        <v>16.2</v>
      </c>
      <c r="U6" s="289">
        <v>16.100000000000001</v>
      </c>
      <c r="V6" s="289">
        <v>16.3</v>
      </c>
      <c r="W6" s="289">
        <v>16</v>
      </c>
      <c r="X6" s="289">
        <v>15.2</v>
      </c>
      <c r="Y6" s="289">
        <v>16.2</v>
      </c>
      <c r="Z6" s="397">
        <v>16.3</v>
      </c>
      <c r="AA6" s="521">
        <v>16.399999999999999</v>
      </c>
      <c r="BE6" s="80"/>
      <c r="BH6" s="82"/>
      <c r="BI6" s="80"/>
    </row>
    <row r="7" spans="1:821" ht="21" customHeight="1">
      <c r="B7" s="649" t="s">
        <v>145</v>
      </c>
      <c r="C7" s="403">
        <v>14.4</v>
      </c>
      <c r="D7" s="289">
        <v>14</v>
      </c>
      <c r="E7" s="289">
        <v>14.4</v>
      </c>
      <c r="F7" s="289">
        <v>14.4</v>
      </c>
      <c r="G7" s="289">
        <v>14.2</v>
      </c>
      <c r="H7" s="289">
        <v>14.9</v>
      </c>
      <c r="I7" s="289">
        <v>14.7</v>
      </c>
      <c r="J7" s="289">
        <v>14.4</v>
      </c>
      <c r="K7" s="289">
        <v>14.2</v>
      </c>
      <c r="L7" s="289">
        <v>14.8</v>
      </c>
      <c r="M7" s="289">
        <v>15</v>
      </c>
      <c r="N7" s="289">
        <v>14.4</v>
      </c>
      <c r="O7" s="289">
        <v>14.9</v>
      </c>
      <c r="P7" s="289">
        <v>14.9</v>
      </c>
      <c r="Q7" s="289">
        <v>15.5</v>
      </c>
      <c r="R7" s="289">
        <v>15</v>
      </c>
      <c r="S7" s="289">
        <v>15.3</v>
      </c>
      <c r="T7" s="289">
        <v>15.2</v>
      </c>
      <c r="U7" s="289">
        <v>15</v>
      </c>
      <c r="V7" s="289">
        <v>15.3</v>
      </c>
      <c r="W7" s="289">
        <v>15.2</v>
      </c>
      <c r="X7" s="289">
        <v>14.3</v>
      </c>
      <c r="Y7" s="289">
        <v>15.3</v>
      </c>
      <c r="Z7" s="397">
        <v>15.4</v>
      </c>
      <c r="AA7" s="521">
        <v>15.4</v>
      </c>
      <c r="BE7" s="80"/>
      <c r="BH7" s="82"/>
      <c r="BI7" s="80"/>
    </row>
    <row r="8" spans="1:821" ht="21" customHeight="1">
      <c r="B8" s="649" t="s">
        <v>146</v>
      </c>
      <c r="C8" s="403">
        <v>0.9</v>
      </c>
      <c r="D8" s="289">
        <v>0.7</v>
      </c>
      <c r="E8" s="289">
        <v>0.9</v>
      </c>
      <c r="F8" s="289">
        <v>1</v>
      </c>
      <c r="G8" s="289">
        <v>1</v>
      </c>
      <c r="H8" s="289">
        <v>1</v>
      </c>
      <c r="I8" s="289">
        <v>0.8</v>
      </c>
      <c r="J8" s="289">
        <v>1</v>
      </c>
      <c r="K8" s="289">
        <v>0.9</v>
      </c>
      <c r="L8" s="289">
        <v>0.9</v>
      </c>
      <c r="M8" s="289">
        <v>0.8</v>
      </c>
      <c r="N8" s="289">
        <v>0.8</v>
      </c>
      <c r="O8" s="289">
        <v>0.8</v>
      </c>
      <c r="P8" s="289">
        <v>0.8</v>
      </c>
      <c r="Q8" s="289">
        <v>0.8</v>
      </c>
      <c r="R8" s="289">
        <v>0.8</v>
      </c>
      <c r="S8" s="289">
        <v>0.8</v>
      </c>
      <c r="T8" s="289">
        <v>1.1000000000000001</v>
      </c>
      <c r="U8" s="289">
        <v>1.1000000000000001</v>
      </c>
      <c r="V8" s="289">
        <v>1</v>
      </c>
      <c r="W8" s="289">
        <v>0.8</v>
      </c>
      <c r="X8" s="289">
        <v>0.9</v>
      </c>
      <c r="Y8" s="289">
        <v>0.9</v>
      </c>
      <c r="Z8" s="397">
        <v>0.9</v>
      </c>
      <c r="AA8" s="521">
        <v>1</v>
      </c>
      <c r="AS8" s="85"/>
      <c r="BE8" s="80"/>
      <c r="BH8" s="82"/>
      <c r="BI8" s="80"/>
    </row>
    <row r="9" spans="1:821" ht="21" customHeight="1">
      <c r="B9" s="649" t="s">
        <v>147</v>
      </c>
      <c r="C9" s="403">
        <v>13.2</v>
      </c>
      <c r="D9" s="289">
        <v>13.3</v>
      </c>
      <c r="E9" s="289">
        <v>13</v>
      </c>
      <c r="F9" s="289">
        <v>13.4</v>
      </c>
      <c r="G9" s="289">
        <v>13.3</v>
      </c>
      <c r="H9" s="289">
        <v>13.2</v>
      </c>
      <c r="I9" s="289">
        <v>13.4</v>
      </c>
      <c r="J9" s="289">
        <v>13.4</v>
      </c>
      <c r="K9" s="289">
        <v>13.1</v>
      </c>
      <c r="L9" s="289">
        <v>13.25</v>
      </c>
      <c r="M9" s="289">
        <v>13.5</v>
      </c>
      <c r="N9" s="290">
        <v>13.71</v>
      </c>
      <c r="O9" s="290">
        <v>13.5</v>
      </c>
      <c r="P9" s="290">
        <v>13.7</v>
      </c>
      <c r="Q9" s="290">
        <v>14</v>
      </c>
      <c r="R9" s="290">
        <v>13.9</v>
      </c>
      <c r="S9" s="290">
        <v>14</v>
      </c>
      <c r="T9" s="290">
        <v>13.9</v>
      </c>
      <c r="U9" s="290">
        <v>13.8</v>
      </c>
      <c r="V9" s="290">
        <v>13.9</v>
      </c>
      <c r="W9" s="290">
        <v>13.8</v>
      </c>
      <c r="X9" s="290">
        <v>13.8</v>
      </c>
      <c r="Y9" s="290">
        <v>13.1</v>
      </c>
      <c r="Z9" s="399">
        <v>13.9</v>
      </c>
      <c r="AA9" s="521">
        <v>14.24</v>
      </c>
      <c r="AS9" s="85"/>
      <c r="BE9" s="80"/>
      <c r="BH9" s="82"/>
      <c r="BI9" s="80"/>
    </row>
    <row r="10" spans="1:821" ht="21" customHeight="1">
      <c r="B10" s="649" t="s">
        <v>148</v>
      </c>
      <c r="C10" s="403">
        <v>7.68</v>
      </c>
      <c r="D10" s="289">
        <v>7.23</v>
      </c>
      <c r="E10" s="289">
        <v>7.5</v>
      </c>
      <c r="F10" s="289">
        <v>7.3</v>
      </c>
      <c r="G10" s="289">
        <v>7.3</v>
      </c>
      <c r="H10" s="289">
        <v>7.3</v>
      </c>
      <c r="I10" s="289">
        <v>10.1</v>
      </c>
      <c r="J10" s="289">
        <v>8</v>
      </c>
      <c r="K10" s="289">
        <v>8.8000000000000007</v>
      </c>
      <c r="L10" s="289">
        <v>8</v>
      </c>
      <c r="M10" s="289">
        <v>6.9</v>
      </c>
      <c r="N10" s="289">
        <v>8</v>
      </c>
      <c r="O10" s="401">
        <v>6.6000000000000003E-2</v>
      </c>
      <c r="P10" s="401">
        <v>0.08</v>
      </c>
      <c r="Q10" s="401">
        <v>9.2999999999999999E-2</v>
      </c>
      <c r="R10" s="401">
        <v>7.6999999999999999E-2</v>
      </c>
      <c r="S10" s="401">
        <v>7.5999999999999998E-2</v>
      </c>
      <c r="T10" s="401">
        <v>7.4999999999999997E-2</v>
      </c>
      <c r="U10" s="401">
        <v>0.1045</v>
      </c>
      <c r="V10" s="401">
        <v>7.5999999999999998E-2</v>
      </c>
      <c r="W10" s="401">
        <v>7.6999999999999999E-2</v>
      </c>
      <c r="X10" s="401">
        <v>8.1000000000000003E-2</v>
      </c>
      <c r="Y10" s="401">
        <v>0.105</v>
      </c>
      <c r="Z10" s="402">
        <v>9.5000000000000001E-2</v>
      </c>
      <c r="AA10" s="521">
        <v>7.5</v>
      </c>
      <c r="AS10" s="85"/>
      <c r="BE10" s="80"/>
      <c r="BH10" s="82"/>
      <c r="BI10" s="80"/>
    </row>
    <row r="11" spans="1:821" ht="21" customHeight="1">
      <c r="B11" s="649" t="s">
        <v>149</v>
      </c>
      <c r="C11" s="639">
        <v>0.53</v>
      </c>
      <c r="D11" s="290">
        <v>0.55000000000000004</v>
      </c>
      <c r="E11" s="290">
        <v>0.53800000000000003</v>
      </c>
      <c r="F11" s="290">
        <v>0.54600000000000004</v>
      </c>
      <c r="G11" s="290">
        <v>0.54200000000000004</v>
      </c>
      <c r="H11" s="290">
        <v>0.52400000000000002</v>
      </c>
      <c r="I11" s="290">
        <f>+'[61]January 2025'!$G$10</f>
        <v>0.53725000000000001</v>
      </c>
      <c r="J11" s="290">
        <v>0.52</v>
      </c>
      <c r="K11" s="290">
        <v>0.52700000000000002</v>
      </c>
      <c r="L11" s="290">
        <v>0.54600000000000004</v>
      </c>
      <c r="M11" s="290">
        <v>0.54700000000000004</v>
      </c>
      <c r="N11" s="290">
        <v>0.55600000000000005</v>
      </c>
      <c r="O11" s="290">
        <v>0.53700000000000003</v>
      </c>
      <c r="P11" s="290">
        <v>0.54600000000000004</v>
      </c>
      <c r="Q11" s="290">
        <v>0.54400000000000004</v>
      </c>
      <c r="R11" s="290">
        <v>0.55900000000000005</v>
      </c>
      <c r="S11" s="290">
        <v>0.52300000000000002</v>
      </c>
      <c r="T11" s="290">
        <v>0.53100000000000003</v>
      </c>
      <c r="U11" s="290">
        <v>0.51300000000000001</v>
      </c>
      <c r="V11" s="290">
        <v>0.51600000000000001</v>
      </c>
      <c r="W11" s="290">
        <v>0.51</v>
      </c>
      <c r="X11" s="290">
        <v>0.52</v>
      </c>
      <c r="Y11" s="290">
        <v>0.51400000000000001</v>
      </c>
      <c r="Z11" s="399">
        <v>0.53</v>
      </c>
      <c r="AA11" s="521">
        <v>0.53800000000000003</v>
      </c>
      <c r="AS11" s="86"/>
      <c r="BE11" s="80"/>
      <c r="BH11" s="82"/>
      <c r="BI11" s="80"/>
    </row>
    <row r="12" spans="1:821" ht="21" customHeight="1">
      <c r="B12" s="649" t="s">
        <v>150</v>
      </c>
      <c r="C12" s="639">
        <v>1.56</v>
      </c>
      <c r="D12" s="290">
        <v>1.55</v>
      </c>
      <c r="E12" s="290">
        <v>1.58</v>
      </c>
      <c r="F12" s="290">
        <v>1.64</v>
      </c>
      <c r="G12" s="290">
        <v>1.62</v>
      </c>
      <c r="H12" s="290">
        <v>1.6</v>
      </c>
      <c r="I12" s="290">
        <f>+'[61]January 2025'!$G$8</f>
        <v>1.5974999999999999</v>
      </c>
      <c r="J12" s="290">
        <v>1.58</v>
      </c>
      <c r="K12" s="290">
        <v>1.58</v>
      </c>
      <c r="L12" s="290">
        <v>1.6</v>
      </c>
      <c r="M12" s="290">
        <v>1.57</v>
      </c>
      <c r="N12" s="290">
        <v>1.56</v>
      </c>
      <c r="O12" s="290">
        <v>1.54</v>
      </c>
      <c r="P12" s="290">
        <v>1.57</v>
      </c>
      <c r="Q12" s="290">
        <v>1.57</v>
      </c>
      <c r="R12" s="290">
        <v>1.57</v>
      </c>
      <c r="S12" s="290">
        <v>1.57</v>
      </c>
      <c r="T12" s="290">
        <v>1.6</v>
      </c>
      <c r="U12" s="290">
        <v>1.57</v>
      </c>
      <c r="V12" s="290">
        <v>1.56</v>
      </c>
      <c r="W12" s="290">
        <v>1.56</v>
      </c>
      <c r="X12" s="290">
        <v>1.56</v>
      </c>
      <c r="Y12" s="290">
        <v>1.58</v>
      </c>
      <c r="Z12" s="399">
        <v>1.56</v>
      </c>
      <c r="AA12" s="521">
        <v>1.55</v>
      </c>
      <c r="BE12" s="80"/>
      <c r="BH12" s="82"/>
      <c r="BI12" s="80"/>
    </row>
    <row r="13" spans="1:821" ht="21" customHeight="1">
      <c r="B13" s="649" t="s">
        <v>151</v>
      </c>
      <c r="C13" s="639">
        <v>21.59</v>
      </c>
      <c r="D13" s="290">
        <v>21.76</v>
      </c>
      <c r="E13" s="290">
        <v>21.6</v>
      </c>
      <c r="F13" s="290">
        <v>21.55</v>
      </c>
      <c r="G13" s="290">
        <v>21.35</v>
      </c>
      <c r="H13" s="290">
        <v>20.63</v>
      </c>
      <c r="I13" s="290">
        <f>+'[61]January 2025'!$G$5</f>
        <v>20.8125</v>
      </c>
      <c r="J13" s="290">
        <v>19.899999999999999</v>
      </c>
      <c r="K13" s="290">
        <v>20.27</v>
      </c>
      <c r="L13" s="290">
        <v>20.9</v>
      </c>
      <c r="M13" s="290">
        <v>20.96</v>
      </c>
      <c r="N13" s="290">
        <v>21.37</v>
      </c>
      <c r="O13" s="290">
        <v>20.7</v>
      </c>
      <c r="P13" s="290">
        <v>20.99</v>
      </c>
      <c r="Q13" s="290">
        <v>20.85</v>
      </c>
      <c r="R13" s="290">
        <v>21.51</v>
      </c>
      <c r="S13" s="290">
        <v>20.78</v>
      </c>
      <c r="T13" s="290">
        <v>20.53</v>
      </c>
      <c r="U13" s="290">
        <v>20.02</v>
      </c>
      <c r="V13" s="290">
        <v>20.61</v>
      </c>
      <c r="W13" s="290">
        <v>20.100000000000001</v>
      </c>
      <c r="X13" s="290">
        <v>20.64</v>
      </c>
      <c r="Y13" s="290">
        <v>19.93</v>
      </c>
      <c r="Z13" s="399">
        <v>20.92</v>
      </c>
      <c r="AA13" s="521">
        <v>21</v>
      </c>
      <c r="BE13" s="80"/>
      <c r="BH13" s="82"/>
      <c r="BI13" s="80"/>
    </row>
    <row r="14" spans="1:821" ht="21" customHeight="1">
      <c r="B14" s="649" t="s">
        <v>152</v>
      </c>
      <c r="C14" s="403">
        <v>1.06</v>
      </c>
      <c r="D14" s="290">
        <v>1.1200000000000001</v>
      </c>
      <c r="E14" s="290">
        <v>1.1299999999999999</v>
      </c>
      <c r="F14" s="290">
        <v>1.1399999999999999</v>
      </c>
      <c r="G14" s="290">
        <v>1.1200000000000001</v>
      </c>
      <c r="H14" s="290">
        <v>1</v>
      </c>
      <c r="I14" s="290">
        <f>+'[61]January 2025'!$G$11</f>
        <v>1.1125</v>
      </c>
      <c r="J14" s="290">
        <v>1.0900000000000001</v>
      </c>
      <c r="K14" s="290">
        <v>1.06</v>
      </c>
      <c r="L14" s="290">
        <v>1.05</v>
      </c>
      <c r="M14" s="289">
        <v>1.08</v>
      </c>
      <c r="N14" s="290">
        <v>1.0900000000000001</v>
      </c>
      <c r="O14" s="290">
        <v>1.1200000000000001</v>
      </c>
      <c r="P14" s="290">
        <v>1.1299999999999999</v>
      </c>
      <c r="Q14" s="290">
        <v>1.0900000000000001</v>
      </c>
      <c r="R14" s="290">
        <v>1.08</v>
      </c>
      <c r="S14" s="290">
        <v>1.06</v>
      </c>
      <c r="T14" s="290">
        <v>1.08</v>
      </c>
      <c r="U14" s="290">
        <v>1.07</v>
      </c>
      <c r="V14" s="290">
        <v>1.054</v>
      </c>
      <c r="W14" s="290">
        <v>1.02</v>
      </c>
      <c r="X14" s="290">
        <v>1.075</v>
      </c>
      <c r="Y14" s="290">
        <v>1.07</v>
      </c>
      <c r="Z14" s="399">
        <v>1.1000000000000001</v>
      </c>
      <c r="AA14" s="521">
        <v>1.1499999999999999</v>
      </c>
      <c r="BE14" s="80"/>
      <c r="BH14" s="82"/>
      <c r="BI14" s="80"/>
    </row>
    <row r="15" spans="1:821" ht="21" customHeight="1">
      <c r="B15" s="649" t="s">
        <v>153</v>
      </c>
      <c r="C15" s="639">
        <v>2.4300000000000002</v>
      </c>
      <c r="D15" s="290">
        <v>2.42</v>
      </c>
      <c r="E15" s="290">
        <v>2.39</v>
      </c>
      <c r="F15" s="290">
        <v>2.41</v>
      </c>
      <c r="G15" s="290">
        <v>2.4</v>
      </c>
      <c r="H15" s="290">
        <v>2.46</v>
      </c>
      <c r="I15" s="290">
        <f>+'[61]January 2025'!$G$9</f>
        <v>2.42</v>
      </c>
      <c r="J15" s="290">
        <v>2.4</v>
      </c>
      <c r="K15" s="290">
        <v>2.41</v>
      </c>
      <c r="L15" s="290">
        <v>2.41</v>
      </c>
      <c r="M15" s="290">
        <v>2.4</v>
      </c>
      <c r="N15" s="290">
        <v>2.41</v>
      </c>
      <c r="O15" s="290">
        <v>2.4</v>
      </c>
      <c r="P15" s="290">
        <v>2.4300000000000002</v>
      </c>
      <c r="Q15" s="290">
        <v>2.42</v>
      </c>
      <c r="R15" s="290">
        <v>2.41</v>
      </c>
      <c r="S15" s="290">
        <v>2.42</v>
      </c>
      <c r="T15" s="290">
        <v>2.38</v>
      </c>
      <c r="U15" s="290">
        <v>2.38</v>
      </c>
      <c r="V15" s="290">
        <v>2.4</v>
      </c>
      <c r="W15" s="290">
        <v>2.42</v>
      </c>
      <c r="X15" s="290">
        <v>2.39</v>
      </c>
      <c r="Y15" s="290">
        <v>2.39</v>
      </c>
      <c r="Z15" s="399">
        <v>2.34</v>
      </c>
      <c r="AA15" s="521">
        <v>2.38</v>
      </c>
      <c r="BE15" s="80"/>
      <c r="BH15" s="82"/>
      <c r="BI15" s="80"/>
    </row>
    <row r="16" spans="1:821" ht="21" customHeight="1">
      <c r="B16" s="650"/>
      <c r="C16" s="641"/>
      <c r="D16" s="415"/>
      <c r="E16" s="415"/>
      <c r="F16" s="415"/>
      <c r="G16" s="415"/>
      <c r="H16" s="415"/>
      <c r="I16" s="415"/>
      <c r="J16" s="415"/>
      <c r="K16" s="415"/>
      <c r="L16" s="415"/>
      <c r="M16" s="415"/>
      <c r="N16" s="415"/>
      <c r="O16" s="415"/>
      <c r="P16" s="415"/>
      <c r="Q16" s="415"/>
      <c r="R16" s="415"/>
      <c r="S16" s="415"/>
      <c r="T16" s="415"/>
      <c r="U16" s="415"/>
      <c r="V16" s="415"/>
      <c r="W16" s="415"/>
      <c r="X16" s="415"/>
      <c r="Y16" s="415"/>
      <c r="Z16" s="642"/>
      <c r="AA16" s="651"/>
      <c r="BE16" s="80"/>
      <c r="BF16" s="80"/>
      <c r="BG16" s="80"/>
      <c r="BH16" s="82"/>
      <c r="BI16" s="80"/>
    </row>
    <row r="17" spans="2:62" ht="21" customHeight="1">
      <c r="B17" s="652" t="s">
        <v>154</v>
      </c>
      <c r="C17" s="644">
        <v>45474</v>
      </c>
      <c r="D17" s="644">
        <v>45505</v>
      </c>
      <c r="E17" s="644">
        <v>45536</v>
      </c>
      <c r="F17" s="644">
        <v>45566</v>
      </c>
      <c r="G17" s="644">
        <v>45597</v>
      </c>
      <c r="H17" s="644">
        <v>45627</v>
      </c>
      <c r="I17" s="644">
        <v>45658</v>
      </c>
      <c r="J17" s="644">
        <v>45689</v>
      </c>
      <c r="K17" s="644">
        <v>45717</v>
      </c>
      <c r="L17" s="644">
        <v>45748</v>
      </c>
      <c r="M17" s="644">
        <v>45778</v>
      </c>
      <c r="N17" s="644">
        <v>45809</v>
      </c>
      <c r="O17" s="644">
        <v>45839</v>
      </c>
      <c r="P17" s="644">
        <v>45870</v>
      </c>
      <c r="Q17" s="644">
        <v>45901</v>
      </c>
      <c r="R17" s="644">
        <v>45931</v>
      </c>
      <c r="S17" s="644">
        <v>45962</v>
      </c>
      <c r="T17" s="644">
        <v>45992</v>
      </c>
      <c r="U17" s="644">
        <v>46023</v>
      </c>
      <c r="V17" s="644">
        <v>46054</v>
      </c>
      <c r="W17" s="644">
        <v>46082</v>
      </c>
      <c r="X17" s="644">
        <v>46113</v>
      </c>
      <c r="Y17" s="644">
        <v>46143</v>
      </c>
      <c r="Z17" s="645">
        <v>46174</v>
      </c>
      <c r="AA17" s="651"/>
      <c r="AI17" s="80"/>
      <c r="AU17" s="80"/>
      <c r="AY17" s="80"/>
      <c r="BA17" s="80"/>
      <c r="BE17" s="80"/>
      <c r="BF17" s="80"/>
      <c r="BG17" s="80"/>
      <c r="BH17" s="80"/>
      <c r="BI17" s="80"/>
      <c r="BJ17" s="80"/>
    </row>
    <row r="18" spans="2:62" ht="21" customHeight="1">
      <c r="B18" s="649" t="s">
        <v>155</v>
      </c>
      <c r="C18" s="403">
        <v>5.7</v>
      </c>
      <c r="D18" s="289">
        <v>12.8</v>
      </c>
      <c r="E18" s="289">
        <v>13.5</v>
      </c>
      <c r="F18" s="289">
        <v>3.5</v>
      </c>
      <c r="G18" s="289">
        <v>5.7</v>
      </c>
      <c r="H18" s="289">
        <v>5.8</v>
      </c>
      <c r="I18" s="289">
        <v>4</v>
      </c>
      <c r="J18" s="289">
        <v>4</v>
      </c>
      <c r="K18" s="289">
        <v>7</v>
      </c>
      <c r="L18" s="289">
        <v>10</v>
      </c>
      <c r="M18" s="404">
        <v>3</v>
      </c>
      <c r="N18" s="404">
        <v>12</v>
      </c>
      <c r="O18" s="404">
        <v>6</v>
      </c>
      <c r="P18" s="404">
        <v>4</v>
      </c>
      <c r="Q18" s="404">
        <v>7</v>
      </c>
      <c r="R18" s="415">
        <v>3</v>
      </c>
      <c r="S18" s="415">
        <v>4</v>
      </c>
      <c r="T18" s="479">
        <v>16</v>
      </c>
      <c r="U18" s="479">
        <v>9</v>
      </c>
      <c r="V18" s="479">
        <v>10</v>
      </c>
      <c r="W18" s="479">
        <v>7</v>
      </c>
      <c r="X18" s="479">
        <v>4</v>
      </c>
      <c r="Y18" s="479">
        <v>5</v>
      </c>
      <c r="Z18" s="471">
        <v>4</v>
      </c>
      <c r="AA18" s="653"/>
      <c r="AI18" s="80"/>
      <c r="AU18" s="80"/>
      <c r="AY18" s="80"/>
      <c r="BA18" s="80"/>
      <c r="BE18" s="80"/>
      <c r="BF18" s="80"/>
      <c r="BG18" s="80"/>
      <c r="BH18" s="80"/>
      <c r="BI18" s="80"/>
      <c r="BJ18" s="80"/>
    </row>
    <row r="19" spans="2:62" ht="21" customHeight="1">
      <c r="B19" s="649" t="s">
        <v>156</v>
      </c>
      <c r="C19" s="403">
        <v>2</v>
      </c>
      <c r="D19" s="289">
        <v>1</v>
      </c>
      <c r="E19" s="289">
        <v>0.32</v>
      </c>
      <c r="F19" s="289">
        <v>0</v>
      </c>
      <c r="G19" s="289">
        <v>0.33</v>
      </c>
      <c r="H19" s="289">
        <v>0.33</v>
      </c>
      <c r="I19" s="289">
        <v>0</v>
      </c>
      <c r="J19" s="289">
        <v>1</v>
      </c>
      <c r="K19" s="289">
        <v>1</v>
      </c>
      <c r="L19" s="289">
        <v>1</v>
      </c>
      <c r="M19" s="404">
        <v>0</v>
      </c>
      <c r="N19" s="404">
        <v>2</v>
      </c>
      <c r="O19" s="404">
        <v>2</v>
      </c>
      <c r="P19" s="404">
        <v>0</v>
      </c>
      <c r="Q19" s="404">
        <v>1</v>
      </c>
      <c r="R19" s="415">
        <v>0</v>
      </c>
      <c r="S19" s="415">
        <v>2</v>
      </c>
      <c r="T19" s="479">
        <v>1</v>
      </c>
      <c r="U19" s="479">
        <v>0</v>
      </c>
      <c r="V19" s="479">
        <v>0</v>
      </c>
      <c r="W19" s="479">
        <v>0</v>
      </c>
      <c r="X19" s="479">
        <v>1</v>
      </c>
      <c r="Y19" s="479">
        <v>0</v>
      </c>
      <c r="Z19" s="471">
        <v>0</v>
      </c>
      <c r="AA19" s="653"/>
      <c r="AI19" s="80"/>
      <c r="AU19" s="80"/>
      <c r="AY19" s="80"/>
      <c r="BA19" s="80"/>
      <c r="BE19" s="80"/>
      <c r="BF19" s="80"/>
      <c r="BG19" s="80"/>
      <c r="BH19" s="80"/>
      <c r="BI19" s="80"/>
      <c r="BJ19" s="80"/>
    </row>
    <row r="20" spans="2:62" ht="21" customHeight="1">
      <c r="B20" s="649" t="s">
        <v>157</v>
      </c>
      <c r="C20" s="403">
        <v>2.14</v>
      </c>
      <c r="D20" s="289">
        <v>1.04</v>
      </c>
      <c r="E20" s="289">
        <v>0.12</v>
      </c>
      <c r="F20" s="289">
        <v>0.7</v>
      </c>
      <c r="G20" s="289">
        <v>0.77</v>
      </c>
      <c r="H20" s="289">
        <v>0.81</v>
      </c>
      <c r="I20" s="401">
        <f>+[62]monthly!$BR$10</f>
        <v>5.4000000000000003E-3</v>
      </c>
      <c r="J20" s="289">
        <v>0.7</v>
      </c>
      <c r="K20" s="289">
        <v>0.59</v>
      </c>
      <c r="L20" s="289">
        <v>0.88</v>
      </c>
      <c r="M20" s="404">
        <v>0.35</v>
      </c>
      <c r="N20" s="405">
        <v>8.0999999999999996E-3</v>
      </c>
      <c r="O20" s="405">
        <v>1.12E-2</v>
      </c>
      <c r="P20" s="405">
        <v>6.7999999999999996E-3</v>
      </c>
      <c r="Q20" s="405">
        <v>1.06E-2</v>
      </c>
      <c r="R20" s="422">
        <v>8.6E-3</v>
      </c>
      <c r="S20" s="422">
        <v>9.5999999999999992E-3</v>
      </c>
      <c r="T20" s="422">
        <v>1.14E-2</v>
      </c>
      <c r="U20" s="422">
        <v>1.78E-2</v>
      </c>
      <c r="V20" s="422">
        <v>1.34E-2</v>
      </c>
      <c r="W20" s="422">
        <v>1.29E-2</v>
      </c>
      <c r="X20" s="422">
        <v>8.6E-3</v>
      </c>
      <c r="Y20" s="422">
        <v>3.2300000000000002E-2</v>
      </c>
      <c r="Z20" s="420">
        <v>1.26E-2</v>
      </c>
      <c r="AA20" s="654">
        <v>0.01</v>
      </c>
      <c r="AI20" s="80"/>
      <c r="AU20" s="80"/>
      <c r="AY20" s="80"/>
      <c r="BA20" s="80"/>
      <c r="BE20" s="80"/>
      <c r="BF20" s="80"/>
      <c r="BG20" s="80"/>
      <c r="BH20" s="80"/>
      <c r="BI20" s="80"/>
      <c r="BJ20" s="80"/>
    </row>
    <row r="21" spans="2:62" ht="21" customHeight="1" thickBot="1">
      <c r="B21" s="655" t="s">
        <v>158</v>
      </c>
      <c r="C21" s="406">
        <v>2.59</v>
      </c>
      <c r="D21" s="363">
        <v>2.08</v>
      </c>
      <c r="E21" s="363">
        <v>1.25</v>
      </c>
      <c r="F21" s="363">
        <v>1.81</v>
      </c>
      <c r="G21" s="363">
        <v>1.66</v>
      </c>
      <c r="H21" s="363">
        <v>2.2599999999999998</v>
      </c>
      <c r="I21" s="407">
        <f>+[62]monthly!$BR$11</f>
        <v>1.7299999999999999E-2</v>
      </c>
      <c r="J21" s="363">
        <v>2.09</v>
      </c>
      <c r="K21" s="363">
        <v>1.68</v>
      </c>
      <c r="L21" s="363">
        <v>1.64</v>
      </c>
      <c r="M21" s="408">
        <v>1.48</v>
      </c>
      <c r="N21" s="409">
        <v>1.6799999999999999E-2</v>
      </c>
      <c r="O21" s="409">
        <v>1.2200000000000001E-2</v>
      </c>
      <c r="P21" s="409">
        <v>1.9900000000000001E-2</v>
      </c>
      <c r="Q21" s="409">
        <v>2.06E-2</v>
      </c>
      <c r="R21" s="423">
        <v>1.3100000000000001E-2</v>
      </c>
      <c r="S21" s="423">
        <v>1.84E-2</v>
      </c>
      <c r="T21" s="423">
        <v>1.5900000000000001E-2</v>
      </c>
      <c r="U21" s="423">
        <v>1.3100000000000001E-2</v>
      </c>
      <c r="V21" s="423">
        <v>1.7299999999999999E-2</v>
      </c>
      <c r="W21" s="423">
        <v>1.6E-2</v>
      </c>
      <c r="X21" s="423">
        <v>1.2999999999999999E-2</v>
      </c>
      <c r="Y21" s="423">
        <v>1.3599999999999999E-2</v>
      </c>
      <c r="Z21" s="656">
        <v>1.37E-2</v>
      </c>
      <c r="AA21" s="657">
        <v>1.4999999999999999E-2</v>
      </c>
      <c r="AI21" s="80"/>
      <c r="AU21" s="80"/>
      <c r="AY21" s="80"/>
      <c r="BA21" s="80"/>
      <c r="BE21" s="80"/>
      <c r="BF21" s="80"/>
      <c r="BG21" s="80"/>
      <c r="BH21" s="80"/>
      <c r="BI21" s="80"/>
      <c r="BJ21" s="80"/>
    </row>
    <row r="22" spans="2:62" ht="21" customHeight="1">
      <c r="AA22" s="633"/>
    </row>
    <row r="23" spans="2:62">
      <c r="AA23" s="204"/>
    </row>
    <row r="24" spans="2:62">
      <c r="AA24" s="204"/>
    </row>
    <row r="25" spans="2:62">
      <c r="AA25" s="204"/>
    </row>
    <row r="26" spans="2:62">
      <c r="AA26" s="204"/>
    </row>
    <row r="27" spans="2:62">
      <c r="AA27" s="204"/>
    </row>
    <row r="28" spans="2:62">
      <c r="AA28" s="204"/>
    </row>
    <row r="29" spans="2:62">
      <c r="AA29" s="204"/>
    </row>
    <row r="30" spans="2:62">
      <c r="AA30" s="204"/>
    </row>
    <row r="31" spans="2:62">
      <c r="AA31" s="204"/>
    </row>
    <row r="32" spans="2:62">
      <c r="AA32" s="204"/>
    </row>
    <row r="33" spans="27:27">
      <c r="AA33" s="204"/>
    </row>
    <row r="34" spans="27:27">
      <c r="AA34" s="204"/>
    </row>
    <row r="35" spans="27:27">
      <c r="AA35" s="204"/>
    </row>
  </sheetData>
  <pageMargins left="0.7" right="0.7" top="0.75" bottom="0.75" header="0.3" footer="0.3"/>
  <pageSetup paperSize="9" scale="71"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45CE-64D8-454F-9387-B7ED6B2647E4}">
  <sheetPr codeName="Sheet98">
    <tabColor rgb="FFFF66FF"/>
  </sheetPr>
  <dimension ref="A18:P22"/>
  <sheetViews>
    <sheetView zoomScale="90" zoomScaleNormal="90" workbookViewId="0">
      <selection activeCell="Q11" sqref="Q11"/>
    </sheetView>
  </sheetViews>
  <sheetFormatPr defaultRowHeight="15"/>
  <cols>
    <col min="1" max="1" width="11.28515625" bestFit="1" customWidth="1"/>
  </cols>
  <sheetData>
    <row r="18" spans="1:16" ht="15.75" thickBot="1">
      <c r="A18" s="50"/>
      <c r="B18" s="108">
        <v>45839</v>
      </c>
      <c r="C18" s="108">
        <v>45870</v>
      </c>
      <c r="D18" s="108">
        <v>45901</v>
      </c>
      <c r="E18" s="108">
        <v>45931</v>
      </c>
      <c r="F18" s="108">
        <v>45962</v>
      </c>
      <c r="G18" s="108">
        <v>45992</v>
      </c>
      <c r="H18" s="108">
        <v>46023</v>
      </c>
      <c r="I18" s="108">
        <v>46054</v>
      </c>
      <c r="J18" s="108">
        <v>46082</v>
      </c>
      <c r="K18" s="108">
        <v>46113</v>
      </c>
      <c r="L18" s="108">
        <v>46143</v>
      </c>
      <c r="M18" s="108">
        <v>46174</v>
      </c>
    </row>
    <row r="19" spans="1:16">
      <c r="A19" s="103" t="s">
        <v>59</v>
      </c>
      <c r="B19" s="133">
        <f>IFERROR(SUM('[63]Combined total CDM to Colco (7)'!B25+'[63]Combined total CDM to Colco (7)'!B35+'[63]Combined total CDM to Colco (7)'!B45+'[63]Combined total CDM to Colco (7)'!B55)/SUM('[63]Combined pigs sold to colco (7)'!B26+'[63]Combined pigs sold to colco (7)'!B36+'[63]Combined pigs sold to colco (7)'!B46+'[63]Combined pigs sold to colco (7)'!B56),0)</f>
        <v>92.305631399317406</v>
      </c>
      <c r="C19" s="133">
        <f>IFERROR('LH Ext total CDM to colcom  (7)'!C21/'LH extension pigs to Colcom (7)'!C21,0)</f>
        <v>95.428646748681899</v>
      </c>
      <c r="D19" s="133">
        <f>IFERROR('LH Ext total CDM to colcom  (7)'!D21/'LH extension pigs to Colcom (7)'!D21,0)</f>
        <v>91.492604006163319</v>
      </c>
      <c r="E19" s="133">
        <f>IFERROR('LH Ext total CDM to colcom  (7)'!E21/'LH extension pigs to Colcom (7)'!E21,0)</f>
        <v>87.775280898876403</v>
      </c>
      <c r="F19" s="133">
        <f>IFERROR('LH Ext total CDM to colcom  (7)'!F21/'LH extension pigs to Colcom (7)'!F21,0)</f>
        <v>87.291962174940892</v>
      </c>
      <c r="G19" s="133">
        <f>IFERROR('LH Ext total CDM to colcom  (7)'!G21/'LH extension pigs to Colcom (7)'!G21,0)</f>
        <v>86.352105263157895</v>
      </c>
      <c r="H19" s="133">
        <f>IFERROR('LH Ext total CDM to colcom  (7)'!H21/'LH extension pigs to Colcom (7)'!H21,0)</f>
        <v>84.033806818181816</v>
      </c>
      <c r="I19" s="133">
        <f>IFERROR('LH Ext total CDM to colcom  (7)'!I21/'LH extension pigs to Colcom (7)'!I21,0)</f>
        <v>85.530085959885383</v>
      </c>
      <c r="J19" s="133">
        <f>IFERROR('LH Ext total CDM to colcom  (7)'!J21/'LH extension pigs to Colcom (7)'!J21,0)</f>
        <v>86.95751072961373</v>
      </c>
      <c r="K19" s="133">
        <f>IFERROR('LH Ext total CDM to colcom  (7)'!K21/'LH extension pigs to Colcom (7)'!K21,0)</f>
        <v>84.715007898894157</v>
      </c>
      <c r="L19" s="133">
        <f>IFERROR('LH Ext total CDM to colcom  (7)'!L21/'LH extension pigs to Colcom (7)'!L21,0)</f>
        <v>88.262309644670069</v>
      </c>
      <c r="M19" s="133">
        <f>IFERROR('LH Ext total CDM to colcom  (7)'!M21/'LH extension pigs to Colcom (7)'!M21,0)</f>
        <v>88.859545004945602</v>
      </c>
      <c r="N19" s="142">
        <f>AVERAGE(B19:M19)</f>
        <v>88.250374712277392</v>
      </c>
      <c r="O19" s="146"/>
    </row>
    <row r="20" spans="1:16">
      <c r="A20" s="103" t="s">
        <v>109</v>
      </c>
      <c r="B20" s="134">
        <v>87.069060773480658</v>
      </c>
      <c r="C20" s="271">
        <v>90.974556213017749</v>
      </c>
      <c r="D20" s="271">
        <v>97.884251968503932</v>
      </c>
      <c r="E20" s="271">
        <v>92.636805555555554</v>
      </c>
      <c r="F20" s="271">
        <v>92.406315789473695</v>
      </c>
      <c r="G20" s="271">
        <v>91.531199999999998</v>
      </c>
      <c r="H20" s="271">
        <v>89.866447368421063</v>
      </c>
      <c r="I20" s="271">
        <v>93.547495961227796</v>
      </c>
      <c r="J20" s="271">
        <v>89.525326797385617</v>
      </c>
      <c r="K20" s="271">
        <v>85.124237804878049</v>
      </c>
      <c r="L20" s="271">
        <v>88.219736842105249</v>
      </c>
      <c r="M20" s="272">
        <v>99.662426614481404</v>
      </c>
      <c r="N20" s="142">
        <f>AVERAGE(B20:M20)</f>
        <v>91.537321807377552</v>
      </c>
      <c r="O20" s="125">
        <f>N19-N20</f>
        <v>-3.2869470951001603</v>
      </c>
      <c r="P20" t="s">
        <v>110</v>
      </c>
    </row>
    <row r="21" spans="1:16" ht="15.75" thickBot="1">
      <c r="A21" s="103" t="s">
        <v>88</v>
      </c>
      <c r="B21" s="150">
        <f>'[3]LH ext avg Cdm against budg (7)'!B21</f>
        <v>90</v>
      </c>
      <c r="C21" s="273">
        <f>'[3]LH ext avg Cdm against budg (7)'!C21</f>
        <v>90</v>
      </c>
      <c r="D21" s="273">
        <f>'[3]LH ext avg Cdm against budg (7)'!D21</f>
        <v>88</v>
      </c>
      <c r="E21" s="273">
        <f>'[3]LH ext avg Cdm against budg (7)'!E21</f>
        <v>88</v>
      </c>
      <c r="F21" s="273">
        <f>'[3]LH ext avg Cdm against budg (7)'!F21</f>
        <v>88</v>
      </c>
      <c r="G21" s="273">
        <f>'[3]LH ext avg Cdm against budg (7)'!G21</f>
        <v>88</v>
      </c>
      <c r="H21" s="273">
        <f>'[3]LH ext avg Cdm against budg (7)'!H21</f>
        <v>88</v>
      </c>
      <c r="I21" s="273">
        <f>'[3]LH ext avg Cdm against budg (7)'!I21</f>
        <v>88</v>
      </c>
      <c r="J21" s="273">
        <f>'[3]LH ext avg Cdm against budg (7)'!J21</f>
        <v>88</v>
      </c>
      <c r="K21" s="273">
        <f>'[3]LH ext avg Cdm against budg (7)'!K21</f>
        <v>90</v>
      </c>
      <c r="L21" s="273">
        <f>'[3]LH ext avg Cdm against budg (7)'!L21</f>
        <v>90</v>
      </c>
      <c r="M21" s="273">
        <f>'[3]LH ext avg Cdm against budg (7)'!M21</f>
        <v>90</v>
      </c>
      <c r="N21" s="142">
        <f>AVERAGE(B21:M21)</f>
        <v>88.833333333333329</v>
      </c>
      <c r="O21" s="125">
        <f>N19-N21</f>
        <v>-0.58295862105593699</v>
      </c>
      <c r="P21" t="s">
        <v>4</v>
      </c>
    </row>
    <row r="22" spans="1:16">
      <c r="N22" s="142"/>
      <c r="O22" s="125"/>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96C7-CB33-472F-97F1-CF4D7ED49289}">
  <sheetPr codeName="Sheet99">
    <tabColor rgb="FFFF66FF"/>
  </sheetPr>
  <dimension ref="A20:Q24"/>
  <sheetViews>
    <sheetView zoomScale="90" zoomScaleNormal="90" workbookViewId="0">
      <selection activeCell="B21" sqref="B21:M21"/>
    </sheetView>
  </sheetViews>
  <sheetFormatPr defaultRowHeight="15"/>
  <cols>
    <col min="2" max="3" width="11.7109375" bestFit="1" customWidth="1"/>
    <col min="4" max="4" width="9.5703125" bestFit="1" customWidth="1"/>
    <col min="5" max="9" width="9" bestFit="1" customWidth="1"/>
    <col min="10" max="10" width="9.5703125" bestFit="1" customWidth="1"/>
    <col min="11" max="13" width="9" bestFit="1" customWidth="1"/>
    <col min="14" max="14" width="12.140625" bestFit="1" customWidth="1"/>
    <col min="15" max="15" width="12.85546875" bestFit="1" customWidth="1"/>
  </cols>
  <sheetData>
    <row r="20" spans="1:17" ht="15.75" thickBot="1">
      <c r="A20" s="50"/>
      <c r="B20" s="108">
        <v>45839</v>
      </c>
      <c r="C20" s="108">
        <v>45870</v>
      </c>
      <c r="D20" s="108">
        <v>45901</v>
      </c>
      <c r="E20" s="108">
        <v>45931</v>
      </c>
      <c r="F20" s="108">
        <v>45962</v>
      </c>
      <c r="G20" s="108">
        <v>45992</v>
      </c>
      <c r="H20" s="108">
        <v>46023</v>
      </c>
      <c r="I20" s="108">
        <v>46054</v>
      </c>
      <c r="J20" s="108">
        <v>46082</v>
      </c>
      <c r="K20" s="108">
        <v>46113</v>
      </c>
      <c r="L20" s="108">
        <v>46143</v>
      </c>
      <c r="M20" s="108">
        <v>46174</v>
      </c>
    </row>
    <row r="21" spans="1:17" ht="15.75">
      <c r="A21" s="103" t="s">
        <v>59</v>
      </c>
      <c r="B21" s="137">
        <f>SUM('[63]Combined total CDM to Colco (7)'!B25+'[63]Combined total CDM to Colco (7)'!B35+'[63]Combined total CDM to Colco (7)'!B45+'[63]Combined total CDM to Colco (7)'!B55)</f>
        <v>54091.1</v>
      </c>
      <c r="C21" s="137">
        <f>SUM('Combined total CDM to Colco (7)'!C25,'Combined total CDM to Colco (7)'!C35,'Combined total CDM to Colco (7)'!C45,'Combined total CDM to Colco (7)'!C55,'Combined total CDM to Colco (7)'!C64)</f>
        <v>54298.9</v>
      </c>
      <c r="D21" s="137">
        <f>SUM('Combined total CDM to Colco (7)'!D25,'Combined total CDM to Colco (7)'!D35,'Combined total CDM to Colco (7)'!D45,'Combined total CDM to Colco (7)'!D55,'Combined total CDM to Colco (7)'!D64)</f>
        <v>59378.7</v>
      </c>
      <c r="E21" s="137">
        <f>SUM('Combined total CDM to Colco (7)'!E25,'Combined total CDM to Colco (7)'!E35,'Combined total CDM to Colco (7)'!E45,'Combined total CDM to Colco (7)'!E55,'Combined total CDM to Colco (7)'!E64)</f>
        <v>46872</v>
      </c>
      <c r="F21" s="137">
        <f>SUM('Combined total CDM to Colco (7)'!F25,'Combined total CDM to Colco (7)'!F35,'Combined total CDM to Colco (7)'!F45,'Combined total CDM to Colco (7)'!F55,'Combined total CDM to Colco (7)'!F64)</f>
        <v>36924.5</v>
      </c>
      <c r="G21" s="137">
        <f>SUM('Combined total CDM to Colco (7)'!G25,'Combined total CDM to Colco (7)'!G35,'Combined total CDM to Colco (7)'!G45,'Combined total CDM to Colco (7)'!G55,'Combined total CDM to Colco (7)'!G64)</f>
        <v>65627.600000000006</v>
      </c>
      <c r="H21" s="137">
        <f>SUM('Combined total CDM to Colco (7)'!H25,'Combined total CDM to Colco (7)'!H35,'Combined total CDM to Colco (7)'!H45,'Combined total CDM to Colco (7)'!H55,'Combined total CDM to Colco (7)'!H64)</f>
        <v>59159.8</v>
      </c>
      <c r="I21" s="137">
        <f>SUM('Combined total CDM to Colco (7)'!I25,'Combined total CDM to Colco (7)'!I35,'Combined total CDM to Colco (7)'!I45,'Combined total CDM to Colco (7)'!I55,'Combined total CDM to Colco (7)'!I64)</f>
        <v>59699.999999999993</v>
      </c>
      <c r="J21" s="137">
        <f>SUM('Combined total CDM to Colco (7)'!J25,'Combined total CDM to Colco (7)'!J35,'Combined total CDM to Colco (7)'!J45,'Combined total CDM to Colco (7)'!J55,'Combined total CDM to Colco (7)'!J64)</f>
        <v>81044.399999999994</v>
      </c>
      <c r="K21" s="137">
        <f>SUM('Combined total CDM to Colco (7)'!K25,'Combined total CDM to Colco (7)'!K35,'Combined total CDM to Colco (7)'!K45,'Combined total CDM to Colco (7)'!K55,'Combined total CDM to Colco (7)'!K64)</f>
        <v>53624.6</v>
      </c>
      <c r="L21" s="137">
        <f>SUM('Combined total CDM to Colco (7)'!L25,'Combined total CDM to Colco (7)'!L35,'Combined total CDM to Colco (7)'!L45,'Combined total CDM to Colco (7)'!L55,'Combined total CDM to Colco (7)'!L64)</f>
        <v>69550.700000000012</v>
      </c>
      <c r="M21" s="137">
        <f>SUM('Combined total CDM to Colco (7)'!M25,'Combined total CDM to Colco (7)'!M35,'Combined total CDM to Colco (7)'!M45,'Combined total CDM to Colco (7)'!M55,'Combined total CDM to Colco (7)'!M64)</f>
        <v>89837</v>
      </c>
      <c r="N21" s="125">
        <f>SUM(B21:M21)</f>
        <v>730109.3</v>
      </c>
    </row>
    <row r="22" spans="1:17" ht="16.5" thickBot="1">
      <c r="A22" s="103" t="s">
        <v>118</v>
      </c>
      <c r="B22" s="139">
        <f>'[3]LH Ext total CDM to colcom  (7)'!B22</f>
        <v>49335.166639714749</v>
      </c>
      <c r="C22" s="139">
        <f>'[3]LH Ext total CDM to colcom  (7)'!C22</f>
        <v>57007.641033594773</v>
      </c>
      <c r="D22" s="139">
        <f>'[3]LH Ext total CDM to colcom  (7)'!D22</f>
        <v>81239.656273832778</v>
      </c>
      <c r="E22" s="139">
        <f>'[3]LH Ext total CDM to colcom  (7)'!E22</f>
        <v>65229.144644861517</v>
      </c>
      <c r="F22" s="139">
        <f>'[3]LH Ext total CDM to colcom  (7)'!F22</f>
        <v>54716.35332734741</v>
      </c>
      <c r="G22" s="139">
        <f>'[3]LH Ext total CDM to colcom  (7)'!G22</f>
        <v>63375.164670616279</v>
      </c>
      <c r="H22" s="139">
        <f>'[3]LH Ext total CDM to colcom  (7)'!H22</f>
        <v>60672.465945624768</v>
      </c>
      <c r="I22" s="139">
        <f>'[3]LH Ext total CDM to colcom  (7)'!I22</f>
        <v>63086.406567438156</v>
      </c>
      <c r="J22" s="139">
        <f>'[3]LH Ext total CDM to colcom  (7)'!J22</f>
        <v>78880.072336200523</v>
      </c>
      <c r="K22" s="139">
        <f>'[3]LH Ext total CDM to colcom  (7)'!K22</f>
        <v>64538.241002345887</v>
      </c>
      <c r="L22" s="139">
        <f>'[3]LH Ext total CDM to colcom  (7)'!L22</f>
        <v>64538.241002345887</v>
      </c>
      <c r="M22" s="139">
        <f>'[3]LH Ext total CDM to colcom  (7)'!M22</f>
        <v>80704.784993684181</v>
      </c>
      <c r="N22" s="125">
        <f>SUM(B22:M22)</f>
        <v>783323.33843760693</v>
      </c>
      <c r="O22" s="125">
        <f>N21-N22</f>
        <v>-53214.038437606883</v>
      </c>
      <c r="P22" t="s">
        <v>207</v>
      </c>
    </row>
    <row r="23" spans="1:17">
      <c r="B23" s="199"/>
      <c r="C23" s="199"/>
      <c r="D23" s="199"/>
      <c r="E23" s="199"/>
      <c r="F23" s="199"/>
      <c r="G23" s="199"/>
      <c r="H23" s="199"/>
      <c r="I23" s="199"/>
      <c r="J23" s="199"/>
      <c r="K23" s="199"/>
      <c r="L23" s="199"/>
      <c r="M23" s="199"/>
      <c r="N23" s="125"/>
      <c r="O23" s="125"/>
    </row>
    <row r="24" spans="1:17">
      <c r="Q24" s="126"/>
    </row>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D25E-3A91-4308-9CCF-B5D62DD89ED9}">
  <sheetPr codeName="Sheet100">
    <tabColor rgb="FFFF66FF"/>
  </sheetPr>
  <dimension ref="A20:P25"/>
  <sheetViews>
    <sheetView zoomScale="80" zoomScaleNormal="80" workbookViewId="0">
      <selection activeCell="B21" sqref="B21:M21"/>
    </sheetView>
  </sheetViews>
  <sheetFormatPr defaultRowHeight="15"/>
  <cols>
    <col min="2" max="2" width="10.140625" bestFit="1" customWidth="1"/>
    <col min="4" max="4" width="10.140625" bestFit="1" customWidth="1"/>
    <col min="7" max="7" width="10.140625" bestFit="1" customWidth="1"/>
    <col min="9" max="13" width="10.140625" bestFit="1" customWidth="1"/>
  </cols>
  <sheetData>
    <row r="20" spans="1:16" ht="15.75" thickBot="1">
      <c r="A20" s="50"/>
      <c r="B20" s="108">
        <v>45839</v>
      </c>
      <c r="C20" s="108">
        <v>45870</v>
      </c>
      <c r="D20" s="108">
        <v>45901</v>
      </c>
      <c r="E20" s="108">
        <v>45931</v>
      </c>
      <c r="F20" s="108">
        <v>45962</v>
      </c>
      <c r="G20" s="108">
        <v>45992</v>
      </c>
      <c r="H20" s="108">
        <v>46023</v>
      </c>
      <c r="I20" s="108">
        <v>46054</v>
      </c>
      <c r="J20" s="108">
        <v>46082</v>
      </c>
      <c r="K20" s="108">
        <v>46113</v>
      </c>
      <c r="L20" s="108">
        <v>46143</v>
      </c>
      <c r="M20" s="274">
        <v>46174</v>
      </c>
    </row>
    <row r="21" spans="1:16" ht="15.75">
      <c r="A21" s="103" t="s">
        <v>59</v>
      </c>
      <c r="B21" s="137">
        <f>'[63]Combined pigs sold to colco (7)'!B26+'[63]Combined pigs sold to colco (7)'!B36+'[63]Combined pigs sold to colco (7)'!B46+'[63]Combined pigs sold to colco (7)'!B56</f>
        <v>586</v>
      </c>
      <c r="C21" s="137">
        <f>SUM('Combined pigs sold to colco (7)'!C26,'Combined pigs sold to colco (7)'!C36,'Combined pigs sold to colco (7)'!C46,'Combined pigs sold to colco (7)'!C56,'Combined pigs sold to colco (7)'!C68,'Combined pigs sold to colco (7)'!C78)</f>
        <v>569</v>
      </c>
      <c r="D21" s="137">
        <f>SUM('Combined pigs sold to colco (7)'!D26,'Combined pigs sold to colco (7)'!D36,'Combined pigs sold to colco (7)'!D46,'Combined pigs sold to colco (7)'!D56,'Combined pigs sold to colco (7)'!D68,'Combined pigs sold to colco (7)'!D78)</f>
        <v>649</v>
      </c>
      <c r="E21" s="137">
        <f>SUM('Combined pigs sold to colco (7)'!E26,'Combined pigs sold to colco (7)'!E36,'Combined pigs sold to colco (7)'!E46,'Combined pigs sold to colco (7)'!E56,'Combined pigs sold to colco (7)'!E68,'Combined pigs sold to colco (7)'!E78)</f>
        <v>534</v>
      </c>
      <c r="F21" s="137">
        <f>SUM('Combined pigs sold to colco (7)'!F26,'Combined pigs sold to colco (7)'!F36,'Combined pigs sold to colco (7)'!F46,'Combined pigs sold to colco (7)'!F56,'Combined pigs sold to colco (7)'!F68,'Combined pigs sold to colco (7)'!F78)</f>
        <v>423</v>
      </c>
      <c r="G21" s="137">
        <f>SUM('Combined pigs sold to colco (7)'!G26,'Combined pigs sold to colco (7)'!G36,'Combined pigs sold to colco (7)'!G46,'Combined pigs sold to colco (7)'!G56,'Combined pigs sold to colco (7)'!G68,'Combined pigs sold to colco (7)'!G78)</f>
        <v>760</v>
      </c>
      <c r="H21" s="137">
        <f>SUM('Combined pigs sold to colco (7)'!H26,'Combined pigs sold to colco (7)'!H36,'Combined pigs sold to colco (7)'!H46,'Combined pigs sold to colco (7)'!H56,'Combined pigs sold to colco (7)'!H68,'Combined pigs sold to colco (7)'!H78)</f>
        <v>704</v>
      </c>
      <c r="I21" s="137">
        <f>SUM('Combined pigs sold to colco (7)'!I26,'Combined pigs sold to colco (7)'!I36,'Combined pigs sold to colco (7)'!I46,'Combined pigs sold to colco (7)'!I56,'Combined pigs sold to colco (7)'!I68,'Combined pigs sold to colco (7)'!I78)</f>
        <v>698</v>
      </c>
      <c r="J21" s="137">
        <f>SUM('Combined pigs sold to colco (7)'!J26,'Combined pigs sold to colco (7)'!J36,'Combined pigs sold to colco (7)'!J46,'Combined pigs sold to colco (7)'!J56,'Combined pigs sold to colco (7)'!J68,'Combined pigs sold to colco (7)'!J78)</f>
        <v>932</v>
      </c>
      <c r="K21" s="137">
        <f>SUM('Combined pigs sold to colco (7)'!K26,'Combined pigs sold to colco (7)'!K36,'Combined pigs sold to colco (7)'!K46,'Combined pigs sold to colco (7)'!K56,'Combined pigs sold to colco (7)'!K68,'Combined pigs sold to colco (7)'!K78)</f>
        <v>633</v>
      </c>
      <c r="L21" s="137">
        <f>SUM('Combined pigs sold to colco (7)'!L26,'Combined pigs sold to colco (7)'!L36,'Combined pigs sold to colco (7)'!L46,'Combined pigs sold to colco (7)'!L56,'Combined pigs sold to colco (7)'!L68,'Combined pigs sold to colco (7)'!L78)</f>
        <v>788</v>
      </c>
      <c r="M21" s="137">
        <f>SUM('Combined pigs sold to colco (7)'!M26,'Combined pigs sold to colco (7)'!M36,'Combined pigs sold to colco (7)'!M46,'Combined pigs sold to colco (7)'!M56,'Combined pigs sold to colco (7)'!M68,'Combined pigs sold to colco (7)'!M78)</f>
        <v>1011</v>
      </c>
      <c r="N21" s="127">
        <f>SUM(B21:M21)</f>
        <v>8287</v>
      </c>
    </row>
    <row r="22" spans="1:16" ht="16.5" thickBot="1">
      <c r="A22" s="103" t="s">
        <v>118</v>
      </c>
      <c r="B22" s="139">
        <f>'[3]LH extension pigs to Colcom (7)'!B22</f>
        <v>548.16851821905277</v>
      </c>
      <c r="C22" s="139">
        <f>'[3]LH extension pigs to Colcom (7)'!C22</f>
        <v>633.41823370660859</v>
      </c>
      <c r="D22" s="139">
        <f>'[3]LH extension pigs to Colcom (7)'!D22</f>
        <v>923.17791220264519</v>
      </c>
      <c r="E22" s="139">
        <f>'[3]LH extension pigs to Colcom (7)'!E22</f>
        <v>741.24028005524451</v>
      </c>
      <c r="F22" s="139">
        <f>'[3]LH extension pigs to Colcom (7)'!F22</f>
        <v>621.77674235622055</v>
      </c>
      <c r="G22" s="139">
        <f>'[3]LH extension pigs to Colcom (7)'!G22</f>
        <v>720.17232580245775</v>
      </c>
      <c r="H22" s="139">
        <f>'[3]LH extension pigs to Colcom (7)'!H22</f>
        <v>689.45984029119052</v>
      </c>
      <c r="I22" s="139">
        <f>'[3]LH extension pigs to Colcom (7)'!I22</f>
        <v>716.89098372088813</v>
      </c>
      <c r="J22" s="139">
        <f>'[3]LH extension pigs to Colcom (7)'!J22</f>
        <v>896.36445836591508</v>
      </c>
      <c r="K22" s="139">
        <f>'[3]LH extension pigs to Colcom (7)'!K22</f>
        <v>717.09156669273204</v>
      </c>
      <c r="L22" s="139">
        <f>'[3]LH extension pigs to Colcom (7)'!L22</f>
        <v>717.09156669273204</v>
      </c>
      <c r="M22" s="139">
        <f>'[3]LH extension pigs to Colcom (7)'!M22</f>
        <v>896.71983326315762</v>
      </c>
      <c r="N22" s="127">
        <f>SUM(B22:M22)</f>
        <v>8821.5722613688449</v>
      </c>
      <c r="O22" s="127">
        <f>N21-N22</f>
        <v>-534.57226136884492</v>
      </c>
      <c r="P22" t="s">
        <v>207</v>
      </c>
    </row>
    <row r="23" spans="1:16">
      <c r="B23">
        <v>566</v>
      </c>
      <c r="C23">
        <v>466</v>
      </c>
      <c r="N23" s="127"/>
      <c r="O23" s="127"/>
    </row>
    <row r="24" spans="1:16">
      <c r="B24" s="129">
        <f>B22-B23</f>
        <v>-17.831481780947229</v>
      </c>
      <c r="C24" s="129">
        <f>C22-C23</f>
        <v>167.41823370660859</v>
      </c>
    </row>
    <row r="25" spans="1:16">
      <c r="K25" s="129"/>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91CA-2492-4E29-8356-45B2899C126D}">
  <sheetPr codeName="Sheet101">
    <tabColor rgb="FFFF66FF"/>
    <pageSetUpPr fitToPage="1"/>
  </sheetPr>
  <dimension ref="A2:AEP16"/>
  <sheetViews>
    <sheetView zoomScale="78" workbookViewId="0">
      <selection activeCell="AB4" sqref="AB4:AB13"/>
    </sheetView>
  </sheetViews>
  <sheetFormatPr defaultColWidth="13.28515625" defaultRowHeight="21"/>
  <cols>
    <col min="1" max="1" width="13.28515625" style="83"/>
    <col min="2" max="2" width="37.28515625" style="83" customWidth="1"/>
    <col min="3" max="3" width="8.85546875" style="80" hidden="1" customWidth="1"/>
    <col min="4" max="4" width="8.85546875" style="81" hidden="1" customWidth="1"/>
    <col min="5" max="5" width="9.42578125" style="81" hidden="1" customWidth="1"/>
    <col min="6" max="6" width="9.28515625" style="81" hidden="1" customWidth="1"/>
    <col min="7" max="7" width="9" style="80" hidden="1" customWidth="1"/>
    <col min="8" max="8" width="8.85546875" style="80" hidden="1" customWidth="1"/>
    <col min="9" max="9" width="9.85546875" style="81" hidden="1" customWidth="1"/>
    <col min="10" max="10" width="9" style="81" hidden="1" customWidth="1"/>
    <col min="11" max="11" width="9.5703125" style="81" hidden="1" customWidth="1"/>
    <col min="12" max="12" width="8.85546875" style="81" hidden="1" customWidth="1"/>
    <col min="13" max="14" width="8.7109375" style="81" hidden="1" customWidth="1"/>
    <col min="15" max="15" width="8.7109375" style="80" hidden="1" customWidth="1"/>
    <col min="16" max="17" width="8.7109375" style="81" hidden="1" customWidth="1"/>
    <col min="18" max="18" width="8.7109375" style="434" hidden="1" customWidth="1"/>
    <col min="19" max="25" width="8.7109375" style="81" customWidth="1"/>
    <col min="26" max="26" width="8.7109375" style="80" customWidth="1"/>
    <col min="27" max="27" width="13.28515625" style="80"/>
    <col min="28" max="28" width="13.28515625" style="81"/>
    <col min="29" max="35" width="13.28515625" style="80"/>
    <col min="36" max="36" width="13.28515625" style="81"/>
    <col min="37" max="39" width="13.28515625" style="80"/>
    <col min="40" max="40" width="13.28515625" style="81"/>
    <col min="41" max="41" width="13.28515625" style="80"/>
    <col min="42" max="42" width="13.28515625" style="81"/>
    <col min="43" max="47" width="13.28515625" style="80"/>
    <col min="48" max="48" width="13.28515625" style="81"/>
    <col min="49" max="49" width="13.28515625" style="80"/>
    <col min="50" max="50" width="13.28515625" style="81"/>
    <col min="51" max="51" width="13.28515625" style="80"/>
    <col min="52" max="52" width="13.28515625" style="81"/>
    <col min="53" max="53" width="13.28515625" style="80"/>
    <col min="54" max="54" width="13.28515625" style="81"/>
    <col min="55" max="57" width="13.28515625" style="80"/>
    <col min="58" max="16384" width="13.28515625" style="83"/>
  </cols>
  <sheetData>
    <row r="2" spans="1:822" ht="21" customHeight="1" thickBot="1">
      <c r="B2" s="297" t="s">
        <v>208</v>
      </c>
      <c r="C2" s="183"/>
      <c r="D2" s="184"/>
      <c r="E2" s="184"/>
      <c r="F2" s="184"/>
      <c r="G2" s="183"/>
      <c r="H2" s="183"/>
      <c r="I2" s="184"/>
      <c r="J2" s="184"/>
      <c r="K2" s="184"/>
      <c r="L2" s="184"/>
      <c r="M2" s="184"/>
      <c r="N2" s="184"/>
      <c r="O2" s="183"/>
      <c r="P2" s="184"/>
      <c r="Q2" s="184"/>
      <c r="R2" s="432"/>
      <c r="S2" s="184"/>
      <c r="T2" s="184"/>
      <c r="U2" s="184"/>
      <c r="V2" s="184"/>
      <c r="W2" s="184"/>
      <c r="X2" s="184"/>
      <c r="Y2" s="184"/>
      <c r="Z2" s="183"/>
      <c r="AB2" s="80"/>
      <c r="AJ2" s="80"/>
      <c r="AV2" s="80"/>
      <c r="AX2" s="80"/>
      <c r="AZ2" s="80"/>
      <c r="BB2" s="80"/>
      <c r="BF2" s="80"/>
      <c r="BG2" s="80"/>
      <c r="BH2" s="80"/>
      <c r="BI2" s="82"/>
      <c r="BJ2" s="80"/>
    </row>
    <row r="3" spans="1:822" s="84" customFormat="1" ht="21" customHeight="1">
      <c r="A3" s="83"/>
      <c r="B3" s="680" t="s">
        <v>140</v>
      </c>
      <c r="C3" s="681">
        <v>45474</v>
      </c>
      <c r="D3" s="681">
        <v>45505</v>
      </c>
      <c r="E3" s="681">
        <v>45536</v>
      </c>
      <c r="F3" s="681">
        <v>45566</v>
      </c>
      <c r="G3" s="681">
        <v>45597</v>
      </c>
      <c r="H3" s="681">
        <v>45627</v>
      </c>
      <c r="I3" s="681">
        <v>45658</v>
      </c>
      <c r="J3" s="681">
        <v>45689</v>
      </c>
      <c r="K3" s="681">
        <v>45717</v>
      </c>
      <c r="L3" s="681">
        <v>45748</v>
      </c>
      <c r="M3" s="681">
        <v>45778</v>
      </c>
      <c r="N3" s="681">
        <v>45809</v>
      </c>
      <c r="O3" s="681">
        <v>45839</v>
      </c>
      <c r="P3" s="681">
        <v>45870</v>
      </c>
      <c r="Q3" s="681">
        <v>45901</v>
      </c>
      <c r="R3" s="682">
        <v>45931</v>
      </c>
      <c r="S3" s="681">
        <v>45962</v>
      </c>
      <c r="T3" s="681">
        <v>45992</v>
      </c>
      <c r="U3" s="681">
        <v>46023</v>
      </c>
      <c r="V3" s="681">
        <v>46054</v>
      </c>
      <c r="W3" s="681">
        <v>46082</v>
      </c>
      <c r="X3" s="681">
        <v>46113</v>
      </c>
      <c r="Y3" s="681">
        <v>46143</v>
      </c>
      <c r="Z3" s="681">
        <v>46174</v>
      </c>
      <c r="AA3" s="683" t="s">
        <v>120</v>
      </c>
      <c r="AB3" s="684" t="s">
        <v>100</v>
      </c>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c r="KX3" s="80"/>
      <c r="KY3" s="80"/>
      <c r="KZ3" s="80"/>
      <c r="LA3" s="80"/>
      <c r="LB3" s="80"/>
      <c r="LC3" s="80"/>
      <c r="LD3" s="80"/>
      <c r="LE3" s="80"/>
      <c r="LF3" s="80"/>
      <c r="LG3" s="80"/>
      <c r="LH3" s="80"/>
      <c r="LI3" s="80"/>
      <c r="LJ3" s="80"/>
      <c r="LK3" s="80"/>
      <c r="LL3" s="80"/>
      <c r="LM3" s="80"/>
      <c r="LN3" s="80"/>
      <c r="LO3" s="80"/>
      <c r="LP3" s="80"/>
      <c r="LQ3" s="80"/>
      <c r="LR3" s="80"/>
      <c r="LS3" s="80"/>
      <c r="LT3" s="80"/>
      <c r="LU3" s="80"/>
      <c r="LV3" s="80"/>
      <c r="LW3" s="80"/>
      <c r="LX3" s="80"/>
      <c r="LY3" s="80"/>
      <c r="LZ3" s="80"/>
      <c r="MA3" s="80"/>
      <c r="MB3" s="80"/>
      <c r="MC3" s="80"/>
      <c r="MD3" s="80"/>
      <c r="ME3" s="80"/>
      <c r="MF3" s="80"/>
      <c r="MG3" s="80"/>
      <c r="MH3" s="80"/>
      <c r="MI3" s="80"/>
      <c r="MJ3" s="80"/>
      <c r="MK3" s="80"/>
      <c r="ML3" s="80"/>
      <c r="MM3" s="80"/>
      <c r="MN3" s="80"/>
      <c r="MO3" s="80"/>
      <c r="MP3" s="80"/>
      <c r="MQ3" s="80"/>
      <c r="MR3" s="80"/>
      <c r="MS3" s="80"/>
      <c r="MT3" s="80"/>
      <c r="MU3" s="80"/>
      <c r="MV3" s="80"/>
      <c r="MW3" s="80"/>
      <c r="MX3" s="80"/>
      <c r="MY3" s="80"/>
      <c r="MZ3" s="80"/>
      <c r="NA3" s="80"/>
      <c r="NB3" s="80"/>
      <c r="NC3" s="80"/>
      <c r="ND3" s="80"/>
      <c r="NE3" s="80"/>
      <c r="NF3" s="80"/>
      <c r="NG3" s="80"/>
      <c r="NH3" s="80"/>
      <c r="NI3" s="80"/>
      <c r="NJ3" s="80"/>
      <c r="NK3" s="80"/>
      <c r="NL3" s="80"/>
      <c r="NM3" s="80"/>
      <c r="NN3" s="80"/>
      <c r="NO3" s="80"/>
      <c r="NP3" s="80"/>
      <c r="NQ3" s="80"/>
      <c r="NR3" s="80"/>
      <c r="NS3" s="80"/>
      <c r="NT3" s="80"/>
      <c r="NU3" s="80"/>
      <c r="NV3" s="80"/>
      <c r="NW3" s="80"/>
      <c r="NX3" s="80"/>
      <c r="NY3" s="80"/>
      <c r="NZ3" s="80"/>
      <c r="OA3" s="80"/>
      <c r="OB3" s="80"/>
      <c r="OC3" s="80"/>
      <c r="OD3" s="80"/>
      <c r="OE3" s="80"/>
      <c r="OF3" s="80"/>
      <c r="OG3" s="80"/>
      <c r="OH3" s="80"/>
      <c r="OI3" s="80"/>
      <c r="OJ3" s="80"/>
      <c r="OK3" s="80"/>
      <c r="OL3" s="80"/>
      <c r="OM3" s="80"/>
      <c r="ON3" s="80"/>
      <c r="OO3" s="80"/>
      <c r="OP3" s="80"/>
      <c r="OQ3" s="80"/>
      <c r="OR3" s="80"/>
      <c r="OS3" s="80"/>
      <c r="OT3" s="80"/>
      <c r="OU3" s="80"/>
      <c r="OV3" s="80"/>
      <c r="OW3" s="80"/>
      <c r="OX3" s="80"/>
      <c r="OY3" s="80"/>
      <c r="OZ3" s="80"/>
      <c r="PA3" s="80"/>
      <c r="PB3" s="80"/>
      <c r="PC3" s="80"/>
      <c r="PD3" s="80"/>
      <c r="PE3" s="80"/>
      <c r="PF3" s="80"/>
      <c r="PG3" s="80"/>
      <c r="PH3" s="80"/>
      <c r="PI3" s="80"/>
      <c r="PJ3" s="80"/>
      <c r="PK3" s="80"/>
      <c r="PL3" s="80"/>
      <c r="PM3" s="80"/>
      <c r="PN3" s="80"/>
      <c r="PO3" s="80"/>
      <c r="PP3" s="80"/>
      <c r="PQ3" s="80"/>
      <c r="PR3" s="80"/>
      <c r="PS3" s="80"/>
      <c r="PT3" s="80"/>
      <c r="PU3" s="80"/>
      <c r="PV3" s="80"/>
      <c r="PW3" s="80"/>
      <c r="PX3" s="80"/>
      <c r="PY3" s="80"/>
      <c r="PZ3" s="80"/>
      <c r="QA3" s="80"/>
      <c r="QB3" s="80"/>
      <c r="QC3" s="80"/>
      <c r="QD3" s="80"/>
      <c r="QE3" s="80"/>
      <c r="QF3" s="80"/>
      <c r="QG3" s="80"/>
      <c r="QH3" s="80"/>
      <c r="QI3" s="80"/>
      <c r="QJ3" s="80"/>
      <c r="QK3" s="80"/>
      <c r="QL3" s="80"/>
      <c r="QM3" s="80"/>
      <c r="QN3" s="80"/>
      <c r="QO3" s="80"/>
      <c r="QP3" s="80"/>
      <c r="QQ3" s="80"/>
      <c r="QR3" s="80"/>
      <c r="QS3" s="80"/>
      <c r="QT3" s="80"/>
      <c r="QU3" s="80"/>
      <c r="QV3" s="80"/>
      <c r="QW3" s="80"/>
      <c r="QX3" s="80"/>
      <c r="QY3" s="80"/>
      <c r="QZ3" s="80"/>
      <c r="RA3" s="80"/>
      <c r="RB3" s="80"/>
      <c r="RC3" s="80"/>
      <c r="RD3" s="80"/>
      <c r="RE3" s="80"/>
      <c r="RF3" s="80"/>
      <c r="RG3" s="80"/>
      <c r="RH3" s="80"/>
      <c r="RI3" s="80"/>
      <c r="RJ3" s="80"/>
      <c r="RK3" s="80"/>
      <c r="RL3" s="80"/>
      <c r="RM3" s="80"/>
      <c r="RN3" s="80"/>
      <c r="RO3" s="80"/>
      <c r="RP3" s="80"/>
      <c r="RQ3" s="80"/>
      <c r="RR3" s="80"/>
      <c r="RS3" s="80"/>
      <c r="RT3" s="80"/>
      <c r="RU3" s="80"/>
      <c r="RV3" s="80"/>
      <c r="RW3" s="80"/>
      <c r="RX3" s="80"/>
      <c r="RY3" s="80"/>
      <c r="RZ3" s="80"/>
      <c r="SA3" s="80"/>
      <c r="SB3" s="80"/>
      <c r="SC3" s="80"/>
      <c r="SD3" s="80"/>
      <c r="SE3" s="80"/>
      <c r="SF3" s="80"/>
      <c r="SG3" s="80"/>
      <c r="SH3" s="80"/>
      <c r="SI3" s="80"/>
      <c r="SJ3" s="80"/>
      <c r="SK3" s="80"/>
      <c r="SL3" s="80"/>
      <c r="SM3" s="80"/>
      <c r="SN3" s="80"/>
      <c r="SO3" s="80"/>
      <c r="SP3" s="80"/>
      <c r="SQ3" s="80"/>
      <c r="SR3" s="80"/>
      <c r="SS3" s="80"/>
      <c r="ST3" s="80"/>
      <c r="SU3" s="80"/>
      <c r="SV3" s="80"/>
      <c r="SW3" s="80"/>
      <c r="SX3" s="80"/>
      <c r="SY3" s="80"/>
      <c r="SZ3" s="80"/>
      <c r="TA3" s="80"/>
      <c r="TB3" s="80"/>
      <c r="TC3" s="80"/>
      <c r="TD3" s="80"/>
      <c r="TE3" s="80"/>
      <c r="TF3" s="80"/>
      <c r="TG3" s="80"/>
      <c r="TH3" s="80"/>
      <c r="TI3" s="80"/>
      <c r="TJ3" s="80"/>
      <c r="TK3" s="80"/>
      <c r="TL3" s="80"/>
      <c r="TM3" s="80"/>
      <c r="TN3" s="80"/>
      <c r="TO3" s="80"/>
      <c r="TP3" s="80"/>
      <c r="TQ3" s="80"/>
      <c r="TR3" s="80"/>
      <c r="TS3" s="80"/>
      <c r="TT3" s="80"/>
      <c r="TU3" s="80"/>
      <c r="TV3" s="80"/>
      <c r="TW3" s="80"/>
      <c r="TX3" s="80"/>
      <c r="TY3" s="80"/>
      <c r="TZ3" s="80"/>
      <c r="UA3" s="80"/>
      <c r="UB3" s="80"/>
      <c r="UC3" s="80"/>
      <c r="UD3" s="80"/>
      <c r="UE3" s="80"/>
      <c r="UF3" s="80"/>
      <c r="UG3" s="80"/>
      <c r="UH3" s="80"/>
      <c r="UI3" s="80"/>
      <c r="UJ3" s="80"/>
      <c r="UK3" s="80"/>
      <c r="UL3" s="80"/>
      <c r="UM3" s="80"/>
      <c r="UN3" s="80"/>
      <c r="UO3" s="80"/>
      <c r="UP3" s="80"/>
      <c r="UQ3" s="80"/>
      <c r="UR3" s="80"/>
      <c r="US3" s="80"/>
      <c r="UT3" s="80"/>
      <c r="UU3" s="80"/>
      <c r="UV3" s="80"/>
      <c r="UW3" s="80"/>
      <c r="UX3" s="80"/>
      <c r="UY3" s="80"/>
      <c r="UZ3" s="80"/>
      <c r="VA3" s="80"/>
      <c r="VB3" s="80"/>
      <c r="VC3" s="80"/>
      <c r="VD3" s="80"/>
      <c r="VE3" s="80"/>
      <c r="VF3" s="80"/>
      <c r="VG3" s="80"/>
      <c r="VH3" s="80"/>
      <c r="VI3" s="80"/>
      <c r="VJ3" s="80"/>
      <c r="VK3" s="80"/>
      <c r="VL3" s="80"/>
      <c r="VM3" s="80"/>
      <c r="VN3" s="80"/>
      <c r="VO3" s="80"/>
      <c r="VP3" s="80"/>
      <c r="VQ3" s="80"/>
      <c r="VR3" s="80"/>
      <c r="VS3" s="80"/>
      <c r="VT3" s="80"/>
      <c r="VU3" s="80"/>
      <c r="VV3" s="80"/>
      <c r="VW3" s="80"/>
      <c r="VX3" s="80"/>
      <c r="VY3" s="80"/>
      <c r="VZ3" s="80"/>
      <c r="WA3" s="80"/>
      <c r="WB3" s="80"/>
      <c r="WC3" s="80"/>
      <c r="WD3" s="80"/>
      <c r="WE3" s="80"/>
      <c r="WF3" s="80"/>
      <c r="WG3" s="80"/>
      <c r="WH3" s="80"/>
      <c r="WI3" s="80"/>
      <c r="WJ3" s="80"/>
      <c r="WK3" s="80"/>
      <c r="WL3" s="80"/>
      <c r="WM3" s="80"/>
      <c r="WN3" s="80"/>
      <c r="WO3" s="80"/>
      <c r="WP3" s="80"/>
      <c r="WQ3" s="80"/>
      <c r="WR3" s="80"/>
      <c r="WS3" s="80"/>
      <c r="WT3" s="80"/>
      <c r="WU3" s="80"/>
      <c r="WV3" s="80"/>
      <c r="WW3" s="80"/>
      <c r="WX3" s="80"/>
      <c r="WY3" s="80"/>
      <c r="WZ3" s="80"/>
      <c r="XA3" s="80"/>
      <c r="XB3" s="80"/>
      <c r="XC3" s="80"/>
      <c r="XD3" s="80"/>
      <c r="XE3" s="80"/>
      <c r="XF3" s="80"/>
      <c r="XG3" s="80"/>
      <c r="XH3" s="80"/>
      <c r="XI3" s="80"/>
      <c r="XJ3" s="80"/>
      <c r="XK3" s="80"/>
      <c r="XL3" s="80"/>
      <c r="XM3" s="80"/>
      <c r="XN3" s="80"/>
      <c r="XO3" s="80"/>
      <c r="XP3" s="80"/>
      <c r="XQ3" s="80"/>
      <c r="XR3" s="80"/>
      <c r="XS3" s="80"/>
      <c r="XT3" s="80"/>
      <c r="XU3" s="80"/>
      <c r="XV3" s="80"/>
      <c r="XW3" s="80"/>
      <c r="XX3" s="80"/>
      <c r="XY3" s="80"/>
      <c r="XZ3" s="80"/>
      <c r="YA3" s="80"/>
      <c r="YB3" s="80"/>
      <c r="YC3" s="80"/>
      <c r="YD3" s="80"/>
      <c r="YE3" s="80"/>
      <c r="YF3" s="80"/>
      <c r="YG3" s="80"/>
      <c r="YH3" s="80"/>
      <c r="YI3" s="80"/>
      <c r="YJ3" s="80"/>
      <c r="YK3" s="80"/>
      <c r="YL3" s="80"/>
      <c r="YM3" s="80"/>
      <c r="YN3" s="80"/>
      <c r="YO3" s="80"/>
      <c r="YP3" s="80"/>
      <c r="YQ3" s="80"/>
      <c r="YR3" s="80"/>
      <c r="YS3" s="80"/>
      <c r="YT3" s="80"/>
      <c r="YU3" s="80"/>
      <c r="YV3" s="80"/>
      <c r="YW3" s="80"/>
      <c r="YX3" s="80"/>
      <c r="YY3" s="80"/>
      <c r="YZ3" s="80"/>
      <c r="ZA3" s="80"/>
      <c r="ZB3" s="80"/>
      <c r="ZC3" s="80"/>
      <c r="ZD3" s="80"/>
      <c r="ZE3" s="80"/>
      <c r="ZF3" s="80"/>
      <c r="ZG3" s="80"/>
      <c r="ZH3" s="80"/>
      <c r="ZI3" s="80"/>
      <c r="ZJ3" s="80"/>
      <c r="ZK3" s="80"/>
      <c r="ZL3" s="80"/>
      <c r="ZM3" s="80"/>
      <c r="ZN3" s="80"/>
      <c r="ZO3" s="80"/>
      <c r="ZP3" s="80"/>
      <c r="ZQ3" s="80"/>
      <c r="ZR3" s="80"/>
      <c r="ZS3" s="80"/>
      <c r="ZT3" s="80"/>
      <c r="ZU3" s="80"/>
      <c r="ZV3" s="80"/>
      <c r="ZW3" s="80"/>
      <c r="ZX3" s="80"/>
      <c r="ZY3" s="80"/>
      <c r="ZZ3" s="80"/>
      <c r="AAA3" s="80"/>
      <c r="AAB3" s="80"/>
      <c r="AAC3" s="80"/>
      <c r="AAD3" s="80"/>
      <c r="AAE3" s="80"/>
      <c r="AAF3" s="80"/>
      <c r="AAG3" s="80"/>
      <c r="AAH3" s="80"/>
      <c r="AAI3" s="80"/>
      <c r="AAJ3" s="80"/>
      <c r="AAK3" s="80"/>
      <c r="AAL3" s="80"/>
      <c r="AAM3" s="80"/>
      <c r="AAN3" s="80"/>
      <c r="AAO3" s="80"/>
      <c r="AAP3" s="80"/>
      <c r="AAQ3" s="80"/>
      <c r="AAR3" s="80"/>
      <c r="AAS3" s="80"/>
      <c r="AAT3" s="80"/>
      <c r="AAU3" s="80"/>
      <c r="AAV3" s="80"/>
      <c r="AAW3" s="80"/>
      <c r="AAX3" s="80"/>
      <c r="AAY3" s="80"/>
      <c r="AAZ3" s="80"/>
      <c r="ABA3" s="80"/>
      <c r="ABB3" s="80"/>
      <c r="ABC3" s="80"/>
      <c r="ABD3" s="80"/>
      <c r="ABE3" s="80"/>
      <c r="ABF3" s="80"/>
      <c r="ABG3" s="80"/>
      <c r="ABH3" s="80"/>
      <c r="ABI3" s="80"/>
      <c r="ABJ3" s="80"/>
      <c r="ABK3" s="80"/>
      <c r="ABL3" s="80"/>
      <c r="ABM3" s="80"/>
      <c r="ABN3" s="80"/>
      <c r="ABO3" s="80"/>
      <c r="ABP3" s="80"/>
      <c r="ABQ3" s="80"/>
      <c r="ABR3" s="80"/>
      <c r="ABS3" s="80"/>
      <c r="ABT3" s="80"/>
      <c r="ABU3" s="80"/>
      <c r="ABV3" s="80"/>
      <c r="ABW3" s="80"/>
      <c r="ABX3" s="80"/>
      <c r="ABY3" s="80"/>
      <c r="ABZ3" s="80"/>
      <c r="ACA3" s="80"/>
      <c r="ACB3" s="80"/>
      <c r="ACC3" s="80"/>
      <c r="ACD3" s="80"/>
      <c r="ACE3" s="80"/>
      <c r="ACF3" s="80"/>
      <c r="ACG3" s="80"/>
      <c r="ACH3" s="80"/>
      <c r="ACI3" s="80"/>
      <c r="ACJ3" s="80"/>
      <c r="ACK3" s="80"/>
      <c r="ACL3" s="80"/>
      <c r="ACM3" s="80"/>
      <c r="ACN3" s="80"/>
      <c r="ACO3" s="80"/>
      <c r="ACP3" s="80"/>
      <c r="ACQ3" s="80"/>
      <c r="ACR3" s="80"/>
      <c r="ACS3" s="80"/>
      <c r="ACT3" s="80"/>
      <c r="ACU3" s="80"/>
      <c r="ACV3" s="80"/>
      <c r="ACW3" s="80"/>
      <c r="ACX3" s="80"/>
      <c r="ACY3" s="80"/>
      <c r="ACZ3" s="80"/>
      <c r="ADA3" s="80"/>
      <c r="ADB3" s="80"/>
      <c r="ADC3" s="80"/>
      <c r="ADD3" s="80"/>
      <c r="ADE3" s="80"/>
      <c r="ADF3" s="80"/>
      <c r="ADG3" s="80"/>
      <c r="ADH3" s="80"/>
      <c r="ADI3" s="80"/>
      <c r="ADJ3" s="80"/>
      <c r="ADK3" s="80"/>
      <c r="ADL3" s="80"/>
      <c r="ADM3" s="80"/>
      <c r="ADN3" s="80"/>
      <c r="ADO3" s="80"/>
      <c r="ADP3" s="80"/>
      <c r="ADQ3" s="80"/>
      <c r="ADR3" s="80"/>
      <c r="ADS3" s="80"/>
      <c r="ADT3" s="80"/>
      <c r="ADU3" s="80"/>
      <c r="ADV3" s="80"/>
      <c r="ADW3" s="80"/>
      <c r="ADX3" s="80"/>
      <c r="ADY3" s="80"/>
      <c r="ADZ3" s="80"/>
      <c r="AEA3" s="80"/>
      <c r="AEB3" s="80"/>
      <c r="AEC3" s="80"/>
      <c r="AED3" s="80"/>
      <c r="AEE3" s="80"/>
      <c r="AEF3" s="80"/>
      <c r="AEG3" s="80"/>
      <c r="AEH3" s="80"/>
      <c r="AEI3" s="80"/>
      <c r="AEJ3" s="80"/>
      <c r="AEK3" s="80"/>
      <c r="AEL3" s="80"/>
      <c r="AEM3" s="80"/>
      <c r="AEN3" s="80"/>
      <c r="AEO3" s="80"/>
      <c r="AEP3" s="80"/>
    </row>
    <row r="4" spans="1:822" s="102" customFormat="1" ht="21" customHeight="1">
      <c r="B4" s="685" t="s">
        <v>209</v>
      </c>
      <c r="C4" s="189">
        <v>26.6</v>
      </c>
      <c r="D4" s="189">
        <v>25.5</v>
      </c>
      <c r="E4" s="189">
        <v>26.6</v>
      </c>
      <c r="F4" s="189">
        <v>26.1</v>
      </c>
      <c r="G4" s="189">
        <v>26.9</v>
      </c>
      <c r="H4" s="189">
        <v>25.5</v>
      </c>
      <c r="I4" s="189">
        <v>25.7</v>
      </c>
      <c r="J4" s="189">
        <v>23.7</v>
      </c>
      <c r="K4" s="189">
        <v>28.2</v>
      </c>
      <c r="L4" s="189">
        <v>26.8</v>
      </c>
      <c r="M4" s="189">
        <v>26.93</v>
      </c>
      <c r="N4" s="189">
        <v>27.82</v>
      </c>
      <c r="O4" s="189">
        <v>26.3</v>
      </c>
      <c r="P4" s="189">
        <v>26.86</v>
      </c>
      <c r="Q4" s="189">
        <v>26.41</v>
      </c>
      <c r="R4" s="433">
        <v>25.69</v>
      </c>
      <c r="S4" s="189">
        <v>24</v>
      </c>
      <c r="T4" s="189">
        <v>25.09</v>
      </c>
      <c r="U4" s="189">
        <v>24.84</v>
      </c>
      <c r="V4" s="189">
        <v>25.2</v>
      </c>
      <c r="W4" s="189">
        <v>27.49</v>
      </c>
      <c r="X4" s="189">
        <v>27.16</v>
      </c>
      <c r="Y4" s="189">
        <v>26.26</v>
      </c>
      <c r="Z4" s="413">
        <v>26.25</v>
      </c>
      <c r="AA4" s="667"/>
      <c r="AB4" s="686"/>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c r="FO4" s="101"/>
      <c r="FP4" s="101"/>
      <c r="FQ4" s="101"/>
      <c r="FR4" s="101"/>
      <c r="FS4" s="101"/>
      <c r="FT4" s="101"/>
      <c r="FU4" s="101"/>
      <c r="FV4" s="101"/>
      <c r="FW4" s="101"/>
      <c r="FX4" s="101"/>
      <c r="FY4" s="101"/>
      <c r="FZ4" s="101"/>
      <c r="GA4" s="101"/>
      <c r="GB4" s="101"/>
      <c r="GC4" s="101"/>
      <c r="GD4" s="101"/>
      <c r="GE4" s="101"/>
      <c r="GF4" s="101"/>
      <c r="GG4" s="101"/>
      <c r="GH4" s="101"/>
      <c r="GI4" s="101"/>
      <c r="GJ4" s="101"/>
      <c r="GK4" s="101"/>
      <c r="GL4" s="101"/>
      <c r="GM4" s="101"/>
      <c r="GN4" s="101"/>
      <c r="GO4" s="101"/>
      <c r="GP4" s="101"/>
      <c r="GQ4" s="101"/>
      <c r="GR4" s="101"/>
      <c r="GS4" s="101"/>
      <c r="GT4" s="101"/>
      <c r="GU4" s="101"/>
      <c r="GV4" s="101"/>
      <c r="GW4" s="101"/>
      <c r="GX4" s="101"/>
      <c r="GY4" s="101"/>
      <c r="GZ4" s="101"/>
      <c r="HA4" s="101"/>
      <c r="HB4" s="101"/>
      <c r="HC4" s="101"/>
      <c r="HD4" s="101"/>
      <c r="HE4" s="101"/>
      <c r="HF4" s="101"/>
      <c r="HG4" s="101"/>
      <c r="HH4" s="101"/>
      <c r="HI4" s="101"/>
      <c r="HJ4" s="101"/>
      <c r="HK4" s="101"/>
      <c r="HL4" s="101"/>
      <c r="HM4" s="101"/>
      <c r="HN4" s="101"/>
      <c r="HO4" s="101"/>
      <c r="HP4" s="101"/>
      <c r="HQ4" s="101"/>
      <c r="HR4" s="101"/>
      <c r="HS4" s="101"/>
      <c r="HT4" s="101"/>
      <c r="HU4" s="101"/>
      <c r="HV4" s="101"/>
      <c r="HW4" s="101"/>
      <c r="HX4" s="101"/>
      <c r="HY4" s="101"/>
      <c r="HZ4" s="101"/>
      <c r="IA4" s="101"/>
      <c r="IB4" s="101"/>
      <c r="IC4" s="101"/>
      <c r="ID4" s="101"/>
      <c r="IE4" s="101"/>
      <c r="IF4" s="101"/>
      <c r="IG4" s="101"/>
      <c r="IH4" s="101"/>
      <c r="II4" s="101"/>
      <c r="IJ4" s="101"/>
      <c r="IK4" s="101"/>
      <c r="IL4" s="101"/>
      <c r="IM4" s="101"/>
      <c r="IN4" s="101"/>
      <c r="IO4" s="101"/>
      <c r="IP4" s="101"/>
      <c r="IQ4" s="101"/>
      <c r="IR4" s="101"/>
      <c r="IS4" s="101"/>
      <c r="IT4" s="101"/>
      <c r="IU4" s="101"/>
      <c r="IV4" s="101"/>
      <c r="IW4" s="101"/>
      <c r="IX4" s="101"/>
      <c r="IY4" s="101"/>
      <c r="IZ4" s="101"/>
      <c r="JA4" s="101"/>
      <c r="JB4" s="101"/>
      <c r="JC4" s="101"/>
      <c r="JD4" s="101"/>
      <c r="JE4" s="101"/>
      <c r="JF4" s="101"/>
      <c r="JG4" s="101"/>
      <c r="JH4" s="101"/>
      <c r="JI4" s="101"/>
      <c r="JJ4" s="101"/>
      <c r="JK4" s="101"/>
      <c r="JL4" s="101"/>
      <c r="JM4" s="101"/>
      <c r="JN4" s="101"/>
      <c r="JO4" s="101"/>
      <c r="JP4" s="101"/>
      <c r="JQ4" s="101"/>
      <c r="JR4" s="101"/>
      <c r="JS4" s="101"/>
      <c r="JT4" s="101"/>
      <c r="JU4" s="101"/>
      <c r="JV4" s="101"/>
      <c r="JW4" s="101"/>
      <c r="JX4" s="101"/>
      <c r="JY4" s="101"/>
      <c r="JZ4" s="101"/>
      <c r="KA4" s="101"/>
      <c r="KB4" s="101"/>
      <c r="KC4" s="101"/>
      <c r="KD4" s="101"/>
      <c r="KE4" s="101"/>
      <c r="KF4" s="101"/>
      <c r="KG4" s="101"/>
      <c r="KH4" s="101"/>
      <c r="KI4" s="101"/>
      <c r="KJ4" s="101"/>
      <c r="KK4" s="101"/>
      <c r="KL4" s="101"/>
      <c r="KM4" s="101"/>
      <c r="KN4" s="101"/>
      <c r="KO4" s="101"/>
      <c r="KP4" s="101"/>
      <c r="KQ4" s="101"/>
      <c r="KR4" s="101"/>
      <c r="KS4" s="101"/>
      <c r="KT4" s="101"/>
      <c r="KU4" s="101"/>
      <c r="KV4" s="101"/>
      <c r="KW4" s="101"/>
      <c r="KX4" s="101"/>
      <c r="KY4" s="101"/>
      <c r="KZ4" s="101"/>
      <c r="LA4" s="101"/>
      <c r="LB4" s="101"/>
      <c r="LC4" s="101"/>
      <c r="LD4" s="101"/>
      <c r="LE4" s="101"/>
      <c r="LF4" s="101"/>
      <c r="LG4" s="101"/>
      <c r="LH4" s="101"/>
      <c r="LI4" s="101"/>
      <c r="LJ4" s="101"/>
      <c r="LK4" s="101"/>
      <c r="LL4" s="101"/>
      <c r="LM4" s="101"/>
      <c r="LN4" s="101"/>
      <c r="LO4" s="101"/>
      <c r="LP4" s="101"/>
      <c r="LQ4" s="101"/>
      <c r="LR4" s="101"/>
      <c r="LS4" s="101"/>
      <c r="LT4" s="101"/>
      <c r="LU4" s="101"/>
      <c r="LV4" s="101"/>
      <c r="LW4" s="101"/>
      <c r="LX4" s="101"/>
      <c r="LY4" s="101"/>
      <c r="LZ4" s="101"/>
      <c r="MA4" s="101"/>
      <c r="MB4" s="101"/>
      <c r="MC4" s="101"/>
      <c r="MD4" s="101"/>
      <c r="ME4" s="101"/>
      <c r="MF4" s="101"/>
      <c r="MG4" s="101"/>
      <c r="MH4" s="101"/>
      <c r="MI4" s="101"/>
      <c r="MJ4" s="101"/>
      <c r="MK4" s="101"/>
      <c r="ML4" s="101"/>
      <c r="MM4" s="101"/>
      <c r="MN4" s="101"/>
      <c r="MO4" s="101"/>
      <c r="MP4" s="101"/>
      <c r="MQ4" s="101"/>
      <c r="MR4" s="101"/>
      <c r="MS4" s="101"/>
      <c r="MT4" s="101"/>
      <c r="MU4" s="101"/>
      <c r="MV4" s="101"/>
      <c r="MW4" s="101"/>
      <c r="MX4" s="101"/>
      <c r="MY4" s="101"/>
      <c r="MZ4" s="101"/>
      <c r="NA4" s="101"/>
      <c r="NB4" s="101"/>
      <c r="NC4" s="101"/>
      <c r="ND4" s="101"/>
      <c r="NE4" s="101"/>
      <c r="NF4" s="101"/>
      <c r="NG4" s="101"/>
      <c r="NH4" s="101"/>
      <c r="NI4" s="101"/>
      <c r="NJ4" s="101"/>
      <c r="NK4" s="101"/>
      <c r="NL4" s="101"/>
      <c r="NM4" s="101"/>
      <c r="NN4" s="101"/>
      <c r="NO4" s="101"/>
      <c r="NP4" s="101"/>
      <c r="NQ4" s="101"/>
      <c r="NR4" s="101"/>
      <c r="NS4" s="101"/>
      <c r="NT4" s="101"/>
      <c r="NU4" s="101"/>
      <c r="NV4" s="101"/>
      <c r="NW4" s="101"/>
      <c r="NX4" s="101"/>
      <c r="NY4" s="101"/>
      <c r="NZ4" s="101"/>
      <c r="OA4" s="101"/>
      <c r="OB4" s="101"/>
      <c r="OC4" s="101"/>
      <c r="OD4" s="101"/>
      <c r="OE4" s="101"/>
      <c r="OF4" s="101"/>
      <c r="OG4" s="101"/>
      <c r="OH4" s="101"/>
      <c r="OI4" s="101"/>
      <c r="OJ4" s="101"/>
      <c r="OK4" s="101"/>
      <c r="OL4" s="101"/>
      <c r="OM4" s="101"/>
      <c r="ON4" s="101"/>
      <c r="OO4" s="101"/>
      <c r="OP4" s="101"/>
      <c r="OQ4" s="101"/>
      <c r="OR4" s="101"/>
      <c r="OS4" s="101"/>
      <c r="OT4" s="101"/>
      <c r="OU4" s="101"/>
      <c r="OV4" s="101"/>
      <c r="OW4" s="101"/>
      <c r="OX4" s="101"/>
      <c r="OY4" s="101"/>
      <c r="OZ4" s="101"/>
      <c r="PA4" s="101"/>
      <c r="PB4" s="101"/>
      <c r="PC4" s="101"/>
      <c r="PD4" s="101"/>
      <c r="PE4" s="101"/>
      <c r="PF4" s="101"/>
      <c r="PG4" s="101"/>
      <c r="PH4" s="101"/>
      <c r="PI4" s="101"/>
      <c r="PJ4" s="101"/>
      <c r="PK4" s="101"/>
      <c r="PL4" s="101"/>
      <c r="PM4" s="101"/>
      <c r="PN4" s="101"/>
      <c r="PO4" s="101"/>
      <c r="PP4" s="101"/>
      <c r="PQ4" s="101"/>
      <c r="PR4" s="101"/>
      <c r="PS4" s="101"/>
      <c r="PT4" s="101"/>
      <c r="PU4" s="101"/>
      <c r="PV4" s="101"/>
      <c r="PW4" s="101"/>
      <c r="PX4" s="101"/>
      <c r="PY4" s="101"/>
      <c r="PZ4" s="101"/>
      <c r="QA4" s="101"/>
      <c r="QB4" s="101"/>
      <c r="QC4" s="101"/>
      <c r="QD4" s="101"/>
      <c r="QE4" s="101"/>
      <c r="QF4" s="101"/>
      <c r="QG4" s="101"/>
      <c r="QH4" s="101"/>
      <c r="QI4" s="101"/>
      <c r="QJ4" s="101"/>
      <c r="QK4" s="101"/>
      <c r="QL4" s="101"/>
      <c r="QM4" s="101"/>
      <c r="QN4" s="101"/>
      <c r="QO4" s="101"/>
      <c r="QP4" s="101"/>
      <c r="QQ4" s="101"/>
      <c r="QR4" s="101"/>
      <c r="QS4" s="101"/>
      <c r="QT4" s="101"/>
      <c r="QU4" s="101"/>
      <c r="QV4" s="101"/>
      <c r="QW4" s="101"/>
      <c r="QX4" s="101"/>
      <c r="QY4" s="101"/>
      <c r="QZ4" s="101"/>
      <c r="RA4" s="101"/>
      <c r="RB4" s="101"/>
      <c r="RC4" s="101"/>
      <c r="RD4" s="101"/>
      <c r="RE4" s="101"/>
      <c r="RF4" s="101"/>
      <c r="RG4" s="101"/>
      <c r="RH4" s="101"/>
      <c r="RI4" s="101"/>
      <c r="RJ4" s="101"/>
      <c r="RK4" s="101"/>
      <c r="RL4" s="101"/>
      <c r="RM4" s="101"/>
      <c r="RN4" s="101"/>
      <c r="RO4" s="101"/>
      <c r="RP4" s="101"/>
      <c r="RQ4" s="101"/>
      <c r="RR4" s="101"/>
      <c r="RS4" s="101"/>
      <c r="RT4" s="101"/>
      <c r="RU4" s="101"/>
      <c r="RV4" s="101"/>
      <c r="RW4" s="101"/>
      <c r="RX4" s="101"/>
      <c r="RY4" s="101"/>
      <c r="RZ4" s="101"/>
      <c r="SA4" s="101"/>
      <c r="SB4" s="101"/>
      <c r="SC4" s="101"/>
      <c r="SD4" s="101"/>
      <c r="SE4" s="101"/>
      <c r="SF4" s="101"/>
      <c r="SG4" s="101"/>
      <c r="SH4" s="101"/>
      <c r="SI4" s="101"/>
      <c r="SJ4" s="101"/>
      <c r="SK4" s="101"/>
      <c r="SL4" s="101"/>
      <c r="SM4" s="101"/>
      <c r="SN4" s="101"/>
      <c r="SO4" s="101"/>
      <c r="SP4" s="101"/>
      <c r="SQ4" s="101"/>
      <c r="SR4" s="101"/>
      <c r="SS4" s="101"/>
      <c r="ST4" s="101"/>
      <c r="SU4" s="101"/>
      <c r="SV4" s="101"/>
      <c r="SW4" s="101"/>
      <c r="SX4" s="101"/>
      <c r="SY4" s="101"/>
      <c r="SZ4" s="101"/>
      <c r="TA4" s="101"/>
      <c r="TB4" s="101"/>
      <c r="TC4" s="101"/>
      <c r="TD4" s="101"/>
      <c r="TE4" s="101"/>
      <c r="TF4" s="101"/>
      <c r="TG4" s="101"/>
      <c r="TH4" s="101"/>
      <c r="TI4" s="101"/>
      <c r="TJ4" s="101"/>
      <c r="TK4" s="101"/>
      <c r="TL4" s="101"/>
      <c r="TM4" s="101"/>
      <c r="TN4" s="101"/>
      <c r="TO4" s="101"/>
      <c r="TP4" s="101"/>
      <c r="TQ4" s="101"/>
      <c r="TR4" s="101"/>
      <c r="TS4" s="101"/>
      <c r="TT4" s="101"/>
      <c r="TU4" s="101"/>
      <c r="TV4" s="101"/>
      <c r="TW4" s="101"/>
      <c r="TX4" s="101"/>
      <c r="TY4" s="101"/>
      <c r="TZ4" s="101"/>
      <c r="UA4" s="101"/>
      <c r="UB4" s="101"/>
      <c r="UC4" s="101"/>
      <c r="UD4" s="101"/>
      <c r="UE4" s="101"/>
      <c r="UF4" s="101"/>
      <c r="UG4" s="101"/>
      <c r="UH4" s="101"/>
      <c r="UI4" s="101"/>
      <c r="UJ4" s="101"/>
      <c r="UK4" s="101"/>
      <c r="UL4" s="101"/>
      <c r="UM4" s="101"/>
      <c r="UN4" s="101"/>
      <c r="UO4" s="101"/>
      <c r="UP4" s="101"/>
      <c r="UQ4" s="101"/>
      <c r="UR4" s="101"/>
      <c r="US4" s="101"/>
      <c r="UT4" s="101"/>
      <c r="UU4" s="101"/>
      <c r="UV4" s="101"/>
      <c r="UW4" s="101"/>
      <c r="UX4" s="101"/>
      <c r="UY4" s="101"/>
      <c r="UZ4" s="101"/>
      <c r="VA4" s="101"/>
      <c r="VB4" s="101"/>
      <c r="VC4" s="101"/>
      <c r="VD4" s="101"/>
      <c r="VE4" s="101"/>
      <c r="VF4" s="101"/>
      <c r="VG4" s="101"/>
      <c r="VH4" s="101"/>
      <c r="VI4" s="101"/>
      <c r="VJ4" s="101"/>
      <c r="VK4" s="101"/>
      <c r="VL4" s="101"/>
      <c r="VM4" s="101"/>
      <c r="VN4" s="101"/>
      <c r="VO4" s="101"/>
      <c r="VP4" s="101"/>
      <c r="VQ4" s="101"/>
      <c r="VR4" s="101"/>
      <c r="VS4" s="101"/>
      <c r="VT4" s="101"/>
      <c r="VU4" s="101"/>
      <c r="VV4" s="101"/>
      <c r="VW4" s="101"/>
      <c r="VX4" s="101"/>
      <c r="VY4" s="101"/>
      <c r="VZ4" s="101"/>
      <c r="WA4" s="101"/>
      <c r="WB4" s="101"/>
      <c r="WC4" s="101"/>
      <c r="WD4" s="101"/>
      <c r="WE4" s="101"/>
      <c r="WF4" s="101"/>
      <c r="WG4" s="101"/>
      <c r="WH4" s="101"/>
      <c r="WI4" s="101"/>
      <c r="WJ4" s="101"/>
      <c r="WK4" s="101"/>
      <c r="WL4" s="101"/>
      <c r="WM4" s="101"/>
      <c r="WN4" s="101"/>
      <c r="WO4" s="101"/>
      <c r="WP4" s="101"/>
      <c r="WQ4" s="101"/>
      <c r="WR4" s="101"/>
      <c r="WS4" s="101"/>
      <c r="WT4" s="101"/>
      <c r="WU4" s="101"/>
      <c r="WV4" s="101"/>
      <c r="WW4" s="101"/>
      <c r="WX4" s="101"/>
      <c r="WY4" s="101"/>
      <c r="WZ4" s="101"/>
      <c r="XA4" s="101"/>
      <c r="XB4" s="101"/>
      <c r="XC4" s="101"/>
      <c r="XD4" s="101"/>
      <c r="XE4" s="101"/>
      <c r="XF4" s="101"/>
      <c r="XG4" s="101"/>
      <c r="XH4" s="101"/>
      <c r="XI4" s="101"/>
      <c r="XJ4" s="101"/>
      <c r="XK4" s="101"/>
      <c r="XL4" s="101"/>
      <c r="XM4" s="101"/>
      <c r="XN4" s="101"/>
      <c r="XO4" s="101"/>
      <c r="XP4" s="101"/>
      <c r="XQ4" s="101"/>
      <c r="XR4" s="101"/>
      <c r="XS4" s="101"/>
      <c r="XT4" s="101"/>
      <c r="XU4" s="101"/>
      <c r="XV4" s="101"/>
      <c r="XW4" s="101"/>
      <c r="XX4" s="101"/>
      <c r="XY4" s="101"/>
      <c r="XZ4" s="101"/>
      <c r="YA4" s="101"/>
      <c r="YB4" s="101"/>
      <c r="YC4" s="101"/>
      <c r="YD4" s="101"/>
      <c r="YE4" s="101"/>
      <c r="YF4" s="101"/>
      <c r="YG4" s="101"/>
      <c r="YH4" s="101"/>
      <c r="YI4" s="101"/>
      <c r="YJ4" s="101"/>
      <c r="YK4" s="101"/>
      <c r="YL4" s="101"/>
      <c r="YM4" s="101"/>
      <c r="YN4" s="101"/>
      <c r="YO4" s="101"/>
      <c r="YP4" s="101"/>
      <c r="YQ4" s="101"/>
      <c r="YR4" s="101"/>
      <c r="YS4" s="101"/>
      <c r="YT4" s="101"/>
      <c r="YU4" s="101"/>
      <c r="YV4" s="101"/>
      <c r="YW4" s="101"/>
      <c r="YX4" s="101"/>
      <c r="YY4" s="101"/>
      <c r="YZ4" s="101"/>
      <c r="ZA4" s="101"/>
      <c r="ZB4" s="101"/>
      <c r="ZC4" s="101"/>
      <c r="ZD4" s="101"/>
      <c r="ZE4" s="101"/>
      <c r="ZF4" s="101"/>
      <c r="ZG4" s="101"/>
      <c r="ZH4" s="101"/>
      <c r="ZI4" s="101"/>
      <c r="ZJ4" s="101"/>
      <c r="ZK4" s="101"/>
      <c r="ZL4" s="101"/>
      <c r="ZM4" s="101"/>
      <c r="ZN4" s="101"/>
      <c r="ZO4" s="101"/>
      <c r="ZP4" s="101"/>
      <c r="ZQ4" s="101"/>
      <c r="ZR4" s="101"/>
      <c r="ZS4" s="101"/>
      <c r="ZT4" s="101"/>
      <c r="ZU4" s="101"/>
      <c r="ZV4" s="101"/>
      <c r="ZW4" s="101"/>
      <c r="ZX4" s="101"/>
      <c r="ZY4" s="101"/>
      <c r="ZZ4" s="101"/>
      <c r="AAA4" s="101"/>
      <c r="AAB4" s="101"/>
      <c r="AAC4" s="101"/>
      <c r="AAD4" s="101"/>
      <c r="AAE4" s="101"/>
      <c r="AAF4" s="101"/>
      <c r="AAG4" s="101"/>
      <c r="AAH4" s="101"/>
      <c r="AAI4" s="101"/>
      <c r="AAJ4" s="101"/>
      <c r="AAK4" s="101"/>
      <c r="AAL4" s="101"/>
      <c r="AAM4" s="101"/>
      <c r="AAN4" s="101"/>
      <c r="AAO4" s="101"/>
      <c r="AAP4" s="101"/>
      <c r="AAQ4" s="101"/>
      <c r="AAR4" s="101"/>
      <c r="AAS4" s="101"/>
      <c r="AAT4" s="101"/>
      <c r="AAU4" s="101"/>
      <c r="AAV4" s="101"/>
      <c r="AAW4" s="101"/>
      <c r="AAX4" s="101"/>
      <c r="AAY4" s="101"/>
      <c r="AAZ4" s="101"/>
      <c r="ABA4" s="101"/>
      <c r="ABB4" s="101"/>
      <c r="ABC4" s="101"/>
      <c r="ABD4" s="101"/>
      <c r="ABE4" s="101"/>
      <c r="ABF4" s="101"/>
      <c r="ABG4" s="101"/>
      <c r="ABH4" s="101"/>
      <c r="ABI4" s="101"/>
      <c r="ABJ4" s="101"/>
      <c r="ABK4" s="101"/>
      <c r="ABL4" s="101"/>
      <c r="ABM4" s="101"/>
      <c r="ABN4" s="101"/>
      <c r="ABO4" s="101"/>
      <c r="ABP4" s="101"/>
      <c r="ABQ4" s="101"/>
      <c r="ABR4" s="101"/>
      <c r="ABS4" s="101"/>
      <c r="ABT4" s="101"/>
      <c r="ABU4" s="101"/>
      <c r="ABV4" s="101"/>
      <c r="ABW4" s="101"/>
      <c r="ABX4" s="101"/>
      <c r="ABY4" s="101"/>
      <c r="ABZ4" s="101"/>
      <c r="ACA4" s="101"/>
      <c r="ACB4" s="101"/>
      <c r="ACC4" s="101"/>
      <c r="ACD4" s="101"/>
      <c r="ACE4" s="101"/>
      <c r="ACF4" s="101"/>
      <c r="ACG4" s="101"/>
      <c r="ACH4" s="101"/>
      <c r="ACI4" s="101"/>
      <c r="ACJ4" s="101"/>
      <c r="ACK4" s="101"/>
      <c r="ACL4" s="101"/>
      <c r="ACM4" s="101"/>
      <c r="ACN4" s="101"/>
      <c r="ACO4" s="101"/>
      <c r="ACP4" s="101"/>
      <c r="ACQ4" s="101"/>
      <c r="ACR4" s="101"/>
      <c r="ACS4" s="101"/>
      <c r="ACT4" s="101"/>
      <c r="ACU4" s="101"/>
      <c r="ACV4" s="101"/>
      <c r="ACW4" s="101"/>
      <c r="ACX4" s="101"/>
      <c r="ACY4" s="101"/>
      <c r="ACZ4" s="101"/>
      <c r="ADA4" s="101"/>
      <c r="ADB4" s="101"/>
      <c r="ADC4" s="101"/>
      <c r="ADD4" s="101"/>
      <c r="ADE4" s="101"/>
      <c r="ADF4" s="101"/>
      <c r="ADG4" s="101"/>
      <c r="ADH4" s="101"/>
      <c r="ADI4" s="101"/>
      <c r="ADJ4" s="101"/>
      <c r="ADK4" s="101"/>
      <c r="ADL4" s="101"/>
      <c r="ADM4" s="101"/>
      <c r="ADN4" s="101"/>
      <c r="ADO4" s="101"/>
      <c r="ADP4" s="101"/>
      <c r="ADQ4" s="101"/>
      <c r="ADR4" s="101"/>
      <c r="ADS4" s="101"/>
      <c r="ADT4" s="101"/>
      <c r="ADU4" s="101"/>
      <c r="ADV4" s="101"/>
      <c r="ADW4" s="101"/>
      <c r="ADX4" s="101"/>
      <c r="ADY4" s="101"/>
      <c r="ADZ4" s="101"/>
      <c r="AEA4" s="101"/>
      <c r="AEB4" s="101"/>
      <c r="AEC4" s="101"/>
      <c r="AED4" s="101"/>
      <c r="AEE4" s="101"/>
      <c r="AEF4" s="101"/>
      <c r="AEG4" s="101"/>
      <c r="AEH4" s="101"/>
      <c r="AEI4" s="101"/>
      <c r="AEJ4" s="101"/>
      <c r="AEK4" s="101"/>
      <c r="AEL4" s="101"/>
      <c r="AEM4" s="101"/>
      <c r="AEN4" s="101"/>
      <c r="AEO4" s="101"/>
      <c r="AEP4" s="101"/>
    </row>
    <row r="5" spans="1:822" ht="21" customHeight="1">
      <c r="B5" s="331" t="s">
        <v>149</v>
      </c>
      <c r="C5" s="189">
        <v>0.49399999999999999</v>
      </c>
      <c r="D5" s="189">
        <v>0.47599999999999998</v>
      </c>
      <c r="E5" s="189">
        <v>0.52100000000000002</v>
      </c>
      <c r="F5" s="189">
        <v>0.45100000000000001</v>
      </c>
      <c r="G5" s="189">
        <v>0.52100000000000002</v>
      </c>
      <c r="H5" s="189">
        <v>0.52100000000000002</v>
      </c>
      <c r="I5" s="189">
        <v>0.51200000000000001</v>
      </c>
      <c r="J5" s="189">
        <v>0.435</v>
      </c>
      <c r="K5" s="189">
        <v>0.53</v>
      </c>
      <c r="L5" s="189">
        <v>0.496</v>
      </c>
      <c r="M5" s="189">
        <v>0.51600000000000001</v>
      </c>
      <c r="N5" s="189">
        <v>0.54</v>
      </c>
      <c r="O5" s="189">
        <v>0.498</v>
      </c>
      <c r="P5" s="189">
        <v>0.52190000000000003</v>
      </c>
      <c r="Q5" s="189">
        <v>0.50660000000000005</v>
      </c>
      <c r="R5" s="433">
        <v>0.47149999999999997</v>
      </c>
      <c r="S5" s="189">
        <v>0.498</v>
      </c>
      <c r="T5" s="189">
        <v>0.45190000000000002</v>
      </c>
      <c r="U5" s="189">
        <v>0.498</v>
      </c>
      <c r="V5" s="189">
        <v>0.504</v>
      </c>
      <c r="W5" s="189">
        <v>0.53800000000000003</v>
      </c>
      <c r="X5" s="189">
        <v>0.52</v>
      </c>
      <c r="Y5" s="189">
        <v>0.503</v>
      </c>
      <c r="Z5" s="413">
        <v>0.48899999999999999</v>
      </c>
      <c r="AA5" s="642"/>
      <c r="AB5" s="521">
        <v>0.5</v>
      </c>
      <c r="AT5" s="86"/>
      <c r="BF5" s="80"/>
      <c r="BI5" s="82"/>
      <c r="BJ5" s="80"/>
    </row>
    <row r="6" spans="1:822" ht="21" customHeight="1">
      <c r="B6" s="331" t="s">
        <v>150</v>
      </c>
      <c r="C6" s="189">
        <v>1.6</v>
      </c>
      <c r="D6" s="189">
        <v>1.6</v>
      </c>
      <c r="E6" s="189">
        <v>1.6</v>
      </c>
      <c r="F6" s="189">
        <v>1.6</v>
      </c>
      <c r="G6" s="189">
        <v>1.6</v>
      </c>
      <c r="H6" s="189">
        <v>1.5</v>
      </c>
      <c r="I6" s="189">
        <v>1.6</v>
      </c>
      <c r="J6" s="189">
        <v>1.7</v>
      </c>
      <c r="K6" s="189">
        <v>1.6</v>
      </c>
      <c r="L6" s="189">
        <v>1.6</v>
      </c>
      <c r="M6" s="189">
        <v>1.43</v>
      </c>
      <c r="N6" s="189">
        <v>1.56</v>
      </c>
      <c r="O6" s="189">
        <v>1.67</v>
      </c>
      <c r="P6" s="189">
        <v>1.45</v>
      </c>
      <c r="Q6" s="189">
        <v>1.45</v>
      </c>
      <c r="R6" s="433">
        <v>1.5</v>
      </c>
      <c r="S6" s="189">
        <v>1.55</v>
      </c>
      <c r="T6" s="189">
        <v>1.5</v>
      </c>
      <c r="U6" s="189">
        <v>1.54</v>
      </c>
      <c r="V6" s="189">
        <v>1.52</v>
      </c>
      <c r="W6" s="189">
        <v>1.52</v>
      </c>
      <c r="X6" s="189">
        <v>1.43</v>
      </c>
      <c r="Y6" s="189">
        <v>1.48</v>
      </c>
      <c r="Z6" s="413">
        <v>1.46</v>
      </c>
      <c r="AA6" s="662"/>
      <c r="AB6" s="521">
        <v>1.5</v>
      </c>
      <c r="BF6" s="80"/>
      <c r="BI6" s="82"/>
      <c r="BJ6" s="80"/>
    </row>
    <row r="7" spans="1:822" ht="21" customHeight="1">
      <c r="B7" s="331" t="s">
        <v>151</v>
      </c>
      <c r="C7" s="189">
        <v>19.3</v>
      </c>
      <c r="D7" s="189">
        <v>17.399999999999999</v>
      </c>
      <c r="E7" s="189">
        <v>18.3</v>
      </c>
      <c r="F7" s="189">
        <v>17.600000000000001</v>
      </c>
      <c r="G7" s="189">
        <v>18.600000000000001</v>
      </c>
      <c r="H7" s="189">
        <v>18.2</v>
      </c>
      <c r="I7" s="189">
        <v>18.7</v>
      </c>
      <c r="J7" s="189">
        <v>17</v>
      </c>
      <c r="K7" s="189">
        <v>20.7</v>
      </c>
      <c r="L7" s="189">
        <v>18.2</v>
      </c>
      <c r="M7" s="189">
        <v>20.12</v>
      </c>
      <c r="N7" s="189">
        <v>20.93</v>
      </c>
      <c r="O7" s="189">
        <v>19.54</v>
      </c>
      <c r="P7" s="189">
        <v>20.350000000000001</v>
      </c>
      <c r="Q7" s="189">
        <v>20.13</v>
      </c>
      <c r="R7" s="433">
        <v>19.93</v>
      </c>
      <c r="S7" s="189">
        <v>17.77</v>
      </c>
      <c r="T7" s="189">
        <v>18.84</v>
      </c>
      <c r="U7" s="189">
        <v>18.77</v>
      </c>
      <c r="V7" s="189">
        <v>18.93</v>
      </c>
      <c r="W7" s="189">
        <v>21.14</v>
      </c>
      <c r="X7" s="189">
        <v>20.49</v>
      </c>
      <c r="Y7" s="189">
        <v>19.649999999999999</v>
      </c>
      <c r="Z7" s="413">
        <v>19.559999999999999</v>
      </c>
      <c r="AA7" s="662"/>
      <c r="AB7" s="521">
        <v>20</v>
      </c>
      <c r="BF7" s="80"/>
      <c r="BI7" s="82"/>
      <c r="BJ7" s="80"/>
    </row>
    <row r="8" spans="1:822" ht="21" customHeight="1">
      <c r="B8" s="331" t="s">
        <v>152</v>
      </c>
      <c r="C8" s="188">
        <v>1.06</v>
      </c>
      <c r="D8" s="188">
        <v>1.1100000000000001</v>
      </c>
      <c r="E8" s="188">
        <v>1.1299999999999999</v>
      </c>
      <c r="F8" s="188">
        <v>1.1299999999999999</v>
      </c>
      <c r="G8" s="188">
        <v>1.1000000000000001</v>
      </c>
      <c r="H8" s="188">
        <v>1.08</v>
      </c>
      <c r="I8" s="189">
        <v>1.07</v>
      </c>
      <c r="J8" s="189">
        <v>1.1299999999999999</v>
      </c>
      <c r="K8" s="189">
        <v>1.08</v>
      </c>
      <c r="L8" s="188">
        <v>1.03</v>
      </c>
      <c r="M8" s="188">
        <v>1.04</v>
      </c>
      <c r="N8" s="188">
        <v>0.875</v>
      </c>
      <c r="O8" s="188">
        <v>1.0840000000000001</v>
      </c>
      <c r="P8" s="188">
        <v>1.488</v>
      </c>
      <c r="Q8" s="188">
        <v>1.0129999999999999</v>
      </c>
      <c r="R8" s="668">
        <v>1.069</v>
      </c>
      <c r="S8" s="188">
        <v>1.0429999999999999</v>
      </c>
      <c r="T8" s="188">
        <v>0.98199999999999998</v>
      </c>
      <c r="U8" s="188">
        <v>1.012</v>
      </c>
      <c r="V8" s="188">
        <v>0.97</v>
      </c>
      <c r="W8" s="188">
        <v>1.04</v>
      </c>
      <c r="X8" s="189">
        <v>0.96399999999999997</v>
      </c>
      <c r="Y8" s="188">
        <v>1.0629999999999999</v>
      </c>
      <c r="Z8" s="612">
        <v>1.046</v>
      </c>
      <c r="AA8" s="662"/>
      <c r="AB8" s="521">
        <v>1.1000000000000001</v>
      </c>
      <c r="BF8" s="80"/>
      <c r="BI8" s="82"/>
      <c r="BJ8" s="80"/>
    </row>
    <row r="9" spans="1:822" ht="21" customHeight="1">
      <c r="B9" s="331" t="s">
        <v>153</v>
      </c>
      <c r="C9" s="189">
        <v>2.6</v>
      </c>
      <c r="D9" s="189">
        <v>2.63</v>
      </c>
      <c r="E9" s="189">
        <v>2.61</v>
      </c>
      <c r="F9" s="189">
        <v>2.6</v>
      </c>
      <c r="G9" s="189">
        <v>1.6</v>
      </c>
      <c r="H9" s="189">
        <v>12.56</v>
      </c>
      <c r="I9" s="189">
        <v>2.5</v>
      </c>
      <c r="J9" s="189">
        <v>2.62</v>
      </c>
      <c r="K9" s="189">
        <v>2.68</v>
      </c>
      <c r="L9" s="189">
        <v>2.5099999999999998</v>
      </c>
      <c r="M9" s="189">
        <v>2.6</v>
      </c>
      <c r="N9" s="189">
        <v>2.59</v>
      </c>
      <c r="O9" s="189">
        <v>2.5099999999999998</v>
      </c>
      <c r="P9" s="189">
        <v>2.4849999999999999</v>
      </c>
      <c r="Q9" s="189">
        <v>2.56</v>
      </c>
      <c r="R9" s="433">
        <v>2.4500000000000002</v>
      </c>
      <c r="S9" s="189">
        <v>2.4325000000000001</v>
      </c>
      <c r="T9" s="189">
        <v>2.528</v>
      </c>
      <c r="U9" s="189">
        <v>2.54</v>
      </c>
      <c r="V9" s="189">
        <v>2.4500000000000002</v>
      </c>
      <c r="W9" s="189">
        <v>2.58</v>
      </c>
      <c r="X9" s="189">
        <v>2.38</v>
      </c>
      <c r="Y9" s="189">
        <v>2.42</v>
      </c>
      <c r="Z9" s="413">
        <v>2.4300000000000002</v>
      </c>
      <c r="AA9" s="662"/>
      <c r="AB9" s="521">
        <v>2.4</v>
      </c>
      <c r="BF9" s="80"/>
      <c r="BI9" s="82"/>
      <c r="BJ9" s="80"/>
    </row>
    <row r="10" spans="1:822" ht="21" customHeight="1">
      <c r="B10" s="687"/>
      <c r="C10" s="669"/>
      <c r="D10" s="669"/>
      <c r="E10" s="669"/>
      <c r="F10" s="669"/>
      <c r="G10" s="669"/>
      <c r="H10" s="669"/>
      <c r="I10" s="669"/>
      <c r="J10" s="669"/>
      <c r="K10" s="669"/>
      <c r="L10" s="669"/>
      <c r="M10" s="669"/>
      <c r="N10" s="669"/>
      <c r="O10" s="669"/>
      <c r="P10" s="669"/>
      <c r="Q10" s="669"/>
      <c r="R10" s="670"/>
      <c r="S10" s="669"/>
      <c r="T10" s="669"/>
      <c r="U10" s="669"/>
      <c r="V10" s="669"/>
      <c r="W10" s="669"/>
      <c r="X10" s="669"/>
      <c r="Y10" s="669"/>
      <c r="Z10" s="671"/>
      <c r="AA10" s="672"/>
      <c r="AB10" s="688"/>
      <c r="BF10" s="80"/>
      <c r="BG10" s="80"/>
      <c r="BH10" s="80"/>
      <c r="BI10" s="82"/>
      <c r="BJ10" s="80"/>
    </row>
    <row r="11" spans="1:822" ht="21" customHeight="1">
      <c r="B11" s="689" t="s">
        <v>154</v>
      </c>
      <c r="C11" s="673">
        <v>45474</v>
      </c>
      <c r="D11" s="673">
        <v>45505</v>
      </c>
      <c r="E11" s="673">
        <v>45536</v>
      </c>
      <c r="F11" s="673">
        <v>45566</v>
      </c>
      <c r="G11" s="673">
        <v>45597</v>
      </c>
      <c r="H11" s="673">
        <v>45627</v>
      </c>
      <c r="I11" s="673">
        <v>45658</v>
      </c>
      <c r="J11" s="673">
        <v>45689</v>
      </c>
      <c r="K11" s="673">
        <v>45717</v>
      </c>
      <c r="L11" s="673">
        <v>45748</v>
      </c>
      <c r="M11" s="673">
        <v>45778</v>
      </c>
      <c r="N11" s="673">
        <v>45809</v>
      </c>
      <c r="O11" s="673">
        <v>45839</v>
      </c>
      <c r="P11" s="673">
        <v>45870</v>
      </c>
      <c r="Q11" s="673">
        <v>45901</v>
      </c>
      <c r="R11" s="674">
        <v>45931</v>
      </c>
      <c r="S11" s="673">
        <v>45962</v>
      </c>
      <c r="T11" s="673">
        <v>45992</v>
      </c>
      <c r="U11" s="673">
        <v>46023</v>
      </c>
      <c r="V11" s="673">
        <v>46054</v>
      </c>
      <c r="W11" s="673">
        <v>46082</v>
      </c>
      <c r="X11" s="673">
        <v>46113</v>
      </c>
      <c r="Y11" s="673">
        <v>46143</v>
      </c>
      <c r="Z11" s="673">
        <v>46174</v>
      </c>
      <c r="AA11" s="672"/>
      <c r="AB11" s="688"/>
      <c r="AJ11" s="80"/>
      <c r="AV11" s="80"/>
      <c r="AZ11" s="80"/>
      <c r="BB11" s="80"/>
      <c r="BF11" s="80"/>
      <c r="BG11" s="80"/>
      <c r="BH11" s="80"/>
      <c r="BI11" s="80"/>
      <c r="BJ11" s="80"/>
      <c r="BK11" s="80"/>
    </row>
    <row r="12" spans="1:822" ht="21" customHeight="1">
      <c r="B12" s="331" t="s">
        <v>157</v>
      </c>
      <c r="C12" s="188">
        <v>0</v>
      </c>
      <c r="D12" s="188">
        <v>0.83</v>
      </c>
      <c r="E12" s="188">
        <v>0.92</v>
      </c>
      <c r="F12" s="188">
        <v>0.53</v>
      </c>
      <c r="G12" s="188">
        <v>0.52</v>
      </c>
      <c r="H12" s="188">
        <v>0.53</v>
      </c>
      <c r="I12" s="669">
        <v>0</v>
      </c>
      <c r="J12" s="675">
        <v>2.15</v>
      </c>
      <c r="K12" s="675">
        <v>0.46</v>
      </c>
      <c r="L12" s="669">
        <v>0.25</v>
      </c>
      <c r="M12" s="675">
        <v>1.05</v>
      </c>
      <c r="N12" s="675">
        <v>0.97</v>
      </c>
      <c r="O12" s="675">
        <v>0.67</v>
      </c>
      <c r="P12" s="675">
        <v>0.6</v>
      </c>
      <c r="Q12" s="675">
        <v>1.26</v>
      </c>
      <c r="R12" s="676">
        <v>4.1000000000000003E-3</v>
      </c>
      <c r="S12" s="677">
        <v>1.83E-2</v>
      </c>
      <c r="T12" s="677">
        <v>1.78E-2</v>
      </c>
      <c r="U12" s="677">
        <v>3.5999999999999999E-3</v>
      </c>
      <c r="V12" s="677">
        <v>5.0000000000000001E-3</v>
      </c>
      <c r="W12" s="677">
        <v>6.4999999999999997E-3</v>
      </c>
      <c r="X12" s="677">
        <v>1.11E-2</v>
      </c>
      <c r="Y12" s="677">
        <v>6.8999999999999999E-3</v>
      </c>
      <c r="Z12" s="678">
        <v>5.7999999999999996E-3</v>
      </c>
      <c r="AA12" s="679"/>
      <c r="AB12" s="690">
        <v>8.0000000000000002E-3</v>
      </c>
      <c r="AJ12" s="80"/>
      <c r="AV12" s="80"/>
      <c r="AZ12" s="80"/>
      <c r="BB12" s="80"/>
      <c r="BF12" s="80"/>
      <c r="BG12" s="80"/>
      <c r="BH12" s="80"/>
      <c r="BI12" s="80"/>
      <c r="BJ12" s="80"/>
      <c r="BK12" s="80"/>
    </row>
    <row r="13" spans="1:822" ht="21" customHeight="1" thickBot="1">
      <c r="B13" s="691" t="s">
        <v>158</v>
      </c>
      <c r="C13" s="329">
        <v>0.03</v>
      </c>
      <c r="D13" s="329">
        <v>3.85</v>
      </c>
      <c r="E13" s="329">
        <v>2.2599999999999998</v>
      </c>
      <c r="F13" s="329">
        <v>1.07</v>
      </c>
      <c r="G13" s="329">
        <v>2.21</v>
      </c>
      <c r="H13" s="329">
        <v>2.13</v>
      </c>
      <c r="I13" s="477">
        <v>1.44</v>
      </c>
      <c r="J13" s="368">
        <v>2</v>
      </c>
      <c r="K13" s="368">
        <v>1</v>
      </c>
      <c r="L13" s="477">
        <v>0</v>
      </c>
      <c r="M13" s="368">
        <v>2.9</v>
      </c>
      <c r="N13" s="368">
        <v>2.91</v>
      </c>
      <c r="O13" s="368">
        <v>0.88</v>
      </c>
      <c r="P13" s="368">
        <v>2.08</v>
      </c>
      <c r="Q13" s="368">
        <v>2.74</v>
      </c>
      <c r="R13" s="504">
        <v>1.7500000000000002E-2</v>
      </c>
      <c r="S13" s="505">
        <v>1.72E-2</v>
      </c>
      <c r="T13" s="505">
        <v>3.0099999999999998E-2</v>
      </c>
      <c r="U13" s="505">
        <v>2.4400000000000002E-2</v>
      </c>
      <c r="V13" s="505">
        <v>1.9300000000000001E-2</v>
      </c>
      <c r="W13" s="505">
        <v>3.4799999999999998E-2</v>
      </c>
      <c r="X13" s="505">
        <v>2.7799999999999998E-2</v>
      </c>
      <c r="Y13" s="505">
        <v>1.7299999999999999E-2</v>
      </c>
      <c r="Z13" s="506">
        <v>3.1699999999999999E-2</v>
      </c>
      <c r="AA13" s="692"/>
      <c r="AB13" s="528">
        <v>0.02</v>
      </c>
      <c r="AJ13" s="80"/>
      <c r="AV13" s="80"/>
      <c r="AZ13" s="80"/>
      <c r="BB13" s="80"/>
      <c r="BF13" s="80"/>
      <c r="BG13" s="80"/>
      <c r="BH13" s="80"/>
      <c r="BI13" s="80"/>
      <c r="BJ13" s="80"/>
      <c r="BK13" s="80"/>
    </row>
    <row r="14" spans="1:822" ht="21" customHeight="1">
      <c r="G14" s="83"/>
    </row>
    <row r="16" spans="1:822">
      <c r="C16" s="80" t="s">
        <v>210</v>
      </c>
    </row>
  </sheetData>
  <pageMargins left="0.7" right="0.7" top="0.75" bottom="0.75" header="0.3" footer="0.3"/>
  <pageSetup paperSize="9" scale="10" fitToHeight="0"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9402B-BA0C-4BC6-A628-362CAF7BB61B}">
  <sheetPr codeName="Sheet103">
    <tabColor rgb="FF7030A0"/>
  </sheetPr>
  <dimension ref="A20:P24"/>
  <sheetViews>
    <sheetView zoomScale="80" zoomScaleNormal="80" workbookViewId="0">
      <selection activeCell="N12" sqref="N12"/>
    </sheetView>
  </sheetViews>
  <sheetFormatPr defaultRowHeight="15"/>
  <cols>
    <col min="1" max="1" width="11.28515625" bestFit="1" customWidth="1"/>
    <col min="2" max="2" width="12.28515625" bestFit="1" customWidth="1"/>
  </cols>
  <sheetData>
    <row r="20" spans="1:16" ht="15.75" thickBot="1">
      <c r="A20" s="50"/>
      <c r="B20" s="108">
        <v>45839</v>
      </c>
      <c r="C20" s="108">
        <v>45870</v>
      </c>
      <c r="D20" s="108">
        <v>45901</v>
      </c>
      <c r="E20" s="108">
        <v>45931</v>
      </c>
      <c r="F20" s="108">
        <v>45962</v>
      </c>
      <c r="G20" s="108">
        <v>45992</v>
      </c>
      <c r="H20" s="108">
        <v>46023</v>
      </c>
      <c r="I20" s="108">
        <v>46054</v>
      </c>
      <c r="J20" s="108">
        <v>46082</v>
      </c>
      <c r="K20" s="108">
        <v>46113</v>
      </c>
      <c r="L20" s="108">
        <v>46143</v>
      </c>
      <c r="M20" s="108">
        <v>46174</v>
      </c>
    </row>
    <row r="21" spans="1:16" ht="15.75">
      <c r="A21" s="103" t="s">
        <v>59</v>
      </c>
      <c r="B21" s="226">
        <f>IFERROR('LH total CDM to Colcom'!B21/'LH Pigs to Colcom '!B21,0)</f>
        <v>92.408420593368234</v>
      </c>
      <c r="C21" s="226">
        <f>IFERROR('LH total CDM to Colcom'!C21/'LH Pigs to Colcom '!C21,0)</f>
        <v>91.933717181022573</v>
      </c>
      <c r="D21" s="226">
        <f>IFERROR('LH total CDM to Colcom'!D21/'LH Pigs to Colcom '!D21,0)</f>
        <v>90.621196643560751</v>
      </c>
      <c r="E21" s="226">
        <f>IFERROR('LH total CDM to Colcom'!E21/'LH Pigs to Colcom '!E21,0)</f>
        <v>90.399624060150387</v>
      </c>
      <c r="F21" s="226">
        <f>IFERROR('LH total CDM to Colcom'!F21/'LH Pigs to Colcom '!F21,0)</f>
        <v>90.184558139534886</v>
      </c>
      <c r="G21" s="226">
        <f>IFERROR('LH total CDM to Colcom'!G21/'LH Pigs to Colcom '!G21,0)</f>
        <v>90.353154162000749</v>
      </c>
      <c r="H21" s="226">
        <f>IFERROR('LH total CDM to Colcom'!H21/'LH Pigs to Colcom '!H21,0)</f>
        <v>89.068465788355297</v>
      </c>
      <c r="I21" s="226">
        <f>IFERROR('LH total CDM to Colcom'!I21/'LH Pigs to Colcom '!I21,0)</f>
        <v>87.191257536606372</v>
      </c>
      <c r="J21" s="226">
        <f>IFERROR('LH total CDM to Colcom'!J21/'LH Pigs to Colcom '!J21,0)</f>
        <v>88.445427435387671</v>
      </c>
      <c r="K21" s="226">
        <f>IFERROR('LH total CDM to Colcom'!K21/'LH Pigs to Colcom '!K21,0)</f>
        <v>88.590848026868173</v>
      </c>
      <c r="L21" s="226">
        <f>IFERROR('LH total CDM to Colcom'!L21/'LH Pigs to Colcom '!L21,0)</f>
        <v>89.630795847750861</v>
      </c>
      <c r="M21" s="226">
        <f>IFERROR('LH total CDM to Colcom'!M21/'LH Pigs to Colcom '!M21,0)</f>
        <v>89.610232558139529</v>
      </c>
      <c r="N21" s="142">
        <f>AVERAGE(B21:M21)</f>
        <v>89.869808164395451</v>
      </c>
    </row>
    <row r="22" spans="1:16" ht="15.75">
      <c r="A22" s="103" t="s">
        <v>109</v>
      </c>
      <c r="B22" s="225">
        <v>89.83081847279378</v>
      </c>
      <c r="C22" s="225">
        <v>94.422358859698164</v>
      </c>
      <c r="D22" s="225">
        <v>92.462447665056374</v>
      </c>
      <c r="E22" s="225">
        <v>91.319100000000006</v>
      </c>
      <c r="F22" s="225">
        <v>90.63034207019102</v>
      </c>
      <c r="G22" s="225">
        <v>89.163632602399687</v>
      </c>
      <c r="H22" s="225">
        <v>91.343223300970877</v>
      </c>
      <c r="I22" s="225">
        <v>89.388237905015544</v>
      </c>
      <c r="J22" s="225">
        <v>87.620361830436337</v>
      </c>
      <c r="K22" s="225">
        <v>82.975000000000009</v>
      </c>
      <c r="L22" s="225">
        <v>86.59448105436573</v>
      </c>
      <c r="M22" s="225">
        <v>91.841630434782601</v>
      </c>
      <c r="N22" s="142">
        <f>AVERAGE(B22:M22)</f>
        <v>89.799302849642515</v>
      </c>
      <c r="O22" s="125">
        <f>N21-N22</f>
        <v>7.0505314752935533E-2</v>
      </c>
      <c r="P22" t="s">
        <v>168</v>
      </c>
    </row>
    <row r="23" spans="1:16" ht="16.5" thickBot="1">
      <c r="A23" s="103" t="s">
        <v>118</v>
      </c>
      <c r="B23" s="224">
        <f>'[3]LH avg CDM over budget (6)'!B23</f>
        <v>90.961960902206059</v>
      </c>
      <c r="C23" s="224">
        <f>'[3]LH avg CDM over budget (6)'!C23</f>
        <v>91.019775287388356</v>
      </c>
      <c r="D23" s="224">
        <f>'[3]LH avg CDM over budget (6)'!D23</f>
        <v>89.039150514139877</v>
      </c>
      <c r="E23" s="224">
        <f>'[3]LH avg CDM over budget (6)'!E23</f>
        <v>89.022805162864628</v>
      </c>
      <c r="F23" s="224">
        <f>'[3]LH avg CDM over budget (6)'!F23</f>
        <v>89.0228038417427</v>
      </c>
      <c r="G23" s="224">
        <f>'[3]LH avg CDM over budget (6)'!G23</f>
        <v>89.022649922778285</v>
      </c>
      <c r="H23" s="224">
        <f>'[3]LH avg CDM over budget (6)'!H23</f>
        <v>89.022982885426842</v>
      </c>
      <c r="I23" s="224">
        <f>'[3]LH avg CDM over budget (6)'!I23</f>
        <v>89.022817147075074</v>
      </c>
      <c r="J23" s="224">
        <f>'[3]LH avg CDM over budget (6)'!J23</f>
        <v>89.022534614990732</v>
      </c>
      <c r="K23" s="224">
        <f>'[3]LH avg CDM over budget (6)'!K23</f>
        <v>90.997594746332439</v>
      </c>
      <c r="L23" s="224">
        <f>'[3]LH avg CDM over budget (6)'!L23</f>
        <v>90.997594746332439</v>
      </c>
      <c r="M23" s="224">
        <f>'[3]LH avg CDM over budget (6)'!M23</f>
        <v>90.997204322250241</v>
      </c>
      <c r="N23" s="142">
        <f>AVERAGE(B23:M23)</f>
        <v>89.845822841127301</v>
      </c>
      <c r="O23" s="125">
        <f>N21-N23</f>
        <v>2.3985323268149727E-2</v>
      </c>
      <c r="P23" t="s">
        <v>4</v>
      </c>
    </row>
    <row r="24" spans="1:16">
      <c r="N24" s="142"/>
      <c r="O24" s="125"/>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8D50-B5E8-4CE5-98BD-06FD38D473BF}">
  <sheetPr codeName="Sheet104">
    <tabColor rgb="FF7030A0"/>
  </sheetPr>
  <dimension ref="A20:P24"/>
  <sheetViews>
    <sheetView topLeftCell="A2" zoomScale="80" zoomScaleNormal="80" workbookViewId="0">
      <selection activeCell="B21" sqref="B21:M21"/>
    </sheetView>
  </sheetViews>
  <sheetFormatPr defaultRowHeight="15"/>
  <cols>
    <col min="2" max="2" width="11.7109375" bestFit="1" customWidth="1"/>
    <col min="3" max="13" width="11.28515625" bestFit="1" customWidth="1"/>
    <col min="14" max="14" width="13.28515625" bestFit="1" customWidth="1"/>
    <col min="15" max="15" width="12.28515625" customWidth="1"/>
  </cols>
  <sheetData>
    <row r="20" spans="1:16" ht="15.75" thickBot="1">
      <c r="A20" s="50"/>
      <c r="B20" s="108">
        <v>45839</v>
      </c>
      <c r="C20" s="108">
        <v>45870</v>
      </c>
      <c r="D20" s="108">
        <v>45901</v>
      </c>
      <c r="E20" s="108">
        <v>45931</v>
      </c>
      <c r="F20" s="108">
        <v>45962</v>
      </c>
      <c r="G20" s="108">
        <v>45992</v>
      </c>
      <c r="H20" s="108">
        <v>46023</v>
      </c>
      <c r="I20" s="108">
        <v>46054</v>
      </c>
      <c r="J20" s="108">
        <v>46082</v>
      </c>
      <c r="K20" s="108">
        <v>46113</v>
      </c>
      <c r="L20" s="108">
        <v>46143</v>
      </c>
      <c r="M20" s="108">
        <v>46174</v>
      </c>
    </row>
    <row r="21" spans="1:16" ht="15.75">
      <c r="A21" s="103" t="s">
        <v>59</v>
      </c>
      <c r="B21" s="137">
        <f>SUM('[63]Combined total CDM to Colco (7)'!B44+'[63]Combined total CDM to Colco (7)'!B47)</f>
        <v>211800.1</v>
      </c>
      <c r="C21" s="137">
        <f>SUM('Combined total CDM to Colco (7)'!C44,'Combined total CDM to Colco (7)'!C47)</f>
        <v>199588.1</v>
      </c>
      <c r="D21" s="137">
        <f>SUM('Combined total CDM to Colco (7)'!D44,'Combined total CDM to Colco (7)'!D47)</f>
        <v>248392.7</v>
      </c>
      <c r="E21" s="137">
        <f>SUM('Combined total CDM to Colco (7)'!E44,'Combined total CDM to Colco (7)'!E47)</f>
        <v>216416.7</v>
      </c>
      <c r="F21" s="137">
        <f>SUM('Combined total CDM to Colco (7)'!F44,'Combined total CDM to Colco (7)'!F47)</f>
        <v>193896.80000000002</v>
      </c>
      <c r="G21" s="137">
        <f>SUM('Combined total CDM to Colco (7)'!G44,'Combined total CDM to Colco (7)'!G47)</f>
        <v>242056.1</v>
      </c>
      <c r="H21" s="137">
        <f>SUM('Combined total CDM to Colco (7)'!H44,'Combined total CDM to Colco (7)'!H47)</f>
        <v>209578.1</v>
      </c>
      <c r="I21" s="137">
        <f>SUM('Combined total CDM to Colco (7)'!I44,'Combined total CDM to Colco (7)'!I47)</f>
        <v>202458.1</v>
      </c>
      <c r="J21" s="137">
        <f>SUM('Combined total CDM to Colco (7)'!J44,'Combined total CDM to Colco (7)'!J47)</f>
        <v>266928.3</v>
      </c>
      <c r="K21" s="137">
        <f>SUM('Combined total CDM to Colco (7)'!K44,'Combined total CDM to Colco (7)'!K47)</f>
        <v>211023.4</v>
      </c>
      <c r="L21" s="137">
        <f>SUM('Combined total CDM to Colco (7)'!L44,'Combined total CDM to Colco (7)'!L47)</f>
        <v>207226.4</v>
      </c>
      <c r="M21" s="137">
        <f>SUM('Combined total CDM to Colco (7)'!M44,'Combined total CDM to Colco (7)'!M47)</f>
        <v>269726.8</v>
      </c>
      <c r="N21" s="127">
        <f>SUM(B21:M21)</f>
        <v>2679091.6</v>
      </c>
    </row>
    <row r="22" spans="1:16" ht="16.5" thickBot="1">
      <c r="A22" s="103" t="s">
        <v>118</v>
      </c>
      <c r="B22" s="139">
        <f>'[3]LH total CDM to Colcom (6)'!B22</f>
        <v>211811.92702704537</v>
      </c>
      <c r="C22" s="139">
        <f>'[3]LH total CDM to Colcom (6)'!C22</f>
        <v>199930.61134664205</v>
      </c>
      <c r="D22" s="139">
        <f>'[3]LH total CDM to Colcom (6)'!D22</f>
        <v>245914.67597655777</v>
      </c>
      <c r="E22" s="139">
        <f>'[3]LH total CDM to Colcom (6)'!E22</f>
        <v>199838.99971864972</v>
      </c>
      <c r="F22" s="139">
        <f>'[3]LH total CDM to Colcom (6)'!F22</f>
        <v>199839.25487841287</v>
      </c>
      <c r="G22" s="139">
        <f>'[3]LH total CDM to Colcom (6)'!G22</f>
        <v>249836.23387391269</v>
      </c>
      <c r="H22" s="139">
        <f>'[3]LH total CDM to Colcom (6)'!H22</f>
        <v>199804.68062244687</v>
      </c>
      <c r="I22" s="139">
        <f>'[3]LH total CDM to Colcom (6)'!I22</f>
        <v>199836.68513398874</v>
      </c>
      <c r="J22" s="139">
        <f>'[3]LH total CDM to Colcom (6)'!J22</f>
        <v>249864.08342502645</v>
      </c>
      <c r="K22" s="139">
        <f>'[3]LH total CDM to Colcom (6)'!K22</f>
        <v>204326.06825683985</v>
      </c>
      <c r="L22" s="139">
        <f>'[3]LH total CDM to Colcom (6)'!L22</f>
        <v>204326.06825683985</v>
      </c>
      <c r="M22" s="139">
        <f>'[3]LH total CDM to Colcom (6)'!M22</f>
        <v>255506.48589985166</v>
      </c>
      <c r="N22" s="127">
        <f>SUM(B22:M22)</f>
        <v>2620835.7744162134</v>
      </c>
      <c r="O22" s="125">
        <f>N21-N22</f>
        <v>58255.825583786704</v>
      </c>
      <c r="P22" t="s">
        <v>4</v>
      </c>
    </row>
    <row r="23" spans="1:16">
      <c r="B23" s="388">
        <f>B22/'LH Pigs to Colcom '!B22</f>
        <v>90.961960902206059</v>
      </c>
      <c r="C23" s="388">
        <f>C22/'LH Pigs to Colcom '!C22</f>
        <v>91.019775287388356</v>
      </c>
      <c r="D23" s="388">
        <f>D22/'LH Pigs to Colcom '!D22</f>
        <v>89.039150514139877</v>
      </c>
      <c r="E23" s="388">
        <f>E22/'LH Pigs to Colcom '!E22</f>
        <v>89.022805162864628</v>
      </c>
      <c r="F23" s="199"/>
      <c r="G23" s="199"/>
      <c r="H23" s="199"/>
      <c r="I23" s="199"/>
      <c r="J23" s="199"/>
      <c r="K23" s="199"/>
      <c r="L23" s="199"/>
      <c r="M23" s="199"/>
      <c r="N23" s="127"/>
      <c r="O23" s="127">
        <f>O22/52</f>
        <v>1120.3043381497444</v>
      </c>
    </row>
    <row r="24" spans="1:16">
      <c r="B24" s="129"/>
      <c r="O24" s="125">
        <f>O23/92</f>
        <v>12.177221066845048</v>
      </c>
    </row>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868F-1C30-470D-A4BF-A6B7EA404D21}">
  <sheetPr codeName="Sheet105">
    <tabColor rgb="FF7030A0"/>
  </sheetPr>
  <dimension ref="A1:AG24"/>
  <sheetViews>
    <sheetView zoomScale="90" zoomScaleNormal="90" workbookViewId="0">
      <selection activeCell="B21" sqref="B21:M21"/>
    </sheetView>
  </sheetViews>
  <sheetFormatPr defaultRowHeight="15"/>
  <cols>
    <col min="2" max="3" width="9.42578125" bestFit="1" customWidth="1"/>
    <col min="4" max="13" width="9.28515625" bestFit="1" customWidth="1"/>
  </cols>
  <sheetData>
    <row r="1" spans="15:30">
      <c r="AC1" t="s">
        <v>211</v>
      </c>
      <c r="AD1" t="s">
        <v>212</v>
      </c>
    </row>
    <row r="2" spans="15:30">
      <c r="AC2">
        <v>2549</v>
      </c>
      <c r="AD2" s="77">
        <v>88.449939623137226</v>
      </c>
    </row>
    <row r="3" spans="15:30">
      <c r="AC3">
        <v>2127</v>
      </c>
      <c r="AD3" s="77">
        <v>92.698457536357949</v>
      </c>
    </row>
    <row r="4" spans="15:30">
      <c r="AC4">
        <v>3359</v>
      </c>
      <c r="AD4" s="77">
        <v>95.17334981678016</v>
      </c>
    </row>
    <row r="5" spans="15:30">
      <c r="AC5">
        <v>2776</v>
      </c>
      <c r="AD5" s="77">
        <v>91.977952777777773</v>
      </c>
    </row>
    <row r="6" spans="15:30">
      <c r="AC6">
        <v>2821</v>
      </c>
      <c r="AD6" s="77">
        <v>91.518328929832364</v>
      </c>
    </row>
    <row r="7" spans="15:30">
      <c r="AC7">
        <v>2917</v>
      </c>
      <c r="AD7" s="77">
        <v>90.347416301199843</v>
      </c>
    </row>
    <row r="8" spans="15:30">
      <c r="AC8">
        <v>3031</v>
      </c>
      <c r="AD8" s="77">
        <v>90.604835334695963</v>
      </c>
    </row>
    <row r="9" spans="15:30">
      <c r="AC9">
        <v>2872</v>
      </c>
      <c r="AD9" s="77">
        <v>91.46786693312167</v>
      </c>
    </row>
    <row r="10" spans="15:30">
      <c r="AC10">
        <v>3431</v>
      </c>
      <c r="AD10" s="77">
        <v>88.572844313910977</v>
      </c>
    </row>
    <row r="11" spans="15:30">
      <c r="AC11">
        <v>3152</v>
      </c>
      <c r="AD11" s="77">
        <v>84.049618902439022</v>
      </c>
    </row>
    <row r="12" spans="15:30">
      <c r="O12" s="129"/>
    </row>
    <row r="16" spans="15:30">
      <c r="O16" s="129"/>
    </row>
    <row r="20" spans="1:33" ht="15.75" thickBot="1">
      <c r="A20" s="50"/>
      <c r="B20" s="108">
        <v>45839</v>
      </c>
      <c r="C20" s="108">
        <v>45870</v>
      </c>
      <c r="D20" s="108">
        <v>45901</v>
      </c>
      <c r="E20" s="108">
        <v>45931</v>
      </c>
      <c r="F20" s="108">
        <v>45962</v>
      </c>
      <c r="G20" s="108">
        <v>45992</v>
      </c>
      <c r="H20" s="108">
        <v>46023</v>
      </c>
      <c r="I20" s="108">
        <v>46054</v>
      </c>
      <c r="J20" s="108">
        <v>46082</v>
      </c>
      <c r="K20" s="108">
        <v>46113</v>
      </c>
      <c r="L20" s="108">
        <v>46143</v>
      </c>
      <c r="M20" s="108">
        <v>46174</v>
      </c>
      <c r="X20" s="77"/>
      <c r="Y20" s="77"/>
      <c r="Z20" s="77"/>
      <c r="AA20" s="77"/>
      <c r="AB20" s="77"/>
      <c r="AE20" s="77"/>
      <c r="AF20" s="77"/>
      <c r="AG20" s="77"/>
    </row>
    <row r="21" spans="1:33">
      <c r="A21" s="103" t="s">
        <v>59</v>
      </c>
      <c r="B21" s="228">
        <f>'[63]Combined pigs sold to colco (7)'!B45+'[63]Combined pigs sold to colco (7)'!B48</f>
        <v>2292</v>
      </c>
      <c r="C21" s="228">
        <f>SUM('Combined pigs sold to colco (7)'!C45,'Combined pigs sold to colco (7)'!C48)</f>
        <v>2171</v>
      </c>
      <c r="D21" s="228">
        <f>SUM('Combined pigs sold to colco (7)'!D45,'Combined pigs sold to colco (7)'!D48)</f>
        <v>2741</v>
      </c>
      <c r="E21" s="228">
        <f>SUM('Combined pigs sold to colco (7)'!E45,'Combined pigs sold to colco (7)'!E48)</f>
        <v>2394</v>
      </c>
      <c r="F21" s="228">
        <f>SUM('Combined pigs sold to colco (7)'!F45,'Combined pigs sold to colco (7)'!F48)</f>
        <v>2150</v>
      </c>
      <c r="G21" s="228">
        <f>SUM('Combined pigs sold to colco (7)'!G45,'Combined pigs sold to colco (7)'!G48)</f>
        <v>2679</v>
      </c>
      <c r="H21" s="228">
        <f>SUM('Combined pigs sold to colco (7)'!H45,'Combined pigs sold to colco (7)'!H48)</f>
        <v>2353</v>
      </c>
      <c r="I21" s="228">
        <f>SUM('Combined pigs sold to colco (7)'!I45,'Combined pigs sold to colco (7)'!I48)</f>
        <v>2322</v>
      </c>
      <c r="J21" s="228">
        <f>SUM('Combined pigs sold to colco (7)'!J45,'Combined pigs sold to colco (7)'!J48)</f>
        <v>3018</v>
      </c>
      <c r="K21" s="228">
        <f>SUM('Combined pigs sold to colco (7)'!K45,'Combined pigs sold to colco (7)'!K48)</f>
        <v>2382</v>
      </c>
      <c r="L21" s="228">
        <f>SUM('Combined pigs sold to colco (7)'!L45,'Combined pigs sold to colco (7)'!L48)</f>
        <v>2312</v>
      </c>
      <c r="M21" s="228">
        <f>SUM('Combined pigs sold to colco (7)'!M45,'Combined pigs sold to colco (7)'!M48)</f>
        <v>3010</v>
      </c>
      <c r="N21" s="126">
        <f>SUM(B21:M21)</f>
        <v>29824</v>
      </c>
      <c r="AC21" s="77"/>
      <c r="AD21" s="77"/>
    </row>
    <row r="22" spans="1:33" ht="15.75" thickBot="1">
      <c r="A22" s="103" t="s">
        <v>118</v>
      </c>
      <c r="B22" s="227">
        <f>'[3]LH Pigs to Colcom (6)'!B22</f>
        <v>2328.5769669671708</v>
      </c>
      <c r="C22" s="227">
        <f>'[3]LH Pigs to Colcom (6)'!C22</f>
        <v>2196.5623482960227</v>
      </c>
      <c r="D22" s="227">
        <f>'[3]LH Pigs to Colcom (6)'!D22</f>
        <v>2761.8713179154292</v>
      </c>
      <c r="E22" s="227">
        <f>'[3]LH Pigs to Colcom (6)'!E22</f>
        <v>2244.8068149846558</v>
      </c>
      <c r="F22" s="227">
        <f>'[3]LH Pigs to Colcom (6)'!F22</f>
        <v>2244.8097145274191</v>
      </c>
      <c r="G22" s="227">
        <f>'[3]LH Pigs to Colcom (6)'!G22</f>
        <v>2806.434475839917</v>
      </c>
      <c r="H22" s="227">
        <f>'[3]LH Pigs to Colcom (6)'!H22</f>
        <v>2244.416825255078</v>
      </c>
      <c r="I22" s="227">
        <f>'[3]LH Pigs to Colcom (6)'!I22</f>
        <v>2244.7805128862356</v>
      </c>
      <c r="J22" s="227">
        <f>'[3]LH Pigs to Colcom (6)'!J22</f>
        <v>2806.7509480116641</v>
      </c>
      <c r="K22" s="227">
        <f>'[3]LH Pigs to Colcom (6)'!K22</f>
        <v>2245.4007584093315</v>
      </c>
      <c r="L22" s="227">
        <f>'[3]LH Pigs to Colcom (6)'!L22</f>
        <v>2245.4007584093315</v>
      </c>
      <c r="M22" s="227">
        <f>'[3]LH Pigs to Colcom (6)'!M22</f>
        <v>2807.849843331685</v>
      </c>
      <c r="N22" s="126">
        <f>SUM(B22:M22)</f>
        <v>29177.661284833935</v>
      </c>
      <c r="O22" s="127">
        <f>N21-N22</f>
        <v>646.3387151660645</v>
      </c>
      <c r="P22" t="s">
        <v>4</v>
      </c>
    </row>
    <row r="23" spans="1:33">
      <c r="B23">
        <v>2278</v>
      </c>
      <c r="C23">
        <v>2228</v>
      </c>
      <c r="N23" s="126"/>
      <c r="O23" s="126"/>
    </row>
    <row r="24" spans="1:33">
      <c r="B24" s="129">
        <f>B22-B23</f>
        <v>50.576966967170847</v>
      </c>
      <c r="C24" s="129">
        <f>C22-C23</f>
        <v>-31.437651703977281</v>
      </c>
    </row>
  </sheetData>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AF30-6A17-4104-B482-ED5522CEC35C}">
  <sheetPr codeName="Sheet106">
    <tabColor rgb="FF7030A0"/>
  </sheetPr>
  <dimension ref="A17:AX24"/>
  <sheetViews>
    <sheetView topLeftCell="A7" zoomScale="90" zoomScaleNormal="90" workbookViewId="0">
      <pane xSplit="1" topLeftCell="AE1" activePane="topRight" state="frozen"/>
      <selection pane="topRight" activeCell="A18" sqref="A18:A25"/>
      <selection activeCell="G27" sqref="G27"/>
    </sheetView>
  </sheetViews>
  <sheetFormatPr defaultRowHeight="15"/>
  <cols>
    <col min="1" max="1" width="18.140625" bestFit="1" customWidth="1"/>
    <col min="39" max="39" width="23.140625" bestFit="1" customWidth="1"/>
  </cols>
  <sheetData>
    <row r="17" spans="1:50" ht="15.75" thickBot="1">
      <c r="A17" s="50"/>
      <c r="B17" s="108">
        <v>44713</v>
      </c>
      <c r="C17" s="108">
        <v>44743</v>
      </c>
      <c r="D17" s="108">
        <v>44774</v>
      </c>
      <c r="E17" s="108">
        <v>44805</v>
      </c>
      <c r="F17" s="108">
        <v>44835</v>
      </c>
      <c r="G17" s="108">
        <v>44866</v>
      </c>
      <c r="H17" s="108">
        <v>44896</v>
      </c>
      <c r="I17" s="108">
        <v>44927</v>
      </c>
      <c r="J17" s="108">
        <v>44958</v>
      </c>
      <c r="K17" s="108">
        <v>44986</v>
      </c>
      <c r="L17" s="108">
        <v>45017</v>
      </c>
      <c r="M17" s="108">
        <v>45047</v>
      </c>
      <c r="N17" s="108">
        <v>45078</v>
      </c>
      <c r="O17" s="108">
        <v>45108</v>
      </c>
      <c r="P17" s="108">
        <v>45139</v>
      </c>
      <c r="Q17" s="108">
        <v>45170</v>
      </c>
      <c r="R17" s="108">
        <v>45200</v>
      </c>
      <c r="S17" s="108">
        <v>45231</v>
      </c>
      <c r="T17" s="108">
        <v>45261</v>
      </c>
      <c r="U17" s="108">
        <v>45292</v>
      </c>
      <c r="V17" s="108">
        <v>45323</v>
      </c>
      <c r="W17" s="108">
        <v>45352</v>
      </c>
      <c r="X17" s="108">
        <v>45383</v>
      </c>
      <c r="Y17" s="108">
        <v>45413</v>
      </c>
      <c r="Z17" s="108">
        <v>45444</v>
      </c>
      <c r="AA17" s="108">
        <v>45474</v>
      </c>
      <c r="AB17" s="108">
        <v>45505</v>
      </c>
      <c r="AC17" s="108">
        <v>45536</v>
      </c>
      <c r="AD17" s="108">
        <v>45566</v>
      </c>
      <c r="AE17" s="108">
        <v>45597</v>
      </c>
      <c r="AF17" s="108">
        <v>45627</v>
      </c>
      <c r="AG17" s="108">
        <v>45658</v>
      </c>
      <c r="AH17" s="108">
        <v>45689</v>
      </c>
      <c r="AI17" s="108">
        <v>45717</v>
      </c>
      <c r="AJ17" s="108">
        <v>45748</v>
      </c>
      <c r="AK17" s="108">
        <v>45778</v>
      </c>
      <c r="AL17" s="108">
        <v>45809</v>
      </c>
      <c r="AM17" s="108">
        <v>45839</v>
      </c>
      <c r="AN17" s="108">
        <v>45870</v>
      </c>
      <c r="AO17" s="108">
        <v>45901</v>
      </c>
      <c r="AP17" s="108">
        <v>45931</v>
      </c>
      <c r="AQ17" s="108">
        <v>45962</v>
      </c>
      <c r="AR17" s="108">
        <v>45992</v>
      </c>
      <c r="AS17" s="108">
        <v>46023</v>
      </c>
      <c r="AT17" s="108">
        <v>46054</v>
      </c>
      <c r="AU17" s="108">
        <v>46082</v>
      </c>
      <c r="AV17" s="108">
        <v>46113</v>
      </c>
      <c r="AW17" s="108">
        <v>46143</v>
      </c>
      <c r="AX17" s="108">
        <v>46174</v>
      </c>
    </row>
    <row r="18" spans="1:50">
      <c r="A18" s="118" t="s">
        <v>83</v>
      </c>
      <c r="B18" s="76">
        <v>1037</v>
      </c>
      <c r="C18" s="58">
        <v>1023</v>
      </c>
      <c r="D18" s="58">
        <v>1027</v>
      </c>
      <c r="E18" s="58">
        <v>1069</v>
      </c>
      <c r="F18" s="58">
        <v>1079</v>
      </c>
      <c r="G18" s="58">
        <v>1091</v>
      </c>
      <c r="H18" s="58">
        <v>1099</v>
      </c>
      <c r="I18" s="58">
        <v>1130</v>
      </c>
      <c r="J18" s="58">
        <v>1099</v>
      </c>
      <c r="K18" s="58">
        <v>1105</v>
      </c>
      <c r="L18" s="58">
        <v>1079</v>
      </c>
      <c r="M18" s="58">
        <v>1067</v>
      </c>
      <c r="N18" s="58">
        <v>1068</v>
      </c>
      <c r="O18" s="58">
        <v>1011</v>
      </c>
      <c r="P18" s="58">
        <v>1027</v>
      </c>
      <c r="Q18" s="58">
        <v>1044</v>
      </c>
      <c r="R18" s="58">
        <v>1064</v>
      </c>
      <c r="S18" s="58">
        <v>1038</v>
      </c>
      <c r="T18" s="58">
        <v>1027</v>
      </c>
      <c r="U18" s="58">
        <v>1024</v>
      </c>
      <c r="V18" s="58">
        <v>1022</v>
      </c>
      <c r="W18" s="58">
        <v>1056</v>
      </c>
      <c r="X18" s="58">
        <v>1051.2</v>
      </c>
      <c r="Y18" s="58">
        <v>1035.5</v>
      </c>
      <c r="Z18" s="59">
        <v>1077.4000000000001</v>
      </c>
      <c r="AA18" s="59">
        <v>1064</v>
      </c>
      <c r="AB18" s="59">
        <v>1068</v>
      </c>
      <c r="AC18" s="59">
        <v>1079</v>
      </c>
      <c r="AD18" s="59">
        <v>1091</v>
      </c>
      <c r="AE18" s="59">
        <v>1086</v>
      </c>
      <c r="AF18" s="59">
        <v>1090</v>
      </c>
      <c r="AG18" s="59">
        <v>1071</v>
      </c>
      <c r="AH18" s="59">
        <v>1048</v>
      </c>
      <c r="AI18" s="59">
        <v>1041</v>
      </c>
      <c r="AJ18" s="59">
        <v>1039</v>
      </c>
      <c r="AK18" s="59">
        <v>1011.1</v>
      </c>
      <c r="AL18" s="59">
        <v>1020</v>
      </c>
      <c r="AM18" s="59">
        <v>1021</v>
      </c>
      <c r="AN18" s="59">
        <v>1034</v>
      </c>
      <c r="AO18" s="59">
        <v>1045</v>
      </c>
      <c r="AP18" s="59">
        <v>1087</v>
      </c>
      <c r="AQ18" s="59">
        <v>1087</v>
      </c>
      <c r="AR18" s="59">
        <v>1068</v>
      </c>
      <c r="AS18" s="59">
        <v>1061</v>
      </c>
      <c r="AT18" s="59">
        <v>1044</v>
      </c>
      <c r="AU18" s="59">
        <v>1036</v>
      </c>
      <c r="AV18" s="59">
        <v>1037</v>
      </c>
      <c r="AW18" s="59">
        <v>1035</v>
      </c>
      <c r="AX18" s="59">
        <v>1040</v>
      </c>
    </row>
    <row r="19" spans="1:50">
      <c r="A19" s="118" t="s">
        <v>84</v>
      </c>
      <c r="B19" s="109">
        <v>248732.80000000005</v>
      </c>
      <c r="C19" s="50">
        <v>227458.5</v>
      </c>
      <c r="D19" s="50">
        <v>167847.30000000002</v>
      </c>
      <c r="E19" s="50">
        <v>236165.80000000002</v>
      </c>
      <c r="F19" s="50">
        <v>191197.9</v>
      </c>
      <c r="G19" s="50">
        <v>189105.4</v>
      </c>
      <c r="H19" s="50">
        <v>212666.6</v>
      </c>
      <c r="I19" s="50">
        <v>154824.80000000002</v>
      </c>
      <c r="J19" s="50">
        <v>200379.8</v>
      </c>
      <c r="K19" s="50">
        <v>253967</v>
      </c>
      <c r="L19" s="50">
        <v>193217.2</v>
      </c>
      <c r="M19" s="50">
        <v>187058.90000000002</v>
      </c>
      <c r="N19" s="50">
        <v>245268.6</v>
      </c>
      <c r="O19" s="50">
        <f>SUM('[2]Combined total CDM to Colco (7)'!B49+'[2]Combined total CDM to Colco (7)'!B50+'[2]Combined total CDM to Colco (7)'!B51)</f>
        <v>207731.69999999998</v>
      </c>
      <c r="P19" s="50">
        <v>198446.69999999998</v>
      </c>
      <c r="Q19" s="50">
        <v>235342.7</v>
      </c>
      <c r="R19" s="50">
        <v>186686.1</v>
      </c>
      <c r="S19" s="50">
        <v>179917.6</v>
      </c>
      <c r="T19" s="50">
        <v>231944.2</v>
      </c>
      <c r="U19" s="50">
        <v>194909.2</v>
      </c>
      <c r="V19" s="50">
        <v>203796.1</v>
      </c>
      <c r="W19" s="50">
        <v>234813.89000000004</v>
      </c>
      <c r="X19" s="50">
        <v>202673.4</v>
      </c>
      <c r="Y19" s="50">
        <v>186306.30000000002</v>
      </c>
      <c r="Z19" s="50">
        <v>238826.43000000005</v>
      </c>
      <c r="AA19" s="50">
        <f>SUM('[2]Combined total CDM to Colco (7)'!B49+'[2]Combined total CDM to Colco (7)'!B50+'[2]Combined total CDM to Colco (7)'!B51)</f>
        <v>207731.69999999998</v>
      </c>
      <c r="AB19" s="50">
        <f>SUM('[2]Combined total CDM to Colco (7)'!C49+'[2]Combined total CDM to Colco (7)'!C50+'[2]Combined total CDM to Colco (7)'!C51)</f>
        <v>171815.1</v>
      </c>
      <c r="AC19" s="50">
        <f>SUM('[2]Combined total CDM to Colco (7)'!D49+'[2]Combined total CDM to Colco (7)'!D50+'[2]Combined total CDM to Colco (7)'!D51)</f>
        <v>305601.80000000005</v>
      </c>
      <c r="AD19" s="50">
        <f>SUM('[2]Combined total CDM to Colco (7)'!E49+'[2]Combined total CDM to Colco (7)'!E50+'[2]Combined total CDM to Colco (7)'!E51)</f>
        <v>214012.02000000002</v>
      </c>
      <c r="AE19" s="50">
        <f>SUM('[2]Combined total CDM to Colco (7)'!F49+'[2]Combined total CDM to Colco (7)'!F50+'[2]Combined total CDM to Colco (7)'!F51)</f>
        <v>221660.69999999998</v>
      </c>
      <c r="AF19" s="50">
        <f>SUM('[2]Combined total CDM to Colco (7)'!G49+'[2]Combined total CDM to Colco (7)'!G50+'[2]Combined total CDM to Colco (7)'!G51)</f>
        <v>234179.90000000002</v>
      </c>
      <c r="AG19" s="50">
        <f>SUM('[2]Combined total CDM to Colco (7)'!H49+'[2]Combined total CDM to Colco (7)'!H50+'[2]Combined total CDM to Colco (7)'!H51)</f>
        <v>245296.10000000003</v>
      </c>
      <c r="AH19" s="50">
        <f>SUM('[2]Combined total CDM to Colco (7)'!I49+'[2]Combined total CDM to Colco (7)'!I50+'[2]Combined total CDM to Colco (7)'!I51)</f>
        <v>226236.2</v>
      </c>
      <c r="AI19" s="50">
        <f>SUM('[2]Combined total CDM to Colco (7)'!J49+'[2]Combined total CDM to Colco (7)'!J50+'[2]Combined total CDM to Colco (7)'!J51)</f>
        <v>276181.30000000005</v>
      </c>
      <c r="AJ19" s="50">
        <f>SUM('[2]Combined total CDM to Colco (7)'!K49+'[2]Combined total CDM to Colco (7)'!K50+'[2]Combined total CDM to Colco (7)'!K51)</f>
        <v>222942.1</v>
      </c>
      <c r="AK19" s="50">
        <f>SUM('[2]Combined total CDM to Colco (7)'!L49+'[2]Combined total CDM to Colco (7)'!L50+'[2]Combined total CDM to Colco (7)'!L51)</f>
        <v>217134.9</v>
      </c>
      <c r="AL19" s="50">
        <f>SUM('[2]Combined total CDM to Colco (7)'!M49+'[2]Combined total CDM to Colco (7)'!M50+'[2]Combined total CDM to Colco (7)'!M51)</f>
        <v>289963.8</v>
      </c>
      <c r="AM19" s="50">
        <f>'Combined total CDM to Colco (7)'!B44+'Combined total CDM to Colco (7)'!B45+'Combined total CDM to Colco (7)'!B46</f>
        <v>244672.1</v>
      </c>
      <c r="AN19" s="50">
        <f>'Combined total CDM to Colco (7)'!C44+'Combined total CDM to Colco (7)'!C45+'Combined total CDM to Colco (7)'!C46</f>
        <v>210941.50000000003</v>
      </c>
      <c r="AO19" s="50">
        <f>'Combined total CDM to Colco (7)'!D44+'Combined total CDM to Colco (7)'!D45+'Combined total CDM to Colco (7)'!D46</f>
        <v>273823.7</v>
      </c>
      <c r="AP19" s="50">
        <f>'Combined total CDM to Colco (7)'!E44+'Combined total CDM to Colco (7)'!E45+'Combined total CDM to Colco (7)'!E46</f>
        <v>224346.6</v>
      </c>
      <c r="AQ19" s="50">
        <f>'Combined total CDM to Colco (7)'!F44+'Combined total CDM to Colco (7)'!F45+'Combined total CDM to Colco (7)'!F46</f>
        <v>214123.60000000003</v>
      </c>
      <c r="AR19" s="50">
        <f>'Combined total CDM to Colco (7)'!G44+'Combined total CDM to Colco (7)'!G45+'Combined total CDM to Colco (7)'!G46</f>
        <v>263351.2</v>
      </c>
      <c r="AS19" s="50">
        <f>'Combined total CDM to Colco (7)'!H44+'Combined total CDM to Colco (7)'!H45+'Combined total CDM to Colco (7)'!H46</f>
        <v>225249.5</v>
      </c>
      <c r="AT19" s="50">
        <f>'Combined total CDM to Colco (7)'!I44+'Combined total CDM to Colco (7)'!I45+'Combined total CDM to Colco (7)'!I46</f>
        <v>215455.4</v>
      </c>
      <c r="AU19" s="50">
        <f>'Combined total CDM to Colco (7)'!J44+'Combined total CDM to Colco (7)'!J45+'Combined total CDM to Colco (7)'!J46</f>
        <v>291431.39999999997</v>
      </c>
      <c r="AV19" s="50">
        <f>'Combined total CDM to Colco (7)'!K44+'Combined total CDM to Colco (7)'!K45+'Combined total CDM to Colco (7)'!K46</f>
        <v>231301.7</v>
      </c>
      <c r="AW19" s="50">
        <f>'Combined total CDM to Colco (7)'!L44+'Combined total CDM to Colco (7)'!L45+'Combined total CDM to Colco (7)'!L46</f>
        <v>225482.6</v>
      </c>
      <c r="AX19" s="50">
        <f>'Combined total CDM to Colco (7)'!M44+'Combined total CDM to Colco (7)'!M45+'Combined total CDM to Colco (7)'!M46</f>
        <v>299796.2</v>
      </c>
    </row>
    <row r="20" spans="1:50">
      <c r="A20" s="118" t="s">
        <v>85</v>
      </c>
      <c r="B20" s="109">
        <v>1043</v>
      </c>
      <c r="C20" s="50">
        <v>1043.25</v>
      </c>
      <c r="D20" s="50">
        <v>1043.5</v>
      </c>
      <c r="E20" s="50">
        <v>1044.5</v>
      </c>
      <c r="F20" s="50">
        <v>1046.9166666666667</v>
      </c>
      <c r="G20" s="50">
        <v>1050.25</v>
      </c>
      <c r="H20" s="50">
        <v>1054</v>
      </c>
      <c r="I20" s="50">
        <v>1060.8333333333333</v>
      </c>
      <c r="J20" s="50">
        <v>1065.4166666666667</v>
      </c>
      <c r="K20" s="50">
        <v>1069.0833333333333</v>
      </c>
      <c r="L20" s="50">
        <v>1072.25</v>
      </c>
      <c r="M20" s="50">
        <v>1075.4166666666667</v>
      </c>
      <c r="N20" s="50">
        <v>1078</v>
      </c>
      <c r="O20" s="50">
        <f t="shared" ref="O20:AL20" si="0">AVERAGE(D18:O18)</f>
        <v>1077</v>
      </c>
      <c r="P20" s="50">
        <f t="shared" si="0"/>
        <v>1077</v>
      </c>
      <c r="Q20" s="50">
        <f t="shared" si="0"/>
        <v>1074.9166666666667</v>
      </c>
      <c r="R20" s="50">
        <f t="shared" si="0"/>
        <v>1073.6666666666667</v>
      </c>
      <c r="S20" s="50">
        <f t="shared" si="0"/>
        <v>1069.25</v>
      </c>
      <c r="T20" s="50">
        <f t="shared" si="0"/>
        <v>1063.25</v>
      </c>
      <c r="U20" s="50">
        <f t="shared" si="0"/>
        <v>1054.4166666666667</v>
      </c>
      <c r="V20" s="50">
        <f t="shared" si="0"/>
        <v>1048</v>
      </c>
      <c r="W20" s="50">
        <f t="shared" si="0"/>
        <v>1043.9166666666667</v>
      </c>
      <c r="X20" s="50">
        <f t="shared" si="0"/>
        <v>1041.6000000000001</v>
      </c>
      <c r="Y20" s="50">
        <f t="shared" si="0"/>
        <v>1038.9750000000001</v>
      </c>
      <c r="Z20" s="50">
        <f t="shared" si="0"/>
        <v>1039.7583333333334</v>
      </c>
      <c r="AA20" s="50">
        <f t="shared" si="0"/>
        <v>1044.175</v>
      </c>
      <c r="AB20" s="50">
        <f t="shared" si="0"/>
        <v>1047.5916666666667</v>
      </c>
      <c r="AC20" s="50">
        <f t="shared" si="0"/>
        <v>1050.5083333333334</v>
      </c>
      <c r="AD20" s="50">
        <f t="shared" si="0"/>
        <v>1052.7583333333334</v>
      </c>
      <c r="AE20" s="50">
        <f t="shared" si="0"/>
        <v>1056.7583333333334</v>
      </c>
      <c r="AF20" s="50">
        <f t="shared" si="0"/>
        <v>1062.0083333333334</v>
      </c>
      <c r="AG20" s="50">
        <f t="shared" si="0"/>
        <v>1065.925</v>
      </c>
      <c r="AH20" s="50">
        <f t="shared" si="0"/>
        <v>1068.0916666666667</v>
      </c>
      <c r="AI20" s="50">
        <f t="shared" si="0"/>
        <v>1066.8416666666667</v>
      </c>
      <c r="AJ20" s="50">
        <f t="shared" si="0"/>
        <v>1065.825</v>
      </c>
      <c r="AK20" s="50">
        <f t="shared" si="0"/>
        <v>1063.7916666666667</v>
      </c>
      <c r="AL20" s="50">
        <f t="shared" si="0"/>
        <v>1059.0083333333334</v>
      </c>
      <c r="AM20" s="50">
        <f t="shared" ref="AM20:AR20" si="1">AVERAGE(AB18:AM18)</f>
        <v>1055.425</v>
      </c>
      <c r="AN20" s="50">
        <f t="shared" si="1"/>
        <v>1052.5916666666667</v>
      </c>
      <c r="AO20" s="50">
        <f t="shared" si="1"/>
        <v>1049.7583333333334</v>
      </c>
      <c r="AP20" s="50">
        <f t="shared" si="1"/>
        <v>1049.425</v>
      </c>
      <c r="AQ20" s="50">
        <f t="shared" si="1"/>
        <v>1049.5083333333334</v>
      </c>
      <c r="AR20" s="50">
        <f t="shared" si="1"/>
        <v>1047.675</v>
      </c>
      <c r="AS20" s="50">
        <f>AVERAGE(AH18:AS18)</f>
        <v>1046.8416666666667</v>
      </c>
      <c r="AT20" s="50">
        <f>AVERAGE(AI18:AT18)</f>
        <v>1046.5083333333334</v>
      </c>
      <c r="AU20" s="50">
        <f>AVERAGE(AJ18:AU18)</f>
        <v>1046.0916666666667</v>
      </c>
      <c r="AV20" s="50">
        <f t="shared" ref="AV20:AX20" si="2">AVERAGE(AK18:AV18)</f>
        <v>1045.925</v>
      </c>
      <c r="AW20" s="50">
        <f t="shared" si="2"/>
        <v>1047.9166666666667</v>
      </c>
      <c r="AX20" s="50">
        <f t="shared" si="2"/>
        <v>1049.5833333333333</v>
      </c>
    </row>
    <row r="21" spans="1:50" ht="15.75" thickBot="1">
      <c r="A21" s="118" t="s">
        <v>86</v>
      </c>
      <c r="B21" s="110">
        <v>2243603.2949802643</v>
      </c>
      <c r="C21" s="104">
        <v>2313779.1949802646</v>
      </c>
      <c r="D21" s="104">
        <v>2321831.094980265</v>
      </c>
      <c r="E21" s="104">
        <v>2362051.3168833163</v>
      </c>
      <c r="F21" s="104">
        <v>2414995.0168833164</v>
      </c>
      <c r="G21" s="104">
        <v>2454823.129801977</v>
      </c>
      <c r="H21" s="104">
        <v>2374577.7554503917</v>
      </c>
      <c r="I21" s="104">
        <v>2347847.1698513902</v>
      </c>
      <c r="J21" s="104">
        <v>2372107.1396981128</v>
      </c>
      <c r="K21" s="104">
        <v>2411136.7999999998</v>
      </c>
      <c r="L21" s="104">
        <v>2450275.2000000002</v>
      </c>
      <c r="M21" s="104">
        <v>2462622</v>
      </c>
      <c r="N21" s="104">
        <v>2459157.8000000003</v>
      </c>
      <c r="O21" s="104">
        <f t="shared" ref="O21:AL21" si="3">SUM(D19:O19)</f>
        <v>2439431.0000000005</v>
      </c>
      <c r="P21" s="104">
        <f t="shared" si="3"/>
        <v>2470030.4000000004</v>
      </c>
      <c r="Q21" s="104">
        <f t="shared" si="3"/>
        <v>2469207.3000000003</v>
      </c>
      <c r="R21" s="104">
        <f t="shared" si="3"/>
        <v>2464695.5000000005</v>
      </c>
      <c r="S21" s="104">
        <f t="shared" si="3"/>
        <v>2455507.6999999997</v>
      </c>
      <c r="T21" s="104">
        <f t="shared" si="3"/>
        <v>2474785.3000000003</v>
      </c>
      <c r="U21" s="104">
        <f t="shared" si="3"/>
        <v>2514869.7000000002</v>
      </c>
      <c r="V21" s="104">
        <f t="shared" si="3"/>
        <v>2518286.0000000005</v>
      </c>
      <c r="W21" s="104">
        <f t="shared" si="3"/>
        <v>2499132.89</v>
      </c>
      <c r="X21" s="104">
        <f t="shared" si="3"/>
        <v>2508589.09</v>
      </c>
      <c r="Y21" s="104">
        <f t="shared" si="3"/>
        <v>2507836.4899999998</v>
      </c>
      <c r="Z21" s="104">
        <f t="shared" si="3"/>
        <v>2501394.3200000003</v>
      </c>
      <c r="AA21" s="104">
        <f t="shared" si="3"/>
        <v>2501394.3200000003</v>
      </c>
      <c r="AB21" s="104">
        <f t="shared" si="3"/>
        <v>2474762.7200000007</v>
      </c>
      <c r="AC21" s="104">
        <f t="shared" si="3"/>
        <v>2545021.8200000003</v>
      </c>
      <c r="AD21" s="104">
        <f t="shared" si="3"/>
        <v>2572347.7400000002</v>
      </c>
      <c r="AE21" s="104">
        <f t="shared" si="3"/>
        <v>2614090.8400000003</v>
      </c>
      <c r="AF21" s="104">
        <f t="shared" si="3"/>
        <v>2616326.5400000005</v>
      </c>
      <c r="AG21" s="104">
        <f t="shared" si="3"/>
        <v>2666713.4400000004</v>
      </c>
      <c r="AH21" s="104">
        <f t="shared" si="3"/>
        <v>2689153.5400000005</v>
      </c>
      <c r="AI21" s="104">
        <f t="shared" si="3"/>
        <v>2730520.95</v>
      </c>
      <c r="AJ21" s="104">
        <f t="shared" si="3"/>
        <v>2750789.6500000008</v>
      </c>
      <c r="AK21" s="104">
        <f t="shared" si="3"/>
        <v>2781618.25</v>
      </c>
      <c r="AL21" s="104">
        <f t="shared" si="3"/>
        <v>2832755.62</v>
      </c>
      <c r="AM21" s="104">
        <f t="shared" ref="AM21:AR21" si="4">SUM(AB19:AM19)</f>
        <v>2869696.02</v>
      </c>
      <c r="AN21" s="104">
        <f t="shared" si="4"/>
        <v>2908822.42</v>
      </c>
      <c r="AO21" s="104">
        <f t="shared" si="4"/>
        <v>2877044.3200000003</v>
      </c>
      <c r="AP21" s="104">
        <f t="shared" si="4"/>
        <v>2887378.9000000004</v>
      </c>
      <c r="AQ21" s="104">
        <f t="shared" si="4"/>
        <v>2879841.8000000007</v>
      </c>
      <c r="AR21" s="104">
        <f t="shared" si="4"/>
        <v>2909013.1000000006</v>
      </c>
      <c r="AS21" s="104">
        <f>SUM(AH19:AS19)</f>
        <v>2888966.5000000005</v>
      </c>
      <c r="AT21" s="104">
        <f>SUM(AI19:AT19)</f>
        <v>2878185.7</v>
      </c>
      <c r="AU21" s="104">
        <f>SUM(AJ19:AU19)</f>
        <v>2893435.8000000003</v>
      </c>
      <c r="AV21" s="104">
        <f t="shared" ref="AV21:AX21" si="5">SUM(AK19:AV19)</f>
        <v>2901795.4000000004</v>
      </c>
      <c r="AW21" s="104">
        <f t="shared" si="5"/>
        <v>2910143.1000000006</v>
      </c>
      <c r="AX21" s="104">
        <f t="shared" si="5"/>
        <v>2919975.5000000005</v>
      </c>
    </row>
    <row r="22" spans="1:50" ht="15.75" thickBot="1">
      <c r="A22" s="117"/>
      <c r="B22" s="119">
        <v>44713</v>
      </c>
      <c r="C22" s="119">
        <v>44743</v>
      </c>
      <c r="D22" s="119">
        <v>44774</v>
      </c>
      <c r="E22" s="119">
        <v>44805</v>
      </c>
      <c r="F22" s="119">
        <v>44835</v>
      </c>
      <c r="G22" s="119">
        <v>44866</v>
      </c>
      <c r="H22" s="119">
        <v>44896</v>
      </c>
      <c r="I22" s="119">
        <v>44927</v>
      </c>
      <c r="J22" s="119">
        <v>44958</v>
      </c>
      <c r="K22" s="119">
        <v>44986</v>
      </c>
      <c r="L22" s="119">
        <v>45017</v>
      </c>
      <c r="M22" s="119">
        <v>45047</v>
      </c>
      <c r="N22" s="119">
        <v>45078</v>
      </c>
      <c r="O22" s="119">
        <v>45108</v>
      </c>
      <c r="P22" s="119">
        <v>45139</v>
      </c>
      <c r="Q22" s="119">
        <v>45170</v>
      </c>
      <c r="R22" s="119">
        <v>45200</v>
      </c>
      <c r="S22" s="119">
        <v>45231</v>
      </c>
      <c r="T22" s="119">
        <v>45261</v>
      </c>
      <c r="U22" s="119">
        <v>45292</v>
      </c>
      <c r="V22" s="119">
        <v>45323</v>
      </c>
      <c r="W22" s="119">
        <v>45352</v>
      </c>
      <c r="X22" s="119">
        <v>45383</v>
      </c>
      <c r="Y22" s="119">
        <v>45413</v>
      </c>
      <c r="Z22" s="119">
        <v>45444</v>
      </c>
      <c r="AA22" s="119">
        <v>45474</v>
      </c>
      <c r="AB22" s="119">
        <v>45505</v>
      </c>
      <c r="AC22" s="119">
        <v>45536</v>
      </c>
      <c r="AD22" s="119">
        <v>45566</v>
      </c>
      <c r="AE22" s="119">
        <v>45597</v>
      </c>
      <c r="AF22" s="119">
        <v>45627</v>
      </c>
      <c r="AG22" s="119">
        <v>45658</v>
      </c>
      <c r="AH22" s="119">
        <v>45689</v>
      </c>
      <c r="AI22" s="119">
        <v>45717</v>
      </c>
      <c r="AJ22" s="119">
        <v>45748</v>
      </c>
      <c r="AK22" s="119">
        <v>45778</v>
      </c>
      <c r="AL22" s="119">
        <v>45809</v>
      </c>
      <c r="AM22" s="119">
        <v>45839</v>
      </c>
      <c r="AN22" s="119">
        <v>45870</v>
      </c>
      <c r="AO22" s="119">
        <v>45901</v>
      </c>
      <c r="AP22" s="119">
        <v>45931</v>
      </c>
      <c r="AQ22" s="119">
        <v>45962</v>
      </c>
      <c r="AR22" s="119">
        <v>45992</v>
      </c>
      <c r="AS22" s="119">
        <v>46023</v>
      </c>
      <c r="AT22" s="119">
        <v>46054</v>
      </c>
      <c r="AU22" s="119">
        <v>46082</v>
      </c>
      <c r="AV22" s="119">
        <v>46113</v>
      </c>
      <c r="AW22" s="119">
        <v>46143</v>
      </c>
      <c r="AX22" s="119">
        <v>46174</v>
      </c>
    </row>
    <row r="23" spans="1:50">
      <c r="A23" s="118" t="s">
        <v>87</v>
      </c>
      <c r="B23" s="76">
        <v>2151.105747823839</v>
      </c>
      <c r="C23" s="58">
        <v>2217.8568847162851</v>
      </c>
      <c r="D23" s="58">
        <v>2225.0417776523864</v>
      </c>
      <c r="E23" s="58">
        <v>2261.4182066857984</v>
      </c>
      <c r="F23" s="58">
        <v>2306.7690999442643</v>
      </c>
      <c r="G23" s="58">
        <v>2337.3702735557981</v>
      </c>
      <c r="H23" s="58">
        <v>2252.9200715848119</v>
      </c>
      <c r="I23" s="58">
        <v>2213.2102150995038</v>
      </c>
      <c r="J23" s="58">
        <v>2226.4595757823504</v>
      </c>
      <c r="K23" s="58">
        <v>2255.331015667628</v>
      </c>
      <c r="L23" s="58">
        <v>2285.1715551410589</v>
      </c>
      <c r="M23" s="58">
        <v>2289.9235955056179</v>
      </c>
      <c r="N23" s="58">
        <v>2281.2224489795922</v>
      </c>
      <c r="O23" s="58">
        <f t="shared" ref="O23:AM23" si="6">O21/O20</f>
        <v>2265.0241411327765</v>
      </c>
      <c r="P23" s="58">
        <f t="shared" si="6"/>
        <v>2293.435840297122</v>
      </c>
      <c r="Q23" s="58">
        <f t="shared" si="6"/>
        <v>2297.1150941933483</v>
      </c>
      <c r="R23" s="58">
        <f t="shared" si="6"/>
        <v>2295.5872399875816</v>
      </c>
      <c r="S23" s="58">
        <f t="shared" si="6"/>
        <v>2296.4766892681782</v>
      </c>
      <c r="T23" s="58">
        <f t="shared" si="6"/>
        <v>2327.566705854691</v>
      </c>
      <c r="U23" s="58">
        <f t="shared" si="6"/>
        <v>2385.0815142653914</v>
      </c>
      <c r="V23" s="58">
        <f t="shared" si="6"/>
        <v>2402.9446564885502</v>
      </c>
      <c r="W23" s="58">
        <f t="shared" si="6"/>
        <v>2393.9965418695615</v>
      </c>
      <c r="X23" s="58">
        <f t="shared" si="6"/>
        <v>2408.3996639784941</v>
      </c>
      <c r="Y23" s="58">
        <f t="shared" si="6"/>
        <v>2413.7601867224903</v>
      </c>
      <c r="Z23" s="58">
        <f t="shared" si="6"/>
        <v>2405.7458736405097</v>
      </c>
      <c r="AA23" s="58">
        <f t="shared" si="6"/>
        <v>2395.5700146048321</v>
      </c>
      <c r="AB23" s="58">
        <f t="shared" si="6"/>
        <v>2362.3352483076269</v>
      </c>
      <c r="AC23" s="58">
        <f t="shared" si="6"/>
        <v>2422.6574309262978</v>
      </c>
      <c r="AD23" s="58">
        <f t="shared" si="6"/>
        <v>2443.4361225669077</v>
      </c>
      <c r="AE23" s="58">
        <f t="shared" si="6"/>
        <v>2473.6884087342582</v>
      </c>
      <c r="AF23" s="58">
        <f t="shared" si="6"/>
        <v>2463.5649814423932</v>
      </c>
      <c r="AG23" s="58">
        <f t="shared" si="6"/>
        <v>2501.7833712503229</v>
      </c>
      <c r="AH23" s="58">
        <f t="shared" si="6"/>
        <v>2517.7179299529539</v>
      </c>
      <c r="AI23" s="58">
        <f t="shared" si="6"/>
        <v>2559.4434819287462</v>
      </c>
      <c r="AJ23" s="58">
        <f t="shared" si="6"/>
        <v>2580.9017896934306</v>
      </c>
      <c r="AK23" s="58">
        <f t="shared" si="6"/>
        <v>2614.8148525322154</v>
      </c>
      <c r="AL23" s="58">
        <f t="shared" si="6"/>
        <v>2674.913436312273</v>
      </c>
      <c r="AM23" s="107">
        <f t="shared" si="6"/>
        <v>2718.9956842030465</v>
      </c>
      <c r="AN23" s="107">
        <f t="shared" ref="AN23:AO23" si="7">AN21/AN20</f>
        <v>2763.4860811805779</v>
      </c>
      <c r="AO23" s="107">
        <f t="shared" si="7"/>
        <v>2740.6729993411182</v>
      </c>
      <c r="AP23" s="107">
        <f t="shared" ref="AP23:AU23" si="8">AP21/AP20</f>
        <v>2751.3913809943547</v>
      </c>
      <c r="AQ23" s="107">
        <f t="shared" si="8"/>
        <v>2743.9913610341355</v>
      </c>
      <c r="AR23" s="107">
        <f t="shared" si="8"/>
        <v>2776.6369341637442</v>
      </c>
      <c r="AS23" s="107">
        <f t="shared" si="8"/>
        <v>2759.6976620151095</v>
      </c>
      <c r="AT23" s="107">
        <f t="shared" si="8"/>
        <v>2750.2749938286843</v>
      </c>
      <c r="AU23" s="107">
        <f t="shared" si="8"/>
        <v>2765.948618269591</v>
      </c>
      <c r="AV23" s="107">
        <f t="shared" ref="AV23:AW23" si="9">AV21/AV20</f>
        <v>2774.3819107488594</v>
      </c>
      <c r="AW23" s="107">
        <f t="shared" si="9"/>
        <v>2777.0749264413521</v>
      </c>
      <c r="AX23" s="107">
        <f t="shared" ref="AX23" si="10">AX21/AX20</f>
        <v>2782.0330289797544</v>
      </c>
    </row>
    <row r="24" spans="1:50" ht="15.75" thickBot="1">
      <c r="A24" s="118" t="s">
        <v>88</v>
      </c>
      <c r="B24" s="60">
        <v>2400</v>
      </c>
      <c r="C24" s="46">
        <v>2400</v>
      </c>
      <c r="D24" s="46">
        <v>2400</v>
      </c>
      <c r="E24" s="45">
        <v>2400</v>
      </c>
      <c r="F24" s="45">
        <v>2500</v>
      </c>
      <c r="G24" s="45">
        <v>2500</v>
      </c>
      <c r="H24" s="45">
        <v>2500</v>
      </c>
      <c r="I24" s="45">
        <v>2500</v>
      </c>
      <c r="J24" s="45">
        <v>2500</v>
      </c>
      <c r="K24" s="45">
        <v>2500</v>
      </c>
      <c r="L24" s="45">
        <v>2500</v>
      </c>
      <c r="M24" s="45">
        <v>2500</v>
      </c>
      <c r="N24" s="45">
        <v>2500</v>
      </c>
      <c r="O24" s="45">
        <v>2500</v>
      </c>
      <c r="P24" s="45">
        <v>2500</v>
      </c>
      <c r="Q24" s="45">
        <v>2500</v>
      </c>
      <c r="R24" s="45">
        <v>2500</v>
      </c>
      <c r="S24" s="45">
        <v>2500</v>
      </c>
      <c r="T24" s="45">
        <v>2600</v>
      </c>
      <c r="U24" s="45">
        <v>2600</v>
      </c>
      <c r="V24" s="45">
        <v>2600</v>
      </c>
      <c r="W24" s="45">
        <v>2600</v>
      </c>
      <c r="X24" s="45">
        <v>2600</v>
      </c>
      <c r="Y24" s="45">
        <v>2600</v>
      </c>
      <c r="Z24" s="105">
        <v>2600</v>
      </c>
      <c r="AA24" s="105">
        <v>2600</v>
      </c>
      <c r="AB24" s="105">
        <v>2600</v>
      </c>
      <c r="AC24" s="105">
        <v>2600</v>
      </c>
      <c r="AD24" s="105">
        <v>2600</v>
      </c>
      <c r="AE24" s="105">
        <v>2600</v>
      </c>
      <c r="AF24" s="105">
        <v>2600</v>
      </c>
      <c r="AG24" s="105">
        <v>2842</v>
      </c>
      <c r="AH24" s="105">
        <v>2842</v>
      </c>
      <c r="AI24" s="105">
        <v>2842</v>
      </c>
      <c r="AJ24" s="105">
        <v>2842</v>
      </c>
      <c r="AK24" s="105">
        <v>2842</v>
      </c>
      <c r="AL24" s="105">
        <v>2842</v>
      </c>
      <c r="AM24" s="105">
        <v>3000</v>
      </c>
      <c r="AN24" s="105">
        <v>3000</v>
      </c>
      <c r="AO24" s="105">
        <v>3000</v>
      </c>
      <c r="AP24" s="105">
        <v>3000</v>
      </c>
      <c r="AQ24" s="105">
        <v>3000</v>
      </c>
      <c r="AR24" s="105">
        <v>3000</v>
      </c>
      <c r="AS24" s="105">
        <v>3000</v>
      </c>
      <c r="AT24" s="105">
        <v>3000</v>
      </c>
      <c r="AU24" s="105">
        <v>3000</v>
      </c>
      <c r="AV24" s="105">
        <v>3000</v>
      </c>
      <c r="AW24" s="105">
        <v>3000</v>
      </c>
      <c r="AX24" s="105">
        <v>3000</v>
      </c>
    </row>
  </sheetData>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9E8F7-BC4F-4CBB-A02B-FD14F56B576B}">
  <sheetPr codeName="Sheet131">
    <tabColor rgb="FF7030A0"/>
  </sheetPr>
  <dimension ref="A18:P23"/>
  <sheetViews>
    <sheetView zoomScale="90" zoomScaleNormal="90" workbookViewId="0">
      <selection activeCell="N20" sqref="N20"/>
    </sheetView>
  </sheetViews>
  <sheetFormatPr defaultRowHeight="15"/>
  <sheetData>
    <row r="18" spans="1:16" ht="15.75" thickBot="1"/>
    <row r="19" spans="1:16" ht="15.75" thickBot="1">
      <c r="A19" s="301"/>
      <c r="B19" s="316">
        <v>45863</v>
      </c>
      <c r="C19" s="316">
        <v>45894</v>
      </c>
      <c r="D19" s="316">
        <v>45925</v>
      </c>
      <c r="E19" s="316">
        <v>45955</v>
      </c>
      <c r="F19" s="316">
        <v>45986</v>
      </c>
      <c r="G19" s="316">
        <v>46016</v>
      </c>
      <c r="H19" s="316">
        <v>46047</v>
      </c>
      <c r="I19" s="316">
        <v>46078</v>
      </c>
      <c r="J19" s="316">
        <v>46106</v>
      </c>
      <c r="K19" s="316">
        <v>46137</v>
      </c>
      <c r="L19" s="316">
        <v>46167</v>
      </c>
      <c r="M19" s="316">
        <v>46198</v>
      </c>
      <c r="N19" s="390"/>
    </row>
    <row r="20" spans="1:16" ht="15.75" thickBot="1">
      <c r="A20" s="152" t="s">
        <v>59</v>
      </c>
      <c r="B20" s="152">
        <f>+'[56]Combined farrow rate  (4)'!R15</f>
        <v>88</v>
      </c>
      <c r="C20" s="152">
        <f>+'[56]Combined farrow rate  (4)'!S15</f>
        <v>88</v>
      </c>
      <c r="D20" s="152">
        <f>+'[56]Combined farrow rate  (4)'!T15</f>
        <v>92</v>
      </c>
      <c r="E20" s="152">
        <f>+'[56]Combined farrow rate  (4)'!U15</f>
        <v>94</v>
      </c>
      <c r="F20" s="152">
        <f>+'[56]Combined farrow rate  (4)'!V15</f>
        <v>96</v>
      </c>
      <c r="G20" s="152">
        <f>+'[56]Combined farrow rate  (4)'!W15</f>
        <v>91</v>
      </c>
      <c r="H20" s="152">
        <f>+'Combined farrow rate  (5)'!X15</f>
        <v>94</v>
      </c>
      <c r="I20" s="152">
        <f>+'Combined farrow rate  (5)'!Y15</f>
        <v>94</v>
      </c>
      <c r="J20" s="152">
        <f>+'Combined farrow rate  (5)'!Z15</f>
        <v>92</v>
      </c>
      <c r="K20" s="152">
        <f>+'Combined farrow rate  (5)'!AA15</f>
        <v>93</v>
      </c>
      <c r="L20" s="152">
        <f>+'Combined farrow rate  (5)'!AB15</f>
        <v>90</v>
      </c>
      <c r="M20" s="152">
        <f>+'Combined farrow rate  (5)'!AC15</f>
        <v>91</v>
      </c>
      <c r="N20" s="126">
        <f>AVERAGE(B20:M20)</f>
        <v>91.916666666666671</v>
      </c>
      <c r="O20" s="77"/>
      <c r="P20" s="77"/>
    </row>
    <row r="21" spans="1:16" ht="15.75" thickBot="1">
      <c r="A21" s="152" t="s">
        <v>103</v>
      </c>
      <c r="B21" s="152">
        <v>89.1</v>
      </c>
      <c r="C21" s="152">
        <v>91</v>
      </c>
      <c r="D21" s="152">
        <v>94</v>
      </c>
      <c r="E21" s="152">
        <v>94</v>
      </c>
      <c r="F21" s="152">
        <v>96</v>
      </c>
      <c r="G21" s="152">
        <v>94</v>
      </c>
      <c r="H21" s="152">
        <v>92</v>
      </c>
      <c r="I21" s="152">
        <v>90</v>
      </c>
      <c r="J21" s="152">
        <v>88</v>
      </c>
      <c r="K21" s="152">
        <v>88</v>
      </c>
      <c r="L21" s="152">
        <v>91</v>
      </c>
      <c r="M21" s="152">
        <v>88</v>
      </c>
      <c r="N21" s="126">
        <f t="shared" ref="N21:N22" si="0">AVERAGE(B21:M21)</f>
        <v>91.258333333333326</v>
      </c>
      <c r="O21" s="293">
        <f>N20-N21</f>
        <v>0.65833333333334565</v>
      </c>
      <c r="P21" s="293" t="s">
        <v>213</v>
      </c>
    </row>
    <row r="22" spans="1:16" ht="15.75" thickBot="1">
      <c r="A22" s="152" t="s">
        <v>170</v>
      </c>
      <c r="B22" s="152">
        <v>90.4</v>
      </c>
      <c r="C22" s="152">
        <v>90.4</v>
      </c>
      <c r="D22" s="152">
        <v>90.4</v>
      </c>
      <c r="E22" s="152">
        <v>90.4</v>
      </c>
      <c r="F22" s="152">
        <v>90.4</v>
      </c>
      <c r="G22" s="152">
        <v>90.4</v>
      </c>
      <c r="H22" s="152">
        <v>90.4</v>
      </c>
      <c r="I22" s="152">
        <v>90.4</v>
      </c>
      <c r="J22" s="152">
        <v>90.4</v>
      </c>
      <c r="K22" s="152">
        <v>90.4</v>
      </c>
      <c r="L22" s="152">
        <v>90.4</v>
      </c>
      <c r="M22" s="152">
        <v>90.4</v>
      </c>
      <c r="N22" s="126">
        <f t="shared" si="0"/>
        <v>90.399999999999991</v>
      </c>
      <c r="O22" s="293">
        <f>N20-N22</f>
        <v>1.5166666666666799</v>
      </c>
      <c r="P22" s="293" t="s">
        <v>101</v>
      </c>
    </row>
    <row r="23" spans="1:16">
      <c r="O23" s="77"/>
      <c r="P23" s="77"/>
    </row>
  </sheetData>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0E2F7-D3DE-4E73-8A4C-BD213A08A878}">
  <sheetPr codeName="Sheet132">
    <tabColor rgb="FF7030A0"/>
  </sheetPr>
  <dimension ref="A17:P22"/>
  <sheetViews>
    <sheetView zoomScale="90" zoomScaleNormal="90" workbookViewId="0">
      <selection activeCell="M19" sqref="M19"/>
    </sheetView>
  </sheetViews>
  <sheetFormatPr defaultRowHeight="15"/>
  <sheetData>
    <row r="17" spans="1:16" ht="15.75" thickBot="1"/>
    <row r="18" spans="1:16" ht="15.75" thickBot="1">
      <c r="A18" s="301"/>
      <c r="B18" s="316">
        <v>45863</v>
      </c>
      <c r="C18" s="316">
        <v>45894</v>
      </c>
      <c r="D18" s="316">
        <v>45925</v>
      </c>
      <c r="E18" s="316">
        <v>45955</v>
      </c>
      <c r="F18" s="316">
        <v>45986</v>
      </c>
      <c r="G18" s="316">
        <v>46016</v>
      </c>
      <c r="H18" s="316">
        <v>46047</v>
      </c>
      <c r="I18" s="316">
        <v>46078</v>
      </c>
      <c r="J18" s="316">
        <v>46106</v>
      </c>
      <c r="K18" s="316">
        <v>46137</v>
      </c>
      <c r="L18" s="316">
        <v>46167</v>
      </c>
      <c r="M18" s="316">
        <v>46198</v>
      </c>
      <c r="N18" s="390"/>
    </row>
    <row r="19" spans="1:16" ht="15.75" thickBot="1">
      <c r="A19" s="152" t="s">
        <v>59</v>
      </c>
      <c r="B19" s="152">
        <f>+'[56]Combined Born alive (4)'!R16</f>
        <v>14.6</v>
      </c>
      <c r="C19" s="152">
        <f>+'[56]Combined Born alive (4)'!S16</f>
        <v>14.7</v>
      </c>
      <c r="D19" s="152">
        <f>+'[56]Combined Born alive (4)'!T16</f>
        <v>15.3</v>
      </c>
      <c r="E19" s="152">
        <f>+'[56]Combined Born alive (4)'!U16</f>
        <v>15.7</v>
      </c>
      <c r="F19" s="152">
        <f>+'[56]Combined Born alive (4)'!V16</f>
        <v>15.3</v>
      </c>
      <c r="G19" s="152">
        <f>+'[56]Combined Born alive (4)'!W16</f>
        <v>15.2</v>
      </c>
      <c r="H19" s="152">
        <f>+'Combined Born alive (5)'!X16</f>
        <v>15.3</v>
      </c>
      <c r="I19" s="152">
        <f>+'Combined Born alive (5)'!Y16</f>
        <v>15.2</v>
      </c>
      <c r="J19" s="152">
        <f>+'Combined Born alive (5)'!Z16</f>
        <v>15.5</v>
      </c>
      <c r="K19" s="152">
        <f>+'Combined Born alive (5)'!AA16</f>
        <v>15.7</v>
      </c>
      <c r="L19" s="152">
        <f>+'Combined Born alive (5)'!AB16</f>
        <v>15.3</v>
      </c>
      <c r="M19" s="152">
        <f>+'Combined Born alive (5)'!AC16</f>
        <v>15.5</v>
      </c>
      <c r="N19" s="79">
        <f>AVERAGE(B19:M19)</f>
        <v>15.275</v>
      </c>
      <c r="O19" s="77"/>
      <c r="P19" s="77"/>
    </row>
    <row r="20" spans="1:16" ht="15.75" thickBot="1">
      <c r="A20" s="152" t="s">
        <v>103</v>
      </c>
      <c r="B20" s="231">
        <v>14.3</v>
      </c>
      <c r="C20" s="231">
        <v>14.2</v>
      </c>
      <c r="D20" s="231">
        <v>14.9</v>
      </c>
      <c r="E20" s="231">
        <v>14.7</v>
      </c>
      <c r="F20" s="231">
        <v>15.3</v>
      </c>
      <c r="G20" s="231">
        <v>14.8</v>
      </c>
      <c r="H20" s="231">
        <v>14.4</v>
      </c>
      <c r="I20" s="231">
        <v>15</v>
      </c>
      <c r="J20" s="231">
        <v>13.8</v>
      </c>
      <c r="K20" s="231">
        <v>14.4</v>
      </c>
      <c r="L20" s="231">
        <v>14.7</v>
      </c>
      <c r="M20" s="231">
        <v>14.7</v>
      </c>
      <c r="N20" s="79">
        <f t="shared" ref="N20:N21" si="0">AVERAGE(B20:M20)</f>
        <v>14.6</v>
      </c>
      <c r="O20" s="293">
        <f>N19-N20</f>
        <v>0.67500000000000071</v>
      </c>
      <c r="P20" s="293" t="s">
        <v>107</v>
      </c>
    </row>
    <row r="21" spans="1:16" ht="15.75" thickBot="1">
      <c r="A21" s="152" t="s">
        <v>170</v>
      </c>
      <c r="B21" s="152">
        <v>14.5</v>
      </c>
      <c r="C21" s="152">
        <v>14.5</v>
      </c>
      <c r="D21" s="152">
        <v>14.5</v>
      </c>
      <c r="E21" s="152">
        <v>14.5</v>
      </c>
      <c r="F21" s="152">
        <v>14.5</v>
      </c>
      <c r="G21" s="152">
        <v>14.5</v>
      </c>
      <c r="H21" s="152">
        <v>14.5</v>
      </c>
      <c r="I21" s="152">
        <v>14.5</v>
      </c>
      <c r="J21" s="152">
        <v>14.5</v>
      </c>
      <c r="K21" s="152">
        <v>14.5</v>
      </c>
      <c r="L21" s="152">
        <v>14.5</v>
      </c>
      <c r="M21" s="152">
        <v>14.5</v>
      </c>
      <c r="N21" s="79">
        <f t="shared" si="0"/>
        <v>14.5</v>
      </c>
      <c r="O21" s="293">
        <f>N19-N21</f>
        <v>0.77500000000000036</v>
      </c>
      <c r="P21" s="293" t="s">
        <v>101</v>
      </c>
    </row>
    <row r="22" spans="1:16">
      <c r="O22" s="77"/>
      <c r="P22" s="77"/>
    </row>
  </sheetData>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1895-1B9D-4DA2-984C-2501BFC943DE}">
  <sheetPr codeName="Sheet133">
    <tabColor rgb="FF7030A0"/>
  </sheetPr>
  <dimension ref="A18:P23"/>
  <sheetViews>
    <sheetView zoomScale="90" zoomScaleNormal="90" workbookViewId="0">
      <selection activeCell="M21" sqref="M21"/>
    </sheetView>
  </sheetViews>
  <sheetFormatPr defaultRowHeight="15"/>
  <cols>
    <col min="1" max="1" width="10" customWidth="1"/>
  </cols>
  <sheetData>
    <row r="18" spans="1:16" ht="15.75" thickBot="1"/>
    <row r="19" spans="1:16" ht="15.75" thickBot="1">
      <c r="A19" s="340"/>
      <c r="B19" s="317">
        <v>45863</v>
      </c>
      <c r="C19" s="317">
        <v>45894</v>
      </c>
      <c r="D19" s="317">
        <v>45925</v>
      </c>
      <c r="E19" s="317">
        <v>45955</v>
      </c>
      <c r="F19" s="317">
        <v>45986</v>
      </c>
      <c r="G19" s="317">
        <v>46016</v>
      </c>
      <c r="H19" s="317">
        <v>46047</v>
      </c>
      <c r="I19" s="317">
        <v>46078</v>
      </c>
      <c r="J19" s="317">
        <v>46106</v>
      </c>
      <c r="K19" s="317">
        <v>46137</v>
      </c>
      <c r="L19" s="317">
        <v>46167</v>
      </c>
      <c r="M19" s="317">
        <v>46198</v>
      </c>
      <c r="N19" s="421"/>
    </row>
    <row r="20" spans="1:16" ht="15.75" thickBot="1">
      <c r="A20" s="313" t="s">
        <v>59</v>
      </c>
      <c r="B20" s="309">
        <f>+'[56]Combined Wean weight  (4)'!S15</f>
        <v>7.4</v>
      </c>
      <c r="C20" s="309">
        <f>+'[56]Combined Wean weight  (4)'!T15</f>
        <v>7.3</v>
      </c>
      <c r="D20" s="309">
        <f>+'[56]Combined Wean weight  (4)'!U15</f>
        <v>7.18</v>
      </c>
      <c r="E20" s="309">
        <f>+'[56]Combined Wean weight  (4)'!V15</f>
        <v>6.78</v>
      </c>
      <c r="F20" s="309">
        <f>+'[56]Combined Wean weight  (4)'!W15</f>
        <v>6.7</v>
      </c>
      <c r="G20" s="309">
        <f>+'[56]Combined Wean weight  (4)'!X15</f>
        <v>6.76</v>
      </c>
      <c r="H20" s="309">
        <f>+'Combined Wean weight  (5)'!Y15</f>
        <v>6.93</v>
      </c>
      <c r="I20" s="309">
        <f>+'Combined Wean weight  (5)'!Z15</f>
        <v>7.03</v>
      </c>
      <c r="J20" s="309">
        <f>+'Combined Wean weight  (5)'!AA15</f>
        <v>6.7</v>
      </c>
      <c r="K20" s="309">
        <f>+'Combined Wean weight  (5)'!AB15</f>
        <v>6.6</v>
      </c>
      <c r="L20" s="309">
        <f>+'Combined Wean weight  (5)'!AC15</f>
        <v>6.66</v>
      </c>
      <c r="M20" s="309">
        <f>+'Combined Wean weight  (5)'!AD15</f>
        <v>7.1</v>
      </c>
      <c r="N20" s="257">
        <f>AVERAGE(B20:M20)</f>
        <v>6.9283333333333319</v>
      </c>
      <c r="O20" s="77"/>
      <c r="P20" s="77"/>
    </row>
    <row r="21" spans="1:16" ht="15.75" thickBot="1">
      <c r="A21" s="313" t="s">
        <v>103</v>
      </c>
      <c r="B21" s="313">
        <v>7.5</v>
      </c>
      <c r="C21" s="313">
        <v>7.5</v>
      </c>
      <c r="D21" s="313">
        <v>7.28</v>
      </c>
      <c r="E21" s="313">
        <v>6.95</v>
      </c>
      <c r="F21" s="313">
        <v>6.9</v>
      </c>
      <c r="G21" s="313">
        <v>6.44</v>
      </c>
      <c r="H21" s="313">
        <v>6.6</v>
      </c>
      <c r="I21" s="313">
        <v>6.7</v>
      </c>
      <c r="J21" s="313">
        <v>6.88</v>
      </c>
      <c r="K21" s="313">
        <v>6.65</v>
      </c>
      <c r="L21" s="313">
        <v>7.05</v>
      </c>
      <c r="M21" s="313">
        <v>7.04</v>
      </c>
      <c r="N21" s="257">
        <f t="shared" ref="N21:N22" si="0">AVERAGE(B21:M21)</f>
        <v>6.9575000000000005</v>
      </c>
      <c r="O21" s="293">
        <f>N20-N21</f>
        <v>-2.9166666666668561E-2</v>
      </c>
      <c r="P21" s="293" t="s">
        <v>203</v>
      </c>
    </row>
    <row r="22" spans="1:16" ht="15.75" thickBot="1">
      <c r="A22" s="313" t="s">
        <v>170</v>
      </c>
      <c r="B22" s="307">
        <v>7.2</v>
      </c>
      <c r="C22" s="307">
        <v>7.2</v>
      </c>
      <c r="D22" s="307">
        <v>7.2</v>
      </c>
      <c r="E22" s="307">
        <v>7.2</v>
      </c>
      <c r="F22" s="307">
        <v>7.2</v>
      </c>
      <c r="G22" s="307">
        <v>7.2</v>
      </c>
      <c r="H22" s="307">
        <v>7.2</v>
      </c>
      <c r="I22" s="307">
        <v>7.2</v>
      </c>
      <c r="J22" s="307">
        <v>7.2</v>
      </c>
      <c r="K22" s="307">
        <v>7.2</v>
      </c>
      <c r="L22" s="307">
        <v>7.2</v>
      </c>
      <c r="M22" s="307">
        <v>7.2</v>
      </c>
      <c r="N22" s="257">
        <f t="shared" si="0"/>
        <v>7.200000000000002</v>
      </c>
      <c r="O22" s="293">
        <f>N20-N22</f>
        <v>-0.27166666666667005</v>
      </c>
      <c r="P22" s="293" t="s">
        <v>125</v>
      </c>
    </row>
    <row r="23" spans="1:16">
      <c r="O23" s="77"/>
      <c r="P23" s="77"/>
    </row>
  </sheetData>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1606-5A13-4AF4-B39A-E6BF6F567A1F}">
  <sheetPr codeName="Sheet134">
    <tabColor rgb="FF7030A0"/>
  </sheetPr>
  <dimension ref="A20:Q24"/>
  <sheetViews>
    <sheetView zoomScale="80" zoomScaleNormal="80" workbookViewId="0">
      <selection activeCell="Q15" sqref="Q15"/>
    </sheetView>
  </sheetViews>
  <sheetFormatPr defaultRowHeight="15"/>
  <sheetData>
    <row r="20" spans="1:17" ht="15.75" thickBot="1"/>
    <row r="21" spans="1:17" ht="15.75" thickBot="1">
      <c r="A21" s="301"/>
      <c r="B21" s="317">
        <v>45863</v>
      </c>
      <c r="C21" s="317">
        <v>45894</v>
      </c>
      <c r="D21" s="317">
        <v>45925</v>
      </c>
      <c r="E21" s="317">
        <v>45955</v>
      </c>
      <c r="F21" s="317">
        <v>45986</v>
      </c>
      <c r="G21" s="317">
        <v>46016</v>
      </c>
      <c r="H21" s="317">
        <v>46047</v>
      </c>
      <c r="I21" s="317">
        <v>46078</v>
      </c>
      <c r="J21" s="317">
        <v>46106</v>
      </c>
      <c r="K21" s="317">
        <v>46137</v>
      </c>
      <c r="L21" s="317">
        <v>46167</v>
      </c>
      <c r="M21" s="317">
        <v>46198</v>
      </c>
      <c r="N21" s="317">
        <v>46228</v>
      </c>
      <c r="O21" s="421"/>
    </row>
    <row r="22" spans="1:17" ht="15.75" thickBot="1">
      <c r="A22" s="152" t="s">
        <v>59</v>
      </c>
      <c r="B22" s="230">
        <f>+'[56]Combined Litter mass  (4)'!R16</f>
        <v>99.3</v>
      </c>
      <c r="C22" s="230">
        <f>+'[56]Combined Litter mass  (4)'!S16</f>
        <v>93.71</v>
      </c>
      <c r="D22" s="230">
        <f>+'[56]Combined Litter mass  (4)'!T16</f>
        <v>97.44</v>
      </c>
      <c r="E22" s="230">
        <f>+'[56]Combined Litter mass  (4)'!U16</f>
        <v>92.06</v>
      </c>
      <c r="F22" s="230">
        <f>+'[56]Combined Litter mass  (4)'!V16</f>
        <v>96.73</v>
      </c>
      <c r="G22" s="230">
        <f>+'[56]Combined Litter mass  (4)'!W16</f>
        <v>95.93</v>
      </c>
      <c r="H22" s="230">
        <f>+'Combined Litter mass  (5)'!W16</f>
        <v>94.76</v>
      </c>
      <c r="I22" s="230">
        <f>+'Combined Litter mass  (5)'!X16</f>
        <v>104.83</v>
      </c>
      <c r="J22" s="230">
        <f>+'Combined Litter mass  (5)'!Y16</f>
        <v>94.92</v>
      </c>
      <c r="K22" s="230">
        <f>+'Combined Litter mass  (5)'!Z16</f>
        <v>93.28</v>
      </c>
      <c r="L22" s="230">
        <f>+'Combined Litter mass  (5)'!AA16</f>
        <v>91.47</v>
      </c>
      <c r="M22" s="230">
        <f>+'Combined Litter mass  (5)'!AB16</f>
        <v>100.52</v>
      </c>
      <c r="N22" s="230">
        <f>+'Combined Litter mass  (5)'!AC16</f>
        <v>96.245833333333337</v>
      </c>
      <c r="O22" s="79">
        <f>AVERAGE(B22:M22)</f>
        <v>96.245833333333337</v>
      </c>
    </row>
    <row r="23" spans="1:17" ht="15.75" thickBot="1">
      <c r="A23" s="152" t="s">
        <v>103</v>
      </c>
      <c r="B23" s="152">
        <v>95.94</v>
      </c>
      <c r="C23" s="152">
        <v>95.68</v>
      </c>
      <c r="D23" s="152">
        <v>96.16</v>
      </c>
      <c r="E23" s="152">
        <v>92.7</v>
      </c>
      <c r="F23" s="152">
        <v>92.35</v>
      </c>
      <c r="G23" s="152">
        <v>88.03</v>
      </c>
      <c r="H23" s="152">
        <v>85.802641402714926</v>
      </c>
      <c r="I23" s="152">
        <v>88.81</v>
      </c>
      <c r="J23" s="152">
        <v>93.593000000000004</v>
      </c>
      <c r="K23" s="152">
        <v>85.43</v>
      </c>
      <c r="L23" s="152">
        <v>91.69</v>
      </c>
      <c r="M23" s="152">
        <v>94.16</v>
      </c>
      <c r="N23" s="152">
        <v>88.275000000000006</v>
      </c>
      <c r="O23" s="79">
        <f t="shared" ref="O23:O24" si="0">AVERAGE(B23:M23)</f>
        <v>91.695470116892906</v>
      </c>
      <c r="P23" s="292">
        <f>O22-O23</f>
        <v>4.5503632164404308</v>
      </c>
      <c r="Q23" s="291" t="s">
        <v>107</v>
      </c>
    </row>
    <row r="24" spans="1:17" ht="15.75" thickBot="1">
      <c r="A24" s="152" t="s">
        <v>170</v>
      </c>
      <c r="B24" s="152">
        <v>100</v>
      </c>
      <c r="C24" s="152">
        <v>100</v>
      </c>
      <c r="D24" s="152">
        <v>100</v>
      </c>
      <c r="E24" s="152">
        <v>100</v>
      </c>
      <c r="F24" s="152">
        <v>100</v>
      </c>
      <c r="G24" s="152">
        <v>100</v>
      </c>
      <c r="H24" s="152">
        <v>100</v>
      </c>
      <c r="I24" s="152">
        <v>100</v>
      </c>
      <c r="J24" s="152">
        <v>100</v>
      </c>
      <c r="K24" s="152">
        <v>100</v>
      </c>
      <c r="L24" s="152">
        <v>100</v>
      </c>
      <c r="M24" s="152">
        <v>100</v>
      </c>
      <c r="N24" s="152">
        <v>100</v>
      </c>
      <c r="O24" s="79">
        <f t="shared" si="0"/>
        <v>100</v>
      </c>
      <c r="P24" s="292">
        <f>O22-O24</f>
        <v>-3.7541666666666629</v>
      </c>
      <c r="Q24" s="291" t="s">
        <v>182</v>
      </c>
    </row>
  </sheetData>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C0AF-DA43-47E7-9043-6E20D21910B9}">
  <sheetPr codeName="Sheet135">
    <tabColor rgb="FF7030A0"/>
  </sheetPr>
  <dimension ref="A19:P24"/>
  <sheetViews>
    <sheetView zoomScale="90" zoomScaleNormal="90" workbookViewId="0">
      <selection activeCell="P14" sqref="P14"/>
    </sheetView>
  </sheetViews>
  <sheetFormatPr defaultRowHeight="15"/>
  <cols>
    <col min="1" max="1" width="11.28515625" bestFit="1" customWidth="1"/>
  </cols>
  <sheetData>
    <row r="19" spans="1:16" ht="15.75" thickBot="1"/>
    <row r="20" spans="1:16" ht="15.75" thickBot="1">
      <c r="A20" s="301"/>
      <c r="B20" s="316">
        <v>45863</v>
      </c>
      <c r="C20" s="316">
        <v>45894</v>
      </c>
      <c r="D20" s="316">
        <v>45925</v>
      </c>
      <c r="E20" s="316">
        <v>45955</v>
      </c>
      <c r="F20" s="316">
        <v>45986</v>
      </c>
      <c r="G20" s="316">
        <v>46016</v>
      </c>
      <c r="H20" s="316">
        <v>46047</v>
      </c>
      <c r="I20" s="316">
        <v>46078</v>
      </c>
      <c r="J20" s="316">
        <v>46106</v>
      </c>
      <c r="K20" s="316">
        <v>46137</v>
      </c>
      <c r="L20" s="316">
        <v>46167</v>
      </c>
      <c r="M20" s="316">
        <v>46198</v>
      </c>
      <c r="N20" s="390"/>
    </row>
    <row r="21" spans="1:16" ht="15.75" thickBot="1">
      <c r="A21" s="152" t="s">
        <v>214</v>
      </c>
      <c r="B21" s="313">
        <f>+'[56]Combined 70 day weight  (4)'!T17</f>
        <v>25.9</v>
      </c>
      <c r="C21" s="313">
        <f>+'[56]Combined 70 day weight  (4)'!U17</f>
        <v>27.66</v>
      </c>
      <c r="D21" s="313">
        <f>+'[56]Combined 70 day weight  (4)'!V17</f>
        <v>26.797999999999998</v>
      </c>
      <c r="E21" s="313">
        <f>+'[56]Combined 70 day weight  (4)'!W17</f>
        <v>25.67</v>
      </c>
      <c r="F21" s="313">
        <f>+'[56]Combined 70 day weight  (4)'!X17</f>
        <v>25.1</v>
      </c>
      <c r="G21" s="313">
        <f>+'[56]Combined 70 day weight  (4)'!Y17</f>
        <v>24.82</v>
      </c>
      <c r="H21" s="313">
        <f>+'Combined 70 day weight  (5)'!Z17</f>
        <v>25.28</v>
      </c>
      <c r="I21" s="313">
        <f>+'Combined 70 day weight  (5)'!AA17</f>
        <v>25.73</v>
      </c>
      <c r="J21" s="313">
        <f>+'Combined 70 day weight  (5)'!AB17</f>
        <v>25.01</v>
      </c>
      <c r="K21" s="313">
        <f>+'Combined 70 day weight  (5)'!AC17</f>
        <v>25.54</v>
      </c>
      <c r="L21" s="313">
        <f>+'Combined 70 day weight  (5)'!AD17</f>
        <v>24.84</v>
      </c>
      <c r="M21" s="313">
        <f>+'Combined 70 day weight  (5)'!AE17</f>
        <v>24.91</v>
      </c>
      <c r="N21" s="257">
        <f>AVERAGE(B21:M21)</f>
        <v>25.604833333333332</v>
      </c>
      <c r="O21" s="77"/>
      <c r="P21" s="77"/>
    </row>
    <row r="22" spans="1:16" ht="15.75" thickBot="1">
      <c r="A22" s="152" t="s">
        <v>109</v>
      </c>
      <c r="B22" s="309">
        <v>26.3</v>
      </c>
      <c r="C22" s="309">
        <v>27.63</v>
      </c>
      <c r="D22" s="309">
        <v>28.72</v>
      </c>
      <c r="E22" s="309">
        <v>28.52</v>
      </c>
      <c r="F22" s="309">
        <v>27.7</v>
      </c>
      <c r="G22" s="309">
        <v>26.617999999999999</v>
      </c>
      <c r="H22" s="309">
        <v>24.252500000000001</v>
      </c>
      <c r="I22" s="309">
        <v>24.68</v>
      </c>
      <c r="J22" s="309">
        <v>25.873999999999999</v>
      </c>
      <c r="K22" s="309">
        <v>26.06</v>
      </c>
      <c r="L22" s="309">
        <v>26.26</v>
      </c>
      <c r="M22" s="309">
        <v>26.5</v>
      </c>
      <c r="N22" s="257">
        <f t="shared" ref="N22:N23" si="0">AVERAGE(B22:M22)</f>
        <v>26.592874999999996</v>
      </c>
      <c r="O22" s="77">
        <f>N21-N22</f>
        <v>-0.98804166666666404</v>
      </c>
      <c r="P22" s="77" t="s">
        <v>181</v>
      </c>
    </row>
    <row r="23" spans="1:16" ht="15.75" thickBot="1">
      <c r="A23" s="152" t="s">
        <v>88</v>
      </c>
      <c r="B23" s="310">
        <v>27</v>
      </c>
      <c r="C23" s="310">
        <v>27</v>
      </c>
      <c r="D23" s="310">
        <v>27</v>
      </c>
      <c r="E23" s="310">
        <v>27</v>
      </c>
      <c r="F23" s="310">
        <v>27</v>
      </c>
      <c r="G23" s="310">
        <v>27</v>
      </c>
      <c r="H23" s="310">
        <v>27</v>
      </c>
      <c r="I23" s="310">
        <v>27</v>
      </c>
      <c r="J23" s="310">
        <v>27</v>
      </c>
      <c r="K23" s="310">
        <v>27</v>
      </c>
      <c r="L23" s="310">
        <v>27</v>
      </c>
      <c r="M23" s="310">
        <v>27</v>
      </c>
      <c r="N23" s="257">
        <f t="shared" si="0"/>
        <v>27</v>
      </c>
      <c r="O23" s="77">
        <f>N21-N23</f>
        <v>-1.3951666666666682</v>
      </c>
      <c r="P23" s="77" t="s">
        <v>207</v>
      </c>
    </row>
    <row r="24" spans="1:16">
      <c r="O24" s="77"/>
      <c r="P24" s="77"/>
    </row>
  </sheetData>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F73B-1EDE-4606-9FEA-C6B953CDBE0F}">
  <sheetPr codeName="Sheet136">
    <tabColor rgb="FF7030A0"/>
  </sheetPr>
  <dimension ref="A19:P25"/>
  <sheetViews>
    <sheetView zoomScale="90" zoomScaleNormal="90" workbookViewId="0">
      <selection activeCell="Q17" sqref="Q17"/>
    </sheetView>
  </sheetViews>
  <sheetFormatPr defaultRowHeight="15"/>
  <cols>
    <col min="1" max="1" width="11.28515625" bestFit="1" customWidth="1"/>
  </cols>
  <sheetData>
    <row r="19" spans="1:16" ht="15.75" thickBot="1"/>
    <row r="20" spans="1:16" ht="15.75" thickBot="1">
      <c r="A20" s="301"/>
      <c r="B20" s="316">
        <v>45863</v>
      </c>
      <c r="C20" s="316">
        <v>45894</v>
      </c>
      <c r="D20" s="316">
        <v>45925</v>
      </c>
      <c r="E20" s="316">
        <v>45955</v>
      </c>
      <c r="F20" s="316">
        <v>45986</v>
      </c>
      <c r="G20" s="316">
        <v>46016</v>
      </c>
      <c r="H20" s="316">
        <v>46047</v>
      </c>
      <c r="I20" s="316">
        <v>46078</v>
      </c>
      <c r="J20" s="316">
        <v>46106</v>
      </c>
      <c r="K20" s="316">
        <v>46137</v>
      </c>
      <c r="L20" s="316">
        <v>46167</v>
      </c>
      <c r="M20" s="316">
        <v>46198</v>
      </c>
      <c r="N20" s="390"/>
    </row>
    <row r="21" spans="1:16" ht="15.75" thickBot="1">
      <c r="A21" s="152" t="s">
        <v>59</v>
      </c>
      <c r="B21" s="152">
        <f>+'[56]Combined 70 day gain  (4)'!T17</f>
        <v>19</v>
      </c>
      <c r="C21" s="152">
        <f>+'[56]Combined 70 day gain  (4)'!U17</f>
        <v>20.47</v>
      </c>
      <c r="D21" s="152">
        <f>+'[56]Combined 70 day gain  (4)'!V17</f>
        <v>19.39</v>
      </c>
      <c r="E21" s="152">
        <f>+'[56]Combined 70 day gain  (4)'!W17</f>
        <v>18.239999999999998</v>
      </c>
      <c r="F21" s="152">
        <f>+'[56]Combined 70 day gain  (4)'!X17</f>
        <v>17.91</v>
      </c>
      <c r="G21" s="152">
        <f>+'[56]Combined 70 day gain  (4)'!Y17</f>
        <v>18.100000000000001</v>
      </c>
      <c r="H21" s="152">
        <f>+'Combined 70 day gain  (5)'!Z17</f>
        <v>18.510000000000002</v>
      </c>
      <c r="I21" s="152">
        <f>+'Combined 70 day gain  (5)'!AA17</f>
        <v>18.64</v>
      </c>
      <c r="J21" s="152">
        <f>+'Combined 70 day gain  (5)'!AB17</f>
        <v>18.329999999999998</v>
      </c>
      <c r="K21" s="152">
        <f>+'Combined 70 day gain  (5)'!AC17</f>
        <v>18.95</v>
      </c>
      <c r="L21" s="152">
        <f>+'Combined 70 day gain  (5)'!AD17</f>
        <v>18.29</v>
      </c>
      <c r="M21" s="152">
        <f>+'Combined 70 day gain  (5)'!AE17</f>
        <v>18.2</v>
      </c>
      <c r="N21" s="79">
        <f>AVERAGE(B21:M21)</f>
        <v>18.669166666666662</v>
      </c>
      <c r="O21" s="79"/>
    </row>
    <row r="22" spans="1:16" ht="15.75" thickBot="1">
      <c r="A22" s="152" t="s">
        <v>109</v>
      </c>
      <c r="B22" s="231">
        <v>19.59</v>
      </c>
      <c r="C22" s="231">
        <v>20.68</v>
      </c>
      <c r="D22" s="231">
        <v>21.31</v>
      </c>
      <c r="E22" s="231">
        <v>21.02</v>
      </c>
      <c r="F22" s="231">
        <v>20.83</v>
      </c>
      <c r="G22" s="231">
        <v>19.866</v>
      </c>
      <c r="H22" s="231">
        <v>17.790000000000003</v>
      </c>
      <c r="I22" s="231">
        <v>18.239999999999998</v>
      </c>
      <c r="J22" s="231">
        <v>19.463999999999999</v>
      </c>
      <c r="K22" s="231">
        <v>19.172999999999998</v>
      </c>
      <c r="L22" s="231">
        <v>19.559999999999999</v>
      </c>
      <c r="M22" s="231">
        <v>19.829999999999998</v>
      </c>
      <c r="N22" s="79">
        <f t="shared" ref="N22:N23" si="0">AVERAGE(B22:M22)</f>
        <v>19.779416666666666</v>
      </c>
      <c r="O22" s="79">
        <f>N21-N22</f>
        <v>-1.1102500000000042</v>
      </c>
      <c r="P22" s="77" t="s">
        <v>215</v>
      </c>
    </row>
    <row r="23" spans="1:16" ht="15.75" thickBot="1">
      <c r="A23" s="152" t="s">
        <v>88</v>
      </c>
      <c r="B23" s="152">
        <v>19.8</v>
      </c>
      <c r="C23" s="152">
        <v>19.8</v>
      </c>
      <c r="D23" s="152">
        <v>19.8</v>
      </c>
      <c r="E23" s="152">
        <v>19.8</v>
      </c>
      <c r="F23" s="152">
        <v>19.8</v>
      </c>
      <c r="G23" s="152">
        <v>19.8</v>
      </c>
      <c r="H23" s="152">
        <v>19.8</v>
      </c>
      <c r="I23" s="152">
        <v>19.8</v>
      </c>
      <c r="J23" s="152">
        <v>19.8</v>
      </c>
      <c r="K23" s="152">
        <v>19.8</v>
      </c>
      <c r="L23" s="152">
        <v>19.8</v>
      </c>
      <c r="M23" s="152">
        <v>19.8</v>
      </c>
      <c r="N23" s="79">
        <f t="shared" si="0"/>
        <v>19.800000000000004</v>
      </c>
      <c r="O23" s="79">
        <f>N22-N23</f>
        <v>-2.0583333333338061E-2</v>
      </c>
      <c r="P23" s="79" t="s">
        <v>207</v>
      </c>
    </row>
    <row r="24" spans="1:16">
      <c r="N24" s="79"/>
      <c r="O24" s="79"/>
      <c r="P24" s="79"/>
    </row>
    <row r="25" spans="1:16">
      <c r="N25" s="79"/>
    </row>
  </sheetData>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D8B05-4BB9-4A2D-961D-0B2FB66E686D}">
  <sheetPr codeName="Sheet137">
    <tabColor rgb="FF7030A0"/>
  </sheetPr>
  <dimension ref="A17:P22"/>
  <sheetViews>
    <sheetView zoomScale="90" zoomScaleNormal="90" workbookViewId="0">
      <selection activeCell="O14" sqref="O14"/>
    </sheetView>
  </sheetViews>
  <sheetFormatPr defaultRowHeight="15"/>
  <sheetData>
    <row r="17" spans="1:16" ht="15.75" thickBot="1"/>
    <row r="18" spans="1:16" ht="15.75" thickBot="1">
      <c r="A18" s="301"/>
      <c r="B18" s="316">
        <v>45863</v>
      </c>
      <c r="C18" s="316">
        <v>45894</v>
      </c>
      <c r="D18" s="316">
        <v>45925</v>
      </c>
      <c r="E18" s="316">
        <v>45955</v>
      </c>
      <c r="F18" s="316">
        <v>45986</v>
      </c>
      <c r="G18" s="316">
        <v>46016</v>
      </c>
      <c r="H18" s="316">
        <v>46047</v>
      </c>
      <c r="I18" s="316">
        <v>46078</v>
      </c>
      <c r="J18" s="316">
        <v>46106</v>
      </c>
      <c r="K18" s="316">
        <v>46137</v>
      </c>
      <c r="L18" s="316">
        <v>46167</v>
      </c>
      <c r="M18" s="316">
        <v>46198</v>
      </c>
      <c r="N18" s="390"/>
    </row>
    <row r="19" spans="1:16" ht="15.75" thickBot="1">
      <c r="A19" s="152" t="s">
        <v>59</v>
      </c>
      <c r="B19" s="313">
        <f>+'[56]Combined WSY   (4)'!S15</f>
        <v>32.1</v>
      </c>
      <c r="C19" s="313">
        <f>+'[56]Combined WSY   (4)'!T15</f>
        <v>32.200000000000003</v>
      </c>
      <c r="D19" s="313">
        <f>+'[56]Combined WSY   (4)'!U15</f>
        <v>32.700000000000003</v>
      </c>
      <c r="E19" s="313">
        <f>+'[56]Combined WSY   (4)'!V15</f>
        <v>33.700000000000003</v>
      </c>
      <c r="F19" s="313">
        <f>+'[56]Combined WSY   (4)'!W15</f>
        <v>34</v>
      </c>
      <c r="G19" s="313">
        <f>+'[56]Combined WSY   (4)'!X15</f>
        <v>33.299999999999997</v>
      </c>
      <c r="H19" s="313">
        <f>+'Combined WSY   (5)'!Y15</f>
        <v>33.200000000000003</v>
      </c>
      <c r="I19" s="313">
        <f>+'Combined WSY   (5)'!Z15</f>
        <v>32.799999999999997</v>
      </c>
      <c r="J19" s="313">
        <f>+'Combined WSY   (5)'!AA15</f>
        <v>33.200000000000003</v>
      </c>
      <c r="K19" s="313">
        <f>+'Combined WSY   (5)'!AB15</f>
        <v>33.700000000000003</v>
      </c>
      <c r="L19" s="313">
        <f>+'Combined WSY   (5)'!AC15</f>
        <v>33.4</v>
      </c>
      <c r="M19" s="313">
        <f>+'Combined WSY   (5)'!AD15</f>
        <v>34.200000000000003</v>
      </c>
      <c r="N19" s="257">
        <f>AVERAGE(B19:M19)</f>
        <v>33.208333333333329</v>
      </c>
      <c r="O19" s="77"/>
      <c r="P19" s="77"/>
    </row>
    <row r="20" spans="1:16" ht="15.75" thickBot="1">
      <c r="A20" s="152" t="s">
        <v>103</v>
      </c>
      <c r="B20" s="313">
        <v>31.1</v>
      </c>
      <c r="C20" s="313">
        <v>30</v>
      </c>
      <c r="D20" s="313">
        <v>32</v>
      </c>
      <c r="E20" s="313">
        <v>32.4</v>
      </c>
      <c r="F20" s="313">
        <v>31.8</v>
      </c>
      <c r="G20" s="313">
        <v>32.9</v>
      </c>
      <c r="H20" s="313">
        <v>30.6</v>
      </c>
      <c r="I20" s="313">
        <v>31.9</v>
      </c>
      <c r="J20" s="313">
        <v>32.5</v>
      </c>
      <c r="K20" s="313">
        <v>30.9</v>
      </c>
      <c r="L20" s="313">
        <v>30.7</v>
      </c>
      <c r="M20" s="313">
        <v>32</v>
      </c>
      <c r="N20" s="257">
        <f t="shared" ref="N20:N21" si="0">AVERAGE(B20:M20)</f>
        <v>31.566666666666666</v>
      </c>
      <c r="O20" s="77">
        <f>N19-N20</f>
        <v>1.6416666666666622</v>
      </c>
      <c r="P20" s="77" t="s">
        <v>216</v>
      </c>
    </row>
    <row r="21" spans="1:16" ht="15.75" thickBot="1">
      <c r="A21" s="152" t="s">
        <v>170</v>
      </c>
      <c r="B21" s="307">
        <v>31.9</v>
      </c>
      <c r="C21" s="307">
        <v>31.9</v>
      </c>
      <c r="D21" s="307">
        <v>31.9</v>
      </c>
      <c r="E21" s="307">
        <v>31.9</v>
      </c>
      <c r="F21" s="307">
        <v>31.9</v>
      </c>
      <c r="G21" s="307">
        <v>31.9</v>
      </c>
      <c r="H21" s="307">
        <v>31.9</v>
      </c>
      <c r="I21" s="307">
        <v>31.9</v>
      </c>
      <c r="J21" s="307">
        <v>31.9</v>
      </c>
      <c r="K21" s="307">
        <v>31.9</v>
      </c>
      <c r="L21" s="307">
        <v>31.9</v>
      </c>
      <c r="M21" s="307">
        <v>31.9</v>
      </c>
      <c r="N21" s="257">
        <f t="shared" si="0"/>
        <v>31.899999999999995</v>
      </c>
      <c r="O21" s="77">
        <f>N19-N21</f>
        <v>1.3083333333333336</v>
      </c>
      <c r="P21" s="77" t="s">
        <v>217</v>
      </c>
    </row>
    <row r="22" spans="1:16">
      <c r="O22" s="77"/>
      <c r="P22" s="77"/>
    </row>
  </sheetData>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2389-AEBC-4558-9F80-12840267C16E}">
  <sheetPr codeName="Sheet138">
    <tabColor rgb="FF7030A0"/>
  </sheetPr>
  <dimension ref="A2:AEP37"/>
  <sheetViews>
    <sheetView zoomScale="63" workbookViewId="0">
      <selection activeCell="Z8" sqref="J8:Z8"/>
    </sheetView>
  </sheetViews>
  <sheetFormatPr defaultColWidth="13.28515625" defaultRowHeight="21"/>
  <cols>
    <col min="1" max="1" width="13.28515625" style="83"/>
    <col min="2" max="2" width="39.5703125" style="83" customWidth="1"/>
    <col min="3" max="4" width="8" style="81" customWidth="1"/>
    <col min="5" max="5" width="8.140625" style="81" customWidth="1"/>
    <col min="6" max="6" width="7.5703125" style="81" customWidth="1"/>
    <col min="7" max="7" width="8.42578125" style="81" customWidth="1"/>
    <col min="8" max="8" width="7.5703125" style="81" customWidth="1"/>
    <col min="9" max="9" width="8.140625" style="81" customWidth="1"/>
    <col min="10" max="10" width="7.7109375" style="81" customWidth="1"/>
    <col min="11" max="11" width="7.42578125" style="81" customWidth="1"/>
    <col min="12" max="12" width="8" style="81" customWidth="1"/>
    <col min="13" max="16" width="10.7109375" style="81" customWidth="1"/>
    <col min="17" max="25" width="11.28515625" style="81" customWidth="1"/>
    <col min="26" max="26" width="11.28515625" style="80" customWidth="1"/>
    <col min="27" max="27" width="13.28515625" style="80"/>
    <col min="28" max="28" width="13.28515625" style="205"/>
    <col min="29" max="35" width="13.28515625" style="80"/>
    <col min="36" max="36" width="13.28515625" style="81"/>
    <col min="37" max="39" width="13.28515625" style="80"/>
    <col min="40" max="40" width="13.28515625" style="81"/>
    <col min="41" max="41" width="13.28515625" style="80"/>
    <col min="42" max="42" width="13.28515625" style="81"/>
    <col min="43" max="47" width="13.28515625" style="80"/>
    <col min="48" max="48" width="13.28515625" style="81"/>
    <col min="49" max="49" width="13.28515625" style="80"/>
    <col min="50" max="50" width="13.28515625" style="81"/>
    <col min="51" max="51" width="13.28515625" style="80"/>
    <col min="52" max="52" width="13.28515625" style="81"/>
    <col min="53" max="53" width="13.28515625" style="80"/>
    <col min="54" max="54" width="13.28515625" style="81"/>
    <col min="55" max="57" width="13.28515625" style="80"/>
    <col min="58" max="16384" width="13.28515625" style="83"/>
  </cols>
  <sheetData>
    <row r="2" spans="1:822" ht="21" customHeight="1">
      <c r="B2" s="400" t="s">
        <v>218</v>
      </c>
      <c r="C2" s="191"/>
      <c r="D2" s="191"/>
      <c r="E2" s="191"/>
      <c r="F2" s="191"/>
      <c r="G2" s="191"/>
      <c r="H2" s="191"/>
      <c r="I2" s="191"/>
      <c r="J2" s="191"/>
      <c r="K2" s="191"/>
      <c r="L2" s="191"/>
      <c r="M2" s="191"/>
      <c r="N2" s="191"/>
      <c r="O2" s="191"/>
      <c r="P2" s="191"/>
      <c r="Q2" s="191"/>
      <c r="R2" s="191"/>
      <c r="S2" s="191"/>
      <c r="T2" s="191"/>
      <c r="U2" s="191"/>
      <c r="V2" s="191"/>
      <c r="W2" s="191"/>
      <c r="X2" s="191"/>
      <c r="Y2" s="191"/>
      <c r="Z2" s="190"/>
      <c r="AA2" s="190"/>
      <c r="AB2" s="204"/>
      <c r="AJ2" s="80"/>
      <c r="AV2" s="80"/>
      <c r="AX2" s="80"/>
      <c r="AZ2" s="80"/>
      <c r="BB2" s="80"/>
      <c r="BF2" s="80"/>
      <c r="BG2" s="80"/>
      <c r="BH2" s="80"/>
      <c r="BI2" s="82"/>
      <c r="BJ2" s="80"/>
    </row>
    <row r="3" spans="1:822" s="84" customFormat="1" ht="21" customHeight="1">
      <c r="A3" s="83"/>
      <c r="B3" s="658" t="s">
        <v>186</v>
      </c>
      <c r="C3" s="659">
        <v>45474</v>
      </c>
      <c r="D3" s="659">
        <v>45505</v>
      </c>
      <c r="E3" s="659">
        <v>45536</v>
      </c>
      <c r="F3" s="659">
        <v>45566</v>
      </c>
      <c r="G3" s="659">
        <v>45597</v>
      </c>
      <c r="H3" s="659">
        <v>45627</v>
      </c>
      <c r="I3" s="659">
        <v>45658</v>
      </c>
      <c r="J3" s="659">
        <v>45689</v>
      </c>
      <c r="K3" s="659">
        <v>45717</v>
      </c>
      <c r="L3" s="659">
        <v>45748</v>
      </c>
      <c r="M3" s="659">
        <v>45778</v>
      </c>
      <c r="N3" s="659">
        <v>45809</v>
      </c>
      <c r="O3" s="659">
        <v>45839</v>
      </c>
      <c r="P3" s="659">
        <v>45870</v>
      </c>
      <c r="Q3" s="659">
        <v>45901</v>
      </c>
      <c r="R3" s="659">
        <v>45931</v>
      </c>
      <c r="S3" s="659">
        <v>45962</v>
      </c>
      <c r="T3" s="659">
        <v>45992</v>
      </c>
      <c r="U3" s="659">
        <v>46023</v>
      </c>
      <c r="V3" s="659">
        <v>46054</v>
      </c>
      <c r="W3" s="659">
        <v>46082</v>
      </c>
      <c r="X3" s="659">
        <v>46113</v>
      </c>
      <c r="Y3" s="659">
        <v>46143</v>
      </c>
      <c r="Z3" s="660">
        <v>46174</v>
      </c>
      <c r="AA3" s="661" t="s">
        <v>118</v>
      </c>
      <c r="AB3" s="636" t="s">
        <v>100</v>
      </c>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c r="KX3" s="80"/>
      <c r="KY3" s="80"/>
      <c r="KZ3" s="80"/>
      <c r="LA3" s="80"/>
      <c r="LB3" s="80"/>
      <c r="LC3" s="80"/>
      <c r="LD3" s="80"/>
      <c r="LE3" s="80"/>
      <c r="LF3" s="80"/>
      <c r="LG3" s="80"/>
      <c r="LH3" s="80"/>
      <c r="LI3" s="80"/>
      <c r="LJ3" s="80"/>
      <c r="LK3" s="80"/>
      <c r="LL3" s="80"/>
      <c r="LM3" s="80"/>
      <c r="LN3" s="80"/>
      <c r="LO3" s="80"/>
      <c r="LP3" s="80"/>
      <c r="LQ3" s="80"/>
      <c r="LR3" s="80"/>
      <c r="LS3" s="80"/>
      <c r="LT3" s="80"/>
      <c r="LU3" s="80"/>
      <c r="LV3" s="80"/>
      <c r="LW3" s="80"/>
      <c r="LX3" s="80"/>
      <c r="LY3" s="80"/>
      <c r="LZ3" s="80"/>
      <c r="MA3" s="80"/>
      <c r="MB3" s="80"/>
      <c r="MC3" s="80"/>
      <c r="MD3" s="80"/>
      <c r="ME3" s="80"/>
      <c r="MF3" s="80"/>
      <c r="MG3" s="80"/>
      <c r="MH3" s="80"/>
      <c r="MI3" s="80"/>
      <c r="MJ3" s="80"/>
      <c r="MK3" s="80"/>
      <c r="ML3" s="80"/>
      <c r="MM3" s="80"/>
      <c r="MN3" s="80"/>
      <c r="MO3" s="80"/>
      <c r="MP3" s="80"/>
      <c r="MQ3" s="80"/>
      <c r="MR3" s="80"/>
      <c r="MS3" s="80"/>
      <c r="MT3" s="80"/>
      <c r="MU3" s="80"/>
      <c r="MV3" s="80"/>
      <c r="MW3" s="80"/>
      <c r="MX3" s="80"/>
      <c r="MY3" s="80"/>
      <c r="MZ3" s="80"/>
      <c r="NA3" s="80"/>
      <c r="NB3" s="80"/>
      <c r="NC3" s="80"/>
      <c r="ND3" s="80"/>
      <c r="NE3" s="80"/>
      <c r="NF3" s="80"/>
      <c r="NG3" s="80"/>
      <c r="NH3" s="80"/>
      <c r="NI3" s="80"/>
      <c r="NJ3" s="80"/>
      <c r="NK3" s="80"/>
      <c r="NL3" s="80"/>
      <c r="NM3" s="80"/>
      <c r="NN3" s="80"/>
      <c r="NO3" s="80"/>
      <c r="NP3" s="80"/>
      <c r="NQ3" s="80"/>
      <c r="NR3" s="80"/>
      <c r="NS3" s="80"/>
      <c r="NT3" s="80"/>
      <c r="NU3" s="80"/>
      <c r="NV3" s="80"/>
      <c r="NW3" s="80"/>
      <c r="NX3" s="80"/>
      <c r="NY3" s="80"/>
      <c r="NZ3" s="80"/>
      <c r="OA3" s="80"/>
      <c r="OB3" s="80"/>
      <c r="OC3" s="80"/>
      <c r="OD3" s="80"/>
      <c r="OE3" s="80"/>
      <c r="OF3" s="80"/>
      <c r="OG3" s="80"/>
      <c r="OH3" s="80"/>
      <c r="OI3" s="80"/>
      <c r="OJ3" s="80"/>
      <c r="OK3" s="80"/>
      <c r="OL3" s="80"/>
      <c r="OM3" s="80"/>
      <c r="ON3" s="80"/>
      <c r="OO3" s="80"/>
      <c r="OP3" s="80"/>
      <c r="OQ3" s="80"/>
      <c r="OR3" s="80"/>
      <c r="OS3" s="80"/>
      <c r="OT3" s="80"/>
      <c r="OU3" s="80"/>
      <c r="OV3" s="80"/>
      <c r="OW3" s="80"/>
      <c r="OX3" s="80"/>
      <c r="OY3" s="80"/>
      <c r="OZ3" s="80"/>
      <c r="PA3" s="80"/>
      <c r="PB3" s="80"/>
      <c r="PC3" s="80"/>
      <c r="PD3" s="80"/>
      <c r="PE3" s="80"/>
      <c r="PF3" s="80"/>
      <c r="PG3" s="80"/>
      <c r="PH3" s="80"/>
      <c r="PI3" s="80"/>
      <c r="PJ3" s="80"/>
      <c r="PK3" s="80"/>
      <c r="PL3" s="80"/>
      <c r="PM3" s="80"/>
      <c r="PN3" s="80"/>
      <c r="PO3" s="80"/>
      <c r="PP3" s="80"/>
      <c r="PQ3" s="80"/>
      <c r="PR3" s="80"/>
      <c r="PS3" s="80"/>
      <c r="PT3" s="80"/>
      <c r="PU3" s="80"/>
      <c r="PV3" s="80"/>
      <c r="PW3" s="80"/>
      <c r="PX3" s="80"/>
      <c r="PY3" s="80"/>
      <c r="PZ3" s="80"/>
      <c r="QA3" s="80"/>
      <c r="QB3" s="80"/>
      <c r="QC3" s="80"/>
      <c r="QD3" s="80"/>
      <c r="QE3" s="80"/>
      <c r="QF3" s="80"/>
      <c r="QG3" s="80"/>
      <c r="QH3" s="80"/>
      <c r="QI3" s="80"/>
      <c r="QJ3" s="80"/>
      <c r="QK3" s="80"/>
      <c r="QL3" s="80"/>
      <c r="QM3" s="80"/>
      <c r="QN3" s="80"/>
      <c r="QO3" s="80"/>
      <c r="QP3" s="80"/>
      <c r="QQ3" s="80"/>
      <c r="QR3" s="80"/>
      <c r="QS3" s="80"/>
      <c r="QT3" s="80"/>
      <c r="QU3" s="80"/>
      <c r="QV3" s="80"/>
      <c r="QW3" s="80"/>
      <c r="QX3" s="80"/>
      <c r="QY3" s="80"/>
      <c r="QZ3" s="80"/>
      <c r="RA3" s="80"/>
      <c r="RB3" s="80"/>
      <c r="RC3" s="80"/>
      <c r="RD3" s="80"/>
      <c r="RE3" s="80"/>
      <c r="RF3" s="80"/>
      <c r="RG3" s="80"/>
      <c r="RH3" s="80"/>
      <c r="RI3" s="80"/>
      <c r="RJ3" s="80"/>
      <c r="RK3" s="80"/>
      <c r="RL3" s="80"/>
      <c r="RM3" s="80"/>
      <c r="RN3" s="80"/>
      <c r="RO3" s="80"/>
      <c r="RP3" s="80"/>
      <c r="RQ3" s="80"/>
      <c r="RR3" s="80"/>
      <c r="RS3" s="80"/>
      <c r="RT3" s="80"/>
      <c r="RU3" s="80"/>
      <c r="RV3" s="80"/>
      <c r="RW3" s="80"/>
      <c r="RX3" s="80"/>
      <c r="RY3" s="80"/>
      <c r="RZ3" s="80"/>
      <c r="SA3" s="80"/>
      <c r="SB3" s="80"/>
      <c r="SC3" s="80"/>
      <c r="SD3" s="80"/>
      <c r="SE3" s="80"/>
      <c r="SF3" s="80"/>
      <c r="SG3" s="80"/>
      <c r="SH3" s="80"/>
      <c r="SI3" s="80"/>
      <c r="SJ3" s="80"/>
      <c r="SK3" s="80"/>
      <c r="SL3" s="80"/>
      <c r="SM3" s="80"/>
      <c r="SN3" s="80"/>
      <c r="SO3" s="80"/>
      <c r="SP3" s="80"/>
      <c r="SQ3" s="80"/>
      <c r="SR3" s="80"/>
      <c r="SS3" s="80"/>
      <c r="ST3" s="80"/>
      <c r="SU3" s="80"/>
      <c r="SV3" s="80"/>
      <c r="SW3" s="80"/>
      <c r="SX3" s="80"/>
      <c r="SY3" s="80"/>
      <c r="SZ3" s="80"/>
      <c r="TA3" s="80"/>
      <c r="TB3" s="80"/>
      <c r="TC3" s="80"/>
      <c r="TD3" s="80"/>
      <c r="TE3" s="80"/>
      <c r="TF3" s="80"/>
      <c r="TG3" s="80"/>
      <c r="TH3" s="80"/>
      <c r="TI3" s="80"/>
      <c r="TJ3" s="80"/>
      <c r="TK3" s="80"/>
      <c r="TL3" s="80"/>
      <c r="TM3" s="80"/>
      <c r="TN3" s="80"/>
      <c r="TO3" s="80"/>
      <c r="TP3" s="80"/>
      <c r="TQ3" s="80"/>
      <c r="TR3" s="80"/>
      <c r="TS3" s="80"/>
      <c r="TT3" s="80"/>
      <c r="TU3" s="80"/>
      <c r="TV3" s="80"/>
      <c r="TW3" s="80"/>
      <c r="TX3" s="80"/>
      <c r="TY3" s="80"/>
      <c r="TZ3" s="80"/>
      <c r="UA3" s="80"/>
      <c r="UB3" s="80"/>
      <c r="UC3" s="80"/>
      <c r="UD3" s="80"/>
      <c r="UE3" s="80"/>
      <c r="UF3" s="80"/>
      <c r="UG3" s="80"/>
      <c r="UH3" s="80"/>
      <c r="UI3" s="80"/>
      <c r="UJ3" s="80"/>
      <c r="UK3" s="80"/>
      <c r="UL3" s="80"/>
      <c r="UM3" s="80"/>
      <c r="UN3" s="80"/>
      <c r="UO3" s="80"/>
      <c r="UP3" s="80"/>
      <c r="UQ3" s="80"/>
      <c r="UR3" s="80"/>
      <c r="US3" s="80"/>
      <c r="UT3" s="80"/>
      <c r="UU3" s="80"/>
      <c r="UV3" s="80"/>
      <c r="UW3" s="80"/>
      <c r="UX3" s="80"/>
      <c r="UY3" s="80"/>
      <c r="UZ3" s="80"/>
      <c r="VA3" s="80"/>
      <c r="VB3" s="80"/>
      <c r="VC3" s="80"/>
      <c r="VD3" s="80"/>
      <c r="VE3" s="80"/>
      <c r="VF3" s="80"/>
      <c r="VG3" s="80"/>
      <c r="VH3" s="80"/>
      <c r="VI3" s="80"/>
      <c r="VJ3" s="80"/>
      <c r="VK3" s="80"/>
      <c r="VL3" s="80"/>
      <c r="VM3" s="80"/>
      <c r="VN3" s="80"/>
      <c r="VO3" s="80"/>
      <c r="VP3" s="80"/>
      <c r="VQ3" s="80"/>
      <c r="VR3" s="80"/>
      <c r="VS3" s="80"/>
      <c r="VT3" s="80"/>
      <c r="VU3" s="80"/>
      <c r="VV3" s="80"/>
      <c r="VW3" s="80"/>
      <c r="VX3" s="80"/>
      <c r="VY3" s="80"/>
      <c r="VZ3" s="80"/>
      <c r="WA3" s="80"/>
      <c r="WB3" s="80"/>
      <c r="WC3" s="80"/>
      <c r="WD3" s="80"/>
      <c r="WE3" s="80"/>
      <c r="WF3" s="80"/>
      <c r="WG3" s="80"/>
      <c r="WH3" s="80"/>
      <c r="WI3" s="80"/>
      <c r="WJ3" s="80"/>
      <c r="WK3" s="80"/>
      <c r="WL3" s="80"/>
      <c r="WM3" s="80"/>
      <c r="WN3" s="80"/>
      <c r="WO3" s="80"/>
      <c r="WP3" s="80"/>
      <c r="WQ3" s="80"/>
      <c r="WR3" s="80"/>
      <c r="WS3" s="80"/>
      <c r="WT3" s="80"/>
      <c r="WU3" s="80"/>
      <c r="WV3" s="80"/>
      <c r="WW3" s="80"/>
      <c r="WX3" s="80"/>
      <c r="WY3" s="80"/>
      <c r="WZ3" s="80"/>
      <c r="XA3" s="80"/>
      <c r="XB3" s="80"/>
      <c r="XC3" s="80"/>
      <c r="XD3" s="80"/>
      <c r="XE3" s="80"/>
      <c r="XF3" s="80"/>
      <c r="XG3" s="80"/>
      <c r="XH3" s="80"/>
      <c r="XI3" s="80"/>
      <c r="XJ3" s="80"/>
      <c r="XK3" s="80"/>
      <c r="XL3" s="80"/>
      <c r="XM3" s="80"/>
      <c r="XN3" s="80"/>
      <c r="XO3" s="80"/>
      <c r="XP3" s="80"/>
      <c r="XQ3" s="80"/>
      <c r="XR3" s="80"/>
      <c r="XS3" s="80"/>
      <c r="XT3" s="80"/>
      <c r="XU3" s="80"/>
      <c r="XV3" s="80"/>
      <c r="XW3" s="80"/>
      <c r="XX3" s="80"/>
      <c r="XY3" s="80"/>
      <c r="XZ3" s="80"/>
      <c r="YA3" s="80"/>
      <c r="YB3" s="80"/>
      <c r="YC3" s="80"/>
      <c r="YD3" s="80"/>
      <c r="YE3" s="80"/>
      <c r="YF3" s="80"/>
      <c r="YG3" s="80"/>
      <c r="YH3" s="80"/>
      <c r="YI3" s="80"/>
      <c r="YJ3" s="80"/>
      <c r="YK3" s="80"/>
      <c r="YL3" s="80"/>
      <c r="YM3" s="80"/>
      <c r="YN3" s="80"/>
      <c r="YO3" s="80"/>
      <c r="YP3" s="80"/>
      <c r="YQ3" s="80"/>
      <c r="YR3" s="80"/>
      <c r="YS3" s="80"/>
      <c r="YT3" s="80"/>
      <c r="YU3" s="80"/>
      <c r="YV3" s="80"/>
      <c r="YW3" s="80"/>
      <c r="YX3" s="80"/>
      <c r="YY3" s="80"/>
      <c r="YZ3" s="80"/>
      <c r="ZA3" s="80"/>
      <c r="ZB3" s="80"/>
      <c r="ZC3" s="80"/>
      <c r="ZD3" s="80"/>
      <c r="ZE3" s="80"/>
      <c r="ZF3" s="80"/>
      <c r="ZG3" s="80"/>
      <c r="ZH3" s="80"/>
      <c r="ZI3" s="80"/>
      <c r="ZJ3" s="80"/>
      <c r="ZK3" s="80"/>
      <c r="ZL3" s="80"/>
      <c r="ZM3" s="80"/>
      <c r="ZN3" s="80"/>
      <c r="ZO3" s="80"/>
      <c r="ZP3" s="80"/>
      <c r="ZQ3" s="80"/>
      <c r="ZR3" s="80"/>
      <c r="ZS3" s="80"/>
      <c r="ZT3" s="80"/>
      <c r="ZU3" s="80"/>
      <c r="ZV3" s="80"/>
      <c r="ZW3" s="80"/>
      <c r="ZX3" s="80"/>
      <c r="ZY3" s="80"/>
      <c r="ZZ3" s="80"/>
      <c r="AAA3" s="80"/>
      <c r="AAB3" s="80"/>
      <c r="AAC3" s="80"/>
      <c r="AAD3" s="80"/>
      <c r="AAE3" s="80"/>
      <c r="AAF3" s="80"/>
      <c r="AAG3" s="80"/>
      <c r="AAH3" s="80"/>
      <c r="AAI3" s="80"/>
      <c r="AAJ3" s="80"/>
      <c r="AAK3" s="80"/>
      <c r="AAL3" s="80"/>
      <c r="AAM3" s="80"/>
      <c r="AAN3" s="80"/>
      <c r="AAO3" s="80"/>
      <c r="AAP3" s="80"/>
      <c r="AAQ3" s="80"/>
      <c r="AAR3" s="80"/>
      <c r="AAS3" s="80"/>
      <c r="AAT3" s="80"/>
      <c r="AAU3" s="80"/>
      <c r="AAV3" s="80"/>
      <c r="AAW3" s="80"/>
      <c r="AAX3" s="80"/>
      <c r="AAY3" s="80"/>
      <c r="AAZ3" s="80"/>
      <c r="ABA3" s="80"/>
      <c r="ABB3" s="80"/>
      <c r="ABC3" s="80"/>
      <c r="ABD3" s="80"/>
      <c r="ABE3" s="80"/>
      <c r="ABF3" s="80"/>
      <c r="ABG3" s="80"/>
      <c r="ABH3" s="80"/>
      <c r="ABI3" s="80"/>
      <c r="ABJ3" s="80"/>
      <c r="ABK3" s="80"/>
      <c r="ABL3" s="80"/>
      <c r="ABM3" s="80"/>
      <c r="ABN3" s="80"/>
      <c r="ABO3" s="80"/>
      <c r="ABP3" s="80"/>
      <c r="ABQ3" s="80"/>
      <c r="ABR3" s="80"/>
      <c r="ABS3" s="80"/>
      <c r="ABT3" s="80"/>
      <c r="ABU3" s="80"/>
      <c r="ABV3" s="80"/>
      <c r="ABW3" s="80"/>
      <c r="ABX3" s="80"/>
      <c r="ABY3" s="80"/>
      <c r="ABZ3" s="80"/>
      <c r="ACA3" s="80"/>
      <c r="ACB3" s="80"/>
      <c r="ACC3" s="80"/>
      <c r="ACD3" s="80"/>
      <c r="ACE3" s="80"/>
      <c r="ACF3" s="80"/>
      <c r="ACG3" s="80"/>
      <c r="ACH3" s="80"/>
      <c r="ACI3" s="80"/>
      <c r="ACJ3" s="80"/>
      <c r="ACK3" s="80"/>
      <c r="ACL3" s="80"/>
      <c r="ACM3" s="80"/>
      <c r="ACN3" s="80"/>
      <c r="ACO3" s="80"/>
      <c r="ACP3" s="80"/>
      <c r="ACQ3" s="80"/>
      <c r="ACR3" s="80"/>
      <c r="ACS3" s="80"/>
      <c r="ACT3" s="80"/>
      <c r="ACU3" s="80"/>
      <c r="ACV3" s="80"/>
      <c r="ACW3" s="80"/>
      <c r="ACX3" s="80"/>
      <c r="ACY3" s="80"/>
      <c r="ACZ3" s="80"/>
      <c r="ADA3" s="80"/>
      <c r="ADB3" s="80"/>
      <c r="ADC3" s="80"/>
      <c r="ADD3" s="80"/>
      <c r="ADE3" s="80"/>
      <c r="ADF3" s="80"/>
      <c r="ADG3" s="80"/>
      <c r="ADH3" s="80"/>
      <c r="ADI3" s="80"/>
      <c r="ADJ3" s="80"/>
      <c r="ADK3" s="80"/>
      <c r="ADL3" s="80"/>
      <c r="ADM3" s="80"/>
      <c r="ADN3" s="80"/>
      <c r="ADO3" s="80"/>
      <c r="ADP3" s="80"/>
      <c r="ADQ3" s="80"/>
      <c r="ADR3" s="80"/>
      <c r="ADS3" s="80"/>
      <c r="ADT3" s="80"/>
      <c r="ADU3" s="80"/>
      <c r="ADV3" s="80"/>
      <c r="ADW3" s="80"/>
      <c r="ADX3" s="80"/>
      <c r="ADY3" s="80"/>
      <c r="ADZ3" s="80"/>
      <c r="AEA3" s="80"/>
      <c r="AEB3" s="80"/>
      <c r="AEC3" s="80"/>
      <c r="AED3" s="80"/>
      <c r="AEE3" s="80"/>
      <c r="AEF3" s="80"/>
      <c r="AEG3" s="80"/>
      <c r="AEH3" s="80"/>
      <c r="AEI3" s="80"/>
      <c r="AEJ3" s="80"/>
      <c r="AEK3" s="80"/>
      <c r="AEL3" s="80"/>
      <c r="AEM3" s="80"/>
      <c r="AEN3" s="80"/>
      <c r="AEO3" s="80"/>
      <c r="AEP3" s="80"/>
    </row>
    <row r="4" spans="1:822" ht="21" customHeight="1">
      <c r="B4" s="637" t="s">
        <v>173</v>
      </c>
      <c r="C4" s="289">
        <v>1297</v>
      </c>
      <c r="D4" s="289">
        <v>1320</v>
      </c>
      <c r="E4" s="289">
        <v>1329</v>
      </c>
      <c r="F4" s="289">
        <v>1352</v>
      </c>
      <c r="G4" s="289">
        <v>1351</v>
      </c>
      <c r="H4" s="289">
        <v>1329</v>
      </c>
      <c r="I4" s="289">
        <v>1294</v>
      </c>
      <c r="J4" s="289">
        <v>1247</v>
      </c>
      <c r="K4" s="289">
        <v>1242</v>
      </c>
      <c r="L4" s="289">
        <v>1250</v>
      </c>
      <c r="M4" s="289">
        <v>1259</v>
      </c>
      <c r="N4" s="289">
        <v>1243</v>
      </c>
      <c r="O4" s="289">
        <v>1269</v>
      </c>
      <c r="P4" s="289">
        <v>1301</v>
      </c>
      <c r="Q4" s="289">
        <v>1307</v>
      </c>
      <c r="R4" s="289">
        <v>1296</v>
      </c>
      <c r="S4" s="289">
        <v>1329</v>
      </c>
      <c r="T4" s="289">
        <v>1311</v>
      </c>
      <c r="U4" s="289">
        <v>1292</v>
      </c>
      <c r="V4" s="289">
        <v>1288</v>
      </c>
      <c r="W4" s="289">
        <v>1277</v>
      </c>
      <c r="X4" s="289">
        <v>1279</v>
      </c>
      <c r="Y4" s="289">
        <v>1290</v>
      </c>
      <c r="Z4" s="397">
        <v>1309</v>
      </c>
      <c r="AA4" s="662"/>
      <c r="AB4" s="638"/>
      <c r="BF4" s="80"/>
      <c r="BI4" s="82"/>
      <c r="BJ4" s="80"/>
    </row>
    <row r="5" spans="1:822" ht="21" customHeight="1">
      <c r="B5" s="637" t="s">
        <v>143</v>
      </c>
      <c r="C5" s="289">
        <v>29</v>
      </c>
      <c r="D5" s="289">
        <v>27</v>
      </c>
      <c r="E5" s="289">
        <v>23</v>
      </c>
      <c r="F5" s="289">
        <v>16</v>
      </c>
      <c r="G5" s="289">
        <v>22</v>
      </c>
      <c r="H5" s="289">
        <v>17</v>
      </c>
      <c r="I5" s="289">
        <v>26</v>
      </c>
      <c r="J5" s="289">
        <v>17</v>
      </c>
      <c r="K5" s="289">
        <v>26</v>
      </c>
      <c r="L5" s="289">
        <v>21</v>
      </c>
      <c r="M5" s="289">
        <v>18</v>
      </c>
      <c r="N5" s="289">
        <v>30</v>
      </c>
      <c r="O5" s="289">
        <v>26</v>
      </c>
      <c r="P5" s="289">
        <v>21</v>
      </c>
      <c r="Q5" s="289">
        <v>32</v>
      </c>
      <c r="R5" s="289">
        <v>19</v>
      </c>
      <c r="S5" s="289">
        <v>22</v>
      </c>
      <c r="T5" s="289">
        <v>17</v>
      </c>
      <c r="U5" s="289">
        <v>21</v>
      </c>
      <c r="V5" s="289">
        <v>12</v>
      </c>
      <c r="W5" s="289">
        <v>19</v>
      </c>
      <c r="X5" s="289">
        <v>20</v>
      </c>
      <c r="Y5" s="289">
        <v>22</v>
      </c>
      <c r="Z5" s="397">
        <v>18</v>
      </c>
      <c r="AA5" s="704">
        <v>20</v>
      </c>
      <c r="AB5" s="638">
        <v>18</v>
      </c>
      <c r="BF5" s="80"/>
      <c r="BI5" s="82"/>
      <c r="BJ5" s="80"/>
    </row>
    <row r="6" spans="1:822" ht="21" customHeight="1">
      <c r="B6" s="637" t="s">
        <v>144</v>
      </c>
      <c r="C6" s="289">
        <v>15.2</v>
      </c>
      <c r="D6" s="289">
        <v>14.8</v>
      </c>
      <c r="E6" s="289">
        <v>15.6</v>
      </c>
      <c r="F6" s="289">
        <v>15.5</v>
      </c>
      <c r="G6" s="289">
        <v>16</v>
      </c>
      <c r="H6" s="289">
        <v>15.6</v>
      </c>
      <c r="I6" s="289">
        <v>15.2</v>
      </c>
      <c r="J6" s="289">
        <v>15.6</v>
      </c>
      <c r="K6" s="289">
        <v>14.6</v>
      </c>
      <c r="L6" s="289">
        <v>15.1</v>
      </c>
      <c r="M6" s="289">
        <v>15.7</v>
      </c>
      <c r="N6" s="289">
        <v>15.3</v>
      </c>
      <c r="O6" s="289">
        <v>15.4</v>
      </c>
      <c r="P6" s="289">
        <v>15.5</v>
      </c>
      <c r="Q6" s="289">
        <v>16</v>
      </c>
      <c r="R6" s="289">
        <v>16.5</v>
      </c>
      <c r="S6" s="289">
        <v>16.100000000000001</v>
      </c>
      <c r="T6" s="289">
        <v>16.100000000000001</v>
      </c>
      <c r="U6" s="289">
        <v>16.100000000000001</v>
      </c>
      <c r="V6" s="289">
        <v>15.9</v>
      </c>
      <c r="W6" s="289">
        <v>16.2</v>
      </c>
      <c r="X6" s="289">
        <v>16.399999999999999</v>
      </c>
      <c r="Y6" s="289">
        <v>16.100000000000001</v>
      </c>
      <c r="Z6" s="397">
        <v>16.3</v>
      </c>
      <c r="AA6" s="704">
        <v>15.5</v>
      </c>
      <c r="AB6" s="638">
        <v>16.5</v>
      </c>
      <c r="BF6" s="80"/>
      <c r="BI6" s="82"/>
      <c r="BJ6" s="80"/>
    </row>
    <row r="7" spans="1:822" ht="21" customHeight="1">
      <c r="B7" s="637" t="s">
        <v>145</v>
      </c>
      <c r="C7" s="289">
        <v>14.3</v>
      </c>
      <c r="D7" s="289">
        <v>14.2</v>
      </c>
      <c r="E7" s="289">
        <v>14.9</v>
      </c>
      <c r="F7" s="289">
        <v>14.7</v>
      </c>
      <c r="G7" s="289">
        <v>15.3</v>
      </c>
      <c r="H7" s="289">
        <v>14.8</v>
      </c>
      <c r="I7" s="289">
        <v>14.4</v>
      </c>
      <c r="J7" s="289">
        <v>15</v>
      </c>
      <c r="K7" s="289">
        <v>13.8</v>
      </c>
      <c r="L7" s="289">
        <v>14.4</v>
      </c>
      <c r="M7" s="289">
        <v>14.7</v>
      </c>
      <c r="N7" s="289">
        <v>14.7</v>
      </c>
      <c r="O7" s="289">
        <v>14.6</v>
      </c>
      <c r="P7" s="289">
        <v>14.7</v>
      </c>
      <c r="Q7" s="289">
        <v>15.3</v>
      </c>
      <c r="R7" s="289">
        <v>15.7</v>
      </c>
      <c r="S7" s="289">
        <v>15.3</v>
      </c>
      <c r="T7" s="289">
        <v>15.2</v>
      </c>
      <c r="U7" s="289">
        <v>15.3</v>
      </c>
      <c r="V7" s="289">
        <v>15.2</v>
      </c>
      <c r="W7" s="289">
        <v>15.5</v>
      </c>
      <c r="X7" s="289">
        <v>15.7</v>
      </c>
      <c r="Y7" s="289">
        <v>15.3</v>
      </c>
      <c r="Z7" s="397">
        <v>15.5</v>
      </c>
      <c r="AA7" s="704">
        <v>14.5</v>
      </c>
      <c r="AB7" s="638">
        <v>15.5</v>
      </c>
      <c r="BF7" s="80"/>
      <c r="BI7" s="82"/>
      <c r="BJ7" s="80"/>
    </row>
    <row r="8" spans="1:822" ht="21" customHeight="1">
      <c r="B8" s="637" t="s">
        <v>146</v>
      </c>
      <c r="C8" s="289">
        <v>0.6</v>
      </c>
      <c r="D8" s="289">
        <v>0.5</v>
      </c>
      <c r="E8" s="289">
        <v>0.7</v>
      </c>
      <c r="F8" s="289">
        <v>0.8</v>
      </c>
      <c r="G8" s="289">
        <v>0.7</v>
      </c>
      <c r="H8" s="289">
        <v>0.8</v>
      </c>
      <c r="I8" s="289">
        <v>0.8</v>
      </c>
      <c r="J8" s="289">
        <v>0.6</v>
      </c>
      <c r="K8" s="289">
        <v>0.7</v>
      </c>
      <c r="L8" s="289">
        <v>0.8</v>
      </c>
      <c r="M8" s="289">
        <v>0.7</v>
      </c>
      <c r="N8" s="289">
        <v>0.5</v>
      </c>
      <c r="O8" s="289">
        <v>0.7</v>
      </c>
      <c r="P8" s="289">
        <v>0.8</v>
      </c>
      <c r="Q8" s="289">
        <v>0.7</v>
      </c>
      <c r="R8" s="289">
        <v>0.8</v>
      </c>
      <c r="S8" s="289">
        <v>0.8</v>
      </c>
      <c r="T8" s="289">
        <v>0.9</v>
      </c>
      <c r="U8" s="289">
        <v>0.8</v>
      </c>
      <c r="V8" s="289">
        <v>0.7</v>
      </c>
      <c r="W8" s="289">
        <v>0.7</v>
      </c>
      <c r="X8" s="289">
        <v>0.8</v>
      </c>
      <c r="Y8" s="289">
        <v>0.9</v>
      </c>
      <c r="Z8" s="397">
        <v>0.8</v>
      </c>
      <c r="AA8" s="704">
        <v>0.8</v>
      </c>
      <c r="AB8" s="638">
        <v>0.7</v>
      </c>
      <c r="AT8" s="85"/>
      <c r="BF8" s="80"/>
      <c r="BI8" s="82"/>
      <c r="BJ8" s="80"/>
    </row>
    <row r="9" spans="1:822" ht="21" customHeight="1">
      <c r="B9" s="637" t="s">
        <v>147</v>
      </c>
      <c r="C9" s="289">
        <v>12.6</v>
      </c>
      <c r="D9" s="289">
        <v>12.6</v>
      </c>
      <c r="E9" s="289">
        <v>13.3</v>
      </c>
      <c r="F9" s="289">
        <v>13.3</v>
      </c>
      <c r="G9" s="289">
        <v>13.4</v>
      </c>
      <c r="H9" s="289">
        <v>13.7</v>
      </c>
      <c r="I9" s="663">
        <v>13</v>
      </c>
      <c r="J9" s="663">
        <v>13.3</v>
      </c>
      <c r="K9" s="289">
        <v>13.6</v>
      </c>
      <c r="L9" s="289">
        <v>12.88</v>
      </c>
      <c r="M9" s="289">
        <v>13.03</v>
      </c>
      <c r="N9" s="289">
        <v>13.4</v>
      </c>
      <c r="O9" s="289">
        <v>13.4</v>
      </c>
      <c r="P9" s="289">
        <v>13.2</v>
      </c>
      <c r="Q9" s="289">
        <v>13.5</v>
      </c>
      <c r="R9" s="289">
        <v>13.7</v>
      </c>
      <c r="S9" s="289">
        <v>14.2</v>
      </c>
      <c r="T9" s="289">
        <v>14</v>
      </c>
      <c r="U9" s="289">
        <v>13.6</v>
      </c>
      <c r="V9" s="289">
        <v>13.5</v>
      </c>
      <c r="W9" s="289">
        <v>13.7</v>
      </c>
      <c r="X9" s="289">
        <v>13.8</v>
      </c>
      <c r="Y9" s="289">
        <v>13.8</v>
      </c>
      <c r="Z9" s="397">
        <v>14</v>
      </c>
      <c r="AA9" s="704">
        <v>13.7</v>
      </c>
      <c r="AB9" s="638">
        <v>14.3</v>
      </c>
      <c r="AT9" s="85"/>
      <c r="BF9" s="80"/>
      <c r="BI9" s="82"/>
      <c r="BJ9" s="80"/>
    </row>
    <row r="10" spans="1:822" ht="21" customHeight="1">
      <c r="B10" s="637" t="s">
        <v>148</v>
      </c>
      <c r="C10" s="289">
        <v>11.5</v>
      </c>
      <c r="D10" s="289">
        <v>10.6</v>
      </c>
      <c r="E10" s="289">
        <v>8.4</v>
      </c>
      <c r="F10" s="289">
        <v>8.6999999999999993</v>
      </c>
      <c r="G10" s="289">
        <v>9.6</v>
      </c>
      <c r="H10" s="289">
        <v>9.8000000000000007</v>
      </c>
      <c r="I10" s="289">
        <v>11.8</v>
      </c>
      <c r="J10" s="289">
        <v>8.5</v>
      </c>
      <c r="K10" s="289">
        <v>7.6</v>
      </c>
      <c r="L10" s="289">
        <v>9.1</v>
      </c>
      <c r="M10" s="289">
        <v>9.4</v>
      </c>
      <c r="N10" s="289">
        <v>8</v>
      </c>
      <c r="O10" s="289">
        <v>7.2</v>
      </c>
      <c r="P10" s="289">
        <v>10.1</v>
      </c>
      <c r="Q10" s="289">
        <v>10.199999999999999</v>
      </c>
      <c r="R10" s="289">
        <v>9.3000000000000007</v>
      </c>
      <c r="S10" s="289">
        <v>9.6</v>
      </c>
      <c r="T10" s="289">
        <v>9.1</v>
      </c>
      <c r="U10" s="289">
        <v>9.1999999999999993</v>
      </c>
      <c r="V10" s="289">
        <v>11</v>
      </c>
      <c r="W10" s="289">
        <v>9.4</v>
      </c>
      <c r="X10" s="289">
        <v>11.6</v>
      </c>
      <c r="Y10" s="289">
        <v>9.5</v>
      </c>
      <c r="Z10" s="397">
        <v>8.6</v>
      </c>
      <c r="AA10" s="704">
        <v>9</v>
      </c>
      <c r="AB10" s="638">
        <v>7.5</v>
      </c>
      <c r="AT10" s="85"/>
      <c r="BF10" s="80"/>
      <c r="BI10" s="82"/>
      <c r="BJ10" s="80"/>
    </row>
    <row r="11" spans="1:822" ht="21" customHeight="1">
      <c r="B11" s="637" t="s">
        <v>149</v>
      </c>
      <c r="C11" s="289">
        <v>0.5</v>
      </c>
      <c r="D11" s="290">
        <v>0.52600000000000002</v>
      </c>
      <c r="E11" s="290">
        <v>0.53700000000000003</v>
      </c>
      <c r="F11" s="290">
        <v>0.54600000000000004</v>
      </c>
      <c r="G11" s="290">
        <v>0.53400000000000003</v>
      </c>
      <c r="H11" s="290">
        <v>0.50900000000000001</v>
      </c>
      <c r="I11" s="290">
        <f>+'[64]JAN 25'!$F$22</f>
        <v>0.45799999999999996</v>
      </c>
      <c r="J11" s="290">
        <v>0.46700000000000003</v>
      </c>
      <c r="K11" s="290">
        <v>0.498</v>
      </c>
      <c r="L11" s="290">
        <v>0.49</v>
      </c>
      <c r="M11" s="290">
        <v>0.503</v>
      </c>
      <c r="N11" s="290">
        <v>0.498</v>
      </c>
      <c r="O11" s="290">
        <v>0.48699999999999999</v>
      </c>
      <c r="P11" s="290">
        <v>0.52700000000000002</v>
      </c>
      <c r="Q11" s="290">
        <v>0.498</v>
      </c>
      <c r="R11" s="290">
        <v>0.47099999999999997</v>
      </c>
      <c r="S11" s="290">
        <v>0.46200000000000002</v>
      </c>
      <c r="T11" s="290">
        <v>0.47099999999999997</v>
      </c>
      <c r="U11" s="290">
        <v>0.45600000000000002</v>
      </c>
      <c r="V11" s="290">
        <v>0.49199999999999999</v>
      </c>
      <c r="W11" s="290">
        <v>0.499</v>
      </c>
      <c r="X11" s="290">
        <v>0.49399999999999999</v>
      </c>
      <c r="Y11" s="290">
        <v>0.48</v>
      </c>
      <c r="Z11" s="399">
        <v>0.47499999999999998</v>
      </c>
      <c r="AA11" s="704">
        <v>0.5</v>
      </c>
      <c r="AB11" s="638">
        <v>0.5</v>
      </c>
      <c r="AT11" s="86"/>
      <c r="BF11" s="80"/>
      <c r="BI11" s="82"/>
      <c r="BJ11" s="80"/>
    </row>
    <row r="12" spans="1:822" ht="21" customHeight="1">
      <c r="B12" s="637" t="s">
        <v>150</v>
      </c>
      <c r="C12" s="289">
        <v>1.59</v>
      </c>
      <c r="D12" s="290">
        <v>1.56</v>
      </c>
      <c r="E12" s="290">
        <v>1.63</v>
      </c>
      <c r="F12" s="290">
        <v>1.71</v>
      </c>
      <c r="G12" s="290">
        <v>1.64</v>
      </c>
      <c r="H12" s="290">
        <v>1.78</v>
      </c>
      <c r="I12" s="290">
        <f>+'[64]JAN 25'!$F$21</f>
        <v>1.74</v>
      </c>
      <c r="J12" s="290">
        <v>1.8</v>
      </c>
      <c r="K12" s="290">
        <v>1.8160000000000001</v>
      </c>
      <c r="L12" s="290">
        <v>1.73</v>
      </c>
      <c r="M12" s="290">
        <v>1.72</v>
      </c>
      <c r="N12" s="290">
        <v>1.74</v>
      </c>
      <c r="O12" s="290">
        <v>1.7629999999999999</v>
      </c>
      <c r="P12" s="290">
        <v>1.7150000000000001</v>
      </c>
      <c r="Q12" s="290">
        <v>1.706</v>
      </c>
      <c r="R12" s="290">
        <v>1.7050000000000001</v>
      </c>
      <c r="S12" s="290">
        <v>1.7130000000000001</v>
      </c>
      <c r="T12" s="290">
        <v>1.728</v>
      </c>
      <c r="U12" s="290">
        <v>1.8180000000000001</v>
      </c>
      <c r="V12" s="290">
        <v>1.79</v>
      </c>
      <c r="W12" s="290">
        <v>1.82</v>
      </c>
      <c r="X12" s="290">
        <v>1.83</v>
      </c>
      <c r="Y12" s="290">
        <v>1.74</v>
      </c>
      <c r="Z12" s="399">
        <v>1.77</v>
      </c>
      <c r="AA12" s="704">
        <v>1.5</v>
      </c>
      <c r="AB12" s="638">
        <v>1.5</v>
      </c>
      <c r="BF12" s="80"/>
      <c r="BI12" s="82"/>
      <c r="BJ12" s="80"/>
    </row>
    <row r="13" spans="1:822" ht="21" customHeight="1">
      <c r="B13" s="637" t="s">
        <v>151</v>
      </c>
      <c r="C13" s="289">
        <v>19.59</v>
      </c>
      <c r="D13" s="290">
        <v>20.68</v>
      </c>
      <c r="E13" s="290">
        <v>21.31</v>
      </c>
      <c r="F13" s="290">
        <v>21.02</v>
      </c>
      <c r="G13" s="290">
        <v>20.83</v>
      </c>
      <c r="H13" s="290">
        <v>19.86</v>
      </c>
      <c r="I13" s="290">
        <f>+'[64]JAN 25'!$F$20</f>
        <v>17.790000000000003</v>
      </c>
      <c r="J13" s="290">
        <v>18.239999999999998</v>
      </c>
      <c r="K13" s="290">
        <v>19.463999999999999</v>
      </c>
      <c r="L13" s="290">
        <v>19.170000000000002</v>
      </c>
      <c r="M13" s="290">
        <v>19.559999999999999</v>
      </c>
      <c r="N13" s="290">
        <v>19.829999999999998</v>
      </c>
      <c r="O13" s="290">
        <v>19</v>
      </c>
      <c r="P13" s="290">
        <v>20.47</v>
      </c>
      <c r="Q13" s="290">
        <v>19.39</v>
      </c>
      <c r="R13" s="290">
        <v>18.239999999999998</v>
      </c>
      <c r="S13" s="290">
        <v>17.905000000000001</v>
      </c>
      <c r="T13" s="290">
        <v>18.074000000000002</v>
      </c>
      <c r="U13" s="290">
        <v>18.510000000000002</v>
      </c>
      <c r="V13" s="290">
        <v>18.64</v>
      </c>
      <c r="W13" s="290">
        <v>18.329999999999998</v>
      </c>
      <c r="X13" s="290">
        <v>18.95</v>
      </c>
      <c r="Y13" s="290">
        <v>18.29</v>
      </c>
      <c r="Z13" s="399">
        <v>18.2</v>
      </c>
      <c r="AA13" s="704">
        <v>19.8</v>
      </c>
      <c r="AB13" s="638">
        <v>20</v>
      </c>
      <c r="BF13" s="80"/>
      <c r="BI13" s="82"/>
      <c r="BJ13" s="80"/>
    </row>
    <row r="14" spans="1:822" ht="21" customHeight="1">
      <c r="B14" s="637" t="s">
        <v>152</v>
      </c>
      <c r="C14" s="289">
        <v>1.06</v>
      </c>
      <c r="D14" s="289">
        <v>1.1299999999999999</v>
      </c>
      <c r="E14" s="290">
        <v>1.0900000000000001</v>
      </c>
      <c r="F14" s="290">
        <v>1.0900000000000001</v>
      </c>
      <c r="G14" s="289">
        <v>1.02</v>
      </c>
      <c r="H14" s="289">
        <v>1.01</v>
      </c>
      <c r="I14" s="664">
        <f>+'[64]JAN 25'!$F$25</f>
        <v>1.03285</v>
      </c>
      <c r="J14" s="289">
        <v>1.08</v>
      </c>
      <c r="K14" s="289">
        <v>1.0149999999999999</v>
      </c>
      <c r="L14" s="289">
        <v>1.06</v>
      </c>
      <c r="M14" s="289">
        <v>1.0189999999999999</v>
      </c>
      <c r="N14" s="290">
        <v>1.0900000000000001</v>
      </c>
      <c r="O14" s="290">
        <v>1.099</v>
      </c>
      <c r="P14" s="290">
        <v>1.1020000000000001</v>
      </c>
      <c r="Q14" s="290">
        <v>1.08</v>
      </c>
      <c r="R14" s="290">
        <v>1.052</v>
      </c>
      <c r="S14" s="290">
        <v>1.0329999999999999</v>
      </c>
      <c r="T14" s="290">
        <v>1.0269999999999999</v>
      </c>
      <c r="U14" s="290">
        <v>1.012</v>
      </c>
      <c r="V14" s="290">
        <v>0.99099999999999999</v>
      </c>
      <c r="W14" s="290">
        <v>1.0549999999999999</v>
      </c>
      <c r="X14" s="290">
        <v>1.03</v>
      </c>
      <c r="Y14" s="290">
        <v>1</v>
      </c>
      <c r="Z14" s="399">
        <v>1.0449999999999999</v>
      </c>
      <c r="AA14" s="704">
        <v>1</v>
      </c>
      <c r="AB14" s="638">
        <v>1.1000000000000001</v>
      </c>
      <c r="BF14" s="80"/>
      <c r="BI14" s="82"/>
      <c r="BJ14" s="80"/>
    </row>
    <row r="15" spans="1:822" ht="21" customHeight="1">
      <c r="B15" s="637" t="s">
        <v>153</v>
      </c>
      <c r="C15" s="289">
        <v>2.4700000000000002</v>
      </c>
      <c r="D15" s="290">
        <v>2.52</v>
      </c>
      <c r="E15" s="290">
        <v>2.4700000000000002</v>
      </c>
      <c r="F15" s="290">
        <v>2.48</v>
      </c>
      <c r="G15" s="290">
        <v>2.39</v>
      </c>
      <c r="H15" s="290">
        <v>2.4500000000000002</v>
      </c>
      <c r="I15" s="290">
        <f>+'[64]JAN 25'!$F$24</f>
        <v>2.4150000000000005</v>
      </c>
      <c r="J15" s="290">
        <v>2.4700000000000002</v>
      </c>
      <c r="K15" s="290">
        <v>2.42</v>
      </c>
      <c r="L15" s="290">
        <v>2.5</v>
      </c>
      <c r="M15" s="290">
        <v>2.4929999999999999</v>
      </c>
      <c r="N15" s="290">
        <v>2.4</v>
      </c>
      <c r="O15" s="290">
        <v>2.4449999999999998</v>
      </c>
      <c r="P15" s="290">
        <v>2.4580000000000002</v>
      </c>
      <c r="Q15" s="290">
        <v>2.4580000000000002</v>
      </c>
      <c r="R15" s="290">
        <v>2.395</v>
      </c>
      <c r="S15" s="290">
        <v>2.415</v>
      </c>
      <c r="T15" s="290">
        <v>2.3780000000000001</v>
      </c>
      <c r="U15" s="290">
        <v>2.4500000000000002</v>
      </c>
      <c r="V15" s="290">
        <v>2.4500000000000002</v>
      </c>
      <c r="W15" s="290">
        <v>2.4670000000000001</v>
      </c>
      <c r="X15" s="290">
        <v>2.37</v>
      </c>
      <c r="Y15" s="290">
        <v>2.52</v>
      </c>
      <c r="Z15" s="399">
        <v>2.4300000000000002</v>
      </c>
      <c r="AA15" s="704">
        <v>2.5</v>
      </c>
      <c r="AB15" s="638">
        <v>2.4</v>
      </c>
      <c r="BF15" s="80"/>
      <c r="BI15" s="82"/>
      <c r="BJ15" s="80"/>
    </row>
    <row r="16" spans="1:822" ht="21" customHeight="1">
      <c r="B16" s="640"/>
      <c r="C16" s="289"/>
      <c r="D16" s="415"/>
      <c r="E16" s="415"/>
      <c r="F16" s="415"/>
      <c r="G16" s="415"/>
      <c r="H16" s="415"/>
      <c r="I16" s="415"/>
      <c r="J16" s="415"/>
      <c r="K16" s="415"/>
      <c r="L16" s="415"/>
      <c r="M16" s="415"/>
      <c r="N16" s="415"/>
      <c r="O16" s="415"/>
      <c r="P16" s="415"/>
      <c r="Q16" s="415"/>
      <c r="R16" s="415"/>
      <c r="S16" s="415"/>
      <c r="T16" s="415"/>
      <c r="U16" s="415"/>
      <c r="V16" s="415"/>
      <c r="W16" s="415"/>
      <c r="X16" s="415"/>
      <c r="Y16" s="415"/>
      <c r="Z16" s="642"/>
      <c r="AA16" s="642"/>
      <c r="AB16" s="404"/>
      <c r="BF16" s="80"/>
      <c r="BG16" s="80"/>
      <c r="BH16" s="80"/>
      <c r="BI16" s="82"/>
      <c r="BJ16" s="80"/>
    </row>
    <row r="17" spans="2:63" ht="21" customHeight="1">
      <c r="B17" s="643" t="s">
        <v>154</v>
      </c>
      <c r="C17" s="644">
        <v>45474</v>
      </c>
      <c r="D17" s="644">
        <v>45505</v>
      </c>
      <c r="E17" s="644">
        <v>45536</v>
      </c>
      <c r="F17" s="644">
        <v>45566</v>
      </c>
      <c r="G17" s="644">
        <v>45597</v>
      </c>
      <c r="H17" s="644">
        <v>45627</v>
      </c>
      <c r="I17" s="644">
        <v>45658</v>
      </c>
      <c r="J17" s="644">
        <v>45689</v>
      </c>
      <c r="K17" s="644">
        <v>45717</v>
      </c>
      <c r="L17" s="644">
        <v>45748</v>
      </c>
      <c r="M17" s="644">
        <v>45778</v>
      </c>
      <c r="N17" s="644">
        <v>45809</v>
      </c>
      <c r="O17" s="644">
        <v>45839</v>
      </c>
      <c r="P17" s="644">
        <v>45870</v>
      </c>
      <c r="Q17" s="644">
        <v>45901</v>
      </c>
      <c r="R17" s="644">
        <v>45931</v>
      </c>
      <c r="S17" s="644">
        <v>45962</v>
      </c>
      <c r="T17" s="644">
        <v>45992</v>
      </c>
      <c r="U17" s="644">
        <v>46023</v>
      </c>
      <c r="V17" s="644">
        <v>46054</v>
      </c>
      <c r="W17" s="644">
        <v>46082</v>
      </c>
      <c r="X17" s="644">
        <v>46113</v>
      </c>
      <c r="Y17" s="644">
        <v>46143</v>
      </c>
      <c r="Z17" s="645">
        <v>46174</v>
      </c>
      <c r="AA17" s="662"/>
      <c r="AB17" s="638"/>
      <c r="AJ17" s="80"/>
      <c r="AV17" s="80"/>
      <c r="AZ17" s="80"/>
      <c r="BB17" s="80"/>
      <c r="BF17" s="80"/>
      <c r="BG17" s="80"/>
      <c r="BH17" s="80"/>
      <c r="BI17" s="80"/>
      <c r="BJ17" s="80"/>
      <c r="BK17" s="80"/>
    </row>
    <row r="18" spans="2:63" ht="21" customHeight="1">
      <c r="B18" s="637" t="s">
        <v>155</v>
      </c>
      <c r="C18" s="289">
        <v>2.2000000000000002</v>
      </c>
      <c r="D18" s="289">
        <v>5.2</v>
      </c>
      <c r="E18" s="289">
        <v>2.2999999999999998</v>
      </c>
      <c r="F18" s="289">
        <v>2.2000000000000002</v>
      </c>
      <c r="G18" s="289">
        <v>3.4</v>
      </c>
      <c r="H18" s="289">
        <v>6.5</v>
      </c>
      <c r="I18" s="404">
        <v>8.8000000000000007</v>
      </c>
      <c r="J18" s="404">
        <v>5</v>
      </c>
      <c r="K18" s="404">
        <v>1.3</v>
      </c>
      <c r="L18" s="415">
        <v>3.8</v>
      </c>
      <c r="M18" s="478">
        <v>3.9E-2</v>
      </c>
      <c r="N18" s="478">
        <v>2</v>
      </c>
      <c r="O18" s="478">
        <v>2</v>
      </c>
      <c r="P18" s="478">
        <v>1</v>
      </c>
      <c r="Q18" s="479">
        <v>10</v>
      </c>
      <c r="R18" s="479">
        <v>2</v>
      </c>
      <c r="S18" s="478">
        <v>6</v>
      </c>
      <c r="T18" s="478">
        <v>2</v>
      </c>
      <c r="U18" s="478">
        <v>2</v>
      </c>
      <c r="V18" s="478">
        <v>1</v>
      </c>
      <c r="W18" s="478">
        <v>3</v>
      </c>
      <c r="X18" s="478">
        <v>2</v>
      </c>
      <c r="Y18" s="478">
        <v>2</v>
      </c>
      <c r="Z18" s="700">
        <v>0</v>
      </c>
      <c r="AA18" s="704">
        <v>6</v>
      </c>
      <c r="AB18" s="665"/>
      <c r="AJ18" s="80"/>
      <c r="AV18" s="80"/>
      <c r="AZ18" s="80"/>
      <c r="BB18" s="80"/>
      <c r="BF18" s="80"/>
      <c r="BG18" s="80"/>
      <c r="BH18" s="80"/>
      <c r="BI18" s="80"/>
      <c r="BJ18" s="80"/>
      <c r="BK18" s="80"/>
    </row>
    <row r="19" spans="2:63" ht="21" customHeight="1">
      <c r="B19" s="637" t="s">
        <v>156</v>
      </c>
      <c r="C19" s="289">
        <v>0</v>
      </c>
      <c r="D19" s="289">
        <v>0</v>
      </c>
      <c r="E19" s="289">
        <v>0.28000000000000003</v>
      </c>
      <c r="F19" s="289">
        <v>0.82</v>
      </c>
      <c r="G19" s="289">
        <v>1.34</v>
      </c>
      <c r="H19" s="289">
        <v>1.08</v>
      </c>
      <c r="I19" s="404">
        <f>+'[64]JAN 25'!$F$32</f>
        <v>0</v>
      </c>
      <c r="J19" s="404">
        <v>0</v>
      </c>
      <c r="K19" s="404">
        <v>1.26</v>
      </c>
      <c r="L19" s="415">
        <v>1.47</v>
      </c>
      <c r="M19" s="478">
        <v>1</v>
      </c>
      <c r="N19" s="478">
        <v>5</v>
      </c>
      <c r="O19" s="478">
        <v>3</v>
      </c>
      <c r="P19" s="478">
        <v>0</v>
      </c>
      <c r="Q19" s="479">
        <v>0</v>
      </c>
      <c r="R19" s="479">
        <v>0</v>
      </c>
      <c r="S19" s="478">
        <v>2</v>
      </c>
      <c r="T19" s="478">
        <v>0</v>
      </c>
      <c r="U19" s="478">
        <v>0</v>
      </c>
      <c r="V19" s="478">
        <v>0</v>
      </c>
      <c r="W19" s="478">
        <v>0</v>
      </c>
      <c r="X19" s="478">
        <v>0</v>
      </c>
      <c r="Y19" s="478">
        <v>0</v>
      </c>
      <c r="Z19" s="700">
        <v>0</v>
      </c>
      <c r="AA19" s="704">
        <v>1</v>
      </c>
      <c r="AB19" s="665"/>
      <c r="AJ19" s="80"/>
      <c r="AV19" s="80"/>
      <c r="AZ19" s="80"/>
      <c r="BB19" s="80"/>
      <c r="BF19" s="80"/>
      <c r="BG19" s="80"/>
      <c r="BH19" s="80"/>
      <c r="BI19" s="80"/>
      <c r="BJ19" s="80"/>
      <c r="BK19" s="80"/>
    </row>
    <row r="20" spans="2:63" ht="21" customHeight="1">
      <c r="B20" s="637" t="s">
        <v>157</v>
      </c>
      <c r="C20" s="289">
        <v>0.45</v>
      </c>
      <c r="D20" s="289">
        <v>0.57999999999999996</v>
      </c>
      <c r="E20" s="289">
        <v>0.45</v>
      </c>
      <c r="F20" s="289">
        <v>0.32</v>
      </c>
      <c r="G20" s="289">
        <v>0.31</v>
      </c>
      <c r="H20" s="289">
        <v>0.63</v>
      </c>
      <c r="I20" s="405">
        <f>+'[64]JAN 25'!$F$29</f>
        <v>1.06E-2</v>
      </c>
      <c r="J20" s="404">
        <v>0.63</v>
      </c>
      <c r="K20" s="404">
        <v>1.19</v>
      </c>
      <c r="L20" s="415">
        <v>0.88</v>
      </c>
      <c r="M20" s="416">
        <v>0.73</v>
      </c>
      <c r="N20" s="416">
        <v>0.92</v>
      </c>
      <c r="O20" s="405">
        <v>1.0800000000000001E-2</v>
      </c>
      <c r="P20" s="405">
        <v>2.29E-2</v>
      </c>
      <c r="Q20" s="422">
        <v>5.7999999999999996E-3</v>
      </c>
      <c r="R20" s="422">
        <v>1.1599999999999999E-2</v>
      </c>
      <c r="S20" s="405">
        <v>6.4000000000000003E-3</v>
      </c>
      <c r="T20" s="405">
        <v>9.1000000000000004E-3</v>
      </c>
      <c r="U20" s="405">
        <v>1.1599999999999999E-2</v>
      </c>
      <c r="V20" s="405">
        <v>6.8999999999999999E-3</v>
      </c>
      <c r="W20" s="405">
        <v>5.1999999999999998E-3</v>
      </c>
      <c r="X20" s="405">
        <v>9.5999999999999992E-3</v>
      </c>
      <c r="Y20" s="405">
        <v>8.5000000000000006E-3</v>
      </c>
      <c r="Z20" s="701">
        <v>8.3999999999999995E-3</v>
      </c>
      <c r="AA20" s="702">
        <v>0.01</v>
      </c>
      <c r="AB20" s="646">
        <v>8.0000000000000002E-3</v>
      </c>
      <c r="AJ20" s="80"/>
      <c r="AV20" s="80"/>
      <c r="AZ20" s="80"/>
      <c r="BB20" s="80"/>
      <c r="BF20" s="80"/>
      <c r="BG20" s="80"/>
      <c r="BH20" s="80"/>
      <c r="BI20" s="80"/>
      <c r="BJ20" s="80"/>
      <c r="BK20" s="80"/>
    </row>
    <row r="21" spans="2:63" ht="21" customHeight="1">
      <c r="B21" s="637" t="s">
        <v>158</v>
      </c>
      <c r="C21" s="289">
        <v>2.6</v>
      </c>
      <c r="D21" s="289">
        <v>2.5</v>
      </c>
      <c r="E21" s="289">
        <v>1.7</v>
      </c>
      <c r="F21" s="289">
        <v>1.4</v>
      </c>
      <c r="G21" s="289">
        <v>1.6</v>
      </c>
      <c r="H21" s="289">
        <v>2.2000000000000002</v>
      </c>
      <c r="I21" s="404">
        <v>1.4</v>
      </c>
      <c r="J21" s="404">
        <v>1.9</v>
      </c>
      <c r="K21" s="404">
        <v>1.8</v>
      </c>
      <c r="L21" s="415">
        <v>2.5</v>
      </c>
      <c r="M21" s="405">
        <v>3.2000000000000001E-2</v>
      </c>
      <c r="N21" s="405">
        <v>2.5000000000000001E-2</v>
      </c>
      <c r="O21" s="405">
        <v>1.2699999999999999E-2</v>
      </c>
      <c r="P21" s="405">
        <v>2.3400000000000001E-2</v>
      </c>
      <c r="Q21" s="422">
        <v>2.1999999999999999E-2</v>
      </c>
      <c r="R21" s="422">
        <v>1.4999999999999999E-2</v>
      </c>
      <c r="S21" s="405">
        <v>2.1999999999999999E-2</v>
      </c>
      <c r="T21" s="405">
        <v>2.1999999999999999E-2</v>
      </c>
      <c r="U21" s="405">
        <v>1.6E-2</v>
      </c>
      <c r="V21" s="405">
        <v>2.1299999999999999E-2</v>
      </c>
      <c r="W21" s="405">
        <v>2.2100000000000002E-2</v>
      </c>
      <c r="X21" s="405">
        <v>2.0500000000000001E-2</v>
      </c>
      <c r="Y21" s="405">
        <v>2.0299999999999999E-2</v>
      </c>
      <c r="Z21" s="701">
        <v>2.12E-2</v>
      </c>
      <c r="AA21" s="702">
        <v>0.02</v>
      </c>
      <c r="AB21" s="666">
        <v>1.4999999999999999E-2</v>
      </c>
      <c r="AJ21" s="80"/>
      <c r="AV21" s="80"/>
      <c r="AZ21" s="80"/>
      <c r="BB21" s="80"/>
      <c r="BF21" s="80"/>
      <c r="BG21" s="80"/>
      <c r="BH21" s="80"/>
      <c r="BI21" s="80"/>
      <c r="BJ21" s="80"/>
      <c r="BK21" s="80"/>
    </row>
    <row r="22" spans="2:63" ht="21" customHeight="1">
      <c r="B22" s="187"/>
      <c r="C22" s="184"/>
      <c r="D22" s="184"/>
      <c r="E22" s="184"/>
      <c r="F22" s="184"/>
      <c r="G22" s="184"/>
      <c r="H22" s="184"/>
      <c r="I22" s="184"/>
      <c r="J22" s="184"/>
      <c r="K22" s="184"/>
      <c r="L22" s="184"/>
      <c r="M22" s="184"/>
    </row>
    <row r="23" spans="2:63">
      <c r="AA23" s="190"/>
      <c r="AB23" s="204"/>
    </row>
    <row r="24" spans="2:63">
      <c r="AA24" s="190"/>
      <c r="AB24" s="204"/>
    </row>
    <row r="25" spans="2:63">
      <c r="AA25" s="190"/>
      <c r="AB25" s="204"/>
    </row>
    <row r="26" spans="2:63">
      <c r="AA26" s="190"/>
      <c r="AB26" s="204"/>
    </row>
    <row r="27" spans="2:63">
      <c r="AA27" s="190"/>
      <c r="AB27" s="204"/>
    </row>
    <row r="28" spans="2:63">
      <c r="AA28" s="190"/>
      <c r="AB28" s="204"/>
    </row>
    <row r="29" spans="2:63">
      <c r="AA29" s="190"/>
      <c r="AB29" s="204"/>
    </row>
    <row r="30" spans="2:63">
      <c r="AA30" s="190"/>
      <c r="AB30" s="204"/>
    </row>
    <row r="31" spans="2:63">
      <c r="AA31" s="190"/>
      <c r="AB31" s="204"/>
    </row>
    <row r="32" spans="2:63">
      <c r="AA32" s="190"/>
      <c r="AB32" s="204"/>
    </row>
    <row r="33" spans="27:28">
      <c r="AA33" s="190"/>
      <c r="AB33" s="204"/>
    </row>
    <row r="34" spans="27:28">
      <c r="AA34" s="190"/>
      <c r="AB34" s="204"/>
    </row>
    <row r="35" spans="27:28">
      <c r="AA35" s="190"/>
      <c r="AB35" s="204"/>
    </row>
    <row r="36" spans="27:28">
      <c r="AA36" s="190"/>
      <c r="AB36" s="204"/>
    </row>
    <row r="37" spans="27:28">
      <c r="AA37" s="190"/>
      <c r="AB37" s="204"/>
    </row>
  </sheetData>
  <pageMargins left="0.7" right="0.7" top="0.75" bottom="0.75" header="0.3" footer="0.3"/>
  <pageSetup paperSize="9"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437B4-B0CC-4749-AB6C-CC22A8255F4D}">
  <sheetPr codeName="Sheet115">
    <tabColor theme="5" tint="-0.249977111117893"/>
  </sheetPr>
  <dimension ref="A18:P21"/>
  <sheetViews>
    <sheetView zoomScale="90" zoomScaleNormal="90" workbookViewId="0">
      <selection activeCell="Q12" sqref="Q12"/>
    </sheetView>
  </sheetViews>
  <sheetFormatPr defaultRowHeight="15"/>
  <cols>
    <col min="1" max="1" width="11.28515625" bestFit="1" customWidth="1"/>
  </cols>
  <sheetData>
    <row r="18" spans="1:16" ht="15.75" thickBot="1">
      <c r="A18" s="115"/>
      <c r="B18" s="120">
        <v>45839</v>
      </c>
      <c r="C18" s="120">
        <v>45870</v>
      </c>
      <c r="D18" s="120">
        <v>45901</v>
      </c>
      <c r="E18" s="120">
        <v>45931</v>
      </c>
      <c r="F18" s="120">
        <v>45962</v>
      </c>
      <c r="G18" s="120">
        <v>45992</v>
      </c>
      <c r="H18" s="120">
        <v>46023</v>
      </c>
      <c r="I18" s="120">
        <v>46054</v>
      </c>
      <c r="J18" s="120">
        <v>46082</v>
      </c>
      <c r="K18" s="120">
        <v>46113</v>
      </c>
      <c r="L18" s="120">
        <v>46143</v>
      </c>
      <c r="M18" s="120">
        <v>46174</v>
      </c>
    </row>
    <row r="19" spans="1:16" ht="15.75">
      <c r="A19" s="121" t="s">
        <v>59</v>
      </c>
      <c r="B19" s="153">
        <f>+'Villa total CDM to Colcom a '!B21/'Villa Pigs to Colcom '!B20</f>
        <v>98.018344827586205</v>
      </c>
      <c r="C19" s="153">
        <f>+'Villa total CDM to Colcom a '!C21/'Villa Pigs to Colcom '!C20</f>
        <v>99.64142259414227</v>
      </c>
      <c r="D19" s="153">
        <f>+'Villa total CDM to Colcom a '!D21/'Villa Pigs to Colcom '!D20</f>
        <v>96.051869158878517</v>
      </c>
      <c r="E19" s="153">
        <f>+'Villa total CDM to Colcom a '!E21/'Villa Pigs to Colcom '!E20</f>
        <v>97.542328042328037</v>
      </c>
      <c r="F19" s="153">
        <f>+'Villa total CDM to Colcom a '!F21/'Villa Pigs to Colcom '!F20</f>
        <v>97.131366906474824</v>
      </c>
      <c r="G19" s="153">
        <f>+'Villa total CDM to Colcom a '!G21/'Villa Pigs to Colcom '!G20</f>
        <v>95.034864104967198</v>
      </c>
      <c r="H19" s="153">
        <f>+'Villa total CDM to Colcom a '!H21/'Villa Pigs to Colcom '!H20</f>
        <v>98.692160611854689</v>
      </c>
      <c r="I19" s="153">
        <f>+'Villa total CDM to Colcom a '!I21/'Villa Pigs to Colcom '!I20</f>
        <v>96.28098739495799</v>
      </c>
      <c r="J19" s="153">
        <f>+'Villa total CDM to Colcom a '!J21/'Villa Pigs to Colcom '!J20</f>
        <v>90.857563025210084</v>
      </c>
      <c r="K19" s="153">
        <f>+'Villa total CDM to Colcom a '!K21/'Villa Pigs to Colcom '!K20</f>
        <v>92.395952023988002</v>
      </c>
      <c r="L19" s="153">
        <f>+'Villa total CDM to Colcom a '!L21/'Villa Pigs to Colcom '!L20</f>
        <v>92.10091603053435</v>
      </c>
      <c r="M19" s="153">
        <f>+'Villa total CDM to Colcom a '!M21/'Villa Pigs to Colcom '!M20</f>
        <v>96.092409240924098</v>
      </c>
      <c r="N19" s="142">
        <f>AVERAGE(B19:M19)</f>
        <v>95.820015330153851</v>
      </c>
      <c r="O19" s="125"/>
    </row>
    <row r="20" spans="1:16" ht="15.75">
      <c r="A20" s="121" t="s">
        <v>109</v>
      </c>
      <c r="B20" s="154">
        <f>'[3]Villa Avg CDM over Budget (6)'!B19</f>
        <v>90.602071005917153</v>
      </c>
      <c r="C20" s="154">
        <f>'[3]Villa Avg CDM over Budget (6)'!C19</f>
        <v>95.01195335276968</v>
      </c>
      <c r="D20" s="154">
        <f>'[3]Villa Avg CDM over Budget (6)'!D19</f>
        <v>95.033719582850523</v>
      </c>
      <c r="E20" s="154">
        <f>'[3]Villa Avg CDM over Budget (6)'!E19</f>
        <v>99.601895043731773</v>
      </c>
      <c r="F20" s="154">
        <f>'[3]Villa Avg CDM over Budget (6)'!F19</f>
        <v>99.056748911465903</v>
      </c>
      <c r="G20" s="154">
        <f>'[3]Villa Avg CDM over Budget (6)'!G19</f>
        <v>99.427171215880904</v>
      </c>
      <c r="H20" s="154">
        <f>'[3]Villa Avg CDM over Budget (6)'!H19</f>
        <v>100.37276478679505</v>
      </c>
      <c r="I20" s="154">
        <f>'[3]Villa Avg CDM over Budget (6)'!I19</f>
        <v>98.982708933717575</v>
      </c>
      <c r="J20" s="154">
        <f>'[3]Villa Avg CDM over Budget (6)'!J19</f>
        <v>97.338547486033519</v>
      </c>
      <c r="K20" s="154">
        <f>'[3]Villa Avg CDM over Budget (6)'!K19</f>
        <v>85.958295964125568</v>
      </c>
      <c r="L20" s="154">
        <f>'[3]Villa Avg CDM over Budget (6)'!L19</f>
        <v>84.628591160220992</v>
      </c>
      <c r="M20" s="154">
        <f>'[3]Villa Avg CDM over Budget (6)'!M19</f>
        <v>90.310697674418606</v>
      </c>
      <c r="N20" s="142">
        <f>AVERAGE(B20:M20)</f>
        <v>94.693763759827277</v>
      </c>
      <c r="O20" s="125">
        <f>N19-N20</f>
        <v>1.1262515703265734</v>
      </c>
      <c r="P20" t="s">
        <v>99</v>
      </c>
    </row>
    <row r="21" spans="1:16" ht="16.5" thickBot="1">
      <c r="A21" s="121" t="s">
        <v>88</v>
      </c>
      <c r="B21" s="155">
        <f>'[3]Villa Avg CDM over Budget (6)'!B21</f>
        <v>95.089756446385323</v>
      </c>
      <c r="C21" s="155">
        <f>'[3]Villa Avg CDM over Budget (6)'!C21</f>
        <v>95.331506275723982</v>
      </c>
      <c r="D21" s="155">
        <f>'[3]Villa Avg CDM over Budget (6)'!D21</f>
        <v>92.969153507071582</v>
      </c>
      <c r="E21" s="155">
        <f>'[3]Villa Avg CDM over Budget (6)'!E21</f>
        <v>92.946491875522582</v>
      </c>
      <c r="F21" s="155">
        <f>'[3]Villa Avg CDM over Budget (6)'!F21</f>
        <v>92.94648939228064</v>
      </c>
      <c r="G21" s="155">
        <f>'[3]Villa Avg CDM over Budget (6)'!G21</f>
        <v>92.946200078523844</v>
      </c>
      <c r="H21" s="155">
        <f>'[3]Villa Avg CDM over Budget (6)'!H21</f>
        <v>92.946825930363104</v>
      </c>
      <c r="I21" s="155">
        <f>'[3]Villa Avg CDM over Budget (6)'!I21</f>
        <v>92.94651440159609</v>
      </c>
      <c r="J21" s="155">
        <f>'[3]Villa Avg CDM over Budget (6)'!J21</f>
        <v>92.945983339556648</v>
      </c>
      <c r="K21" s="155">
        <f>'[3]Villa Avg CDM over Budget (6)'!K21</f>
        <v>95.384401588304854</v>
      </c>
      <c r="L21" s="155">
        <f>'[3]Villa Avg CDM over Budget (6)'!L21</f>
        <v>95.384401588304854</v>
      </c>
      <c r="M21" s="155">
        <f>'[3]Villa Avg CDM over Budget (6)'!M21</f>
        <v>95.383673178363935</v>
      </c>
      <c r="N21" s="142">
        <f>AVERAGE(B21:M21)</f>
        <v>93.935116466833122</v>
      </c>
      <c r="O21" s="125">
        <f>N19-N21</f>
        <v>1.8848988633207284</v>
      </c>
      <c r="P21" t="s">
        <v>101</v>
      </c>
    </row>
  </sheetData>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3D1B-DD49-4793-9448-3377AD24EBFF}">
  <sheetPr codeName="Sheet116">
    <tabColor theme="5" tint="-0.249977111117893"/>
  </sheetPr>
  <dimension ref="A20:P23"/>
  <sheetViews>
    <sheetView zoomScale="90" zoomScaleNormal="90" workbookViewId="0">
      <selection activeCell="B21" sqref="B21:M21"/>
    </sheetView>
  </sheetViews>
  <sheetFormatPr defaultRowHeight="15"/>
  <cols>
    <col min="2" max="13" width="11.28515625" bestFit="1" customWidth="1"/>
    <col min="14" max="14" width="12.140625" bestFit="1" customWidth="1"/>
    <col min="15" max="15" width="11.140625" bestFit="1" customWidth="1"/>
  </cols>
  <sheetData>
    <row r="20" spans="1:16" ht="15.75" thickBot="1">
      <c r="A20" s="50"/>
      <c r="B20" s="108">
        <v>45839</v>
      </c>
      <c r="C20" s="108">
        <v>45870</v>
      </c>
      <c r="D20" s="108">
        <v>45901</v>
      </c>
      <c r="E20" s="108">
        <v>45931</v>
      </c>
      <c r="F20" s="108">
        <v>45962</v>
      </c>
      <c r="G20" s="108">
        <v>45992</v>
      </c>
      <c r="H20" s="108">
        <v>46023</v>
      </c>
      <c r="I20" s="108">
        <v>46054</v>
      </c>
      <c r="J20" s="108">
        <v>46082</v>
      </c>
      <c r="K20" s="108">
        <v>46113</v>
      </c>
      <c r="L20" s="108">
        <v>46143</v>
      </c>
      <c r="M20" s="108">
        <v>46174</v>
      </c>
    </row>
    <row r="21" spans="1:16" ht="15.75">
      <c r="A21" s="103" t="s">
        <v>59</v>
      </c>
      <c r="B21" s="137">
        <f>'[63]Combined total CDM to Colco (7)'!B54+'[63]Combined total CDM to Colco (7)'!B57</f>
        <v>71063.3</v>
      </c>
      <c r="C21" s="138">
        <f>SUM('Combined total CDM to Colco (7)'!C54,'Combined total CDM to Colco (7)'!C57)</f>
        <v>71442.900000000009</v>
      </c>
      <c r="D21" s="138">
        <f>SUM('Combined total CDM to Colco (7)'!D54,'Combined total CDM to Colco (7)'!D57)</f>
        <v>82220.400000000009</v>
      </c>
      <c r="E21" s="138">
        <f>SUM('Combined total CDM to Colco (7)'!E54,'Combined total CDM to Colco (7)'!E57)</f>
        <v>73742</v>
      </c>
      <c r="F21" s="138">
        <f>SUM('Combined total CDM to Colco (7)'!F54,'Combined total CDM to Colco (7)'!F57)</f>
        <v>67506.3</v>
      </c>
      <c r="G21" s="138">
        <f>SUM('Combined total CDM to Colco (7)'!G54,'Combined total CDM to Colco (7)'!G57)</f>
        <v>101402.2</v>
      </c>
      <c r="H21" s="138">
        <f>SUM('Combined total CDM to Colco (7)'!H54,'Combined total CDM to Colco (7)'!H57)</f>
        <v>51616</v>
      </c>
      <c r="I21" s="138">
        <f>SUM('Combined total CDM to Colco (7)'!I54,'Combined total CDM to Colco (7)'!I57)</f>
        <v>91659.5</v>
      </c>
      <c r="J21" s="138">
        <f>SUM('Combined total CDM to Colco (7)'!J54,'Combined total CDM to Colco (7)'!J57)</f>
        <v>64872.3</v>
      </c>
      <c r="K21" s="138">
        <f>SUM('Combined total CDM to Colco (7)'!K54,'Combined total CDM to Colco (7)'!K57)</f>
        <v>61628.1</v>
      </c>
      <c r="L21" s="138">
        <f>SUM('Combined total CDM to Colco (7)'!L54,'Combined total CDM to Colco (7)'!L57)</f>
        <v>60326.1</v>
      </c>
      <c r="M21" s="138">
        <f>SUM('Combined total CDM to Colco (7)'!M54,'Combined total CDM to Colco (7)'!M57)</f>
        <v>87348</v>
      </c>
      <c r="N21" s="125">
        <f>SUM(B21:M21)</f>
        <v>884827.10000000009</v>
      </c>
    </row>
    <row r="22" spans="1:16" ht="16.5" thickBot="1">
      <c r="A22" s="103" t="s">
        <v>118</v>
      </c>
      <c r="B22" s="139">
        <f>'[3]Villa total CDM to Colcom a (6)'!B22</f>
        <v>73212.385554412918</v>
      </c>
      <c r="C22" s="139">
        <f>'[3]Villa total CDM to Colcom a (6)'!C22</f>
        <v>63710.272374229957</v>
      </c>
      <c r="D22" s="139">
        <f>'[3]Villa total CDM to Colcom a (6)'!D22</f>
        <v>74596.146015869439</v>
      </c>
      <c r="E22" s="139">
        <f>'[3]Villa total CDM to Colcom a (6)'!E22</f>
        <v>60356.97718960105</v>
      </c>
      <c r="F22" s="139">
        <f>'[3]Villa total CDM to Colcom a (6)'!F22</f>
        <v>60357.052577712886</v>
      </c>
      <c r="G22" s="139">
        <f>'[3]Villa total CDM to Colcom a (6)'!G22</f>
        <v>75457.296371837845</v>
      </c>
      <c r="H22" s="139">
        <f>'[3]Villa total CDM to Colcom a (6)'!H22</f>
        <v>60346.83745663202</v>
      </c>
      <c r="I22" s="139">
        <f>'[3]Villa total CDM to Colcom a (6)'!I22</f>
        <v>60356.293335042123</v>
      </c>
      <c r="J22" s="139">
        <f>'[3]Villa total CDM to Colcom a (6)'!J22</f>
        <v>75465.524648303268</v>
      </c>
      <c r="K22" s="139">
        <f>'[3]Villa total CDM to Colcom a (6)'!K22</f>
        <v>61956.277403220694</v>
      </c>
      <c r="L22" s="139">
        <f>'[3]Villa total CDM to Colcom a (6)'!L22</f>
        <v>61956.277403220694</v>
      </c>
      <c r="M22" s="139">
        <f>'[3]Villa total CDM to Colcom a (6)'!M22</f>
        <v>77474.70295757502</v>
      </c>
      <c r="N22" s="125">
        <f>SUM(B22:M22)</f>
        <v>805246.04328765778</v>
      </c>
      <c r="O22" s="125">
        <f>N21-N22</f>
        <v>79581.05671234231</v>
      </c>
      <c r="P22" t="s">
        <v>171</v>
      </c>
    </row>
    <row r="23" spans="1:16">
      <c r="B23" s="199"/>
      <c r="C23" s="199"/>
      <c r="D23" s="199"/>
      <c r="E23" s="199"/>
      <c r="F23" s="199"/>
      <c r="G23" s="199"/>
      <c r="H23" s="199"/>
      <c r="I23" s="199"/>
      <c r="J23" s="199"/>
      <c r="K23" s="199"/>
      <c r="L23" s="199"/>
      <c r="M23" s="199"/>
      <c r="N23" s="125"/>
      <c r="O23" s="125"/>
    </row>
  </sheetData>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5975D-6806-4AC4-925B-440A81BEEEEE}">
  <sheetPr>
    <tabColor theme="5" tint="-0.249977111117893"/>
  </sheetPr>
  <dimension ref="A1:X23"/>
  <sheetViews>
    <sheetView zoomScale="90" zoomScaleNormal="90" workbookViewId="0">
      <selection activeCell="B20" sqref="B20:M20"/>
    </sheetView>
  </sheetViews>
  <sheetFormatPr defaultRowHeight="15"/>
  <sheetData>
    <row r="1" spans="23:24">
      <c r="W1" t="s">
        <v>211</v>
      </c>
      <c r="X1" t="s">
        <v>212</v>
      </c>
    </row>
    <row r="2" spans="23:24">
      <c r="W2">
        <v>676</v>
      </c>
      <c r="X2">
        <v>90.602071005917153</v>
      </c>
    </row>
    <row r="3" spans="23:24">
      <c r="W3">
        <v>686</v>
      </c>
      <c r="X3">
        <v>95.01195335276968</v>
      </c>
    </row>
    <row r="4" spans="23:24">
      <c r="W4">
        <v>863</v>
      </c>
      <c r="X4">
        <v>95.033719582850523</v>
      </c>
    </row>
    <row r="5" spans="23:24">
      <c r="W5">
        <v>686</v>
      </c>
      <c r="X5">
        <v>99.601895043731773</v>
      </c>
    </row>
    <row r="6" spans="23:24">
      <c r="W6">
        <v>689</v>
      </c>
      <c r="X6">
        <v>99.056748911465903</v>
      </c>
    </row>
    <row r="7" spans="23:24">
      <c r="W7">
        <v>806</v>
      </c>
      <c r="X7">
        <v>99.427171215880904</v>
      </c>
    </row>
    <row r="8" spans="23:24">
      <c r="W8">
        <v>727</v>
      </c>
      <c r="X8">
        <v>100.37276478679505</v>
      </c>
    </row>
    <row r="9" spans="23:24">
      <c r="W9">
        <v>694</v>
      </c>
      <c r="X9">
        <v>98.982708933717575</v>
      </c>
    </row>
    <row r="10" spans="23:24">
      <c r="W10">
        <v>895</v>
      </c>
      <c r="X10">
        <v>97.338547486033519</v>
      </c>
    </row>
    <row r="11" spans="23:24">
      <c r="W11">
        <v>892</v>
      </c>
      <c r="X11">
        <v>85.958295964125568</v>
      </c>
    </row>
    <row r="18" spans="1:15" ht="15.75" thickBot="1"/>
    <row r="19" spans="1:15">
      <c r="A19" s="76"/>
      <c r="B19" s="112">
        <v>45839</v>
      </c>
      <c r="C19" s="112">
        <v>45870</v>
      </c>
      <c r="D19" s="112">
        <v>45901</v>
      </c>
      <c r="E19" s="112">
        <v>45931</v>
      </c>
      <c r="F19" s="112">
        <v>45962</v>
      </c>
      <c r="G19" s="112">
        <v>45992</v>
      </c>
      <c r="H19" s="112">
        <v>46023</v>
      </c>
      <c r="I19" s="112">
        <v>46054</v>
      </c>
      <c r="J19" s="112">
        <v>46082</v>
      </c>
      <c r="K19" s="112">
        <v>46113</v>
      </c>
      <c r="L19" s="112">
        <v>46143</v>
      </c>
      <c r="M19" s="113">
        <v>46174</v>
      </c>
    </row>
    <row r="20" spans="1:15" ht="15.75">
      <c r="A20" s="109" t="s">
        <v>59</v>
      </c>
      <c r="B20" s="618">
        <f>'[65]Combined pigs sold to colco (7)'!B55+'[65]Combined pigs sold to colco (7)'!B58</f>
        <v>725</v>
      </c>
      <c r="C20" s="618">
        <f>SUM('Combined pigs sold to colco (7)'!C55,'Combined pigs sold to colco (7)'!C58)</f>
        <v>717</v>
      </c>
      <c r="D20" s="618">
        <f>SUM('Combined pigs sold to colco (7)'!D55,'Combined pigs sold to colco (7)'!D58)</f>
        <v>856</v>
      </c>
      <c r="E20" s="618">
        <f>SUM('Combined pigs sold to colco (7)'!E55,'Combined pigs sold to colco (7)'!E58)</f>
        <v>756</v>
      </c>
      <c r="F20" s="618">
        <f>SUM('Combined pigs sold to colco (7)'!F55,'Combined pigs sold to colco (7)'!F58)</f>
        <v>695</v>
      </c>
      <c r="G20" s="618">
        <f>SUM('Combined pigs sold to colco (7)'!G55,'Combined pigs sold to colco (7)'!G58)</f>
        <v>1067</v>
      </c>
      <c r="H20" s="618">
        <f>SUM('Combined pigs sold to colco (7)'!H55,'Combined pigs sold to colco (7)'!H58)</f>
        <v>523</v>
      </c>
      <c r="I20" s="618">
        <f>SUM('Combined pigs sold to colco (7)'!I55,'Combined pigs sold to colco (7)'!I58)</f>
        <v>952</v>
      </c>
      <c r="J20" s="618">
        <f>SUM('Combined pigs sold to colco (7)'!J55,'Combined pigs sold to colco (7)'!J58)</f>
        <v>714</v>
      </c>
      <c r="K20" s="618">
        <f>SUM('Combined pigs sold to colco (7)'!K55,'Combined pigs sold to colco (7)'!K58)</f>
        <v>667</v>
      </c>
      <c r="L20" s="618">
        <f>SUM('Combined pigs sold to colco (7)'!L55,'Combined pigs sold to colco (7)'!L58)</f>
        <v>655</v>
      </c>
      <c r="M20" s="618">
        <f>SUM('Combined pigs sold to colco (7)'!M55,'Combined pigs sold to colco (7)'!M58)</f>
        <v>909</v>
      </c>
      <c r="N20" s="126">
        <f>SUM(B20:M20)</f>
        <v>9236</v>
      </c>
    </row>
    <row r="21" spans="1:15" ht="16.5" thickBot="1">
      <c r="A21" s="110" t="s">
        <v>118</v>
      </c>
      <c r="B21" s="619">
        <f>'[66]Villa Pigs to Colcom (6)'!B21</f>
        <v>769.9292572664483</v>
      </c>
      <c r="C21" s="619">
        <f>'[66]Villa Pigs to Colcom (6)'!C21</f>
        <v>668.3023783340102</v>
      </c>
      <c r="D21" s="619">
        <f>'[66]Villa Pigs to Colcom (6)'!D21</f>
        <v>802.37523094362018</v>
      </c>
      <c r="E21" s="619">
        <f>'[66]Villa Pigs to Colcom (6)'!E21</f>
        <v>649.37337570990167</v>
      </c>
      <c r="F21" s="619">
        <f>'[66]Villa Pigs to Colcom (6)'!F21</f>
        <v>649.37420415069107</v>
      </c>
      <c r="G21" s="619">
        <f>'[66]Villa Pigs to Colcom (6)'!G21</f>
        <v>811.83842166854777</v>
      </c>
      <c r="H21" s="619">
        <f>'[66]Villa Pigs to Colcom (6)'!H21</f>
        <v>649.26195007287936</v>
      </c>
      <c r="I21" s="619">
        <f>'[66]Villa Pigs to Colcom (6)'!I21</f>
        <v>649.36586082463873</v>
      </c>
      <c r="J21" s="619">
        <f>'[66]Villa Pigs to Colcom (6)'!J21</f>
        <v>811.92884228904688</v>
      </c>
      <c r="K21" s="619">
        <f>'[66]Villa Pigs to Colcom (6)'!K21</f>
        <v>649.54307383123739</v>
      </c>
      <c r="L21" s="619">
        <f>'[66]Villa Pigs to Colcom (6)'!L21</f>
        <v>649.54307383123739</v>
      </c>
      <c r="M21" s="619">
        <f>'[66]Villa Pigs to Colcom (6)'!M21</f>
        <v>812.2428123804815</v>
      </c>
      <c r="N21" s="126">
        <f>SUM(B21:M21)</f>
        <v>8573.0784813027403</v>
      </c>
      <c r="O21" s="127">
        <f>N20-N21</f>
        <v>662.92151869725967</v>
      </c>
    </row>
    <row r="22" spans="1:15" ht="15.75">
      <c r="B22" s="620">
        <v>759</v>
      </c>
      <c r="C22" s="620">
        <v>680</v>
      </c>
      <c r="D22" s="620"/>
      <c r="E22" s="620"/>
      <c r="F22" s="620"/>
      <c r="G22" s="620"/>
      <c r="H22" s="620"/>
      <c r="I22" s="620"/>
      <c r="J22" s="620"/>
      <c r="K22" s="620"/>
      <c r="L22" s="620"/>
      <c r="M22" s="620"/>
      <c r="N22" s="126"/>
      <c r="O22" s="127"/>
    </row>
    <row r="23" spans="1:15">
      <c r="B23" s="129">
        <f>B21-B22</f>
        <v>10.929257266448303</v>
      </c>
      <c r="C23" s="129">
        <f>C21-C22</f>
        <v>-11.6976216659898</v>
      </c>
    </row>
  </sheetData>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4DAE-FD9E-4776-BC7F-91D7B3A76CD9}">
  <sheetPr codeName="Sheet117">
    <tabColor theme="5" tint="-0.249977111117893"/>
  </sheetPr>
  <dimension ref="A18:AX26"/>
  <sheetViews>
    <sheetView topLeftCell="A6" zoomScale="90" zoomScaleNormal="90" workbookViewId="0">
      <pane xSplit="1" topLeftCell="AI1" activePane="topRight" state="frozen"/>
      <selection pane="topRight" activeCell="A19" sqref="A19:A25"/>
      <selection activeCell="AI27" sqref="AI27"/>
    </sheetView>
  </sheetViews>
  <sheetFormatPr defaultRowHeight="15"/>
  <cols>
    <col min="1" max="1" width="18.140625" bestFit="1" customWidth="1"/>
    <col min="33" max="38" width="14.140625" customWidth="1"/>
    <col min="39" max="39" width="22" bestFit="1" customWidth="1"/>
  </cols>
  <sheetData>
    <row r="18" spans="1:50" ht="15.75" thickBot="1">
      <c r="A18" s="50"/>
      <c r="B18" s="108">
        <v>44713</v>
      </c>
      <c r="C18" s="108">
        <v>44743</v>
      </c>
      <c r="D18" s="108">
        <v>44774</v>
      </c>
      <c r="E18" s="108">
        <v>44805</v>
      </c>
      <c r="F18" s="108">
        <v>44835</v>
      </c>
      <c r="G18" s="108">
        <v>44866</v>
      </c>
      <c r="H18" s="108">
        <v>44896</v>
      </c>
      <c r="I18" s="108">
        <v>44927</v>
      </c>
      <c r="J18" s="108">
        <v>44958</v>
      </c>
      <c r="K18" s="108">
        <v>44986</v>
      </c>
      <c r="L18" s="108">
        <v>45017</v>
      </c>
      <c r="M18" s="108">
        <v>45047</v>
      </c>
      <c r="N18" s="108">
        <v>45078</v>
      </c>
      <c r="O18" s="108">
        <v>45108</v>
      </c>
      <c r="P18" s="108">
        <v>45139</v>
      </c>
      <c r="Q18" s="108">
        <v>45170</v>
      </c>
      <c r="R18" s="108">
        <v>45200</v>
      </c>
      <c r="S18" s="108">
        <v>45231</v>
      </c>
      <c r="T18" s="108">
        <v>45261</v>
      </c>
      <c r="U18" s="108">
        <v>45292</v>
      </c>
      <c r="V18" s="108">
        <v>45323</v>
      </c>
      <c r="W18" s="108">
        <v>45352</v>
      </c>
      <c r="X18" s="108">
        <v>45383</v>
      </c>
      <c r="Y18" s="108">
        <v>45413</v>
      </c>
      <c r="Z18" s="108">
        <v>45444</v>
      </c>
      <c r="AA18" s="108">
        <v>45474</v>
      </c>
      <c r="AB18" s="108">
        <v>45505</v>
      </c>
      <c r="AC18" s="108">
        <v>45536</v>
      </c>
      <c r="AD18" s="108">
        <v>45566</v>
      </c>
      <c r="AE18" s="108">
        <v>45597</v>
      </c>
      <c r="AF18" s="108">
        <v>45627</v>
      </c>
      <c r="AG18" s="108">
        <v>45658</v>
      </c>
      <c r="AH18" s="108">
        <v>45689</v>
      </c>
      <c r="AI18" s="108">
        <v>45717</v>
      </c>
      <c r="AJ18" s="108">
        <v>45748</v>
      </c>
      <c r="AK18" s="108">
        <v>45778</v>
      </c>
      <c r="AL18" s="108">
        <v>45809</v>
      </c>
      <c r="AM18" s="108">
        <v>45839</v>
      </c>
      <c r="AN18" s="108">
        <v>45870</v>
      </c>
      <c r="AO18" s="108">
        <v>45901</v>
      </c>
      <c r="AP18" s="108">
        <v>45931</v>
      </c>
      <c r="AQ18" s="108">
        <v>45962</v>
      </c>
      <c r="AR18" s="108">
        <v>45992</v>
      </c>
      <c r="AS18" s="108">
        <v>46023</v>
      </c>
      <c r="AT18" s="108">
        <v>46054</v>
      </c>
      <c r="AU18" s="108">
        <v>46082</v>
      </c>
      <c r="AV18" s="108">
        <v>46113</v>
      </c>
      <c r="AW18" s="108">
        <v>46143</v>
      </c>
      <c r="AX18" s="108">
        <v>46174</v>
      </c>
    </row>
    <row r="19" spans="1:50">
      <c r="A19" s="118" t="s">
        <v>83</v>
      </c>
      <c r="B19" s="76">
        <v>434</v>
      </c>
      <c r="C19" s="58">
        <v>434</v>
      </c>
      <c r="D19" s="58">
        <v>440</v>
      </c>
      <c r="E19" s="58">
        <v>440</v>
      </c>
      <c r="F19" s="58">
        <v>455</v>
      </c>
      <c r="G19" s="58">
        <v>459</v>
      </c>
      <c r="H19" s="58">
        <v>450</v>
      </c>
      <c r="I19" s="58">
        <v>436</v>
      </c>
      <c r="J19" s="58">
        <v>435</v>
      </c>
      <c r="K19" s="58">
        <v>428</v>
      </c>
      <c r="L19" s="58">
        <v>423</v>
      </c>
      <c r="M19" s="58">
        <v>433</v>
      </c>
      <c r="N19" s="58">
        <v>434</v>
      </c>
      <c r="O19" s="58">
        <v>418</v>
      </c>
      <c r="P19" s="58">
        <v>420</v>
      </c>
      <c r="Q19" s="58">
        <v>432</v>
      </c>
      <c r="R19" s="58">
        <v>425</v>
      </c>
      <c r="S19" s="58">
        <v>428.8</v>
      </c>
      <c r="T19" s="58">
        <v>428</v>
      </c>
      <c r="U19" s="58">
        <v>431</v>
      </c>
      <c r="V19" s="58">
        <v>425</v>
      </c>
      <c r="W19" s="58">
        <v>427</v>
      </c>
      <c r="X19" s="58">
        <v>423.3</v>
      </c>
      <c r="Y19" s="58">
        <v>423.5</v>
      </c>
      <c r="Z19" s="59">
        <v>423.1</v>
      </c>
      <c r="AA19" s="59">
        <v>422</v>
      </c>
      <c r="AB19" s="59">
        <v>428</v>
      </c>
      <c r="AC19" s="59">
        <v>437</v>
      </c>
      <c r="AD19" s="59">
        <v>445</v>
      </c>
      <c r="AE19" s="59">
        <v>443</v>
      </c>
      <c r="AF19" s="59">
        <v>432</v>
      </c>
      <c r="AG19" s="59">
        <v>428</v>
      </c>
      <c r="AH19" s="59">
        <v>423</v>
      </c>
      <c r="AI19" s="59">
        <v>413</v>
      </c>
      <c r="AJ19" s="59">
        <v>414</v>
      </c>
      <c r="AK19" s="59">
        <v>414.6</v>
      </c>
      <c r="AL19" s="59">
        <v>416</v>
      </c>
      <c r="AM19" s="59">
        <v>410</v>
      </c>
      <c r="AN19" s="59">
        <v>410</v>
      </c>
      <c r="AO19" s="59">
        <v>406</v>
      </c>
      <c r="AP19" s="59">
        <v>417</v>
      </c>
      <c r="AQ19" s="59">
        <v>416</v>
      </c>
      <c r="AR19" s="59">
        <v>417</v>
      </c>
      <c r="AS19" s="59">
        <v>418</v>
      </c>
      <c r="AT19" s="59">
        <v>407</v>
      </c>
      <c r="AU19" s="59">
        <v>410</v>
      </c>
      <c r="AV19" s="59">
        <v>411</v>
      </c>
      <c r="AW19" s="59">
        <v>409</v>
      </c>
      <c r="AX19" s="59">
        <v>413</v>
      </c>
    </row>
    <row r="20" spans="1:50">
      <c r="A20" s="118" t="s">
        <v>84</v>
      </c>
      <c r="B20" s="109">
        <v>92951.700000000012</v>
      </c>
      <c r="C20" s="50">
        <v>94525.900000000009</v>
      </c>
      <c r="D20" s="50">
        <v>85405.3</v>
      </c>
      <c r="E20" s="50">
        <v>95507.8</v>
      </c>
      <c r="F20" s="50">
        <v>107470</v>
      </c>
      <c r="G20" s="50">
        <v>73417.3</v>
      </c>
      <c r="H20" s="50">
        <v>124080.59999999999</v>
      </c>
      <c r="I20" s="50">
        <v>73632.399999999994</v>
      </c>
      <c r="J20" s="50">
        <v>88249.200000000012</v>
      </c>
      <c r="K20" s="50">
        <v>119931.5</v>
      </c>
      <c r="L20" s="50">
        <v>98007.900000000009</v>
      </c>
      <c r="M20" s="50">
        <v>92339.299999999988</v>
      </c>
      <c r="N20" s="50">
        <v>114822.79999999999</v>
      </c>
      <c r="O20" s="50" t="e">
        <f>SUM(#REF!+#REF!+#REF!)</f>
        <v>#REF!</v>
      </c>
      <c r="P20" s="50">
        <v>88828.200000000012</v>
      </c>
      <c r="Q20" s="50">
        <v>121385.29999999999</v>
      </c>
      <c r="R20" s="50">
        <v>92170.200000000012</v>
      </c>
      <c r="S20" s="50">
        <v>69057.3</v>
      </c>
      <c r="T20" s="50">
        <v>105679.20000000001</v>
      </c>
      <c r="U20" s="50">
        <v>94983.2</v>
      </c>
      <c r="V20" s="50">
        <v>97817.200000000012</v>
      </c>
      <c r="W20" s="50">
        <v>93570.959999999992</v>
      </c>
      <c r="X20" s="50">
        <v>94347.8</v>
      </c>
      <c r="Y20" s="50">
        <v>86449.299999999988</v>
      </c>
      <c r="Z20" s="50">
        <v>117889.5</v>
      </c>
      <c r="AA20" s="50">
        <f>SUM('[2]Combined total CDM to Colco (7)'!B59+'[2]Combined total CDM to Colco (7)'!B60+'[2]Combined total CDM to Colco (7)'!B61)</f>
        <v>87470.3</v>
      </c>
      <c r="AB20" s="50">
        <f>SUM('[2]Combined total CDM to Colco (7)'!C59+'[2]Combined total CDM to Colco (7)'!C60+'[2]Combined total CDM to Colco (7)'!C61)</f>
        <v>94310</v>
      </c>
      <c r="AC20" s="50">
        <f>SUM('[2]Combined total CDM to Colco (7)'!D59+'[2]Combined total CDM to Colco (7)'!D60+'[2]Combined total CDM to Colco (7)'!D61)</f>
        <v>111043.70000000001</v>
      </c>
      <c r="AD20" s="50">
        <f>SUM('[2]Combined total CDM to Colco (7)'!E59+'[2]Combined total CDM to Colco (7)'!E60+'[2]Combined total CDM to Colco (7)'!E61)</f>
        <v>108715.89999999998</v>
      </c>
      <c r="AE20" s="50">
        <f>SUM('[2]Combined total CDM to Colco (7)'!F59+'[2]Combined total CDM to Colco (7)'!F60+'[2]Combined total CDM to Colco (7)'!F61)</f>
        <v>94233.1</v>
      </c>
      <c r="AF20" s="50">
        <f>SUM('[2]Combined total CDM to Colco (7)'!G59+'[2]Combined total CDM to Colco (7)'!G60+'[2]Combined total CDM to Colco (7)'!G61)</f>
        <v>113200.8</v>
      </c>
      <c r="AG20" s="50">
        <f>SUM('[2]Combined total CDM to Colco (7)'!H59+'[2]Combined total CDM to Colco (7)'!H60+'[2]Combined total CDM to Colco (7)'!H61)</f>
        <v>94251.1</v>
      </c>
      <c r="AH20" s="50">
        <f>SUM('[2]Combined total CDM to Colco (7)'!I59+'[2]Combined total CDM to Colco (7)'!I60+'[2]Combined total CDM to Colco (7)'!I61)</f>
        <v>106699</v>
      </c>
      <c r="AI20" s="50">
        <f>SUM('[2]Combined total CDM to Colco (7)'!J59+'[2]Combined total CDM to Colco (7)'!J60+'[2]Combined total CDM to Colco (7)'!J61)</f>
        <v>131038.19999999998</v>
      </c>
      <c r="AJ20" s="50">
        <f>SUM('[2]Combined total CDM to Colco (7)'!K59+'[2]Combined total CDM to Colco (7)'!K60+'[2]Combined total CDM to Colco (7)'!K61)</f>
        <v>108411.6</v>
      </c>
      <c r="AK20" s="50">
        <f>SUM('[2]Combined total CDM to Colco (7)'!L59+'[2]Combined total CDM to Colco (7)'!L60+'[2]Combined total CDM to Colco (7)'!L61)</f>
        <v>98360.299999999988</v>
      </c>
      <c r="AL20" s="50">
        <f>SUM('[2]Combined total CDM to Colco (7)'!M59+'[2]Combined total CDM to Colco (7)'!M60+'[2]Combined total CDM to Colco (7)'!M61)</f>
        <v>125524.8</v>
      </c>
      <c r="AM20" s="50">
        <f>'[63]Combined total CDM to Colco (7)'!B54+'[63]Combined total CDM to Colco (7)'!B55+'[63]Combined total CDM to Colco (7)'!B56</f>
        <v>96830.900000000023</v>
      </c>
      <c r="AN20" s="50">
        <f>'Combined total CDM to Colco (7)'!C54+'Combined total CDM to Colco (7)'!C55+'Combined total CDM to Colco (7)'!C56</f>
        <v>95254.900000000009</v>
      </c>
      <c r="AO20" s="50">
        <f>'Combined total CDM to Colco (7)'!D54+'Combined total CDM to Colco (7)'!D55+'Combined total CDM to Colco (7)'!D56</f>
        <v>126502.3</v>
      </c>
      <c r="AP20" s="50">
        <f>'Combined total CDM to Colco (7)'!E54+'Combined total CDM to Colco (7)'!E55+'Combined total CDM to Colco (7)'!E56</f>
        <v>115923.00000000001</v>
      </c>
      <c r="AQ20" s="50">
        <f>'Combined total CDM to Colco (7)'!F54+'Combined total CDM to Colco (7)'!F55+'Combined total CDM to Colco (7)'!F56</f>
        <v>91546.700000000012</v>
      </c>
      <c r="AR20" s="50">
        <f>'Combined total CDM to Colco (7)'!G54+'Combined total CDM to Colco (7)'!G55+'Combined total CDM to Colco (7)'!G56</f>
        <v>137624.1</v>
      </c>
      <c r="AS20" s="50">
        <f>'Combined total CDM to Colco (7)'!H54+'Combined total CDM to Colco (7)'!H55+'Combined total CDM to Colco (7)'!H56</f>
        <v>78615.200000000012</v>
      </c>
      <c r="AT20" s="50">
        <f>'Combined total CDM to Colco (7)'!I54+'Combined total CDM to Colco (7)'!I55+'Combined total CDM to Colco (7)'!I56</f>
        <v>109049.20000000001</v>
      </c>
      <c r="AU20" s="50">
        <f>'Combined total CDM to Colco (7)'!J54+'Combined total CDM to Colco (7)'!J55+'Combined total CDM to Colco (7)'!J56</f>
        <v>118604.6</v>
      </c>
      <c r="AV20" s="50">
        <f>'Combined total CDM to Colco (7)'!K54+'Combined total CDM to Colco (7)'!K55+'Combined total CDM to Colco (7)'!K56</f>
        <v>81387.100000000006</v>
      </c>
      <c r="AW20" s="50">
        <f>'Combined total CDM to Colco (7)'!L54+'Combined total CDM to Colco (7)'!L55+'Combined total CDM to Colco (7)'!L56</f>
        <v>102823.7</v>
      </c>
      <c r="AX20" s="50">
        <f>'Combined total CDM to Colco (7)'!M54+'Combined total CDM to Colco (7)'!M55+'Combined total CDM to Colco (7)'!M56</f>
        <v>131878.59999999998</v>
      </c>
    </row>
    <row r="21" spans="1:50">
      <c r="A21" s="118" t="s">
        <v>85</v>
      </c>
      <c r="B21" s="109">
        <v>434.33333333333331</v>
      </c>
      <c r="C21" s="50">
        <v>434.33333333333331</v>
      </c>
      <c r="D21" s="50">
        <v>434.91666666666669</v>
      </c>
      <c r="E21" s="50">
        <v>434.91666666666669</v>
      </c>
      <c r="F21" s="50">
        <v>436</v>
      </c>
      <c r="G21" s="50">
        <v>437.91666666666669</v>
      </c>
      <c r="H21" s="50">
        <v>439.41666666666669</v>
      </c>
      <c r="I21" s="50">
        <v>439</v>
      </c>
      <c r="J21" s="50">
        <v>439.33333333333331</v>
      </c>
      <c r="K21" s="50">
        <v>439.16666666666669</v>
      </c>
      <c r="L21" s="50">
        <v>438.83333333333331</v>
      </c>
      <c r="M21" s="50">
        <v>438.91666666666669</v>
      </c>
      <c r="N21" s="50">
        <v>438.91666666666669</v>
      </c>
      <c r="O21" s="50">
        <f t="shared" ref="O21:AL21" si="0">AVERAGE(D19:O19)</f>
        <v>437.58333333333331</v>
      </c>
      <c r="P21" s="50">
        <f t="shared" si="0"/>
        <v>435.91666666666669</v>
      </c>
      <c r="Q21" s="50">
        <f t="shared" si="0"/>
        <v>435.25</v>
      </c>
      <c r="R21" s="50">
        <f t="shared" si="0"/>
        <v>432.75</v>
      </c>
      <c r="S21" s="50">
        <f t="shared" si="0"/>
        <v>430.23333333333335</v>
      </c>
      <c r="T21" s="50">
        <f t="shared" si="0"/>
        <v>428.40000000000003</v>
      </c>
      <c r="U21" s="50">
        <f t="shared" si="0"/>
        <v>427.98333333333335</v>
      </c>
      <c r="V21" s="50">
        <f t="shared" si="0"/>
        <v>427.15000000000003</v>
      </c>
      <c r="W21" s="50">
        <f t="shared" si="0"/>
        <v>427.06666666666666</v>
      </c>
      <c r="X21" s="50">
        <f t="shared" si="0"/>
        <v>427.0916666666667</v>
      </c>
      <c r="Y21" s="50">
        <f t="shared" si="0"/>
        <v>426.3</v>
      </c>
      <c r="Z21" s="50">
        <f t="shared" si="0"/>
        <v>425.39166666666671</v>
      </c>
      <c r="AA21" s="50">
        <f t="shared" si="0"/>
        <v>425.72500000000008</v>
      </c>
      <c r="AB21" s="50">
        <f t="shared" si="0"/>
        <v>426.39166666666671</v>
      </c>
      <c r="AC21" s="50">
        <f t="shared" si="0"/>
        <v>426.80833333333339</v>
      </c>
      <c r="AD21" s="50">
        <f t="shared" si="0"/>
        <v>428.47500000000008</v>
      </c>
      <c r="AE21" s="50">
        <f t="shared" si="0"/>
        <v>429.6583333333333</v>
      </c>
      <c r="AF21" s="50">
        <f t="shared" si="0"/>
        <v>429.99166666666662</v>
      </c>
      <c r="AG21" s="50">
        <f t="shared" si="0"/>
        <v>429.74166666666662</v>
      </c>
      <c r="AH21" s="50">
        <f t="shared" si="0"/>
        <v>429.57499999999999</v>
      </c>
      <c r="AI21" s="50">
        <f t="shared" si="0"/>
        <v>428.4083333333333</v>
      </c>
      <c r="AJ21" s="50">
        <f t="shared" si="0"/>
        <v>427.63333333333338</v>
      </c>
      <c r="AK21" s="50">
        <f t="shared" si="0"/>
        <v>426.89166666666671</v>
      </c>
      <c r="AL21" s="50">
        <f t="shared" si="0"/>
        <v>426.3</v>
      </c>
      <c r="AM21" s="50">
        <f t="shared" ref="AM21:AR21" si="1">AVERAGE(AB19:AM19)</f>
        <v>425.3</v>
      </c>
      <c r="AN21" s="50">
        <f t="shared" si="1"/>
        <v>423.8</v>
      </c>
      <c r="AO21" s="50">
        <f t="shared" si="1"/>
        <v>421.2166666666667</v>
      </c>
      <c r="AP21" s="50">
        <f t="shared" si="1"/>
        <v>418.88333333333338</v>
      </c>
      <c r="AQ21" s="50">
        <f t="shared" si="1"/>
        <v>416.63333333333338</v>
      </c>
      <c r="AR21" s="50">
        <f t="shared" si="1"/>
        <v>415.38333333333338</v>
      </c>
      <c r="AS21" s="50">
        <f t="shared" ref="AS21:AX21" si="2">AVERAGE(AH19:AS19)</f>
        <v>414.55</v>
      </c>
      <c r="AT21" s="50">
        <f t="shared" si="2"/>
        <v>413.2166666666667</v>
      </c>
      <c r="AU21" s="50">
        <f t="shared" si="2"/>
        <v>412.9666666666667</v>
      </c>
      <c r="AV21" s="50">
        <f t="shared" si="2"/>
        <v>412.7166666666667</v>
      </c>
      <c r="AW21" s="50">
        <f t="shared" si="2"/>
        <v>412.25</v>
      </c>
      <c r="AX21" s="50">
        <f t="shared" si="2"/>
        <v>412</v>
      </c>
    </row>
    <row r="22" spans="1:50" ht="15.75" thickBot="1">
      <c r="A22" s="118" t="s">
        <v>86</v>
      </c>
      <c r="B22" s="110">
        <v>984106.91758578271</v>
      </c>
      <c r="C22" s="104">
        <v>1000209.0175857827</v>
      </c>
      <c r="D22" s="104">
        <v>1016182.2612477547</v>
      </c>
      <c r="E22" s="104">
        <v>1022063.3612477548</v>
      </c>
      <c r="F22" s="104">
        <v>1063729.8485926678</v>
      </c>
      <c r="G22" s="104">
        <v>1072543.928018505</v>
      </c>
      <c r="H22" s="104">
        <v>1117688.0277303206</v>
      </c>
      <c r="I22" s="104">
        <v>1097504.9186092578</v>
      </c>
      <c r="J22" s="104">
        <v>1098606.1938876796</v>
      </c>
      <c r="K22" s="104">
        <v>1118048.4000000001</v>
      </c>
      <c r="L22" s="104">
        <v>1151187.5</v>
      </c>
      <c r="M22" s="104">
        <v>1145518.8999999999</v>
      </c>
      <c r="N22" s="104">
        <v>1167390</v>
      </c>
      <c r="O22" s="104">
        <v>1160334.3999999999</v>
      </c>
      <c r="P22" s="104">
        <v>1163757.3</v>
      </c>
      <c r="Q22" s="104">
        <v>1189634.8</v>
      </c>
      <c r="R22" s="104">
        <v>1174335</v>
      </c>
      <c r="S22" s="104">
        <v>1169975</v>
      </c>
      <c r="T22" s="104">
        <v>1151573.6000000001</v>
      </c>
      <c r="U22" s="104">
        <v>1172924.3999999999</v>
      </c>
      <c r="V22" s="104">
        <v>1182492.3999999999</v>
      </c>
      <c r="W22" s="104">
        <v>1156131.8599999999</v>
      </c>
      <c r="X22" s="104">
        <v>1152471.76</v>
      </c>
      <c r="Y22" s="104">
        <v>1146581.76</v>
      </c>
      <c r="Z22" s="104">
        <v>1149648.46</v>
      </c>
      <c r="AA22" s="104">
        <v>1149648.4600000002</v>
      </c>
      <c r="AB22" s="104">
        <f t="shared" ref="AB22:AL22" si="3">SUM(Q20:AB20)</f>
        <v>1155130.26</v>
      </c>
      <c r="AC22" s="104">
        <f t="shared" si="3"/>
        <v>1144788.6600000001</v>
      </c>
      <c r="AD22" s="104">
        <f t="shared" si="3"/>
        <v>1161334.3599999999</v>
      </c>
      <c r="AE22" s="104">
        <f t="shared" si="3"/>
        <v>1186510.1600000001</v>
      </c>
      <c r="AF22" s="104">
        <f t="shared" si="3"/>
        <v>1194031.76</v>
      </c>
      <c r="AG22" s="104">
        <f t="shared" si="3"/>
        <v>1193299.6600000001</v>
      </c>
      <c r="AH22" s="104">
        <f t="shared" si="3"/>
        <v>1202181.4600000002</v>
      </c>
      <c r="AI22" s="104">
        <f t="shared" si="3"/>
        <v>1239648.7</v>
      </c>
      <c r="AJ22" s="104">
        <f t="shared" si="3"/>
        <v>1253712.5</v>
      </c>
      <c r="AK22" s="104">
        <f t="shared" si="3"/>
        <v>1265623.5000000002</v>
      </c>
      <c r="AL22" s="104">
        <f t="shared" si="3"/>
        <v>1273258.8</v>
      </c>
      <c r="AM22" s="104">
        <f t="shared" ref="AM22:AR22" si="4">SUM(AB20:AM20)</f>
        <v>1282619.3999999999</v>
      </c>
      <c r="AN22" s="104">
        <f t="shared" si="4"/>
        <v>1283564.2999999998</v>
      </c>
      <c r="AO22" s="104">
        <f t="shared" si="4"/>
        <v>1299022.9000000001</v>
      </c>
      <c r="AP22" s="104">
        <f t="shared" si="4"/>
        <v>1306230</v>
      </c>
      <c r="AQ22" s="104">
        <f t="shared" si="4"/>
        <v>1303543.6000000001</v>
      </c>
      <c r="AR22" s="104">
        <f t="shared" si="4"/>
        <v>1327966.9000000001</v>
      </c>
      <c r="AS22" s="104">
        <f t="shared" ref="AS22:AX22" si="5">SUM(AH20:AS20)</f>
        <v>1312331.0000000002</v>
      </c>
      <c r="AT22" s="104">
        <f t="shared" si="5"/>
        <v>1314681.2000000002</v>
      </c>
      <c r="AU22" s="104">
        <f t="shared" si="5"/>
        <v>1302247.6000000001</v>
      </c>
      <c r="AV22" s="104">
        <f t="shared" si="5"/>
        <v>1275223.1000000003</v>
      </c>
      <c r="AW22" s="104">
        <f t="shared" si="5"/>
        <v>1279686.5000000002</v>
      </c>
      <c r="AX22" s="104">
        <f t="shared" si="5"/>
        <v>1286040.2999999998</v>
      </c>
    </row>
    <row r="23" spans="1:50" ht="15.75" thickBot="1">
      <c r="A23" s="117"/>
      <c r="B23" s="119">
        <v>44713</v>
      </c>
      <c r="C23" s="119">
        <v>44743</v>
      </c>
      <c r="D23" s="119">
        <v>44774</v>
      </c>
      <c r="E23" s="119">
        <v>44805</v>
      </c>
      <c r="F23" s="119">
        <v>44835</v>
      </c>
      <c r="G23" s="119">
        <v>44866</v>
      </c>
      <c r="H23" s="119">
        <v>44896</v>
      </c>
      <c r="I23" s="119">
        <v>44927</v>
      </c>
      <c r="J23" s="119">
        <v>44958</v>
      </c>
      <c r="K23" s="119">
        <v>44986</v>
      </c>
      <c r="L23" s="119">
        <v>45017</v>
      </c>
      <c r="M23" s="119">
        <v>45047</v>
      </c>
      <c r="N23" s="119">
        <v>45078</v>
      </c>
      <c r="O23" s="119">
        <v>45108</v>
      </c>
      <c r="P23" s="119">
        <v>45139</v>
      </c>
      <c r="Q23" s="119">
        <v>45170</v>
      </c>
      <c r="R23" s="119">
        <v>45200</v>
      </c>
      <c r="S23" s="119">
        <v>45231</v>
      </c>
      <c r="T23" s="119">
        <v>45261</v>
      </c>
      <c r="U23" s="119">
        <v>45292</v>
      </c>
      <c r="V23" s="119">
        <v>45323</v>
      </c>
      <c r="W23" s="119">
        <v>45352</v>
      </c>
      <c r="X23" s="119">
        <v>45383</v>
      </c>
      <c r="Y23" s="119">
        <v>45413</v>
      </c>
      <c r="Z23" s="119">
        <v>45444</v>
      </c>
      <c r="AA23" s="119">
        <v>45474</v>
      </c>
      <c r="AB23" s="119">
        <v>45505</v>
      </c>
      <c r="AC23" s="119">
        <v>45536</v>
      </c>
      <c r="AD23" s="119">
        <v>45566</v>
      </c>
      <c r="AE23" s="119">
        <v>45597</v>
      </c>
      <c r="AF23" s="119">
        <v>45627</v>
      </c>
      <c r="AG23" s="119">
        <v>45658</v>
      </c>
      <c r="AH23" s="119">
        <v>45689</v>
      </c>
      <c r="AI23" s="119">
        <v>45717</v>
      </c>
      <c r="AJ23" s="119">
        <v>45748</v>
      </c>
      <c r="AK23" s="119">
        <v>45778</v>
      </c>
      <c r="AL23" s="119">
        <v>45809</v>
      </c>
      <c r="AM23" s="119">
        <v>45839</v>
      </c>
      <c r="AN23" s="119">
        <v>45870</v>
      </c>
      <c r="AO23" s="119">
        <v>45901</v>
      </c>
      <c r="AP23" s="119">
        <v>45931</v>
      </c>
      <c r="AQ23" s="119">
        <v>45962</v>
      </c>
      <c r="AR23" s="119">
        <v>45992</v>
      </c>
      <c r="AS23" s="119">
        <v>46023</v>
      </c>
      <c r="AT23" s="119">
        <v>46054</v>
      </c>
      <c r="AU23" s="119">
        <v>46082</v>
      </c>
      <c r="AV23" s="119">
        <v>46113</v>
      </c>
      <c r="AW23" s="119">
        <v>46143</v>
      </c>
      <c r="AX23" s="119">
        <v>46174</v>
      </c>
    </row>
    <row r="24" spans="1:50">
      <c r="A24" s="118" t="s">
        <v>87</v>
      </c>
      <c r="B24" s="76">
        <v>2265.7872239120093</v>
      </c>
      <c r="C24" s="58">
        <v>2302.8603628222168</v>
      </c>
      <c r="D24" s="58">
        <v>2336.4987804125417</v>
      </c>
      <c r="E24" s="58">
        <v>2350.0211410180218</v>
      </c>
      <c r="F24" s="58">
        <v>2439.7473591574949</v>
      </c>
      <c r="G24" s="58">
        <v>2449.1964103181845</v>
      </c>
      <c r="H24" s="58">
        <v>2543.5722231678069</v>
      </c>
      <c r="I24" s="58">
        <v>2500.011204121316</v>
      </c>
      <c r="J24" s="58">
        <v>2500.6210786517745</v>
      </c>
      <c r="K24" s="58">
        <v>2545.8407590132829</v>
      </c>
      <c r="L24" s="58">
        <v>2623.2909229016332</v>
      </c>
      <c r="M24" s="58">
        <v>2609.8778811467623</v>
      </c>
      <c r="N24" s="58">
        <v>2659.7076134421873</v>
      </c>
      <c r="O24" s="58">
        <f t="shared" ref="O24:AL24" si="6">O22/O21</f>
        <v>2651.6878308893542</v>
      </c>
      <c r="P24" s="58">
        <f t="shared" si="6"/>
        <v>2669.6783788950488</v>
      </c>
      <c r="Q24" s="58">
        <f t="shared" si="6"/>
        <v>2733.2218265364736</v>
      </c>
      <c r="R24" s="58">
        <f t="shared" si="6"/>
        <v>2713.6568457538997</v>
      </c>
      <c r="S24" s="58">
        <f t="shared" si="6"/>
        <v>2719.3964515379253</v>
      </c>
      <c r="T24" s="58">
        <f t="shared" si="6"/>
        <v>2688.0802987861812</v>
      </c>
      <c r="U24" s="58">
        <f t="shared" si="6"/>
        <v>2740.5842906655239</v>
      </c>
      <c r="V24" s="58">
        <f t="shared" si="6"/>
        <v>2768.3305630340624</v>
      </c>
      <c r="W24" s="58">
        <f t="shared" si="6"/>
        <v>2707.146097408679</v>
      </c>
      <c r="X24" s="58">
        <f t="shared" si="6"/>
        <v>2698.4178103841873</v>
      </c>
      <c r="Y24" s="58">
        <f t="shared" si="6"/>
        <v>2689.6123856439126</v>
      </c>
      <c r="Z24" s="58">
        <f t="shared" si="6"/>
        <v>2702.5646012498282</v>
      </c>
      <c r="AA24" s="58">
        <f t="shared" si="6"/>
        <v>2700.4485524693168</v>
      </c>
      <c r="AB24" s="58">
        <f t="shared" si="6"/>
        <v>2709.0826352922782</v>
      </c>
      <c r="AC24" s="58">
        <f t="shared" si="6"/>
        <v>2682.2078450514477</v>
      </c>
      <c r="AD24" s="58">
        <f t="shared" si="6"/>
        <v>2710.3900110858267</v>
      </c>
      <c r="AE24" s="58">
        <f t="shared" si="6"/>
        <v>2761.5201846428367</v>
      </c>
      <c r="AF24" s="58">
        <f t="shared" si="6"/>
        <v>2776.8718618577882</v>
      </c>
      <c r="AG24" s="58">
        <f t="shared" si="6"/>
        <v>2776.7837111442927</v>
      </c>
      <c r="AH24" s="58">
        <f t="shared" si="6"/>
        <v>2798.5368329162548</v>
      </c>
      <c r="AI24" s="58">
        <f t="shared" si="6"/>
        <v>2893.6148145266393</v>
      </c>
      <c r="AJ24" s="58">
        <f t="shared" si="6"/>
        <v>2931.7464338607838</v>
      </c>
      <c r="AK24" s="58">
        <f t="shared" si="6"/>
        <v>2964.7416401507021</v>
      </c>
      <c r="AL24" s="58">
        <f t="shared" si="6"/>
        <v>2986.7670654468684</v>
      </c>
      <c r="AM24" s="107">
        <f t="shared" ref="AM24:AR24" si="7">AM22/AM21</f>
        <v>3015.7992005643073</v>
      </c>
      <c r="AN24" s="107">
        <f t="shared" si="7"/>
        <v>3028.702925908447</v>
      </c>
      <c r="AO24" s="107">
        <f t="shared" si="7"/>
        <v>3083.9779211015712</v>
      </c>
      <c r="AP24" s="107">
        <f t="shared" si="7"/>
        <v>3118.3623124975129</v>
      </c>
      <c r="AQ24" s="107">
        <f t="shared" si="7"/>
        <v>3128.7549403952316</v>
      </c>
      <c r="AR24" s="107">
        <f t="shared" si="7"/>
        <v>3196.9672190346264</v>
      </c>
      <c r="AS24" s="107">
        <f t="shared" ref="AS24:AT24" si="8">AS22/AS21</f>
        <v>3165.676034254011</v>
      </c>
      <c r="AT24" s="107">
        <f t="shared" si="8"/>
        <v>3181.5783487274634</v>
      </c>
      <c r="AU24" s="107">
        <f t="shared" ref="AU24:AV24" si="9">AU22/AU21</f>
        <v>3153.3964000322867</v>
      </c>
      <c r="AV24" s="107">
        <f t="shared" si="9"/>
        <v>3089.8269999596178</v>
      </c>
      <c r="AW24" s="107">
        <f t="shared" ref="AW24:AX24" si="10">AW22/AW21</f>
        <v>3104.151607034567</v>
      </c>
      <c r="AX24" s="107">
        <f t="shared" si="10"/>
        <v>3121.4570388349512</v>
      </c>
    </row>
    <row r="25" spans="1:50" ht="15.75" thickBot="1">
      <c r="A25" s="118" t="s">
        <v>88</v>
      </c>
      <c r="B25" s="60">
        <v>2400</v>
      </c>
      <c r="C25" s="46">
        <v>2400</v>
      </c>
      <c r="D25" s="46">
        <v>2400</v>
      </c>
      <c r="E25" s="45">
        <v>2400</v>
      </c>
      <c r="F25" s="45">
        <v>2500</v>
      </c>
      <c r="G25" s="45">
        <v>2500</v>
      </c>
      <c r="H25" s="45">
        <v>2500</v>
      </c>
      <c r="I25" s="45">
        <v>2500</v>
      </c>
      <c r="J25" s="45">
        <v>2500</v>
      </c>
      <c r="K25" s="45">
        <v>2500</v>
      </c>
      <c r="L25" s="45">
        <v>2500</v>
      </c>
      <c r="M25" s="45">
        <v>2500</v>
      </c>
      <c r="N25" s="45">
        <v>2500</v>
      </c>
      <c r="O25" s="45">
        <v>2500</v>
      </c>
      <c r="P25" s="45">
        <v>2500</v>
      </c>
      <c r="Q25" s="45">
        <v>2500</v>
      </c>
      <c r="R25" s="45">
        <v>2500</v>
      </c>
      <c r="S25" s="45">
        <v>2500</v>
      </c>
      <c r="T25" s="45">
        <v>2600</v>
      </c>
      <c r="U25" s="45">
        <v>2600</v>
      </c>
      <c r="V25" s="45">
        <v>2600</v>
      </c>
      <c r="W25" s="45">
        <v>2600</v>
      </c>
      <c r="X25" s="45">
        <v>2600</v>
      </c>
      <c r="Y25" s="45">
        <v>2600</v>
      </c>
      <c r="Z25" s="114">
        <v>2600</v>
      </c>
      <c r="AA25" s="114">
        <v>2600</v>
      </c>
      <c r="AB25" s="114">
        <v>2600</v>
      </c>
      <c r="AC25" s="114">
        <v>2600</v>
      </c>
      <c r="AD25" s="114">
        <v>2600</v>
      </c>
      <c r="AE25" s="114">
        <v>2600</v>
      </c>
      <c r="AF25" s="114">
        <v>2601</v>
      </c>
      <c r="AG25" s="114">
        <v>3190</v>
      </c>
      <c r="AH25" s="114">
        <v>3190</v>
      </c>
      <c r="AI25" s="114">
        <v>3190</v>
      </c>
      <c r="AJ25" s="114">
        <v>3190</v>
      </c>
      <c r="AK25" s="114">
        <v>3190</v>
      </c>
      <c r="AL25" s="114">
        <v>3190</v>
      </c>
      <c r="AM25" s="114">
        <v>3190</v>
      </c>
      <c r="AN25" s="114">
        <v>3190</v>
      </c>
      <c r="AO25" s="114">
        <v>3191</v>
      </c>
      <c r="AP25" s="114">
        <v>3190</v>
      </c>
      <c r="AQ25" s="114">
        <v>3190</v>
      </c>
      <c r="AR25" s="114">
        <v>3190</v>
      </c>
      <c r="AS25" s="114">
        <v>3190</v>
      </c>
      <c r="AT25" s="114">
        <v>3190</v>
      </c>
      <c r="AU25" s="114">
        <v>3190</v>
      </c>
      <c r="AV25" s="114">
        <v>3190</v>
      </c>
      <c r="AW25" s="114">
        <v>3190</v>
      </c>
      <c r="AX25" s="114">
        <v>3190</v>
      </c>
    </row>
    <row r="26" spans="1:50">
      <c r="AB26">
        <f>AC26</f>
        <v>0</v>
      </c>
      <c r="AC26">
        <f>AN6</f>
        <v>0</v>
      </c>
      <c r="AD26">
        <f>AN12</f>
        <v>0</v>
      </c>
      <c r="AE26">
        <f>AN18</f>
        <v>45870</v>
      </c>
      <c r="AF26">
        <f>AN24</f>
        <v>3028.702925908447</v>
      </c>
      <c r="AG26">
        <f>AN32</f>
        <v>0</v>
      </c>
    </row>
  </sheetData>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C888D-01CA-4E43-9D8A-53DBC7CDE797}">
  <sheetPr codeName="Sheet139">
    <tabColor theme="5" tint="-0.249977111117893"/>
  </sheetPr>
  <dimension ref="A18:P23"/>
  <sheetViews>
    <sheetView zoomScale="90" zoomScaleNormal="90" workbookViewId="0">
      <selection activeCell="M20" sqref="M20"/>
    </sheetView>
  </sheetViews>
  <sheetFormatPr defaultRowHeight="15"/>
  <sheetData>
    <row r="18" spans="1:16" ht="15.75" thickBot="1"/>
    <row r="19" spans="1:16" ht="15.75" thickBot="1">
      <c r="A19" s="301"/>
      <c r="B19" s="316">
        <v>45863</v>
      </c>
      <c r="C19" s="316">
        <v>45894</v>
      </c>
      <c r="D19" s="316">
        <v>45925</v>
      </c>
      <c r="E19" s="316">
        <v>45955</v>
      </c>
      <c r="F19" s="316">
        <v>45986</v>
      </c>
      <c r="G19" s="316">
        <v>46016</v>
      </c>
      <c r="H19" s="316">
        <v>46047</v>
      </c>
      <c r="I19" s="316">
        <v>46078</v>
      </c>
      <c r="J19" s="316">
        <v>46106</v>
      </c>
      <c r="K19" s="316">
        <v>46137</v>
      </c>
      <c r="L19" s="316">
        <v>46167</v>
      </c>
      <c r="M19" s="316">
        <v>46198</v>
      </c>
      <c r="N19" s="390"/>
    </row>
    <row r="20" spans="1:16" ht="15.75" thickBot="1">
      <c r="A20" s="152" t="s">
        <v>59</v>
      </c>
      <c r="B20" s="152">
        <f>+'[56]Combined farrow rate  (4)'!R16</f>
        <v>94</v>
      </c>
      <c r="C20" s="152">
        <f>+'[56]Combined farrow rate  (4)'!S16</f>
        <v>94</v>
      </c>
      <c r="D20" s="152">
        <f>+'[56]Combined farrow rate  (4)'!T16</f>
        <v>89</v>
      </c>
      <c r="E20" s="152">
        <f>+'[56]Combined farrow rate  (4)'!U16</f>
        <v>100</v>
      </c>
      <c r="F20" s="152">
        <f>+'[56]Combined farrow rate  (4)'!V16</f>
        <v>92</v>
      </c>
      <c r="G20" s="152">
        <f>+'[56]Combined farrow rate  (4)'!W16</f>
        <v>96</v>
      </c>
      <c r="H20" s="152">
        <f>+'Combined farrow rate  (5)'!X16</f>
        <v>98</v>
      </c>
      <c r="I20" s="152">
        <f>+'Combined farrow rate  (5)'!Y16</f>
        <v>93</v>
      </c>
      <c r="J20" s="152">
        <f>+'Combined farrow rate  (5)'!Z16</f>
        <v>94</v>
      </c>
      <c r="K20" s="152">
        <f>+'Combined farrow rate  (5)'!AA16</f>
        <v>97</v>
      </c>
      <c r="L20" s="152">
        <f>+'Combined farrow rate  (5)'!AB16</f>
        <v>95</v>
      </c>
      <c r="M20" s="152">
        <f>+'Combined farrow rate  (5)'!AC16</f>
        <v>95</v>
      </c>
      <c r="N20" s="77">
        <f>AVERAGE(B20:M20)</f>
        <v>94.75</v>
      </c>
      <c r="O20" s="77"/>
      <c r="P20" s="77"/>
    </row>
    <row r="21" spans="1:16" ht="15.75" thickBot="1">
      <c r="A21" s="152" t="s">
        <v>103</v>
      </c>
      <c r="B21" s="231">
        <v>95.6</v>
      </c>
      <c r="C21" s="231">
        <v>90</v>
      </c>
      <c r="D21" s="231">
        <v>99</v>
      </c>
      <c r="E21" s="231">
        <v>95</v>
      </c>
      <c r="F21" s="231">
        <v>98</v>
      </c>
      <c r="G21" s="231">
        <v>97</v>
      </c>
      <c r="H21" s="231">
        <v>94</v>
      </c>
      <c r="I21" s="231">
        <v>91.4</v>
      </c>
      <c r="J21" s="231">
        <v>93</v>
      </c>
      <c r="K21" s="231">
        <v>92</v>
      </c>
      <c r="L21" s="231">
        <v>96</v>
      </c>
      <c r="M21" s="231">
        <v>92</v>
      </c>
      <c r="N21" s="77">
        <f t="shared" ref="N21:N22" si="0">AVERAGE(B21:M21)</f>
        <v>94.416666666666671</v>
      </c>
      <c r="O21" s="293">
        <f>N20-N21</f>
        <v>0.3333333333333286</v>
      </c>
      <c r="P21" s="293" t="s">
        <v>219</v>
      </c>
    </row>
    <row r="22" spans="1:16" ht="15.75" thickBot="1">
      <c r="A22" s="152" t="s">
        <v>170</v>
      </c>
      <c r="B22" s="152">
        <v>95</v>
      </c>
      <c r="C22" s="152">
        <v>95</v>
      </c>
      <c r="D22" s="152">
        <v>95</v>
      </c>
      <c r="E22" s="152">
        <v>95</v>
      </c>
      <c r="F22" s="152">
        <v>95</v>
      </c>
      <c r="G22" s="152">
        <v>95</v>
      </c>
      <c r="H22" s="152">
        <v>95</v>
      </c>
      <c r="I22" s="152">
        <v>95</v>
      </c>
      <c r="J22" s="152">
        <v>95</v>
      </c>
      <c r="K22" s="152">
        <v>95</v>
      </c>
      <c r="L22" s="152">
        <v>95</v>
      </c>
      <c r="M22" s="152">
        <v>95</v>
      </c>
      <c r="N22" s="77">
        <f t="shared" si="0"/>
        <v>95</v>
      </c>
      <c r="O22" s="293">
        <f>N20-N22</f>
        <v>-0.25</v>
      </c>
      <c r="P22" s="293" t="s">
        <v>183</v>
      </c>
    </row>
    <row r="23" spans="1:16">
      <c r="B23" s="77"/>
      <c r="C23" s="77"/>
      <c r="D23" s="77"/>
      <c r="E23" s="77"/>
      <c r="F23" s="77"/>
      <c r="G23" s="77"/>
      <c r="H23" s="77"/>
      <c r="I23" s="77"/>
      <c r="J23" s="77"/>
      <c r="K23" s="77"/>
      <c r="L23" s="77"/>
      <c r="M23" s="77"/>
      <c r="N23" s="77"/>
      <c r="O23" s="77"/>
      <c r="P23" s="77"/>
    </row>
  </sheetData>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C9D38-AB57-4279-A13D-77DBE150ADE5}">
  <sheetPr codeName="Sheet140">
    <tabColor theme="5" tint="-0.249977111117893"/>
  </sheetPr>
  <dimension ref="A18:P23"/>
  <sheetViews>
    <sheetView zoomScale="90" zoomScaleNormal="90" workbookViewId="0">
      <selection activeCell="N20" sqref="N20"/>
    </sheetView>
  </sheetViews>
  <sheetFormatPr defaultRowHeight="15"/>
  <sheetData>
    <row r="18" spans="1:16" ht="15.75" thickBot="1"/>
    <row r="19" spans="1:16" ht="15.75" thickBot="1">
      <c r="A19" s="339"/>
      <c r="B19" s="302">
        <v>45863</v>
      </c>
      <c r="C19" s="302">
        <v>45894</v>
      </c>
      <c r="D19" s="302">
        <v>45925</v>
      </c>
      <c r="E19" s="302">
        <v>45955</v>
      </c>
      <c r="F19" s="302">
        <v>45986</v>
      </c>
      <c r="G19" s="302">
        <v>46016</v>
      </c>
      <c r="H19" s="302">
        <v>46047</v>
      </c>
      <c r="I19" s="302">
        <v>46078</v>
      </c>
      <c r="J19" s="302">
        <v>46106</v>
      </c>
      <c r="K19" s="302">
        <v>46137</v>
      </c>
      <c r="L19" s="302">
        <v>46167</v>
      </c>
      <c r="M19" s="302">
        <v>46198</v>
      </c>
      <c r="N19" s="122"/>
    </row>
    <row r="20" spans="1:16" ht="15.75" thickBot="1">
      <c r="A20" s="326" t="s">
        <v>59</v>
      </c>
      <c r="B20" s="313">
        <f>+'[56]Combined Born alive (4)'!R17</f>
        <v>14.5</v>
      </c>
      <c r="C20" s="313">
        <f>+'[56]Combined Born alive (4)'!S17</f>
        <v>15.2</v>
      </c>
      <c r="D20" s="313">
        <f>+'[56]Combined Born alive (4)'!T17</f>
        <v>15.1</v>
      </c>
      <c r="E20" s="313">
        <f>+'[56]Combined Born alive (4)'!U17</f>
        <v>16.100000000000001</v>
      </c>
      <c r="F20" s="313">
        <f>+'[56]Combined Born alive (4)'!V17</f>
        <v>15.5</v>
      </c>
      <c r="G20" s="313">
        <f>+'[56]Combined Born alive (4)'!W17</f>
        <v>15.5</v>
      </c>
      <c r="H20" s="313">
        <f>+'Combined Born alive (5)'!X17</f>
        <v>15.9</v>
      </c>
      <c r="I20" s="313">
        <f>+'Combined Born alive (5)'!Y17</f>
        <v>16</v>
      </c>
      <c r="J20" s="313">
        <f>+'Combined Born alive (5)'!Z17</f>
        <v>15.3</v>
      </c>
      <c r="K20" s="313">
        <f>+'Combined Born alive (5)'!AA17</f>
        <v>15.2</v>
      </c>
      <c r="L20" s="313">
        <f>+'Combined Born alive (5)'!AB17</f>
        <v>15.5</v>
      </c>
      <c r="M20" s="313">
        <f>+'Combined Born alive (5)'!AC17</f>
        <v>15.5</v>
      </c>
      <c r="N20" s="143">
        <f>AVERAGE(B20:M20)</f>
        <v>15.441666666666668</v>
      </c>
      <c r="O20" s="77"/>
    </row>
    <row r="21" spans="1:16" ht="15.75" thickBot="1">
      <c r="A21" s="326" t="s">
        <v>103</v>
      </c>
      <c r="B21" s="327">
        <v>13.7</v>
      </c>
      <c r="C21" s="327">
        <v>14.4</v>
      </c>
      <c r="D21" s="327">
        <v>15.1</v>
      </c>
      <c r="E21" s="326">
        <v>14.7</v>
      </c>
      <c r="F21" s="326">
        <v>15.4</v>
      </c>
      <c r="G21" s="327">
        <v>15.4</v>
      </c>
      <c r="H21" s="327">
        <v>15.1</v>
      </c>
      <c r="I21" s="327">
        <v>14.9</v>
      </c>
      <c r="J21" s="327">
        <v>14.6</v>
      </c>
      <c r="K21" s="327">
        <v>14.6</v>
      </c>
      <c r="L21" s="327">
        <v>15</v>
      </c>
      <c r="M21" s="327">
        <v>14.8</v>
      </c>
      <c r="N21" s="143">
        <f t="shared" ref="N21:N22" si="0">AVERAGE(B21:M21)</f>
        <v>14.808333333333335</v>
      </c>
      <c r="O21" s="293">
        <f>N20-N21</f>
        <v>0.63333333333333286</v>
      </c>
      <c r="P21" s="291" t="s">
        <v>107</v>
      </c>
    </row>
    <row r="22" spans="1:16" ht="15.75" thickBot="1">
      <c r="A22" s="326" t="s">
        <v>170</v>
      </c>
      <c r="B22" s="313">
        <v>15</v>
      </c>
      <c r="C22" s="313">
        <v>15</v>
      </c>
      <c r="D22" s="313">
        <v>15</v>
      </c>
      <c r="E22" s="313">
        <v>15</v>
      </c>
      <c r="F22" s="313">
        <v>15</v>
      </c>
      <c r="G22" s="313">
        <v>15</v>
      </c>
      <c r="H22" s="313">
        <v>15</v>
      </c>
      <c r="I22" s="313">
        <v>15</v>
      </c>
      <c r="J22" s="313">
        <v>15</v>
      </c>
      <c r="K22" s="313">
        <v>15</v>
      </c>
      <c r="L22" s="313">
        <v>15</v>
      </c>
      <c r="M22" s="313">
        <v>15</v>
      </c>
      <c r="N22" s="143">
        <f t="shared" si="0"/>
        <v>15</v>
      </c>
      <c r="O22" s="293">
        <f>N20-N22</f>
        <v>0.44166666666666821</v>
      </c>
      <c r="P22" s="291" t="s">
        <v>101</v>
      </c>
    </row>
    <row r="23" spans="1:16">
      <c r="N23" s="143"/>
      <c r="O23" s="77"/>
    </row>
  </sheetData>
  <pageMargins left="0.7" right="0.7" top="0.75" bottom="0.75" header="0.3" footer="0.3"/>
  <pageSetup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3BD3-CD36-407E-B6BD-CDF43A40D575}">
  <sheetPr codeName="Sheet141">
    <tabColor theme="5" tint="-0.249977111117893"/>
  </sheetPr>
  <dimension ref="A17:P22"/>
  <sheetViews>
    <sheetView zoomScale="90" zoomScaleNormal="90" workbookViewId="0">
      <selection activeCell="M19" sqref="M19"/>
    </sheetView>
  </sheetViews>
  <sheetFormatPr defaultRowHeight="15"/>
  <sheetData>
    <row r="17" spans="1:16" ht="15.75" thickBot="1"/>
    <row r="18" spans="1:16" ht="15.75" thickBot="1">
      <c r="A18" s="340"/>
      <c r="B18" s="317">
        <v>45863</v>
      </c>
      <c r="C18" s="317">
        <v>45894</v>
      </c>
      <c r="D18" s="317">
        <v>45925</v>
      </c>
      <c r="E18" s="317">
        <v>45955</v>
      </c>
      <c r="F18" s="317">
        <v>45986</v>
      </c>
      <c r="G18" s="317">
        <v>46016</v>
      </c>
      <c r="H18" s="317">
        <v>46047</v>
      </c>
      <c r="I18" s="317">
        <v>46078</v>
      </c>
      <c r="J18" s="317">
        <v>46106</v>
      </c>
      <c r="K18" s="317">
        <v>46137</v>
      </c>
      <c r="L18" s="317">
        <v>46167</v>
      </c>
      <c r="M18" s="317">
        <v>46198</v>
      </c>
      <c r="N18" s="421"/>
    </row>
    <row r="19" spans="1:16" ht="15.75" thickBot="1">
      <c r="A19" s="313" t="s">
        <v>59</v>
      </c>
      <c r="B19" s="313">
        <f>+'[56]Combined Wean weight  (4)'!S16</f>
        <v>7.3</v>
      </c>
      <c r="C19" s="313">
        <f>+'[56]Combined Wean weight  (4)'!T16</f>
        <v>7.3</v>
      </c>
      <c r="D19" s="313">
        <f>+'[56]Combined Wean weight  (4)'!U16</f>
        <v>7</v>
      </c>
      <c r="E19" s="313">
        <f>+'[56]Combined Wean weight  (4)'!V16</f>
        <v>7.1</v>
      </c>
      <c r="F19" s="313">
        <f>+'[56]Combined Wean weight  (4)'!W16</f>
        <v>6.94</v>
      </c>
      <c r="G19" s="313">
        <f>+'[56]Combined Wean weight  (4)'!X16</f>
        <v>6.9</v>
      </c>
      <c r="H19" s="313">
        <f>+'Combined Wean weight  (5)'!Y16</f>
        <v>7</v>
      </c>
      <c r="I19" s="313">
        <f>+'Combined Wean weight  (5)'!Z16</f>
        <v>7.03</v>
      </c>
      <c r="J19" s="313">
        <f>+'Combined Wean weight  (5)'!AA16</f>
        <v>7.16</v>
      </c>
      <c r="K19" s="313">
        <f>+'Combined Wean weight  (5)'!AB16</f>
        <v>7.18</v>
      </c>
      <c r="L19" s="313">
        <f>+'Combined Wean weight  (5)'!AC16</f>
        <v>7.15</v>
      </c>
      <c r="M19" s="313">
        <f>+'Combined Wean weight  (5)'!AD16</f>
        <v>7.38</v>
      </c>
      <c r="N19" s="257">
        <f>AVERAGE(B19:M19)</f>
        <v>7.12</v>
      </c>
      <c r="O19" s="77"/>
    </row>
    <row r="20" spans="1:16" ht="15.75" thickBot="1">
      <c r="A20" s="313" t="s">
        <v>103</v>
      </c>
      <c r="B20" s="309">
        <v>7.1</v>
      </c>
      <c r="C20" s="309">
        <v>7.28</v>
      </c>
      <c r="D20" s="309">
        <v>7.1</v>
      </c>
      <c r="E20" s="309">
        <v>7</v>
      </c>
      <c r="F20" s="309">
        <v>6.5</v>
      </c>
      <c r="G20" s="309">
        <v>6.3</v>
      </c>
      <c r="H20" s="309">
        <v>5.32</v>
      </c>
      <c r="I20" s="309">
        <v>6.2</v>
      </c>
      <c r="J20" s="309">
        <v>6.8</v>
      </c>
      <c r="K20" s="309">
        <v>6.9</v>
      </c>
      <c r="L20" s="309">
        <v>7.2</v>
      </c>
      <c r="M20" s="309">
        <v>7.3</v>
      </c>
      <c r="N20" s="257">
        <f t="shared" ref="N20:N21" si="0">AVERAGE(B20:M20)</f>
        <v>6.75</v>
      </c>
      <c r="O20" s="293">
        <f>N19-N20</f>
        <v>0.37000000000000011</v>
      </c>
      <c r="P20" s="293" t="s">
        <v>99</v>
      </c>
    </row>
    <row r="21" spans="1:16" ht="15.75" thickBot="1">
      <c r="A21" s="313" t="s">
        <v>170</v>
      </c>
      <c r="B21" s="307">
        <v>7.2</v>
      </c>
      <c r="C21" s="307">
        <v>7.2</v>
      </c>
      <c r="D21" s="307">
        <v>7.2</v>
      </c>
      <c r="E21" s="307">
        <v>7.2</v>
      </c>
      <c r="F21" s="307">
        <v>7.2</v>
      </c>
      <c r="G21" s="307">
        <v>7.2</v>
      </c>
      <c r="H21" s="307">
        <v>7.2</v>
      </c>
      <c r="I21" s="307">
        <v>7.2</v>
      </c>
      <c r="J21" s="307">
        <v>7.2</v>
      </c>
      <c r="K21" s="307">
        <v>7.2</v>
      </c>
      <c r="L21" s="307">
        <v>7.2</v>
      </c>
      <c r="M21" s="307">
        <v>7.2</v>
      </c>
      <c r="N21" s="257">
        <f t="shared" si="0"/>
        <v>7.200000000000002</v>
      </c>
      <c r="O21" s="293">
        <f>N19-N21</f>
        <v>-8.0000000000001847E-2</v>
      </c>
      <c r="P21" s="293" t="s">
        <v>204</v>
      </c>
    </row>
    <row r="22" spans="1:16">
      <c r="O22" s="77"/>
      <c r="P22" s="77"/>
    </row>
  </sheetData>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9033-3B69-4919-A9DF-62FD76313478}">
  <sheetPr codeName="Sheet142">
    <tabColor theme="5" tint="-0.249977111117893"/>
  </sheetPr>
  <dimension ref="A19:P23"/>
  <sheetViews>
    <sheetView zoomScale="90" zoomScaleNormal="90" workbookViewId="0">
      <selection activeCell="M21" sqref="M21"/>
    </sheetView>
  </sheetViews>
  <sheetFormatPr defaultRowHeight="15"/>
  <sheetData>
    <row r="19" spans="1:16" ht="15.75" thickBot="1"/>
    <row r="20" spans="1:16" ht="15.75" thickBot="1">
      <c r="A20" s="301"/>
      <c r="B20" s="317">
        <v>45839</v>
      </c>
      <c r="C20" s="317">
        <v>45870</v>
      </c>
      <c r="D20" s="317">
        <v>45901</v>
      </c>
      <c r="E20" s="317">
        <v>45931</v>
      </c>
      <c r="F20" s="317">
        <v>45962</v>
      </c>
      <c r="G20" s="317">
        <v>45992</v>
      </c>
      <c r="H20" s="317">
        <v>46023</v>
      </c>
      <c r="I20" s="317">
        <v>46054</v>
      </c>
      <c r="J20" s="317">
        <v>46082</v>
      </c>
      <c r="K20" s="317">
        <v>46113</v>
      </c>
      <c r="L20" s="317">
        <v>46143</v>
      </c>
      <c r="M20" s="317">
        <v>46174</v>
      </c>
      <c r="N20" s="421"/>
    </row>
    <row r="21" spans="1:16" ht="15.75" thickBot="1">
      <c r="A21" s="152" t="s">
        <v>59</v>
      </c>
      <c r="B21" s="315">
        <f>+'[56]Combined Litter mass  (4)'!R17</f>
        <v>103.7</v>
      </c>
      <c r="C21" s="315">
        <f>+'[56]Combined Litter mass  (4)'!S17</f>
        <v>105.8</v>
      </c>
      <c r="D21" s="315">
        <f>+'[56]Combined Litter mass  (4)'!T17</f>
        <v>102.9</v>
      </c>
      <c r="E21" s="315">
        <f>+'[56]Combined Litter mass  (4)'!U17</f>
        <v>101.4</v>
      </c>
      <c r="F21" s="315">
        <f>+'[56]Combined Litter mass  (4)'!V17</f>
        <v>105.62</v>
      </c>
      <c r="G21" s="315">
        <f>+'[56]Combined Litter mass  (4)'!W17</f>
        <v>99.3</v>
      </c>
      <c r="H21" s="315">
        <f>+'Combined Litter mass  (5)'!W17</f>
        <v>104.3</v>
      </c>
      <c r="I21" s="315">
        <f>+'Combined Litter mass  (5)'!X17</f>
        <v>104.83</v>
      </c>
      <c r="J21" s="315">
        <f>+'Combined Litter mass  (5)'!Y17</f>
        <v>107.78</v>
      </c>
      <c r="K21" s="315">
        <f>+'Combined Litter mass  (5)'!Z17</f>
        <v>109.23</v>
      </c>
      <c r="L21" s="315">
        <f>+'Combined Litter mass  (5)'!AA17</f>
        <v>104.52</v>
      </c>
      <c r="M21" s="315">
        <f>+'Combined Litter mass  (5)'!AB17</f>
        <v>108.58</v>
      </c>
      <c r="N21" s="262">
        <f>AVERAGE(B21:M21)</f>
        <v>104.82999999999998</v>
      </c>
      <c r="O21" s="77"/>
    </row>
    <row r="22" spans="1:16" ht="15.75" thickBot="1">
      <c r="A22" s="152" t="s">
        <v>103</v>
      </c>
      <c r="B22" s="315">
        <v>92.5</v>
      </c>
      <c r="C22" s="315">
        <v>96.15</v>
      </c>
      <c r="D22" s="315">
        <v>97.7</v>
      </c>
      <c r="E22" s="315">
        <v>97.4</v>
      </c>
      <c r="F22" s="315">
        <v>96.4</v>
      </c>
      <c r="G22" s="315">
        <v>89.5</v>
      </c>
      <c r="H22" s="315">
        <v>77.47657287157287</v>
      </c>
      <c r="I22" s="315">
        <v>89.2</v>
      </c>
      <c r="J22" s="315">
        <v>96.1</v>
      </c>
      <c r="K22" s="152">
        <v>96.7</v>
      </c>
      <c r="L22" s="152">
        <v>102.1</v>
      </c>
      <c r="M22" s="152">
        <v>104.3</v>
      </c>
      <c r="N22" s="262">
        <f t="shared" ref="N22:N23" si="0">AVERAGE(B22:M22)</f>
        <v>94.627214405964409</v>
      </c>
      <c r="O22" s="293">
        <f>N21-N22</f>
        <v>10.202785594035575</v>
      </c>
      <c r="P22" s="293" t="s">
        <v>99</v>
      </c>
    </row>
    <row r="23" spans="1:16" ht="15.75" thickBot="1">
      <c r="A23" s="152" t="s">
        <v>170</v>
      </c>
      <c r="B23" s="152">
        <v>102</v>
      </c>
      <c r="C23" s="152">
        <v>102</v>
      </c>
      <c r="D23" s="152">
        <v>102</v>
      </c>
      <c r="E23" s="152">
        <v>102</v>
      </c>
      <c r="F23" s="152">
        <v>102</v>
      </c>
      <c r="G23" s="152">
        <v>102</v>
      </c>
      <c r="H23" s="152">
        <v>102</v>
      </c>
      <c r="I23" s="152">
        <v>102</v>
      </c>
      <c r="J23" s="152">
        <v>102</v>
      </c>
      <c r="K23" s="152">
        <v>102</v>
      </c>
      <c r="L23" s="152">
        <v>102</v>
      </c>
      <c r="M23" s="152">
        <v>102</v>
      </c>
      <c r="N23" s="262">
        <f t="shared" si="0"/>
        <v>102</v>
      </c>
      <c r="O23" s="293">
        <f>N21-N23</f>
        <v>2.8299999999999841</v>
      </c>
      <c r="P23" s="293" t="s">
        <v>113</v>
      </c>
    </row>
  </sheetData>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876B9-CEAC-4AD5-AEF2-C58EA36370E5}">
  <sheetPr codeName="Sheet143">
    <tabColor theme="5" tint="-0.249977111117893"/>
  </sheetPr>
  <dimension ref="A16:P20"/>
  <sheetViews>
    <sheetView zoomScaleNormal="100" workbookViewId="0">
      <selection activeCell="N18" sqref="N18:N20"/>
    </sheetView>
  </sheetViews>
  <sheetFormatPr defaultRowHeight="15"/>
  <cols>
    <col min="1" max="1" width="11.28515625" bestFit="1" customWidth="1"/>
  </cols>
  <sheetData>
    <row r="16" ht="15.75" thickBot="1"/>
    <row r="17" spans="1:16" ht="15.75" thickBot="1">
      <c r="A17" s="340"/>
      <c r="B17" s="317">
        <v>45863</v>
      </c>
      <c r="C17" s="317">
        <v>45894</v>
      </c>
      <c r="D17" s="317">
        <v>45925</v>
      </c>
      <c r="E17" s="317">
        <v>45955</v>
      </c>
      <c r="F17" s="317">
        <v>45986</v>
      </c>
      <c r="G17" s="317">
        <v>46016</v>
      </c>
      <c r="H17" s="317">
        <v>46047</v>
      </c>
      <c r="I17" s="317">
        <v>46078</v>
      </c>
      <c r="J17" s="317">
        <v>46106</v>
      </c>
      <c r="K17" s="317">
        <v>46137</v>
      </c>
      <c r="L17" s="317">
        <v>46167</v>
      </c>
      <c r="M17" s="317">
        <v>46198</v>
      </c>
      <c r="N17" s="421"/>
    </row>
    <row r="18" spans="1:16" ht="15.75" thickBot="1">
      <c r="A18" s="313" t="s">
        <v>59</v>
      </c>
      <c r="B18" s="313">
        <f>+'[56]Combined 70 day weight  (4)'!T18</f>
        <v>28.3</v>
      </c>
      <c r="C18" s="313">
        <f>+'[56]Combined 70 day weight  (4)'!U18</f>
        <v>28.7</v>
      </c>
      <c r="D18" s="313">
        <f>+'[56]Combined 70 day weight  (4)'!V18</f>
        <v>28.3</v>
      </c>
      <c r="E18" s="313">
        <f>+'[56]Combined 70 day weight  (4)'!W18</f>
        <v>28.2</v>
      </c>
      <c r="F18" s="313">
        <f>+'[56]Combined 70 day weight  (4)'!X18</f>
        <v>28.48</v>
      </c>
      <c r="G18" s="313">
        <f>+'[56]Combined 70 day weight  (4)'!Y18</f>
        <v>28.1</v>
      </c>
      <c r="H18" s="313">
        <f>+'Combined 70 day weight  (5)'!Z18</f>
        <v>28.1</v>
      </c>
      <c r="I18" s="313">
        <f>+'Combined 70 day weight  (5)'!AA18</f>
        <v>28.29</v>
      </c>
      <c r="J18" s="313">
        <f>+'Combined 70 day weight  (5)'!AB18</f>
        <v>28.27</v>
      </c>
      <c r="K18" s="313">
        <f>+'Combined 70 day weight  (5)'!AC18</f>
        <v>28.24</v>
      </c>
      <c r="L18" s="313">
        <f>+'Combined 70 day weight  (5)'!AD18</f>
        <v>28.46</v>
      </c>
      <c r="M18" s="313">
        <f>+'Combined 70 day weight  (5)'!AE18</f>
        <v>28.42</v>
      </c>
      <c r="N18" s="257">
        <f>AVERAGE(B18:M18)</f>
        <v>28.321666666666662</v>
      </c>
      <c r="O18" s="77"/>
      <c r="P18" s="77"/>
    </row>
    <row r="19" spans="1:16" ht="15.75" thickBot="1">
      <c r="A19" s="313" t="s">
        <v>109</v>
      </c>
      <c r="B19" s="313">
        <v>28.3</v>
      </c>
      <c r="C19" s="313">
        <v>27.34</v>
      </c>
      <c r="D19" s="313">
        <v>27.7</v>
      </c>
      <c r="E19" s="313">
        <v>28.3</v>
      </c>
      <c r="F19" s="313">
        <v>27.6</v>
      </c>
      <c r="G19" s="313">
        <v>28.4</v>
      </c>
      <c r="H19" s="313">
        <v>26.392499999999998</v>
      </c>
      <c r="I19" s="313">
        <v>24.4</v>
      </c>
      <c r="J19" s="313">
        <v>27.21104166666667</v>
      </c>
      <c r="K19" s="313">
        <v>27.3</v>
      </c>
      <c r="L19" s="313">
        <v>28</v>
      </c>
      <c r="M19" s="313">
        <v>28</v>
      </c>
      <c r="N19" s="257">
        <f t="shared" ref="N19:N20" si="0">AVERAGE(B19:M19)</f>
        <v>27.41196180555556</v>
      </c>
      <c r="O19" s="293">
        <f>N18-N19</f>
        <v>0.90970486111110205</v>
      </c>
      <c r="P19" s="293" t="s">
        <v>107</v>
      </c>
    </row>
    <row r="20" spans="1:16" ht="15.75" thickBot="1">
      <c r="A20" s="313" t="s">
        <v>88</v>
      </c>
      <c r="B20" s="313">
        <v>27.2</v>
      </c>
      <c r="C20" s="313">
        <v>27.2</v>
      </c>
      <c r="D20" s="313">
        <v>27.2</v>
      </c>
      <c r="E20" s="313">
        <v>27.2</v>
      </c>
      <c r="F20" s="313">
        <v>27.2</v>
      </c>
      <c r="G20" s="313">
        <v>27.2</v>
      </c>
      <c r="H20" s="313">
        <v>27.2</v>
      </c>
      <c r="I20" s="313">
        <v>27.2</v>
      </c>
      <c r="J20" s="313">
        <v>27.2</v>
      </c>
      <c r="K20" s="313">
        <v>27.2</v>
      </c>
      <c r="L20" s="313">
        <v>27.2</v>
      </c>
      <c r="M20" s="313">
        <v>27.2</v>
      </c>
      <c r="N20" s="257">
        <f t="shared" si="0"/>
        <v>27.199999999999992</v>
      </c>
      <c r="O20" s="293">
        <f>N18-N20</f>
        <v>1.1216666666666697</v>
      </c>
      <c r="P20" s="293" t="s">
        <v>113</v>
      </c>
    </row>
  </sheetData>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0D27C-022E-4A5D-8A03-930D982AAF6F}">
  <sheetPr codeName="Sheet144">
    <tabColor theme="5" tint="-0.249977111117893"/>
  </sheetPr>
  <dimension ref="A18:P22"/>
  <sheetViews>
    <sheetView zoomScale="90" zoomScaleNormal="90" workbookViewId="0">
      <selection activeCell="M20" sqref="M20"/>
    </sheetView>
  </sheetViews>
  <sheetFormatPr defaultRowHeight="15"/>
  <cols>
    <col min="1" max="1" width="11.28515625" bestFit="1" customWidth="1"/>
  </cols>
  <sheetData>
    <row r="18" spans="1:16" ht="15.75" thickBot="1"/>
    <row r="19" spans="1:16" ht="15.75" thickBot="1">
      <c r="A19" s="301"/>
      <c r="B19" s="317">
        <v>45839</v>
      </c>
      <c r="C19" s="317">
        <v>45870</v>
      </c>
      <c r="D19" s="317">
        <v>45901</v>
      </c>
      <c r="E19" s="317">
        <v>45931</v>
      </c>
      <c r="F19" s="317">
        <v>45962</v>
      </c>
      <c r="G19" s="317">
        <v>45992</v>
      </c>
      <c r="H19" s="317">
        <v>46023</v>
      </c>
      <c r="I19" s="317">
        <v>46054</v>
      </c>
      <c r="J19" s="317">
        <v>46082</v>
      </c>
      <c r="K19" s="317">
        <v>46113</v>
      </c>
      <c r="L19" s="317">
        <v>46143</v>
      </c>
      <c r="M19" s="317">
        <v>46174</v>
      </c>
      <c r="N19" s="421"/>
    </row>
    <row r="20" spans="1:16" ht="15.75" thickBot="1">
      <c r="A20" s="152" t="s">
        <v>59</v>
      </c>
      <c r="B20" s="152">
        <f>+'[56]Combined 70 day gain  (4)'!T18</f>
        <v>20.9</v>
      </c>
      <c r="C20" s="152">
        <f>+'[56]Combined 70 day gain  (4)'!U18</f>
        <v>21.2</v>
      </c>
      <c r="D20" s="152">
        <f>+'[56]Combined 70 day gain  (4)'!V18</f>
        <v>20.9</v>
      </c>
      <c r="E20" s="152">
        <f>+'[56]Combined 70 day gain  (4)'!W18</f>
        <v>21</v>
      </c>
      <c r="F20" s="152">
        <f>+'[56]Combined 70 day gain  (4)'!X18</f>
        <v>21.31</v>
      </c>
      <c r="G20" s="152">
        <f>+'[56]Combined 70 day gain  (4)'!Y18</f>
        <v>21.1</v>
      </c>
      <c r="H20" s="152">
        <f>+'Combined 70 day gain  (5)'!Z18</f>
        <v>21.2</v>
      </c>
      <c r="I20" s="152">
        <f>+'Combined 70 day gain  (5)'!AA18</f>
        <v>20.91</v>
      </c>
      <c r="J20" s="152">
        <f>+'Combined 70 day gain  (5)'!AB18</f>
        <v>21.18</v>
      </c>
      <c r="K20" s="152">
        <f>+'Combined 70 day gain  (5)'!AC18</f>
        <v>20.95</v>
      </c>
      <c r="L20" s="152">
        <f>+'Combined 70 day gain  (5)'!AD18</f>
        <v>21.26</v>
      </c>
      <c r="M20" s="152">
        <f>+'Combined 70 day gain  (5)'!AE18</f>
        <v>21.27</v>
      </c>
      <c r="N20" s="77">
        <f>AVERAGE(B20:M20)</f>
        <v>21.098333333333333</v>
      </c>
      <c r="O20" s="79"/>
      <c r="P20" s="79"/>
    </row>
    <row r="21" spans="1:16" ht="15.75" thickBot="1">
      <c r="A21" s="152" t="s">
        <v>109</v>
      </c>
      <c r="B21" s="152">
        <v>21.4</v>
      </c>
      <c r="C21" s="152">
        <v>20.38</v>
      </c>
      <c r="D21" s="152">
        <v>20.6</v>
      </c>
      <c r="E21" s="152">
        <v>21</v>
      </c>
      <c r="F21" s="152">
        <v>20.9</v>
      </c>
      <c r="G21" s="152">
        <v>21.1</v>
      </c>
      <c r="H21" s="152">
        <v>20.155000000000001</v>
      </c>
      <c r="I21" s="152">
        <v>19</v>
      </c>
      <c r="J21" s="152">
        <v>19.399999999999999</v>
      </c>
      <c r="K21" s="152">
        <v>20.7</v>
      </c>
      <c r="L21" s="152">
        <v>21.2</v>
      </c>
      <c r="M21" s="152">
        <v>21</v>
      </c>
      <c r="N21" s="77">
        <f t="shared" ref="N21:N22" si="0">AVERAGE(B21:M21)</f>
        <v>20.56958333333333</v>
      </c>
      <c r="O21" s="292">
        <f>N20-N21</f>
        <v>0.52875000000000227</v>
      </c>
      <c r="P21" s="292" t="s">
        <v>220</v>
      </c>
    </row>
    <row r="22" spans="1:16" ht="15.75" thickBot="1">
      <c r="A22" s="152" t="s">
        <v>88</v>
      </c>
      <c r="B22" s="152">
        <v>20</v>
      </c>
      <c r="C22" s="152">
        <v>20</v>
      </c>
      <c r="D22" s="152">
        <v>20</v>
      </c>
      <c r="E22" s="152">
        <v>20</v>
      </c>
      <c r="F22" s="152">
        <v>20</v>
      </c>
      <c r="G22" s="152">
        <v>20</v>
      </c>
      <c r="H22" s="152">
        <v>20</v>
      </c>
      <c r="I22" s="152">
        <v>20</v>
      </c>
      <c r="J22" s="152">
        <v>20</v>
      </c>
      <c r="K22" s="152">
        <v>20</v>
      </c>
      <c r="L22" s="152">
        <v>20</v>
      </c>
      <c r="M22" s="152">
        <v>20</v>
      </c>
      <c r="N22" s="77">
        <f t="shared" si="0"/>
        <v>20</v>
      </c>
      <c r="O22" s="292">
        <f>N20-N22</f>
        <v>1.0983333333333327</v>
      </c>
      <c r="P22" s="292" t="s">
        <v>113</v>
      </c>
    </row>
  </sheetData>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F228-9E79-48F2-8BC7-84EA68A3B423}">
  <sheetPr codeName="Sheet145">
    <tabColor theme="5" tint="-0.249977111117893"/>
  </sheetPr>
  <dimension ref="A17:P22"/>
  <sheetViews>
    <sheetView workbookViewId="0">
      <selection activeCell="M19" sqref="M19"/>
    </sheetView>
  </sheetViews>
  <sheetFormatPr defaultRowHeight="15"/>
  <sheetData>
    <row r="17" spans="1:16" ht="15.75" thickBot="1"/>
    <row r="18" spans="1:16" ht="15.75" thickBot="1">
      <c r="A18" s="340"/>
      <c r="B18" s="317">
        <v>45839</v>
      </c>
      <c r="C18" s="317">
        <v>45870</v>
      </c>
      <c r="D18" s="317">
        <v>45901</v>
      </c>
      <c r="E18" s="317">
        <v>45931</v>
      </c>
      <c r="F18" s="317">
        <v>45962</v>
      </c>
      <c r="G18" s="317">
        <v>45992</v>
      </c>
      <c r="H18" s="317">
        <v>46023</v>
      </c>
      <c r="I18" s="317">
        <v>46054</v>
      </c>
      <c r="J18" s="317">
        <v>46082</v>
      </c>
      <c r="K18" s="317">
        <v>46113</v>
      </c>
      <c r="L18" s="317">
        <v>46143</v>
      </c>
      <c r="M18" s="317">
        <v>46174</v>
      </c>
      <c r="N18" s="421"/>
    </row>
    <row r="19" spans="1:16" ht="15.75" thickBot="1">
      <c r="A19" s="313" t="s">
        <v>59</v>
      </c>
      <c r="B19" s="313">
        <f>+'[56]Combined WSY   (4)'!S16</f>
        <v>33.700000000000003</v>
      </c>
      <c r="C19" s="313">
        <f>+'[56]Combined WSY   (4)'!T16</f>
        <v>33.5</v>
      </c>
      <c r="D19" s="313">
        <f>+'[56]Combined WSY   (4)'!U16</f>
        <v>35.799999999999997</v>
      </c>
      <c r="E19" s="313">
        <f>+'[56]Combined WSY   (4)'!V16</f>
        <v>35.4</v>
      </c>
      <c r="F19" s="313">
        <f>+'[56]Combined WSY   (4)'!W16</f>
        <v>37.200000000000003</v>
      </c>
      <c r="G19" s="313">
        <f>+'[56]Combined WSY   (4)'!X16</f>
        <v>34.200000000000003</v>
      </c>
      <c r="H19" s="313">
        <f>+'Combined WSY   (5)'!Y16</f>
        <v>35.4</v>
      </c>
      <c r="I19" s="313">
        <f>+'Combined WSY   (5)'!Z16</f>
        <v>36.700000000000003</v>
      </c>
      <c r="J19" s="313">
        <f>+'Combined WSY   (5)'!AA16</f>
        <v>34.9</v>
      </c>
      <c r="K19" s="313">
        <f>+'Combined WSY   (5)'!AB16</f>
        <v>37</v>
      </c>
      <c r="L19" s="313">
        <f>+'Combined WSY   (5)'!AC16</f>
        <v>36.200000000000003</v>
      </c>
      <c r="M19" s="313">
        <f>+'Combined WSY   (5)'!AD16</f>
        <v>35.4</v>
      </c>
      <c r="N19" s="257">
        <f>AVERAGE(B19:M19)</f>
        <v>35.449999999999996</v>
      </c>
      <c r="O19" s="77"/>
      <c r="P19" s="77"/>
    </row>
    <row r="20" spans="1:16" ht="15.75" thickBot="1">
      <c r="A20" s="313" t="s">
        <v>103</v>
      </c>
      <c r="B20" s="313">
        <v>32.1</v>
      </c>
      <c r="C20" s="313">
        <v>31.9</v>
      </c>
      <c r="D20" s="313">
        <v>33.799999999999997</v>
      </c>
      <c r="E20" s="313">
        <v>34.1</v>
      </c>
      <c r="F20" s="313">
        <v>34.1</v>
      </c>
      <c r="G20" s="313">
        <v>36</v>
      </c>
      <c r="H20" s="313">
        <v>36.700000000000003</v>
      </c>
      <c r="I20" s="313">
        <v>34.700000000000003</v>
      </c>
      <c r="J20" s="313">
        <v>34.4</v>
      </c>
      <c r="K20" s="313">
        <v>33.9</v>
      </c>
      <c r="L20" s="313">
        <v>34.6</v>
      </c>
      <c r="M20" s="313">
        <v>34.1</v>
      </c>
      <c r="N20" s="257">
        <f t="shared" ref="N20:N21" si="0">AVERAGE(B20:M20)</f>
        <v>34.199999999999996</v>
      </c>
      <c r="O20" s="293">
        <f>N19-N20</f>
        <v>1.25</v>
      </c>
      <c r="P20" s="293" t="s">
        <v>107</v>
      </c>
    </row>
    <row r="21" spans="1:16" ht="15.75" thickBot="1">
      <c r="A21" s="313" t="s">
        <v>170</v>
      </c>
      <c r="B21" s="306">
        <v>34</v>
      </c>
      <c r="C21" s="306">
        <v>34</v>
      </c>
      <c r="D21" s="306">
        <v>34</v>
      </c>
      <c r="E21" s="306">
        <v>34</v>
      </c>
      <c r="F21" s="306">
        <v>34</v>
      </c>
      <c r="G21" s="306">
        <v>34</v>
      </c>
      <c r="H21" s="306">
        <v>34</v>
      </c>
      <c r="I21" s="306">
        <v>34</v>
      </c>
      <c r="J21" s="306">
        <v>34</v>
      </c>
      <c r="K21" s="306">
        <v>34</v>
      </c>
      <c r="L21" s="306">
        <v>34</v>
      </c>
      <c r="M21" s="306">
        <v>34</v>
      </c>
      <c r="N21" s="257">
        <f t="shared" si="0"/>
        <v>34</v>
      </c>
      <c r="O21" s="293">
        <f>N19-N21</f>
        <v>1.4499999999999957</v>
      </c>
      <c r="P21" s="293" t="s">
        <v>113</v>
      </c>
    </row>
    <row r="22" spans="1:16">
      <c r="O22" s="77"/>
      <c r="P22" s="77"/>
    </row>
  </sheetData>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0BB1-9093-465F-A2A2-9AC3F7B601D0}">
  <sheetPr codeName="Sheet146">
    <tabColor theme="5" tint="-0.249977111117893"/>
    <pageSetUpPr fitToPage="1"/>
  </sheetPr>
  <dimension ref="A2:AEO37"/>
  <sheetViews>
    <sheetView topLeftCell="A10" zoomScale="78" workbookViewId="0">
      <pane xSplit="2" topLeftCell="C1" activePane="topRight" state="frozen"/>
      <selection pane="topRight" activeCell="AB26" sqref="AB26"/>
      <selection activeCell="K20" sqref="K20:L20"/>
    </sheetView>
  </sheetViews>
  <sheetFormatPr defaultColWidth="13.28515625" defaultRowHeight="21"/>
  <cols>
    <col min="1" max="1" width="13.28515625" style="83"/>
    <col min="2" max="2" width="24.7109375" style="83" customWidth="1"/>
    <col min="3" max="3" width="9" style="83" hidden="1" customWidth="1"/>
    <col min="4" max="4" width="9.42578125" style="80" hidden="1" customWidth="1"/>
    <col min="5" max="5" width="13.140625" style="81" hidden="1" customWidth="1"/>
    <col min="6" max="6" width="9" style="81" hidden="1" customWidth="1"/>
    <col min="7" max="7" width="14.7109375" style="81" hidden="1" customWidth="1"/>
    <col min="8" max="8" width="8.7109375" style="81" hidden="1" customWidth="1"/>
    <col min="9" max="9" width="9.28515625" style="81" hidden="1" customWidth="1"/>
    <col min="10" max="10" width="8.7109375" style="81" hidden="1" customWidth="1"/>
    <col min="11" max="13" width="9" style="81" hidden="1" customWidth="1"/>
    <col min="14" max="20" width="13.42578125" style="81" hidden="1" customWidth="1"/>
    <col min="21" max="25" width="13.42578125" style="81" customWidth="1"/>
    <col min="26" max="26" width="13.42578125" style="80" customWidth="1"/>
    <col min="27" max="27" width="13.28515625" style="205"/>
    <col min="28" max="34" width="13.28515625" style="80"/>
    <col min="35" max="35" width="13.28515625" style="81"/>
    <col min="36" max="38" width="13.28515625" style="80"/>
    <col min="39" max="39" width="13.28515625" style="81"/>
    <col min="40" max="40" width="13.28515625" style="80"/>
    <col min="41" max="41" width="13.28515625" style="81"/>
    <col min="42" max="46" width="13.28515625" style="80"/>
    <col min="47" max="47" width="13.28515625" style="81"/>
    <col min="48" max="48" width="13.28515625" style="80"/>
    <col min="49" max="49" width="13.28515625" style="81"/>
    <col min="50" max="50" width="13.28515625" style="80"/>
    <col min="51" max="51" width="13.28515625" style="81"/>
    <col min="52" max="52" width="13.28515625" style="80"/>
    <col min="53" max="53" width="13.28515625" style="81"/>
    <col min="54" max="56" width="13.28515625" style="80"/>
    <col min="57" max="16384" width="13.28515625" style="83"/>
  </cols>
  <sheetData>
    <row r="2" spans="1:821" ht="21" customHeight="1" thickBot="1">
      <c r="B2" s="431" t="s">
        <v>221</v>
      </c>
      <c r="C2" s="176"/>
      <c r="D2" s="176"/>
      <c r="E2" s="177"/>
      <c r="F2" s="177"/>
      <c r="G2" s="177"/>
      <c r="H2" s="177"/>
      <c r="I2" s="177"/>
      <c r="J2" s="177"/>
      <c r="K2" s="177"/>
      <c r="L2" s="177"/>
      <c r="M2" s="177"/>
      <c r="AA2" s="204"/>
      <c r="AI2" s="80"/>
      <c r="AU2" s="80"/>
      <c r="AW2" s="80"/>
      <c r="AY2" s="80"/>
      <c r="BA2" s="80"/>
      <c r="BE2" s="80"/>
      <c r="BF2" s="80"/>
      <c r="BG2" s="80"/>
      <c r="BH2" s="82"/>
      <c r="BI2" s="80"/>
    </row>
    <row r="3" spans="1:821" s="84" customFormat="1" ht="21" customHeight="1" thickBot="1">
      <c r="A3" s="630"/>
      <c r="B3" s="480" t="s">
        <v>140</v>
      </c>
      <c r="C3" s="481">
        <v>45474</v>
      </c>
      <c r="D3" s="481">
        <v>45505</v>
      </c>
      <c r="E3" s="481">
        <v>45536</v>
      </c>
      <c r="F3" s="481">
        <v>45566</v>
      </c>
      <c r="G3" s="481">
        <v>45597</v>
      </c>
      <c r="H3" s="481">
        <v>45627</v>
      </c>
      <c r="I3" s="481">
        <v>45658</v>
      </c>
      <c r="J3" s="481">
        <v>45689</v>
      </c>
      <c r="K3" s="481">
        <v>45717</v>
      </c>
      <c r="L3" s="481">
        <v>45748</v>
      </c>
      <c r="M3" s="481">
        <v>45778</v>
      </c>
      <c r="N3" s="482">
        <v>45809</v>
      </c>
      <c r="O3" s="482">
        <v>45839</v>
      </c>
      <c r="P3" s="482">
        <v>45870</v>
      </c>
      <c r="Q3" s="481">
        <v>45901</v>
      </c>
      <c r="R3" s="481">
        <v>45931</v>
      </c>
      <c r="S3" s="481">
        <v>45962</v>
      </c>
      <c r="T3" s="481">
        <v>45992</v>
      </c>
      <c r="U3" s="481">
        <v>46023</v>
      </c>
      <c r="V3" s="481">
        <v>46054</v>
      </c>
      <c r="W3" s="481">
        <v>46082</v>
      </c>
      <c r="X3" s="589">
        <v>46113</v>
      </c>
      <c r="Y3" s="589">
        <v>46143</v>
      </c>
      <c r="Z3" s="703">
        <v>46174</v>
      </c>
      <c r="AA3" s="322" t="s">
        <v>100</v>
      </c>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c r="KX3" s="80"/>
      <c r="KY3" s="80"/>
      <c r="KZ3" s="80"/>
      <c r="LA3" s="80"/>
      <c r="LB3" s="80"/>
      <c r="LC3" s="80"/>
      <c r="LD3" s="80"/>
      <c r="LE3" s="80"/>
      <c r="LF3" s="80"/>
      <c r="LG3" s="80"/>
      <c r="LH3" s="80"/>
      <c r="LI3" s="80"/>
      <c r="LJ3" s="80"/>
      <c r="LK3" s="80"/>
      <c r="LL3" s="80"/>
      <c r="LM3" s="80"/>
      <c r="LN3" s="80"/>
      <c r="LO3" s="80"/>
      <c r="LP3" s="80"/>
      <c r="LQ3" s="80"/>
      <c r="LR3" s="80"/>
      <c r="LS3" s="80"/>
      <c r="LT3" s="80"/>
      <c r="LU3" s="80"/>
      <c r="LV3" s="80"/>
      <c r="LW3" s="80"/>
      <c r="LX3" s="80"/>
      <c r="LY3" s="80"/>
      <c r="LZ3" s="80"/>
      <c r="MA3" s="80"/>
      <c r="MB3" s="80"/>
      <c r="MC3" s="80"/>
      <c r="MD3" s="80"/>
      <c r="ME3" s="80"/>
      <c r="MF3" s="80"/>
      <c r="MG3" s="80"/>
      <c r="MH3" s="80"/>
      <c r="MI3" s="80"/>
      <c r="MJ3" s="80"/>
      <c r="MK3" s="80"/>
      <c r="ML3" s="80"/>
      <c r="MM3" s="80"/>
      <c r="MN3" s="80"/>
      <c r="MO3" s="80"/>
      <c r="MP3" s="80"/>
      <c r="MQ3" s="80"/>
      <c r="MR3" s="80"/>
      <c r="MS3" s="80"/>
      <c r="MT3" s="80"/>
      <c r="MU3" s="80"/>
      <c r="MV3" s="80"/>
      <c r="MW3" s="80"/>
      <c r="MX3" s="80"/>
      <c r="MY3" s="80"/>
      <c r="MZ3" s="80"/>
      <c r="NA3" s="80"/>
      <c r="NB3" s="80"/>
      <c r="NC3" s="80"/>
      <c r="ND3" s="80"/>
      <c r="NE3" s="80"/>
      <c r="NF3" s="80"/>
      <c r="NG3" s="80"/>
      <c r="NH3" s="80"/>
      <c r="NI3" s="80"/>
      <c r="NJ3" s="80"/>
      <c r="NK3" s="80"/>
      <c r="NL3" s="80"/>
      <c r="NM3" s="80"/>
      <c r="NN3" s="80"/>
      <c r="NO3" s="80"/>
      <c r="NP3" s="80"/>
      <c r="NQ3" s="80"/>
      <c r="NR3" s="80"/>
      <c r="NS3" s="80"/>
      <c r="NT3" s="80"/>
      <c r="NU3" s="80"/>
      <c r="NV3" s="80"/>
      <c r="NW3" s="80"/>
      <c r="NX3" s="80"/>
      <c r="NY3" s="80"/>
      <c r="NZ3" s="80"/>
      <c r="OA3" s="80"/>
      <c r="OB3" s="80"/>
      <c r="OC3" s="80"/>
      <c r="OD3" s="80"/>
      <c r="OE3" s="80"/>
      <c r="OF3" s="80"/>
      <c r="OG3" s="80"/>
      <c r="OH3" s="80"/>
      <c r="OI3" s="80"/>
      <c r="OJ3" s="80"/>
      <c r="OK3" s="80"/>
      <c r="OL3" s="80"/>
      <c r="OM3" s="80"/>
      <c r="ON3" s="80"/>
      <c r="OO3" s="80"/>
      <c r="OP3" s="80"/>
      <c r="OQ3" s="80"/>
      <c r="OR3" s="80"/>
      <c r="OS3" s="80"/>
      <c r="OT3" s="80"/>
      <c r="OU3" s="80"/>
      <c r="OV3" s="80"/>
      <c r="OW3" s="80"/>
      <c r="OX3" s="80"/>
      <c r="OY3" s="80"/>
      <c r="OZ3" s="80"/>
      <c r="PA3" s="80"/>
      <c r="PB3" s="80"/>
      <c r="PC3" s="80"/>
      <c r="PD3" s="80"/>
      <c r="PE3" s="80"/>
      <c r="PF3" s="80"/>
      <c r="PG3" s="80"/>
      <c r="PH3" s="80"/>
      <c r="PI3" s="80"/>
      <c r="PJ3" s="80"/>
      <c r="PK3" s="80"/>
      <c r="PL3" s="80"/>
      <c r="PM3" s="80"/>
      <c r="PN3" s="80"/>
      <c r="PO3" s="80"/>
      <c r="PP3" s="80"/>
      <c r="PQ3" s="80"/>
      <c r="PR3" s="80"/>
      <c r="PS3" s="80"/>
      <c r="PT3" s="80"/>
      <c r="PU3" s="80"/>
      <c r="PV3" s="80"/>
      <c r="PW3" s="80"/>
      <c r="PX3" s="80"/>
      <c r="PY3" s="80"/>
      <c r="PZ3" s="80"/>
      <c r="QA3" s="80"/>
      <c r="QB3" s="80"/>
      <c r="QC3" s="80"/>
      <c r="QD3" s="80"/>
      <c r="QE3" s="80"/>
      <c r="QF3" s="80"/>
      <c r="QG3" s="80"/>
      <c r="QH3" s="80"/>
      <c r="QI3" s="80"/>
      <c r="QJ3" s="80"/>
      <c r="QK3" s="80"/>
      <c r="QL3" s="80"/>
      <c r="QM3" s="80"/>
      <c r="QN3" s="80"/>
      <c r="QO3" s="80"/>
      <c r="QP3" s="80"/>
      <c r="QQ3" s="80"/>
      <c r="QR3" s="80"/>
      <c r="QS3" s="80"/>
      <c r="QT3" s="80"/>
      <c r="QU3" s="80"/>
      <c r="QV3" s="80"/>
      <c r="QW3" s="80"/>
      <c r="QX3" s="80"/>
      <c r="QY3" s="80"/>
      <c r="QZ3" s="80"/>
      <c r="RA3" s="80"/>
      <c r="RB3" s="80"/>
      <c r="RC3" s="80"/>
      <c r="RD3" s="80"/>
      <c r="RE3" s="80"/>
      <c r="RF3" s="80"/>
      <c r="RG3" s="80"/>
      <c r="RH3" s="80"/>
      <c r="RI3" s="80"/>
      <c r="RJ3" s="80"/>
      <c r="RK3" s="80"/>
      <c r="RL3" s="80"/>
      <c r="RM3" s="80"/>
      <c r="RN3" s="80"/>
      <c r="RO3" s="80"/>
      <c r="RP3" s="80"/>
      <c r="RQ3" s="80"/>
      <c r="RR3" s="80"/>
      <c r="RS3" s="80"/>
      <c r="RT3" s="80"/>
      <c r="RU3" s="80"/>
      <c r="RV3" s="80"/>
      <c r="RW3" s="80"/>
      <c r="RX3" s="80"/>
      <c r="RY3" s="80"/>
      <c r="RZ3" s="80"/>
      <c r="SA3" s="80"/>
      <c r="SB3" s="80"/>
      <c r="SC3" s="80"/>
      <c r="SD3" s="80"/>
      <c r="SE3" s="80"/>
      <c r="SF3" s="80"/>
      <c r="SG3" s="80"/>
      <c r="SH3" s="80"/>
      <c r="SI3" s="80"/>
      <c r="SJ3" s="80"/>
      <c r="SK3" s="80"/>
      <c r="SL3" s="80"/>
      <c r="SM3" s="80"/>
      <c r="SN3" s="80"/>
      <c r="SO3" s="80"/>
      <c r="SP3" s="80"/>
      <c r="SQ3" s="80"/>
      <c r="SR3" s="80"/>
      <c r="SS3" s="80"/>
      <c r="ST3" s="80"/>
      <c r="SU3" s="80"/>
      <c r="SV3" s="80"/>
      <c r="SW3" s="80"/>
      <c r="SX3" s="80"/>
      <c r="SY3" s="80"/>
      <c r="SZ3" s="80"/>
      <c r="TA3" s="80"/>
      <c r="TB3" s="80"/>
      <c r="TC3" s="80"/>
      <c r="TD3" s="80"/>
      <c r="TE3" s="80"/>
      <c r="TF3" s="80"/>
      <c r="TG3" s="80"/>
      <c r="TH3" s="80"/>
      <c r="TI3" s="80"/>
      <c r="TJ3" s="80"/>
      <c r="TK3" s="80"/>
      <c r="TL3" s="80"/>
      <c r="TM3" s="80"/>
      <c r="TN3" s="80"/>
      <c r="TO3" s="80"/>
      <c r="TP3" s="80"/>
      <c r="TQ3" s="80"/>
      <c r="TR3" s="80"/>
      <c r="TS3" s="80"/>
      <c r="TT3" s="80"/>
      <c r="TU3" s="80"/>
      <c r="TV3" s="80"/>
      <c r="TW3" s="80"/>
      <c r="TX3" s="80"/>
      <c r="TY3" s="80"/>
      <c r="TZ3" s="80"/>
      <c r="UA3" s="80"/>
      <c r="UB3" s="80"/>
      <c r="UC3" s="80"/>
      <c r="UD3" s="80"/>
      <c r="UE3" s="80"/>
      <c r="UF3" s="80"/>
      <c r="UG3" s="80"/>
      <c r="UH3" s="80"/>
      <c r="UI3" s="80"/>
      <c r="UJ3" s="80"/>
      <c r="UK3" s="80"/>
      <c r="UL3" s="80"/>
      <c r="UM3" s="80"/>
      <c r="UN3" s="80"/>
      <c r="UO3" s="80"/>
      <c r="UP3" s="80"/>
      <c r="UQ3" s="80"/>
      <c r="UR3" s="80"/>
      <c r="US3" s="80"/>
      <c r="UT3" s="80"/>
      <c r="UU3" s="80"/>
      <c r="UV3" s="80"/>
      <c r="UW3" s="80"/>
      <c r="UX3" s="80"/>
      <c r="UY3" s="80"/>
      <c r="UZ3" s="80"/>
      <c r="VA3" s="80"/>
      <c r="VB3" s="80"/>
      <c r="VC3" s="80"/>
      <c r="VD3" s="80"/>
      <c r="VE3" s="80"/>
      <c r="VF3" s="80"/>
      <c r="VG3" s="80"/>
      <c r="VH3" s="80"/>
      <c r="VI3" s="80"/>
      <c r="VJ3" s="80"/>
      <c r="VK3" s="80"/>
      <c r="VL3" s="80"/>
      <c r="VM3" s="80"/>
      <c r="VN3" s="80"/>
      <c r="VO3" s="80"/>
      <c r="VP3" s="80"/>
      <c r="VQ3" s="80"/>
      <c r="VR3" s="80"/>
      <c r="VS3" s="80"/>
      <c r="VT3" s="80"/>
      <c r="VU3" s="80"/>
      <c r="VV3" s="80"/>
      <c r="VW3" s="80"/>
      <c r="VX3" s="80"/>
      <c r="VY3" s="80"/>
      <c r="VZ3" s="80"/>
      <c r="WA3" s="80"/>
      <c r="WB3" s="80"/>
      <c r="WC3" s="80"/>
      <c r="WD3" s="80"/>
      <c r="WE3" s="80"/>
      <c r="WF3" s="80"/>
      <c r="WG3" s="80"/>
      <c r="WH3" s="80"/>
      <c r="WI3" s="80"/>
      <c r="WJ3" s="80"/>
      <c r="WK3" s="80"/>
      <c r="WL3" s="80"/>
      <c r="WM3" s="80"/>
      <c r="WN3" s="80"/>
      <c r="WO3" s="80"/>
      <c r="WP3" s="80"/>
      <c r="WQ3" s="80"/>
      <c r="WR3" s="80"/>
      <c r="WS3" s="80"/>
      <c r="WT3" s="80"/>
      <c r="WU3" s="80"/>
      <c r="WV3" s="80"/>
      <c r="WW3" s="80"/>
      <c r="WX3" s="80"/>
      <c r="WY3" s="80"/>
      <c r="WZ3" s="80"/>
      <c r="XA3" s="80"/>
      <c r="XB3" s="80"/>
      <c r="XC3" s="80"/>
      <c r="XD3" s="80"/>
      <c r="XE3" s="80"/>
      <c r="XF3" s="80"/>
      <c r="XG3" s="80"/>
      <c r="XH3" s="80"/>
      <c r="XI3" s="80"/>
      <c r="XJ3" s="80"/>
      <c r="XK3" s="80"/>
      <c r="XL3" s="80"/>
      <c r="XM3" s="80"/>
      <c r="XN3" s="80"/>
      <c r="XO3" s="80"/>
      <c r="XP3" s="80"/>
      <c r="XQ3" s="80"/>
      <c r="XR3" s="80"/>
      <c r="XS3" s="80"/>
      <c r="XT3" s="80"/>
      <c r="XU3" s="80"/>
      <c r="XV3" s="80"/>
      <c r="XW3" s="80"/>
      <c r="XX3" s="80"/>
      <c r="XY3" s="80"/>
      <c r="XZ3" s="80"/>
      <c r="YA3" s="80"/>
      <c r="YB3" s="80"/>
      <c r="YC3" s="80"/>
      <c r="YD3" s="80"/>
      <c r="YE3" s="80"/>
      <c r="YF3" s="80"/>
      <c r="YG3" s="80"/>
      <c r="YH3" s="80"/>
      <c r="YI3" s="80"/>
      <c r="YJ3" s="80"/>
      <c r="YK3" s="80"/>
      <c r="YL3" s="80"/>
      <c r="YM3" s="80"/>
      <c r="YN3" s="80"/>
      <c r="YO3" s="80"/>
      <c r="YP3" s="80"/>
      <c r="YQ3" s="80"/>
      <c r="YR3" s="80"/>
      <c r="YS3" s="80"/>
      <c r="YT3" s="80"/>
      <c r="YU3" s="80"/>
      <c r="YV3" s="80"/>
      <c r="YW3" s="80"/>
      <c r="YX3" s="80"/>
      <c r="YY3" s="80"/>
      <c r="YZ3" s="80"/>
      <c r="ZA3" s="80"/>
      <c r="ZB3" s="80"/>
      <c r="ZC3" s="80"/>
      <c r="ZD3" s="80"/>
      <c r="ZE3" s="80"/>
      <c r="ZF3" s="80"/>
      <c r="ZG3" s="80"/>
      <c r="ZH3" s="80"/>
      <c r="ZI3" s="80"/>
      <c r="ZJ3" s="80"/>
      <c r="ZK3" s="80"/>
      <c r="ZL3" s="80"/>
      <c r="ZM3" s="80"/>
      <c r="ZN3" s="80"/>
      <c r="ZO3" s="80"/>
      <c r="ZP3" s="80"/>
      <c r="ZQ3" s="80"/>
      <c r="ZR3" s="80"/>
      <c r="ZS3" s="80"/>
      <c r="ZT3" s="80"/>
      <c r="ZU3" s="80"/>
      <c r="ZV3" s="80"/>
      <c r="ZW3" s="80"/>
      <c r="ZX3" s="80"/>
      <c r="ZY3" s="80"/>
      <c r="ZZ3" s="80"/>
      <c r="AAA3" s="80"/>
      <c r="AAB3" s="80"/>
      <c r="AAC3" s="80"/>
      <c r="AAD3" s="80"/>
      <c r="AAE3" s="80"/>
      <c r="AAF3" s="80"/>
      <c r="AAG3" s="80"/>
      <c r="AAH3" s="80"/>
      <c r="AAI3" s="80"/>
      <c r="AAJ3" s="80"/>
      <c r="AAK3" s="80"/>
      <c r="AAL3" s="80"/>
      <c r="AAM3" s="80"/>
      <c r="AAN3" s="80"/>
      <c r="AAO3" s="80"/>
      <c r="AAP3" s="80"/>
      <c r="AAQ3" s="80"/>
      <c r="AAR3" s="80"/>
      <c r="AAS3" s="80"/>
      <c r="AAT3" s="80"/>
      <c r="AAU3" s="80"/>
      <c r="AAV3" s="80"/>
      <c r="AAW3" s="80"/>
      <c r="AAX3" s="80"/>
      <c r="AAY3" s="80"/>
      <c r="AAZ3" s="80"/>
      <c r="ABA3" s="80"/>
      <c r="ABB3" s="80"/>
      <c r="ABC3" s="80"/>
      <c r="ABD3" s="80"/>
      <c r="ABE3" s="80"/>
      <c r="ABF3" s="80"/>
      <c r="ABG3" s="80"/>
      <c r="ABH3" s="80"/>
      <c r="ABI3" s="80"/>
      <c r="ABJ3" s="80"/>
      <c r="ABK3" s="80"/>
      <c r="ABL3" s="80"/>
      <c r="ABM3" s="80"/>
      <c r="ABN3" s="80"/>
      <c r="ABO3" s="80"/>
      <c r="ABP3" s="80"/>
      <c r="ABQ3" s="80"/>
      <c r="ABR3" s="80"/>
      <c r="ABS3" s="80"/>
      <c r="ABT3" s="80"/>
      <c r="ABU3" s="80"/>
      <c r="ABV3" s="80"/>
      <c r="ABW3" s="80"/>
      <c r="ABX3" s="80"/>
      <c r="ABY3" s="80"/>
      <c r="ABZ3" s="80"/>
      <c r="ACA3" s="80"/>
      <c r="ACB3" s="80"/>
      <c r="ACC3" s="80"/>
      <c r="ACD3" s="80"/>
      <c r="ACE3" s="80"/>
      <c r="ACF3" s="80"/>
      <c r="ACG3" s="80"/>
      <c r="ACH3" s="80"/>
      <c r="ACI3" s="80"/>
      <c r="ACJ3" s="80"/>
      <c r="ACK3" s="80"/>
      <c r="ACL3" s="80"/>
      <c r="ACM3" s="80"/>
      <c r="ACN3" s="80"/>
      <c r="ACO3" s="80"/>
      <c r="ACP3" s="80"/>
      <c r="ACQ3" s="80"/>
      <c r="ACR3" s="80"/>
      <c r="ACS3" s="80"/>
      <c r="ACT3" s="80"/>
      <c r="ACU3" s="80"/>
      <c r="ACV3" s="80"/>
      <c r="ACW3" s="80"/>
      <c r="ACX3" s="80"/>
      <c r="ACY3" s="80"/>
      <c r="ACZ3" s="80"/>
      <c r="ADA3" s="80"/>
      <c r="ADB3" s="80"/>
      <c r="ADC3" s="80"/>
      <c r="ADD3" s="80"/>
      <c r="ADE3" s="80"/>
      <c r="ADF3" s="80"/>
      <c r="ADG3" s="80"/>
      <c r="ADH3" s="80"/>
      <c r="ADI3" s="80"/>
      <c r="ADJ3" s="80"/>
      <c r="ADK3" s="80"/>
      <c r="ADL3" s="80"/>
      <c r="ADM3" s="80"/>
      <c r="ADN3" s="80"/>
      <c r="ADO3" s="80"/>
      <c r="ADP3" s="80"/>
      <c r="ADQ3" s="80"/>
      <c r="ADR3" s="80"/>
      <c r="ADS3" s="80"/>
      <c r="ADT3" s="80"/>
      <c r="ADU3" s="80"/>
      <c r="ADV3" s="80"/>
      <c r="ADW3" s="80"/>
      <c r="ADX3" s="80"/>
      <c r="ADY3" s="80"/>
      <c r="ADZ3" s="80"/>
      <c r="AEA3" s="80"/>
      <c r="AEB3" s="80"/>
      <c r="AEC3" s="80"/>
      <c r="AED3" s="80"/>
      <c r="AEE3" s="80"/>
      <c r="AEF3" s="80"/>
      <c r="AEG3" s="80"/>
      <c r="AEH3" s="80"/>
      <c r="AEI3" s="80"/>
      <c r="AEJ3" s="80"/>
      <c r="AEK3" s="80"/>
      <c r="AEL3" s="80"/>
      <c r="AEM3" s="80"/>
      <c r="AEN3" s="80"/>
      <c r="AEO3" s="80"/>
    </row>
    <row r="4" spans="1:821" ht="21" customHeight="1" thickBot="1">
      <c r="B4" s="344" t="s">
        <v>173</v>
      </c>
      <c r="C4" s="178">
        <v>420</v>
      </c>
      <c r="D4" s="178">
        <v>511</v>
      </c>
      <c r="E4" s="178">
        <v>520</v>
      </c>
      <c r="F4" s="178">
        <v>534</v>
      </c>
      <c r="G4" s="178">
        <v>543</v>
      </c>
      <c r="H4" s="178">
        <v>541</v>
      </c>
      <c r="I4" s="178">
        <v>538</v>
      </c>
      <c r="J4" s="178">
        <v>539</v>
      </c>
      <c r="K4" s="178">
        <v>521</v>
      </c>
      <c r="L4" s="178">
        <v>522</v>
      </c>
      <c r="M4" s="178">
        <v>521</v>
      </c>
      <c r="N4" s="250">
        <v>515</v>
      </c>
      <c r="O4" s="424">
        <v>511</v>
      </c>
      <c r="P4" s="417">
        <v>517</v>
      </c>
      <c r="Q4" s="424">
        <v>510</v>
      </c>
      <c r="R4" s="424">
        <v>516</v>
      </c>
      <c r="S4" s="424">
        <v>517</v>
      </c>
      <c r="T4" s="424">
        <v>522</v>
      </c>
      <c r="U4" s="424">
        <v>519</v>
      </c>
      <c r="V4" s="424">
        <v>514</v>
      </c>
      <c r="W4" s="424">
        <v>519</v>
      </c>
      <c r="X4" s="181">
        <v>519</v>
      </c>
      <c r="Y4" s="181">
        <v>520</v>
      </c>
      <c r="Z4" s="548">
        <v>521</v>
      </c>
      <c r="AA4" s="509"/>
      <c r="BE4" s="80"/>
      <c r="BH4" s="82"/>
      <c r="BI4" s="80"/>
    </row>
    <row r="5" spans="1:821" ht="21" customHeight="1" thickBot="1">
      <c r="B5" s="344" t="s">
        <v>143</v>
      </c>
      <c r="C5" s="178">
        <v>22</v>
      </c>
      <c r="D5" s="178">
        <v>20</v>
      </c>
      <c r="E5" s="178">
        <v>16</v>
      </c>
      <c r="F5" s="178">
        <v>20</v>
      </c>
      <c r="G5" s="178">
        <v>18</v>
      </c>
      <c r="H5" s="178">
        <v>10</v>
      </c>
      <c r="I5" s="178">
        <v>13</v>
      </c>
      <c r="J5" s="178">
        <v>16</v>
      </c>
      <c r="K5" s="178">
        <v>13</v>
      </c>
      <c r="L5" s="178">
        <v>18</v>
      </c>
      <c r="M5" s="178">
        <v>14</v>
      </c>
      <c r="N5" s="250">
        <v>16</v>
      </c>
      <c r="O5" s="181">
        <v>24</v>
      </c>
      <c r="P5" s="392">
        <v>22</v>
      </c>
      <c r="Q5" s="181">
        <v>10</v>
      </c>
      <c r="R5" s="181">
        <v>9</v>
      </c>
      <c r="S5" s="181">
        <v>14</v>
      </c>
      <c r="T5" s="181">
        <v>23</v>
      </c>
      <c r="U5" s="181">
        <v>19</v>
      </c>
      <c r="V5" s="181">
        <v>8</v>
      </c>
      <c r="W5" s="181">
        <v>18</v>
      </c>
      <c r="X5" s="181">
        <v>18</v>
      </c>
      <c r="Y5" s="181">
        <v>6</v>
      </c>
      <c r="Z5" s="544">
        <v>19</v>
      </c>
      <c r="AA5" s="509">
        <v>18</v>
      </c>
      <c r="BE5" s="80"/>
      <c r="BH5" s="82"/>
      <c r="BI5" s="80"/>
    </row>
    <row r="6" spans="1:821" ht="21" customHeight="1" thickBot="1">
      <c r="B6" s="344" t="s">
        <v>144</v>
      </c>
      <c r="C6" s="178">
        <v>14.5</v>
      </c>
      <c r="D6" s="178">
        <v>14.8</v>
      </c>
      <c r="E6" s="178">
        <v>15.5</v>
      </c>
      <c r="F6" s="178">
        <v>15.2</v>
      </c>
      <c r="G6" s="178">
        <v>15.8</v>
      </c>
      <c r="H6" s="178">
        <v>15.9</v>
      </c>
      <c r="I6" s="178">
        <v>15.4</v>
      </c>
      <c r="J6" s="178">
        <v>15.3</v>
      </c>
      <c r="K6" s="178">
        <v>15.2</v>
      </c>
      <c r="L6" s="178">
        <v>15.1</v>
      </c>
      <c r="M6" s="178">
        <v>15.4</v>
      </c>
      <c r="N6" s="250">
        <v>15.3</v>
      </c>
      <c r="O6" s="181">
        <v>15</v>
      </c>
      <c r="P6" s="392">
        <v>15.7</v>
      </c>
      <c r="Q6" s="181">
        <v>15.1</v>
      </c>
      <c r="R6" s="181">
        <v>16.399999999999999</v>
      </c>
      <c r="S6" s="181">
        <v>15.9</v>
      </c>
      <c r="T6" s="181">
        <v>15.9</v>
      </c>
      <c r="U6" s="181">
        <v>16.399999999999999</v>
      </c>
      <c r="V6" s="181">
        <v>16.5</v>
      </c>
      <c r="W6" s="181">
        <v>15.8</v>
      </c>
      <c r="X6" s="181">
        <v>15.5</v>
      </c>
      <c r="Y6" s="181">
        <v>15.9</v>
      </c>
      <c r="Z6" s="544">
        <v>15.9</v>
      </c>
      <c r="AA6" s="509">
        <v>16</v>
      </c>
      <c r="BE6" s="80"/>
      <c r="BH6" s="82"/>
      <c r="BI6" s="80"/>
    </row>
    <row r="7" spans="1:821" ht="21" customHeight="1" thickBot="1">
      <c r="B7" s="344" t="s">
        <v>145</v>
      </c>
      <c r="C7" s="178">
        <v>13.7</v>
      </c>
      <c r="D7" s="178">
        <v>14.4</v>
      </c>
      <c r="E7" s="178">
        <v>15.1</v>
      </c>
      <c r="F7" s="178">
        <v>14.7</v>
      </c>
      <c r="G7" s="178">
        <v>15.4</v>
      </c>
      <c r="H7" s="178">
        <v>15.4</v>
      </c>
      <c r="I7" s="178">
        <v>15.1</v>
      </c>
      <c r="J7" s="178">
        <v>14.9</v>
      </c>
      <c r="K7" s="178">
        <v>14.6</v>
      </c>
      <c r="L7" s="178">
        <v>14.6</v>
      </c>
      <c r="M7" s="178">
        <v>15</v>
      </c>
      <c r="N7" s="251">
        <v>14.8</v>
      </c>
      <c r="O7" s="288">
        <v>14.5</v>
      </c>
      <c r="P7" s="393">
        <v>15.2</v>
      </c>
      <c r="Q7" s="288">
        <v>14.8</v>
      </c>
      <c r="R7" s="288">
        <v>16.100000000000001</v>
      </c>
      <c r="S7" s="288">
        <v>15.5</v>
      </c>
      <c r="T7" s="288">
        <v>15.5</v>
      </c>
      <c r="U7" s="288">
        <v>16</v>
      </c>
      <c r="V7" s="288">
        <v>16</v>
      </c>
      <c r="W7" s="288">
        <v>15.3</v>
      </c>
      <c r="X7" s="288">
        <v>15.2</v>
      </c>
      <c r="Y7" s="288">
        <v>15.5</v>
      </c>
      <c r="Z7" s="545">
        <v>15.5</v>
      </c>
      <c r="AA7" s="509">
        <v>15.5</v>
      </c>
      <c r="BE7" s="80"/>
      <c r="BH7" s="82"/>
      <c r="BI7" s="80"/>
    </row>
    <row r="8" spans="1:821" ht="21" customHeight="1" thickBot="1">
      <c r="B8" s="344" t="s">
        <v>146</v>
      </c>
      <c r="C8" s="178">
        <v>0.5</v>
      </c>
      <c r="D8" s="178">
        <v>0.4</v>
      </c>
      <c r="E8" s="178">
        <v>0.5</v>
      </c>
      <c r="F8" s="178">
        <v>0.5</v>
      </c>
      <c r="G8" s="178">
        <v>0.4</v>
      </c>
      <c r="H8" s="178">
        <v>0.4</v>
      </c>
      <c r="I8" s="178">
        <v>0.3</v>
      </c>
      <c r="J8" s="178">
        <v>0.4</v>
      </c>
      <c r="K8" s="178">
        <v>0.6</v>
      </c>
      <c r="L8" s="178">
        <v>0.4</v>
      </c>
      <c r="M8" s="178">
        <v>0.4</v>
      </c>
      <c r="N8" s="251">
        <v>0.5</v>
      </c>
      <c r="O8" s="288">
        <v>0.5</v>
      </c>
      <c r="P8" s="393">
        <v>0.5</v>
      </c>
      <c r="Q8" s="288">
        <v>0.4</v>
      </c>
      <c r="R8" s="288">
        <v>0.4</v>
      </c>
      <c r="S8" s="288">
        <v>0.4</v>
      </c>
      <c r="T8" s="288">
        <v>0.4</v>
      </c>
      <c r="U8" s="288">
        <v>0.5</v>
      </c>
      <c r="V8" s="288">
        <v>0.5</v>
      </c>
      <c r="W8" s="288">
        <v>0.4</v>
      </c>
      <c r="X8" s="288">
        <v>0.3</v>
      </c>
      <c r="Y8" s="288">
        <v>0.3</v>
      </c>
      <c r="Z8" s="545">
        <v>0.4</v>
      </c>
      <c r="AA8" s="509">
        <v>0.5</v>
      </c>
      <c r="AS8" s="85"/>
      <c r="BE8" s="80"/>
      <c r="BH8" s="82"/>
      <c r="BI8" s="80"/>
    </row>
    <row r="9" spans="1:821" ht="21" customHeight="1" thickBot="1">
      <c r="B9" s="344" t="s">
        <v>147</v>
      </c>
      <c r="C9" s="178">
        <v>13.1</v>
      </c>
      <c r="D9" s="178">
        <v>13.2</v>
      </c>
      <c r="E9" s="178">
        <v>13.9</v>
      </c>
      <c r="F9" s="178">
        <v>13.9</v>
      </c>
      <c r="G9" s="178">
        <v>14.1</v>
      </c>
      <c r="H9" s="178">
        <v>14.5</v>
      </c>
      <c r="I9" s="178">
        <v>14.8</v>
      </c>
      <c r="J9" s="178">
        <v>14.3</v>
      </c>
      <c r="K9" s="178">
        <v>14.1</v>
      </c>
      <c r="L9" s="178">
        <v>14</v>
      </c>
      <c r="M9" s="178">
        <v>14.2</v>
      </c>
      <c r="N9" s="251">
        <v>14.3</v>
      </c>
      <c r="O9" s="288">
        <v>14.2</v>
      </c>
      <c r="P9" s="393">
        <v>13.9</v>
      </c>
      <c r="Q9" s="288">
        <v>14.6</v>
      </c>
      <c r="R9" s="288">
        <v>14.3</v>
      </c>
      <c r="S9" s="288">
        <v>15.2</v>
      </c>
      <c r="T9" s="288">
        <v>14.3</v>
      </c>
      <c r="U9" s="288">
        <v>15</v>
      </c>
      <c r="V9" s="288">
        <v>15</v>
      </c>
      <c r="W9" s="288">
        <v>14.5</v>
      </c>
      <c r="X9" s="288">
        <v>15.2</v>
      </c>
      <c r="Y9" s="288">
        <v>14.6</v>
      </c>
      <c r="Z9" s="545">
        <v>14.8</v>
      </c>
      <c r="AA9" s="509">
        <v>14.6</v>
      </c>
      <c r="AS9" s="85"/>
      <c r="BE9" s="80"/>
      <c r="BH9" s="82"/>
      <c r="BI9" s="80"/>
    </row>
    <row r="10" spans="1:821" ht="21" customHeight="1" thickBot="1">
      <c r="B10" s="344" t="s">
        <v>148</v>
      </c>
      <c r="C10" s="178">
        <v>6.2</v>
      </c>
      <c r="D10" s="178">
        <v>3.91</v>
      </c>
      <c r="E10" s="178">
        <v>4</v>
      </c>
      <c r="F10" s="178">
        <v>5.3</v>
      </c>
      <c r="G10" s="178">
        <v>5.7</v>
      </c>
      <c r="H10" s="178">
        <v>4.5</v>
      </c>
      <c r="I10" s="178">
        <v>4.9000000000000004</v>
      </c>
      <c r="J10" s="178">
        <v>4.7</v>
      </c>
      <c r="K10" s="178">
        <v>3.4</v>
      </c>
      <c r="L10" s="178">
        <v>5.4</v>
      </c>
      <c r="M10" s="178">
        <v>3.4</v>
      </c>
      <c r="N10" s="251">
        <v>5.3</v>
      </c>
      <c r="O10" s="288">
        <v>4.3</v>
      </c>
      <c r="P10" s="393">
        <v>5.5</v>
      </c>
      <c r="Q10" s="288">
        <v>5.3</v>
      </c>
      <c r="R10" s="288">
        <v>4.5999999999999996</v>
      </c>
      <c r="S10" s="288">
        <v>5.3</v>
      </c>
      <c r="T10" s="288">
        <v>5.4</v>
      </c>
      <c r="U10" s="288">
        <v>5.4</v>
      </c>
      <c r="V10" s="288">
        <v>5.9</v>
      </c>
      <c r="W10" s="288">
        <v>5</v>
      </c>
      <c r="X10" s="288">
        <v>5.4</v>
      </c>
      <c r="Y10" s="288">
        <v>5.5</v>
      </c>
      <c r="Z10" s="545">
        <v>4.0999999999999996</v>
      </c>
      <c r="AA10" s="509">
        <v>6</v>
      </c>
      <c r="AS10" s="85"/>
      <c r="BE10" s="80"/>
      <c r="BH10" s="82"/>
      <c r="BI10" s="80"/>
    </row>
    <row r="11" spans="1:821" ht="21" customHeight="1" thickBot="1">
      <c r="B11" s="344" t="s">
        <v>149</v>
      </c>
      <c r="C11" s="178">
        <v>0.5</v>
      </c>
      <c r="D11" s="179">
        <v>0.48</v>
      </c>
      <c r="E11" s="179">
        <v>0.49</v>
      </c>
      <c r="F11" s="179">
        <v>0.5</v>
      </c>
      <c r="G11" s="179">
        <f>+'[67]MONTHLY SUMMARY'!$O$29</f>
        <v>0.50174999999999992</v>
      </c>
      <c r="H11" s="179">
        <v>0.5</v>
      </c>
      <c r="I11" s="179">
        <f>+'[68]MONTHLY SUMMARY'!$R$29</f>
        <v>0.49575000000000002</v>
      </c>
      <c r="J11" s="179">
        <v>0.5</v>
      </c>
      <c r="K11" s="179">
        <v>0.5</v>
      </c>
      <c r="L11" s="179">
        <v>0.5</v>
      </c>
      <c r="M11" s="179">
        <v>0.6</v>
      </c>
      <c r="N11" s="251">
        <v>0.5</v>
      </c>
      <c r="O11" s="288">
        <v>0.5</v>
      </c>
      <c r="P11" s="393">
        <v>0.6</v>
      </c>
      <c r="Q11" s="288">
        <v>0.5</v>
      </c>
      <c r="R11" s="288">
        <v>0.5</v>
      </c>
      <c r="S11" s="288">
        <v>0.56000000000000005</v>
      </c>
      <c r="T11" s="288">
        <v>0.54900000000000004</v>
      </c>
      <c r="U11" s="288">
        <v>0.55000000000000004</v>
      </c>
      <c r="V11" s="288">
        <v>0.55000000000000004</v>
      </c>
      <c r="W11" s="288">
        <v>0.55100000000000005</v>
      </c>
      <c r="X11" s="288">
        <v>0.54600000000000004</v>
      </c>
      <c r="Y11" s="288">
        <v>0.54700000000000004</v>
      </c>
      <c r="Z11" s="545">
        <v>0.55000000000000004</v>
      </c>
      <c r="AA11" s="509">
        <v>0.55000000000000004</v>
      </c>
      <c r="AS11" s="86"/>
      <c r="BE11" s="80"/>
      <c r="BH11" s="82"/>
      <c r="BI11" s="80"/>
    </row>
    <row r="12" spans="1:821" ht="21" customHeight="1" thickBot="1">
      <c r="B12" s="344" t="s">
        <v>150</v>
      </c>
      <c r="C12" s="178">
        <v>1.5</v>
      </c>
      <c r="D12" s="179">
        <v>1.6</v>
      </c>
      <c r="E12" s="179">
        <v>1.6</v>
      </c>
      <c r="F12" s="179">
        <v>1.6</v>
      </c>
      <c r="G12" s="179">
        <f>+'[67]MONTHLY SUMMARY'!$O$28</f>
        <v>1.5625</v>
      </c>
      <c r="H12" s="179">
        <v>1.5</v>
      </c>
      <c r="I12" s="179">
        <f>+'[68]MONTHLY SUMMARY'!$R$28</f>
        <v>1.5525000000000002</v>
      </c>
      <c r="J12" s="179">
        <v>1.6</v>
      </c>
      <c r="K12" s="179">
        <v>1.6</v>
      </c>
      <c r="L12" s="179">
        <v>1.5</v>
      </c>
      <c r="M12" s="179">
        <v>1.5</v>
      </c>
      <c r="N12" s="251">
        <v>1.5</v>
      </c>
      <c r="O12" s="288">
        <v>1.5</v>
      </c>
      <c r="P12" s="393">
        <v>1.5</v>
      </c>
      <c r="Q12" s="288">
        <v>1.5</v>
      </c>
      <c r="R12" s="288">
        <v>1.5</v>
      </c>
      <c r="S12" s="288">
        <v>1.49</v>
      </c>
      <c r="T12" s="288">
        <v>1.5</v>
      </c>
      <c r="U12" s="288">
        <v>1.5</v>
      </c>
      <c r="V12" s="288">
        <v>1.54</v>
      </c>
      <c r="W12" s="288">
        <v>1.53</v>
      </c>
      <c r="X12" s="288">
        <v>1.53</v>
      </c>
      <c r="Y12" s="288">
        <v>1.5</v>
      </c>
      <c r="Z12" s="545">
        <v>1.534</v>
      </c>
      <c r="AA12" s="509">
        <v>1.5</v>
      </c>
      <c r="BE12" s="80"/>
      <c r="BH12" s="82"/>
      <c r="BI12" s="80"/>
    </row>
    <row r="13" spans="1:821" ht="21" customHeight="1" thickBot="1">
      <c r="B13" s="344" t="s">
        <v>151</v>
      </c>
      <c r="C13" s="178">
        <v>21.4</v>
      </c>
      <c r="D13" s="179">
        <v>20.38</v>
      </c>
      <c r="E13" s="179">
        <v>20.6</v>
      </c>
      <c r="F13" s="179">
        <v>21</v>
      </c>
      <c r="G13" s="179">
        <f>+'[67]MONTHLY SUMMARY'!$P$27</f>
        <v>20.880000000000003</v>
      </c>
      <c r="H13" s="179">
        <v>28.4</v>
      </c>
      <c r="I13" s="179">
        <f>+'[68]MONTHLY SUMMARY'!$R$27</f>
        <v>20.155000000000001</v>
      </c>
      <c r="J13" s="179">
        <v>19</v>
      </c>
      <c r="K13" s="179">
        <v>19.399999999999999</v>
      </c>
      <c r="L13" s="179">
        <v>20.7</v>
      </c>
      <c r="M13" s="179">
        <v>21.2</v>
      </c>
      <c r="N13" s="251">
        <v>21</v>
      </c>
      <c r="O13" s="288">
        <v>20.9</v>
      </c>
      <c r="P13" s="393">
        <v>21.2</v>
      </c>
      <c r="Q13" s="288">
        <v>20.9</v>
      </c>
      <c r="R13" s="288">
        <v>21</v>
      </c>
      <c r="S13" s="288">
        <v>21.31</v>
      </c>
      <c r="T13" s="288">
        <v>21.1</v>
      </c>
      <c r="U13" s="288">
        <v>21.2</v>
      </c>
      <c r="V13" s="288">
        <v>20.91</v>
      </c>
      <c r="W13" s="288">
        <v>21.18</v>
      </c>
      <c r="X13" s="288">
        <v>20.95</v>
      </c>
      <c r="Y13" s="288">
        <v>21.3</v>
      </c>
      <c r="Z13" s="545">
        <v>21.27</v>
      </c>
      <c r="AA13" s="509">
        <v>21</v>
      </c>
      <c r="BE13" s="80"/>
      <c r="BH13" s="82"/>
      <c r="BI13" s="80"/>
    </row>
    <row r="14" spans="1:821" ht="21" customHeight="1" thickBot="1">
      <c r="B14" s="344" t="s">
        <v>152</v>
      </c>
      <c r="C14" s="178">
        <v>0.9</v>
      </c>
      <c r="D14" s="178">
        <v>1.03</v>
      </c>
      <c r="E14" s="178">
        <v>1.05</v>
      </c>
      <c r="F14" s="178">
        <v>1.1000000000000001</v>
      </c>
      <c r="G14" s="178">
        <f>+'[67]MONTHLY SUMMARY'!$O$34</f>
        <v>1.0925</v>
      </c>
      <c r="H14" s="178">
        <v>1</v>
      </c>
      <c r="I14" s="178">
        <v>1.0609999999999999</v>
      </c>
      <c r="J14" s="178">
        <v>1.1000000000000001</v>
      </c>
      <c r="K14" s="178">
        <v>1</v>
      </c>
      <c r="L14" s="178">
        <v>1</v>
      </c>
      <c r="M14" s="178">
        <v>0.9</v>
      </c>
      <c r="N14" s="251">
        <v>1</v>
      </c>
      <c r="O14" s="288">
        <v>1.1000000000000001</v>
      </c>
      <c r="P14" s="393">
        <v>1.1000000000000001</v>
      </c>
      <c r="Q14" s="288">
        <v>1</v>
      </c>
      <c r="R14" s="288">
        <v>1</v>
      </c>
      <c r="S14" s="288">
        <v>1.05</v>
      </c>
      <c r="T14" s="288">
        <v>1</v>
      </c>
      <c r="U14" s="288">
        <v>1.06</v>
      </c>
      <c r="V14" s="288">
        <v>1.048</v>
      </c>
      <c r="W14" s="288">
        <v>1</v>
      </c>
      <c r="X14" s="288">
        <v>1</v>
      </c>
      <c r="Y14" s="288">
        <v>1</v>
      </c>
      <c r="Z14" s="545">
        <v>1.05</v>
      </c>
      <c r="AA14" s="509">
        <v>1</v>
      </c>
      <c r="BE14" s="80"/>
      <c r="BH14" s="82"/>
      <c r="BI14" s="80"/>
    </row>
    <row r="15" spans="1:821" ht="21" customHeight="1" thickBot="1">
      <c r="B15" s="345" t="s">
        <v>153</v>
      </c>
      <c r="C15" s="364">
        <v>2.5</v>
      </c>
      <c r="D15" s="346">
        <v>2.4700000000000002</v>
      </c>
      <c r="E15" s="346">
        <v>2.4</v>
      </c>
      <c r="F15" s="346">
        <v>2.2999999999999998</v>
      </c>
      <c r="G15" s="346">
        <f>+'[67]MONTHLY SUMMARY'!$O$33</f>
        <v>2.2599999999999998</v>
      </c>
      <c r="H15" s="346">
        <v>2.2999999999999998</v>
      </c>
      <c r="I15" s="346">
        <f>+'[68]MONTHLY SUMMARY'!$R$33</f>
        <v>2.355</v>
      </c>
      <c r="J15" s="346">
        <v>2.2999999999999998</v>
      </c>
      <c r="K15" s="346">
        <v>2.4</v>
      </c>
      <c r="L15" s="346">
        <v>2.5</v>
      </c>
      <c r="M15" s="346">
        <v>2.6</v>
      </c>
      <c r="N15" s="347">
        <v>2.5</v>
      </c>
      <c r="O15" s="348">
        <v>2.4</v>
      </c>
      <c r="P15" s="348">
        <v>2.2999999999999998</v>
      </c>
      <c r="Q15" s="348">
        <v>2.4</v>
      </c>
      <c r="R15" s="348">
        <v>2.2999999999999998</v>
      </c>
      <c r="S15" s="348">
        <v>2.35</v>
      </c>
      <c r="T15" s="348">
        <v>2.4</v>
      </c>
      <c r="U15" s="348">
        <v>2.2999999999999998</v>
      </c>
      <c r="V15" s="348">
        <v>2.36</v>
      </c>
      <c r="W15" s="348">
        <v>2.4900000000000002</v>
      </c>
      <c r="X15" s="428">
        <v>2.5</v>
      </c>
      <c r="Y15" s="428">
        <v>2.4</v>
      </c>
      <c r="Z15" s="546">
        <v>2.4300000000000002</v>
      </c>
      <c r="AA15" s="509">
        <v>2.4</v>
      </c>
      <c r="BE15" s="80"/>
      <c r="BH15" s="82"/>
      <c r="BI15" s="80"/>
    </row>
    <row r="16" spans="1:821" ht="21" customHeight="1" thickBot="1">
      <c r="B16" s="180"/>
      <c r="C16" s="176"/>
      <c r="D16" s="176"/>
      <c r="E16" s="177"/>
      <c r="F16" s="177"/>
      <c r="G16" s="177"/>
      <c r="H16" s="177"/>
      <c r="I16" s="177"/>
      <c r="J16" s="177"/>
      <c r="K16" s="177"/>
      <c r="L16" s="177"/>
      <c r="M16" s="177"/>
      <c r="AA16" s="204"/>
      <c r="BE16" s="80"/>
      <c r="BF16" s="80"/>
      <c r="BG16" s="80"/>
      <c r="BH16" s="82"/>
      <c r="BI16" s="80"/>
    </row>
    <row r="17" spans="2:62" ht="21" customHeight="1" thickBot="1">
      <c r="B17" s="483" t="s">
        <v>154</v>
      </c>
      <c r="C17" s="442">
        <v>45474</v>
      </c>
      <c r="D17" s="442">
        <v>45505</v>
      </c>
      <c r="E17" s="442">
        <v>45536</v>
      </c>
      <c r="F17" s="442">
        <v>45566</v>
      </c>
      <c r="G17" s="442">
        <v>45597</v>
      </c>
      <c r="H17" s="442">
        <v>45627</v>
      </c>
      <c r="I17" s="442">
        <v>45658</v>
      </c>
      <c r="J17" s="442">
        <v>45689</v>
      </c>
      <c r="K17" s="442">
        <v>45717</v>
      </c>
      <c r="L17" s="442">
        <v>45748</v>
      </c>
      <c r="M17" s="442">
        <v>45778</v>
      </c>
      <c r="N17" s="442">
        <v>45809</v>
      </c>
      <c r="O17" s="442">
        <v>45839</v>
      </c>
      <c r="P17" s="442">
        <v>45870</v>
      </c>
      <c r="Q17" s="442">
        <v>45901</v>
      </c>
      <c r="R17" s="441">
        <v>45931</v>
      </c>
      <c r="S17" s="442">
        <v>45962</v>
      </c>
      <c r="T17" s="442">
        <v>45992</v>
      </c>
      <c r="U17" s="442">
        <v>46023</v>
      </c>
      <c r="V17" s="442">
        <v>46054</v>
      </c>
      <c r="W17" s="535">
        <v>46082</v>
      </c>
      <c r="X17" s="535">
        <v>46113</v>
      </c>
      <c r="Y17" s="535">
        <v>46143</v>
      </c>
      <c r="Z17" s="559">
        <v>46174</v>
      </c>
      <c r="AA17" s="323"/>
      <c r="AI17" s="80"/>
      <c r="AU17" s="80"/>
      <c r="AY17" s="80"/>
      <c r="BA17" s="80"/>
      <c r="BE17" s="80"/>
      <c r="BF17" s="80"/>
      <c r="BG17" s="80"/>
      <c r="BH17" s="80"/>
      <c r="BI17" s="80"/>
      <c r="BJ17" s="80"/>
    </row>
    <row r="18" spans="2:62" ht="21" customHeight="1" thickBot="1">
      <c r="B18" s="485" t="s">
        <v>155</v>
      </c>
      <c r="C18" s="424">
        <v>2.8</v>
      </c>
      <c r="D18" s="424">
        <v>2.7</v>
      </c>
      <c r="E18" s="424">
        <v>0</v>
      </c>
      <c r="F18" s="424">
        <v>0</v>
      </c>
      <c r="G18" s="424">
        <v>0</v>
      </c>
      <c r="H18" s="486">
        <v>0</v>
      </c>
      <c r="I18" s="445">
        <v>4</v>
      </c>
      <c r="J18" s="445">
        <v>1</v>
      </c>
      <c r="K18" s="445">
        <v>3</v>
      </c>
      <c r="L18" s="445">
        <v>3</v>
      </c>
      <c r="M18" s="445">
        <v>0</v>
      </c>
      <c r="N18" s="444">
        <v>2</v>
      </c>
      <c r="O18" s="445">
        <v>4</v>
      </c>
      <c r="P18" s="443">
        <v>1</v>
      </c>
      <c r="Q18" s="445">
        <v>3</v>
      </c>
      <c r="R18" s="443">
        <v>1</v>
      </c>
      <c r="S18" s="445">
        <v>1</v>
      </c>
      <c r="T18" s="487">
        <v>0</v>
      </c>
      <c r="U18" s="487">
        <v>2</v>
      </c>
      <c r="V18" s="487">
        <v>0</v>
      </c>
      <c r="W18" s="590">
        <v>2</v>
      </c>
      <c r="X18" s="606">
        <v>2</v>
      </c>
      <c r="Y18" s="560">
        <v>0</v>
      </c>
      <c r="Z18" s="607">
        <v>0</v>
      </c>
      <c r="AA18" s="510"/>
      <c r="AI18" s="80"/>
      <c r="AU18" s="80"/>
      <c r="AY18" s="80"/>
      <c r="BA18" s="80"/>
      <c r="BE18" s="80"/>
      <c r="BF18" s="80"/>
      <c r="BG18" s="80"/>
      <c r="BH18" s="80"/>
      <c r="BI18" s="80"/>
      <c r="BJ18" s="80"/>
    </row>
    <row r="19" spans="2:62" ht="21" customHeight="1" thickBot="1">
      <c r="B19" s="349" t="s">
        <v>156</v>
      </c>
      <c r="C19" s="181">
        <v>3</v>
      </c>
      <c r="D19" s="181">
        <v>6</v>
      </c>
      <c r="E19" s="181">
        <v>0</v>
      </c>
      <c r="F19" s="181">
        <v>0</v>
      </c>
      <c r="G19" s="179">
        <f>+'[67]MONTHLY SUMMARY'!$P$59</f>
        <v>0.625</v>
      </c>
      <c r="H19" s="181">
        <v>0.6</v>
      </c>
      <c r="I19" s="448">
        <v>0</v>
      </c>
      <c r="J19" s="448">
        <v>0</v>
      </c>
      <c r="K19" s="448">
        <v>1</v>
      </c>
      <c r="L19" s="448">
        <v>0</v>
      </c>
      <c r="M19" s="448">
        <v>0</v>
      </c>
      <c r="N19" s="447">
        <v>2</v>
      </c>
      <c r="O19" s="448">
        <v>1</v>
      </c>
      <c r="P19" s="446">
        <v>1</v>
      </c>
      <c r="Q19" s="448">
        <v>0</v>
      </c>
      <c r="R19" s="446">
        <v>0</v>
      </c>
      <c r="S19" s="448">
        <v>0</v>
      </c>
      <c r="T19" s="488">
        <v>0</v>
      </c>
      <c r="U19" s="488">
        <v>0</v>
      </c>
      <c r="V19" s="488">
        <v>0</v>
      </c>
      <c r="W19" s="591">
        <v>0</v>
      </c>
      <c r="X19" s="608">
        <v>0</v>
      </c>
      <c r="Y19" s="561">
        <v>0</v>
      </c>
      <c r="Z19" s="609">
        <v>0</v>
      </c>
      <c r="AA19" s="510"/>
      <c r="AI19" s="80"/>
      <c r="AU19" s="80"/>
      <c r="AY19" s="80"/>
      <c r="BA19" s="80"/>
      <c r="BE19" s="80"/>
      <c r="BF19" s="80"/>
      <c r="BG19" s="80"/>
      <c r="BH19" s="80"/>
      <c r="BI19" s="80"/>
      <c r="BJ19" s="80"/>
    </row>
    <row r="20" spans="2:62" ht="21" customHeight="1" thickBot="1">
      <c r="B20" s="349" t="s">
        <v>157</v>
      </c>
      <c r="C20" s="181">
        <v>0.4</v>
      </c>
      <c r="D20" s="181">
        <v>1</v>
      </c>
      <c r="E20" s="181">
        <v>0.3</v>
      </c>
      <c r="F20" s="181">
        <v>0.2</v>
      </c>
      <c r="G20" s="179">
        <f>+'[67]MONTHLY SUMMARY'!$P$61</f>
        <v>0.37098103874690846</v>
      </c>
      <c r="H20" s="181">
        <v>0.4</v>
      </c>
      <c r="I20" s="429">
        <f>+'[68]MONTHLY SUMMARY'!$R$61</f>
        <v>1.4274981217129978</v>
      </c>
      <c r="J20" s="182">
        <v>1.6</v>
      </c>
      <c r="K20" s="182">
        <v>0.4</v>
      </c>
      <c r="L20" s="182">
        <v>1.8</v>
      </c>
      <c r="M20" s="182">
        <v>1.3</v>
      </c>
      <c r="N20" s="370">
        <v>0.8</v>
      </c>
      <c r="O20" s="371">
        <v>0.3</v>
      </c>
      <c r="P20" s="394">
        <v>1.3</v>
      </c>
      <c r="Q20" s="371">
        <v>1.1000000000000001</v>
      </c>
      <c r="R20" s="500">
        <v>1.2999999999999999E-2</v>
      </c>
      <c r="S20" s="498">
        <v>1.52E-2</v>
      </c>
      <c r="T20" s="536">
        <v>1.4E-2</v>
      </c>
      <c r="U20" s="536">
        <v>2.1999999999999999E-2</v>
      </c>
      <c r="V20" s="536">
        <v>2.1499999999999998E-2</v>
      </c>
      <c r="W20" s="592">
        <v>1.6299999999999999E-2</v>
      </c>
      <c r="X20" s="610">
        <v>1.7299999999999999E-2</v>
      </c>
      <c r="Y20" s="562">
        <v>3.2000000000000001E-2</v>
      </c>
      <c r="Z20" s="611">
        <v>2.0199999999999999E-2</v>
      </c>
      <c r="AA20" s="511">
        <v>1.4999999999999999E-2</v>
      </c>
      <c r="AB20" s="83"/>
      <c r="AI20" s="80"/>
      <c r="AU20" s="80"/>
      <c r="AY20" s="80"/>
      <c r="BA20" s="80"/>
      <c r="BE20" s="80"/>
      <c r="BF20" s="80"/>
      <c r="BG20" s="80"/>
      <c r="BH20" s="80"/>
      <c r="BI20" s="80"/>
      <c r="BJ20" s="80"/>
    </row>
    <row r="21" spans="2:62" ht="21" customHeight="1" thickBot="1">
      <c r="B21" s="350" t="s">
        <v>158</v>
      </c>
      <c r="C21" s="365">
        <v>0.1</v>
      </c>
      <c r="D21" s="365">
        <v>0.5</v>
      </c>
      <c r="E21" s="365">
        <v>0.1</v>
      </c>
      <c r="F21" s="365">
        <v>0.1</v>
      </c>
      <c r="G21" s="346">
        <f>+'[67]MONTHLY SUMMARY'!$P$62</f>
        <v>0.12323549182164463</v>
      </c>
      <c r="H21" s="365">
        <v>0.1</v>
      </c>
      <c r="I21" s="430">
        <f>+'[68]MONTHLY SUMMARY'!$R$62</f>
        <v>0.67355186349348894</v>
      </c>
      <c r="J21" s="366">
        <v>2.8</v>
      </c>
      <c r="K21" s="366">
        <v>0.2</v>
      </c>
      <c r="L21" s="366">
        <v>0.9</v>
      </c>
      <c r="M21" s="366">
        <v>0.6</v>
      </c>
      <c r="N21" s="372">
        <v>2.6</v>
      </c>
      <c r="O21" s="373">
        <v>0.6</v>
      </c>
      <c r="P21" s="373">
        <v>0.6</v>
      </c>
      <c r="Q21" s="373">
        <v>0.7</v>
      </c>
      <c r="R21" s="537">
        <v>2.3E-2</v>
      </c>
      <c r="S21" s="538">
        <v>2.4299999999999999E-2</v>
      </c>
      <c r="T21" s="539">
        <v>2.3E-2</v>
      </c>
      <c r="U21" s="539">
        <v>1.0999999999999999E-2</v>
      </c>
      <c r="V21" s="539">
        <v>1.9199999999999998E-2</v>
      </c>
      <c r="W21" s="593">
        <v>1.89E-2</v>
      </c>
      <c r="X21" s="563">
        <v>2.3699999999999999E-2</v>
      </c>
      <c r="Y21" s="563">
        <v>2.5000000000000001E-2</v>
      </c>
      <c r="Z21" s="594">
        <v>1.9599999999999999E-2</v>
      </c>
      <c r="AA21" s="512">
        <v>0.02</v>
      </c>
      <c r="AB21" s="83"/>
      <c r="AI21" s="80"/>
      <c r="AU21" s="80"/>
      <c r="AY21" s="80"/>
      <c r="BA21" s="80"/>
      <c r="BE21" s="80"/>
      <c r="BF21" s="80"/>
      <c r="BG21" s="80"/>
      <c r="BH21" s="80"/>
      <c r="BI21" s="80"/>
      <c r="BJ21" s="80"/>
    </row>
    <row r="22" spans="2:62" ht="21" customHeight="1">
      <c r="B22" s="83" t="s">
        <v>222</v>
      </c>
      <c r="R22" s="426"/>
    </row>
    <row r="23" spans="2:62">
      <c r="B23" s="83" t="s">
        <v>223</v>
      </c>
      <c r="AA23" s="204"/>
    </row>
    <row r="24" spans="2:62">
      <c r="B24" s="83" t="s">
        <v>224</v>
      </c>
      <c r="AA24" s="204"/>
    </row>
    <row r="25" spans="2:62">
      <c r="B25" s="83" t="s">
        <v>189</v>
      </c>
      <c r="AA25" s="204"/>
    </row>
    <row r="26" spans="2:62">
      <c r="B26" s="83" t="s">
        <v>225</v>
      </c>
      <c r="AA26" s="204"/>
    </row>
    <row r="27" spans="2:62">
      <c r="AA27" s="204"/>
    </row>
    <row r="28" spans="2:62">
      <c r="AA28" s="204"/>
    </row>
    <row r="29" spans="2:62">
      <c r="AA29" s="204"/>
    </row>
    <row r="30" spans="2:62">
      <c r="AA30" s="204"/>
    </row>
    <row r="31" spans="2:62">
      <c r="AA31" s="204"/>
    </row>
    <row r="32" spans="2:62">
      <c r="AA32" s="204"/>
    </row>
    <row r="33" spans="27:27">
      <c r="AA33" s="204"/>
    </row>
    <row r="34" spans="27:27">
      <c r="AA34" s="204"/>
    </row>
    <row r="35" spans="27:27">
      <c r="AA35" s="204"/>
    </row>
    <row r="36" spans="27:27">
      <c r="AA36" s="204"/>
    </row>
    <row r="37" spans="27:27">
      <c r="AA37" s="204"/>
    </row>
  </sheetData>
  <pageMargins left="0.7" right="0.7" top="0.75" bottom="0.75" header="0.3" footer="0.3"/>
  <pageSetup paperSize="9" scale="80" fitToHeight="0"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0F50-DCAD-45D4-98BC-8D3ED78C8673}">
  <sheetPr codeName="Sheet127">
    <tabColor theme="2" tint="-0.499984740745262"/>
  </sheetPr>
  <dimension ref="A19:P22"/>
  <sheetViews>
    <sheetView zoomScale="90" zoomScaleNormal="90" workbookViewId="0">
      <selection activeCell="B20" sqref="B20:M20"/>
    </sheetView>
  </sheetViews>
  <sheetFormatPr defaultRowHeight="15"/>
  <cols>
    <col min="2" max="2" width="12.28515625" bestFit="1" customWidth="1"/>
  </cols>
  <sheetData>
    <row r="19" spans="1:16" ht="15.75" thickBot="1">
      <c r="A19" s="115"/>
      <c r="B19" s="120">
        <v>45839</v>
      </c>
      <c r="C19" s="120">
        <v>45870</v>
      </c>
      <c r="D19" s="120">
        <v>45901</v>
      </c>
      <c r="E19" s="120">
        <v>45931</v>
      </c>
      <c r="F19" s="120">
        <v>45962</v>
      </c>
      <c r="G19" s="120">
        <v>45992</v>
      </c>
      <c r="H19" s="120">
        <v>46023</v>
      </c>
      <c r="I19" s="120">
        <v>46054</v>
      </c>
      <c r="J19" s="120">
        <v>46082</v>
      </c>
      <c r="K19" s="120">
        <v>46113</v>
      </c>
      <c r="L19" s="120">
        <v>46143</v>
      </c>
      <c r="M19" s="120">
        <v>46174</v>
      </c>
    </row>
    <row r="20" spans="1:16" ht="15.75">
      <c r="A20" s="121" t="s">
        <v>59</v>
      </c>
      <c r="B20" s="153">
        <f>IFERROR(SUM('Combined total CDM to Colco (7)'!B26+'Combined total CDM to Colco (7)'!B36+'Combined total CDM to Colco (7)'!B46+'Combined total CDM to Colco (7)'!B56)/SUM('Combined pigs sold to colco (7)'!B27+'Combined pigs sold to colco (7)'!B37+'Combined pigs sold to colco (7)'!B47+'Combined pigs sold to colco (7)'!B57),0)</f>
        <v>97.610502958579872</v>
      </c>
      <c r="C20" s="153">
        <f>IFERROR(SUM('Combined total CDM to Colco (7)'!C26+'Combined total CDM to Colco (7)'!C36+'Combined total CDM to Colco (7)'!C46+'Combined total CDM to Colco (7)'!C56)/SUM('Combined pigs sold to colco (7)'!C27+'Combined pigs sold to colco (7)'!C37+'Combined pigs sold to colco (7)'!C47+'Combined pigs sold to colco (7)'!C57),0)</f>
        <v>99.472742336371169</v>
      </c>
      <c r="D20" s="153">
        <f>IFERROR(SUM('Combined total CDM to Colco (7)'!D26+'Combined total CDM to Colco (7)'!D36+'Combined total CDM to Colco (7)'!D46+'Combined total CDM to Colco (7)'!D56)/SUM('Combined pigs sold to colco (7)'!D27+'Combined pigs sold to colco (7)'!D37+'Combined pigs sold to colco (7)'!D47+'Combined pigs sold to colco (7)'!D57),0)</f>
        <v>97.121529745042494</v>
      </c>
      <c r="E20" s="153">
        <f>IFERROR(SUM('Combined total CDM to Colco (7)'!E26+'Combined total CDM to Colco (7)'!E36+'Combined total CDM to Colco (7)'!E46+'Combined total CDM to Colco (7)'!E56)/SUM('Combined pigs sold to colco (7)'!E27+'Combined pigs sold to colco (7)'!E37+'Combined pigs sold to colco (7)'!E47+'Combined pigs sold to colco (7)'!E57),0)</f>
        <v>97.59374550682962</v>
      </c>
      <c r="F20" s="153">
        <f>IFERROR(SUM('Combined total CDM to Colco (7)'!F26+'Combined total CDM to Colco (7)'!F36+'Combined total CDM to Colco (7)'!F46+'Combined total CDM to Colco (7)'!F56)/SUM('Combined pigs sold to colco (7)'!F27+'Combined pigs sold to colco (7)'!F37+'Combined pigs sold to colco (7)'!F47+'Combined pigs sold to colco (7)'!F57),0)</f>
        <v>96.983666933546843</v>
      </c>
      <c r="G20" s="153">
        <f>IFERROR(SUM('Combined total CDM to Colco (7)'!G26+'Combined total CDM to Colco (7)'!G36+'Combined total CDM to Colco (7)'!G46+'Combined total CDM to Colco (7)'!G56)/SUM('Combined pigs sold to colco (7)'!G27+'Combined pigs sold to colco (7)'!G37+'Combined pigs sold to colco (7)'!G47+'Combined pigs sold to colco (7)'!G57),0)</f>
        <v>94.891309987029828</v>
      </c>
      <c r="H20" s="153">
        <f>IFERROR(SUM('Combined total CDM to Colco (7)'!H26+'Combined total CDM to Colco (7)'!H36+'Combined total CDM to Colco (7)'!H46+'Combined total CDM to Colco (7)'!H56)/SUM('Combined pigs sold to colco (7)'!H27+'Combined pigs sold to colco (7)'!H37+'Combined pigs sold to colco (7)'!H47+'Combined pigs sold to colco (7)'!H57),0)</f>
        <v>95.531928181108498</v>
      </c>
      <c r="I20" s="153">
        <f>IFERROR(SUM('Combined total CDM to Colco (7)'!I26+'Combined total CDM to Colco (7)'!I36+'Combined total CDM to Colco (7)'!I46+'Combined total CDM to Colco (7)'!I56)/SUM('Combined pigs sold to colco (7)'!I27+'Combined pigs sold to colco (7)'!I37+'Combined pigs sold to colco (7)'!I47+'Combined pigs sold to colco (7)'!I57),0)</f>
        <v>97.550263752825927</v>
      </c>
      <c r="J20" s="153">
        <f>IFERROR(SUM('Combined total CDM to Colco (7)'!J26+'Combined total CDM to Colco (7)'!J36+'Combined total CDM to Colco (7)'!J46+'Combined total CDM to Colco (7)'!J56)/SUM('Combined pigs sold to colco (7)'!J27+'Combined pigs sold to colco (7)'!J37+'Combined pigs sold to colco (7)'!J47+'Combined pigs sold to colco (7)'!J57),0)</f>
        <v>98.794126506024099</v>
      </c>
      <c r="K20" s="153">
        <f>IFERROR(SUM('Combined total CDM to Colco (7)'!K26+'Combined total CDM to Colco (7)'!K36+'Combined total CDM to Colco (7)'!K46+'Combined total CDM to Colco (7)'!K56)/SUM('Combined pigs sold to colco (7)'!K27+'Combined pigs sold to colco (7)'!K37+'Combined pigs sold to colco (7)'!K47+'Combined pigs sold to colco (7)'!K57),0)</f>
        <v>97.475618374558309</v>
      </c>
      <c r="L20" s="153">
        <f>IFERROR(SUM('Combined total CDM to Colco (7)'!L26+'Combined total CDM to Colco (7)'!L36+'Combined total CDM to Colco (7)'!L46+'Combined total CDM to Colco (7)'!L56)/SUM('Combined pigs sold to colco (7)'!L27+'Combined pigs sold to colco (7)'!L37+'Combined pigs sold to colco (7)'!L47+'Combined pigs sold to colco (7)'!L57),0)</f>
        <v>99.562111352133059</v>
      </c>
      <c r="M20" s="153">
        <f>IFERROR(SUM('Combined total CDM to Colco (7)'!M26+'Combined total CDM to Colco (7)'!M36+'Combined total CDM to Colco (7)'!M46+'Combined total CDM to Colco (7)'!M56+'Combined total CDM to Colco (7)'!M65+'Combined total CDM to Colco (7)'!M75)/SUM('Combined pigs sold to colco (7)'!M27+'Combined pigs sold to colco (7)'!M37+'Combined pigs sold to colco (7)'!M47+'Combined pigs sold to colco (7)'!M57+'Combined pigs sold to colco (7)'!M69+'Combined pigs sold to colco (7)'!M79),0)</f>
        <v>98.272418952618466</v>
      </c>
      <c r="N20" s="142">
        <f>AVERAGE(B20:M20)</f>
        <v>97.571663715555658</v>
      </c>
      <c r="O20" s="146"/>
    </row>
    <row r="21" spans="1:16" ht="16.5" thickBot="1">
      <c r="A21" s="121" t="s">
        <v>118</v>
      </c>
      <c r="B21" s="201">
        <f>'[3]Learig Avg CDM against budg (4)'!B21</f>
        <v>92</v>
      </c>
      <c r="C21" s="201">
        <f>'[3]Learig Avg CDM against budg (4)'!C21</f>
        <v>92</v>
      </c>
      <c r="D21" s="201">
        <f>'[3]Learig Avg CDM against budg (4)'!D21</f>
        <v>90</v>
      </c>
      <c r="E21" s="201">
        <f>'[3]Learig Avg CDM against budg (4)'!E21</f>
        <v>90</v>
      </c>
      <c r="F21" s="201">
        <f>'[3]Learig Avg CDM against budg (4)'!F21</f>
        <v>90</v>
      </c>
      <c r="G21" s="201">
        <f>'[3]Learig Avg CDM against budg (4)'!G21</f>
        <v>90</v>
      </c>
      <c r="H21" s="201">
        <f>'[3]Learig Avg CDM against budg (4)'!H21</f>
        <v>90</v>
      </c>
      <c r="I21" s="201">
        <f>'[3]Learig Avg CDM against budg (4)'!I21</f>
        <v>90</v>
      </c>
      <c r="J21" s="201">
        <f>'[3]Learig Avg CDM against budg (4)'!J21</f>
        <v>89.999999999999986</v>
      </c>
      <c r="K21" s="201">
        <f>'[3]Learig Avg CDM against budg (4)'!K21</f>
        <v>92</v>
      </c>
      <c r="L21" s="201">
        <f>'[3]Learig Avg CDM against budg (4)'!L21</f>
        <v>92</v>
      </c>
      <c r="M21" s="201">
        <f>'[3]Learig Avg CDM against budg (4)'!M21</f>
        <v>92</v>
      </c>
      <c r="N21" s="142">
        <f>AVERAGE(B21:M21)</f>
        <v>90.833333333333329</v>
      </c>
      <c r="O21" s="125">
        <f>N20-N21</f>
        <v>6.7383303822223297</v>
      </c>
      <c r="P21" t="s">
        <v>4</v>
      </c>
    </row>
    <row r="22" spans="1:16">
      <c r="B22" s="200"/>
      <c r="C22" s="200"/>
      <c r="D22" s="200"/>
      <c r="E22" s="200"/>
      <c r="F22" s="200"/>
      <c r="G22" s="200"/>
      <c r="H22" s="200"/>
      <c r="I22" s="200"/>
      <c r="J22" s="200"/>
      <c r="K22" s="200"/>
      <c r="L22" s="200"/>
      <c r="M22" s="200"/>
      <c r="N22" s="142"/>
      <c r="O22" s="125"/>
    </row>
  </sheetData>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FAEA-A11C-46E9-A18F-11BC680E4D1D}">
  <sheetPr codeName="Sheet128">
    <tabColor theme="2" tint="-0.499984740745262"/>
  </sheetPr>
  <dimension ref="A19:P22"/>
  <sheetViews>
    <sheetView topLeftCell="A2" zoomScale="90" zoomScaleNormal="90" workbookViewId="0">
      <selection activeCell="B20" sqref="B20:M20"/>
    </sheetView>
  </sheetViews>
  <sheetFormatPr defaultRowHeight="15"/>
  <cols>
    <col min="2" max="2" width="10.7109375" bestFit="1" customWidth="1"/>
    <col min="3" max="10" width="11.42578125" bestFit="1" customWidth="1"/>
    <col min="11" max="11" width="11.28515625" bestFit="1" customWidth="1"/>
    <col min="12" max="13" width="11.42578125" bestFit="1" customWidth="1"/>
    <col min="14" max="14" width="14.42578125" customWidth="1"/>
    <col min="15" max="15" width="12.140625" bestFit="1" customWidth="1"/>
  </cols>
  <sheetData>
    <row r="19" spans="1:16" ht="15.75" thickBot="1">
      <c r="A19" s="115"/>
      <c r="B19" s="120">
        <v>45839</v>
      </c>
      <c r="C19" s="120">
        <v>45870</v>
      </c>
      <c r="D19" s="120">
        <v>45901</v>
      </c>
      <c r="E19" s="120">
        <v>45931</v>
      </c>
      <c r="F19" s="120">
        <v>45962</v>
      </c>
      <c r="G19" s="120">
        <v>45992</v>
      </c>
      <c r="H19" s="120">
        <v>46023</v>
      </c>
      <c r="I19" s="120">
        <v>46054</v>
      </c>
      <c r="J19" s="120">
        <v>46082</v>
      </c>
      <c r="K19" s="120">
        <v>46113</v>
      </c>
      <c r="L19" s="120">
        <v>46143</v>
      </c>
      <c r="M19" s="120">
        <v>46174</v>
      </c>
    </row>
    <row r="20" spans="1:16">
      <c r="A20" s="121" t="s">
        <v>59</v>
      </c>
      <c r="B20" s="123">
        <f>SUM('Combined total CDM to Colco (7)'!B26+'Combined total CDM to Colco (7)'!B36+'Combined total CDM to Colco (7)'!B46+'Combined total CDM to Colco (7)'!B56)</f>
        <v>131969.4</v>
      </c>
      <c r="C20" s="123">
        <f>SUM('Combined total CDM to Colco (7)'!C26+'Combined total CDM to Colco (7)'!C36+'Combined total CDM to Colco (7)'!C46+'Combined total CDM to Colco (7)'!C56)</f>
        <v>120063.6</v>
      </c>
      <c r="D20" s="123">
        <f>SUM('Combined total CDM to Colco (7)'!D26+'Combined total CDM to Colco (7)'!D36+'Combined total CDM to Colco (7)'!D46+'Combined total CDM to Colco (7)'!D56)</f>
        <v>171419.5</v>
      </c>
      <c r="E20" s="123">
        <f>SUM('Combined total CDM to Colco (7)'!E26+'Combined total CDM to Colco (7)'!E36+'Combined total CDM to Colco (7)'!E46+'Combined total CDM to Colco (7)'!E56)</f>
        <v>135752.9</v>
      </c>
      <c r="F20" s="123">
        <f>SUM('Combined total CDM to Colco (7)'!F26+'Combined total CDM to Colco (7)'!F36+'Combined total CDM to Colco (7)'!F46+'Combined total CDM to Colco (7)'!F56)</f>
        <v>121132.6</v>
      </c>
      <c r="G20" s="123">
        <f>SUM('Combined total CDM to Colco (7)'!G26+'Combined total CDM to Colco (7)'!G36+'Combined total CDM to Colco (7)'!G46+'Combined total CDM to Colco (7)'!G56)</f>
        <v>146322.4</v>
      </c>
      <c r="H20" s="123">
        <f>SUM('Combined total CDM to Colco (7)'!H26+'Combined total CDM to Colco (7)'!H36+'Combined total CDM to Colco (7)'!H46+'Combined total CDM to Colco (7)'!H56)</f>
        <v>122376.4</v>
      </c>
      <c r="I20" s="123">
        <f>SUM('Combined total CDM to Colco (7)'!I26+'Combined total CDM to Colco (7)'!I36+'Combined total CDM to Colco (7)'!I46+'Combined total CDM to Colco (7)'!I56)</f>
        <v>129449.20000000001</v>
      </c>
      <c r="J20" s="123">
        <f>SUM('Combined total CDM to Colco (7)'!J26+'Combined total CDM to Colco (7)'!J36+'Combined total CDM to Colco (7)'!J46+'Combined total CDM to Colco (7)'!J56)</f>
        <v>196797.9</v>
      </c>
      <c r="K20" s="123">
        <f>SUM('Combined total CDM to Colco (7)'!K26+'Combined total CDM to Colco (7)'!K36+'Combined total CDM to Colco (7)'!K46+'Combined total CDM to Colco (7)'!K56)</f>
        <v>137928</v>
      </c>
      <c r="L20" s="123">
        <f>SUM('Combined total CDM to Colco (7)'!L26+'Combined total CDM to Colco (7)'!L36+'Combined total CDM to Colco (7)'!L46+'Combined total CDM to Colco (7)'!L56)</f>
        <v>137694.40000000002</v>
      </c>
      <c r="M20" s="123">
        <f>SUM('Combined total CDM to Colco (7)'!M26+'Combined total CDM to Colco (7)'!M36+'Combined total CDM to Colco (7)'!M46+'Combined total CDM to Colco (7)'!M56+'Combined total CDM to Colco (7)'!M65+'Combined total CDM to Colco (7)'!M75)</f>
        <v>197036.2</v>
      </c>
      <c r="N20" s="125">
        <f>SUM(B20:M20)</f>
        <v>1747942.4999999998</v>
      </c>
    </row>
    <row r="21" spans="1:16" ht="15.75" thickBot="1">
      <c r="A21" s="121" t="s">
        <v>118</v>
      </c>
      <c r="B21" s="151">
        <f>'[3]Learig total CDM to Colcom (4)'!B21</f>
        <v>119188.85327286333</v>
      </c>
      <c r="C21" s="151">
        <f>'[3]Learig total CDM to Colcom (4)'!C21</f>
        <v>132930.08338308224</v>
      </c>
      <c r="D21" s="151">
        <f>'[3]Learig total CDM to Colcom (4)'!D21</f>
        <v>126594.41993523622</v>
      </c>
      <c r="E21" s="151">
        <f>'[3]Learig total CDM to Colcom (4)'!E21</f>
        <v>114286.46759239292</v>
      </c>
      <c r="F21" s="151">
        <f>'[3]Learig total CDM to Colcom (4)'!F21</f>
        <v>125010.97544980761</v>
      </c>
      <c r="G21" s="151">
        <f>'[3]Learig total CDM to Colcom (4)'!G21</f>
        <v>152176.7949848366</v>
      </c>
      <c r="H21" s="151">
        <f>'[3]Learig total CDM to Colcom (4)'!H21</f>
        <v>127429.84962776456</v>
      </c>
      <c r="I21" s="151">
        <f>'[3]Learig total CDM to Colcom (4)'!I21</f>
        <v>127982.17500899728</v>
      </c>
      <c r="J21" s="151">
        <f>'[3]Learig total CDM to Colcom (4)'!J21</f>
        <v>156239.8045795034</v>
      </c>
      <c r="K21" s="151">
        <f>'[3]Learig total CDM to Colcom (4)'!K21</f>
        <v>127769.44018946057</v>
      </c>
      <c r="L21" s="151">
        <f>'[3]Learig total CDM to Colcom (4)'!L21</f>
        <v>127769.44018946057</v>
      </c>
      <c r="M21" s="151">
        <f>'[3]Learig total CDM to Colcom (4)'!M21</f>
        <v>137984.05887679479</v>
      </c>
      <c r="N21" s="125">
        <f>SUM(B21:M21)</f>
        <v>1575362.3630902001</v>
      </c>
      <c r="O21" s="125">
        <f>N20-N21</f>
        <v>172580.13690979965</v>
      </c>
      <c r="P21" t="s">
        <v>4</v>
      </c>
    </row>
    <row r="22" spans="1:16">
      <c r="B22" s="199"/>
      <c r="C22" s="199"/>
      <c r="D22" s="199"/>
      <c r="E22" s="199"/>
      <c r="F22" s="199"/>
      <c r="G22" s="199"/>
      <c r="H22" s="199"/>
      <c r="I22" s="199"/>
      <c r="J22" s="199"/>
      <c r="K22" s="199"/>
      <c r="L22" s="199"/>
      <c r="M22" s="199"/>
      <c r="N22" s="125"/>
      <c r="O22" s="125"/>
    </row>
  </sheetData>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9C30-A243-460E-B786-D43454C4ABD0}">
  <sheetPr codeName="Sheet129">
    <tabColor theme="2" tint="-0.499984740745262"/>
  </sheetPr>
  <dimension ref="A19:O23"/>
  <sheetViews>
    <sheetView topLeftCell="A3" zoomScale="90" zoomScaleNormal="90" workbookViewId="0">
      <selection activeCell="B20" sqref="B20:M20"/>
    </sheetView>
  </sheetViews>
  <sheetFormatPr defaultRowHeight="15"/>
  <cols>
    <col min="2" max="2" width="9" bestFit="1" customWidth="1"/>
    <col min="3" max="13" width="9.28515625" bestFit="1" customWidth="1"/>
  </cols>
  <sheetData>
    <row r="19" spans="1:15" ht="15.75" thickBot="1">
      <c r="A19" s="115"/>
      <c r="B19" s="120">
        <v>45839</v>
      </c>
      <c r="C19" s="120">
        <v>45870</v>
      </c>
      <c r="D19" s="120">
        <v>45901</v>
      </c>
      <c r="E19" s="120">
        <v>45931</v>
      </c>
      <c r="F19" s="120">
        <v>45962</v>
      </c>
      <c r="G19" s="120">
        <v>45992</v>
      </c>
      <c r="H19" s="120">
        <v>46023</v>
      </c>
      <c r="I19" s="120">
        <v>46054</v>
      </c>
      <c r="J19" s="120">
        <v>46082</v>
      </c>
      <c r="K19" s="120">
        <v>46113</v>
      </c>
      <c r="L19" s="120">
        <v>46143</v>
      </c>
      <c r="M19" s="120">
        <v>46174</v>
      </c>
    </row>
    <row r="20" spans="1:15" ht="15.75">
      <c r="A20" s="121" t="s">
        <v>59</v>
      </c>
      <c r="B20" s="136">
        <f>'Combined pigs sold to colco (7)'!B27+'Combined pigs sold to colco (7)'!B37+'Combined pigs sold to colco (7)'!B47+'Combined pigs sold to colco (7)'!B57+'Combined pigs sold to colco (7)'!B69</f>
        <v>1352</v>
      </c>
      <c r="C20" s="136">
        <f>'Combined pigs sold to colco (7)'!C27+'Combined pigs sold to colco (7)'!C37+'Combined pigs sold to colco (7)'!C47+'Combined pigs sold to colco (7)'!C57+'Combined pigs sold to colco (7)'!C69</f>
        <v>1207</v>
      </c>
      <c r="D20" s="136">
        <f>'Combined pigs sold to colco (7)'!D27+'Combined pigs sold to colco (7)'!D37+'Combined pigs sold to colco (7)'!D47+'Combined pigs sold to colco (7)'!D57+'Combined pigs sold to colco (7)'!D69</f>
        <v>1765</v>
      </c>
      <c r="E20" s="136">
        <f>'Combined pigs sold to colco (7)'!E27+'Combined pigs sold to colco (7)'!E37+'Combined pigs sold to colco (7)'!E47+'Combined pigs sold to colco (7)'!E57+'Combined pigs sold to colco (7)'!E69</f>
        <v>1391</v>
      </c>
      <c r="F20" s="136">
        <f>'Combined pigs sold to colco (7)'!F27+'Combined pigs sold to colco (7)'!F37+'Combined pigs sold to colco (7)'!F47+'Combined pigs sold to colco (7)'!F57+'Combined pigs sold to colco (7)'!F69</f>
        <v>1249</v>
      </c>
      <c r="G20" s="136">
        <f>'Combined pigs sold to colco (7)'!G27+'Combined pigs sold to colco (7)'!G37+'Combined pigs sold to colco (7)'!G47+'Combined pigs sold to colco (7)'!G57+'Combined pigs sold to colco (7)'!G69</f>
        <v>1542</v>
      </c>
      <c r="H20" s="136">
        <f>'Combined pigs sold to colco (7)'!H27+'Combined pigs sold to colco (7)'!H37+'Combined pigs sold to colco (7)'!H47+'Combined pigs sold to colco (7)'!H57+'Combined pigs sold to colco (7)'!H69</f>
        <v>1281</v>
      </c>
      <c r="I20" s="136">
        <f>'Combined pigs sold to colco (7)'!I27+'Combined pigs sold to colco (7)'!I37+'Combined pigs sold to colco (7)'!I47+'Combined pigs sold to colco (7)'!I57+'Combined pigs sold to colco (7)'!I69</f>
        <v>1327</v>
      </c>
      <c r="J20" s="136">
        <f>'Combined pigs sold to colco (7)'!J27+'Combined pigs sold to colco (7)'!J37+'Combined pigs sold to colco (7)'!J47+'Combined pigs sold to colco (7)'!J57+'Combined pigs sold to colco (7)'!J69</f>
        <v>1992</v>
      </c>
      <c r="K20" s="136">
        <f>'Combined pigs sold to colco (7)'!K27+'Combined pigs sold to colco (7)'!K37+'Combined pigs sold to colco (7)'!K47+'Combined pigs sold to colco (7)'!K57+'Combined pigs sold to colco (7)'!K69</f>
        <v>1415</v>
      </c>
      <c r="L20" s="136">
        <f>'Combined pigs sold to colco (7)'!L27+'Combined pigs sold to colco (7)'!L37+'Combined pigs sold to colco (7)'!L47+'Combined pigs sold to colco (7)'!L57+'Combined pigs sold to colco (7)'!L69</f>
        <v>1383</v>
      </c>
      <c r="M20" s="136">
        <f>'Combined pigs sold to colco (7)'!M27+'Combined pigs sold to colco (7)'!M37+'Combined pigs sold to colco (7)'!M47+'Combined pigs sold to colco (7)'!M57+'Combined pigs sold to colco (7)'!M69+'Combined pigs sold to colco (7)'!M79</f>
        <v>2005</v>
      </c>
      <c r="N20" s="127">
        <f>SUM(B20:M20)</f>
        <v>17909</v>
      </c>
    </row>
    <row r="21" spans="1:15" ht="16.5" thickBot="1">
      <c r="A21" s="121" t="s">
        <v>118</v>
      </c>
      <c r="B21" s="135">
        <f>'[3]Learig Pigs to Colcom (4)'!B21</f>
        <v>1295.531013835471</v>
      </c>
      <c r="C21" s="135">
        <f>'[3]Learig Pigs to Colcom (4)'!C21</f>
        <v>1209.3499999999999</v>
      </c>
      <c r="D21" s="135">
        <f>'[3]Learig Pigs to Colcom (4)'!D21</f>
        <v>1713.69</v>
      </c>
      <c r="E21" s="135">
        <f>'[3]Learig Pigs to Colcom (4)'!E21</f>
        <v>1217.1099999999999</v>
      </c>
      <c r="F21" s="135">
        <f>'[3]Learig Pigs to Colcom (4)'!F21</f>
        <v>1218.08</v>
      </c>
      <c r="G21" s="135">
        <f>'[3]Learig Pigs to Colcom (4)'!G21</f>
        <v>1713.69</v>
      </c>
      <c r="H21" s="135">
        <f>'[3]Learig Pigs to Colcom (4)'!H21</f>
        <v>1217.1099999999999</v>
      </c>
      <c r="I21" s="135">
        <f>'[3]Learig Pigs to Colcom (4)'!I21</f>
        <v>1218.08</v>
      </c>
      <c r="J21" s="135">
        <f>'[3]Learig Pigs to Colcom (4)'!J21</f>
        <v>1713.69</v>
      </c>
      <c r="K21" s="135">
        <f>'[3]Learig Pigs to Colcom (4)'!K21</f>
        <v>1217.1099999999999</v>
      </c>
      <c r="L21" s="135">
        <f>'[3]Learig Pigs to Colcom (4)'!L21</f>
        <v>1218.08</v>
      </c>
      <c r="M21" s="135">
        <f>'[3]Learig Pigs to Colcom (4)'!M21</f>
        <v>1713.69</v>
      </c>
      <c r="N21" s="127">
        <f>SUM(B21:M21)</f>
        <v>16665.211013835473</v>
      </c>
      <c r="O21" s="127">
        <f>N20-N21</f>
        <v>1243.7889861645272</v>
      </c>
    </row>
    <row r="22" spans="1:15">
      <c r="B22" s="199">
        <v>1281</v>
      </c>
      <c r="C22" s="199">
        <v>1277</v>
      </c>
      <c r="D22" s="199"/>
      <c r="E22" s="199"/>
      <c r="F22" s="199"/>
      <c r="G22" s="199"/>
      <c r="H22" s="199"/>
      <c r="I22" s="199"/>
      <c r="J22" s="199"/>
      <c r="K22" s="199"/>
      <c r="L22" s="199"/>
      <c r="M22" s="199"/>
      <c r="N22" s="127"/>
      <c r="O22" s="127"/>
    </row>
    <row r="23" spans="1:15">
      <c r="B23" s="129">
        <f>B21-B22</f>
        <v>14.531013835470958</v>
      </c>
      <c r="C23" s="129">
        <f>C21-C22</f>
        <v>-67.650000000000091</v>
      </c>
    </row>
  </sheetData>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3AD0-5BB5-4F73-8B64-60263429753B}">
  <sheetPr codeName="Sheet147">
    <tabColor theme="2" tint="-0.499984740745262"/>
    <pageSetUpPr fitToPage="1"/>
  </sheetPr>
  <dimension ref="A2:AEQ40"/>
  <sheetViews>
    <sheetView zoomScale="89" workbookViewId="0">
      <selection activeCell="AB4" sqref="AB4:AB13"/>
    </sheetView>
  </sheetViews>
  <sheetFormatPr defaultColWidth="13.28515625" defaultRowHeight="21"/>
  <cols>
    <col min="1" max="1" width="13.28515625" style="83"/>
    <col min="2" max="2" width="22" style="83" customWidth="1"/>
    <col min="3" max="4" width="7.5703125" style="80" hidden="1" customWidth="1"/>
    <col min="5" max="8" width="7.5703125" style="81" hidden="1" customWidth="1"/>
    <col min="9" max="9" width="7.5703125" style="80" hidden="1" customWidth="1"/>
    <col min="10" max="12" width="7.5703125" style="81" hidden="1" customWidth="1"/>
    <col min="13" max="14" width="7.85546875" style="81" hidden="1" customWidth="1"/>
    <col min="15" max="15" width="7.85546875" style="80" hidden="1" customWidth="1"/>
    <col min="16" max="17" width="7.85546875" style="81" hidden="1" customWidth="1"/>
    <col min="18" max="25" width="7.85546875" style="81" customWidth="1"/>
    <col min="26" max="26" width="7.85546875" style="80" customWidth="1"/>
    <col min="27" max="27" width="9" style="80" bestFit="1" customWidth="1"/>
    <col min="28" max="28" width="13.28515625" style="80"/>
    <col min="29" max="29" width="0" style="81" hidden="1" customWidth="1"/>
    <col min="30" max="32" width="0" style="80" hidden="1" customWidth="1"/>
    <col min="33" max="36" width="13.28515625" style="80"/>
    <col min="37" max="37" width="13.28515625" style="81"/>
    <col min="38" max="40" width="13.28515625" style="80"/>
    <col min="41" max="41" width="13.28515625" style="81"/>
    <col min="42" max="42" width="13.28515625" style="80"/>
    <col min="43" max="43" width="13.28515625" style="81"/>
    <col min="44" max="48" width="13.28515625" style="80"/>
    <col min="49" max="49" width="0" style="81" hidden="1" customWidth="1"/>
    <col min="50" max="50" width="0" style="80" hidden="1" customWidth="1"/>
    <col min="51" max="51" width="0" style="81" hidden="1" customWidth="1"/>
    <col min="52" max="52" width="0" style="80" hidden="1" customWidth="1"/>
    <col min="53" max="53" width="0" style="81" hidden="1" customWidth="1"/>
    <col min="54" max="54" width="0" style="80" hidden="1" customWidth="1"/>
    <col min="55" max="55" width="13.28515625" style="81"/>
    <col min="56" max="58" width="13.28515625" style="80"/>
    <col min="59" max="16384" width="13.28515625" style="83"/>
  </cols>
  <sheetData>
    <row r="2" spans="1:823" ht="21" customHeight="1" thickBot="1">
      <c r="B2" s="297" t="s">
        <v>226</v>
      </c>
      <c r="C2" s="183"/>
      <c r="D2" s="183"/>
      <c r="E2" s="184"/>
      <c r="F2" s="184"/>
      <c r="G2" s="184"/>
      <c r="H2" s="184"/>
      <c r="I2" s="183"/>
      <c r="J2" s="184"/>
      <c r="K2" s="184"/>
      <c r="L2" s="184"/>
      <c r="M2" s="184"/>
      <c r="N2" s="184"/>
      <c r="O2" s="183"/>
      <c r="P2" s="184"/>
      <c r="Q2" s="184"/>
      <c r="R2" s="184"/>
      <c r="S2" s="184"/>
      <c r="T2" s="184"/>
      <c r="U2" s="184"/>
      <c r="V2" s="184"/>
      <c r="W2" s="184"/>
      <c r="X2" s="184"/>
      <c r="Y2" s="184"/>
      <c r="Z2" s="183"/>
      <c r="AA2" s="183"/>
      <c r="AC2" s="80"/>
      <c r="AK2" s="80"/>
      <c r="AW2" s="80"/>
      <c r="AY2" s="80"/>
      <c r="BA2" s="80"/>
      <c r="BC2" s="80"/>
      <c r="BG2" s="80"/>
      <c r="BH2" s="80"/>
      <c r="BI2" s="80"/>
      <c r="BJ2" s="82"/>
      <c r="BK2" s="80"/>
    </row>
    <row r="3" spans="1:823" s="84" customFormat="1" ht="21" customHeight="1" thickBot="1">
      <c r="A3" s="630"/>
      <c r="B3" s="564" t="s">
        <v>140</v>
      </c>
      <c r="C3" s="565">
        <v>45474</v>
      </c>
      <c r="D3" s="565">
        <v>45505</v>
      </c>
      <c r="E3" s="565">
        <v>45536</v>
      </c>
      <c r="F3" s="565">
        <v>45566</v>
      </c>
      <c r="G3" s="565">
        <v>45597</v>
      </c>
      <c r="H3" s="565">
        <v>45627</v>
      </c>
      <c r="I3" s="565">
        <v>45658</v>
      </c>
      <c r="J3" s="565">
        <v>45689</v>
      </c>
      <c r="K3" s="565">
        <v>45717</v>
      </c>
      <c r="L3" s="565">
        <v>45748</v>
      </c>
      <c r="M3" s="565">
        <v>45778</v>
      </c>
      <c r="N3" s="566">
        <v>45809</v>
      </c>
      <c r="O3" s="566">
        <v>45839</v>
      </c>
      <c r="P3" s="566">
        <v>45870</v>
      </c>
      <c r="Q3" s="565">
        <v>45901</v>
      </c>
      <c r="R3" s="565">
        <v>45931</v>
      </c>
      <c r="S3" s="565">
        <v>45962</v>
      </c>
      <c r="T3" s="565">
        <v>45992</v>
      </c>
      <c r="U3" s="565">
        <v>46023</v>
      </c>
      <c r="V3" s="565">
        <v>46054</v>
      </c>
      <c r="W3" s="568">
        <v>46082</v>
      </c>
      <c r="X3" s="568">
        <v>46113</v>
      </c>
      <c r="Y3" s="568">
        <v>46143</v>
      </c>
      <c r="Z3" s="567">
        <v>46174</v>
      </c>
      <c r="AA3" s="472" t="s">
        <v>120</v>
      </c>
      <c r="AB3" s="470" t="s">
        <v>100</v>
      </c>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c r="EM3" s="80"/>
      <c r="EN3" s="80"/>
      <c r="EO3" s="80"/>
      <c r="EP3" s="80"/>
      <c r="EQ3" s="80"/>
      <c r="ER3" s="80"/>
      <c r="ES3" s="80"/>
      <c r="ET3" s="80"/>
      <c r="EU3" s="80"/>
      <c r="EV3" s="80"/>
      <c r="EW3" s="80"/>
      <c r="EX3" s="80"/>
      <c r="EY3" s="80"/>
      <c r="EZ3" s="80"/>
      <c r="FA3" s="80"/>
      <c r="FB3" s="80"/>
      <c r="FC3" s="80"/>
      <c r="FD3" s="80"/>
      <c r="FE3" s="80"/>
      <c r="FF3" s="80"/>
      <c r="FG3" s="80"/>
      <c r="FH3" s="80"/>
      <c r="FI3" s="80"/>
      <c r="FJ3" s="80"/>
      <c r="FK3" s="80"/>
      <c r="FL3" s="80"/>
      <c r="FM3" s="80"/>
      <c r="FN3" s="80"/>
      <c r="FO3" s="80"/>
      <c r="FP3" s="80"/>
      <c r="FQ3" s="80"/>
      <c r="FR3" s="80"/>
      <c r="FS3" s="80"/>
      <c r="FT3" s="80"/>
      <c r="FU3" s="80"/>
      <c r="FV3" s="80"/>
      <c r="FW3" s="80"/>
      <c r="FX3" s="80"/>
      <c r="FY3" s="80"/>
      <c r="FZ3" s="80"/>
      <c r="GA3" s="80"/>
      <c r="GB3" s="80"/>
      <c r="GC3" s="80"/>
      <c r="GD3" s="80"/>
      <c r="GE3" s="80"/>
      <c r="GF3" s="80"/>
      <c r="GG3" s="80"/>
      <c r="GH3" s="80"/>
      <c r="GI3" s="80"/>
      <c r="GJ3" s="80"/>
      <c r="GK3" s="80"/>
      <c r="GL3" s="80"/>
      <c r="GM3" s="80"/>
      <c r="GN3" s="80"/>
      <c r="GO3" s="80"/>
      <c r="GP3" s="80"/>
      <c r="GQ3" s="80"/>
      <c r="GR3" s="80"/>
      <c r="GS3" s="80"/>
      <c r="GT3" s="80"/>
      <c r="GU3" s="80"/>
      <c r="GV3" s="80"/>
      <c r="GW3" s="80"/>
      <c r="GX3" s="80"/>
      <c r="GY3" s="80"/>
      <c r="GZ3" s="80"/>
      <c r="HA3" s="80"/>
      <c r="HB3" s="80"/>
      <c r="HC3" s="80"/>
      <c r="HD3" s="80"/>
      <c r="HE3" s="80"/>
      <c r="HF3" s="80"/>
      <c r="HG3" s="80"/>
      <c r="HH3" s="80"/>
      <c r="HI3" s="80"/>
      <c r="HJ3" s="80"/>
      <c r="HK3" s="80"/>
      <c r="HL3" s="80"/>
      <c r="HM3" s="80"/>
      <c r="HN3" s="80"/>
      <c r="HO3" s="80"/>
      <c r="HP3" s="80"/>
      <c r="HQ3" s="80"/>
      <c r="HR3" s="80"/>
      <c r="HS3" s="80"/>
      <c r="HT3" s="80"/>
      <c r="HU3" s="80"/>
      <c r="HV3" s="80"/>
      <c r="HW3" s="80"/>
      <c r="HX3" s="80"/>
      <c r="HY3" s="80"/>
      <c r="HZ3" s="80"/>
      <c r="IA3" s="80"/>
      <c r="IB3" s="80"/>
      <c r="IC3" s="80"/>
      <c r="ID3" s="80"/>
      <c r="IE3" s="80"/>
      <c r="IF3" s="80"/>
      <c r="IG3" s="80"/>
      <c r="IH3" s="80"/>
      <c r="II3" s="80"/>
      <c r="IJ3" s="80"/>
      <c r="IK3" s="80"/>
      <c r="IL3" s="80"/>
      <c r="IM3" s="80"/>
      <c r="IN3" s="80"/>
      <c r="IO3" s="80"/>
      <c r="IP3" s="80"/>
      <c r="IQ3" s="80"/>
      <c r="IR3" s="80"/>
      <c r="IS3" s="80"/>
      <c r="IT3" s="80"/>
      <c r="IU3" s="80"/>
      <c r="IV3" s="80"/>
      <c r="IW3" s="80"/>
      <c r="IX3" s="80"/>
      <c r="IY3" s="80"/>
      <c r="IZ3" s="80"/>
      <c r="JA3" s="80"/>
      <c r="JB3" s="80"/>
      <c r="JC3" s="80"/>
      <c r="JD3" s="80"/>
      <c r="JE3" s="80"/>
      <c r="JF3" s="80"/>
      <c r="JG3" s="80"/>
      <c r="JH3" s="80"/>
      <c r="JI3" s="80"/>
      <c r="JJ3" s="80"/>
      <c r="JK3" s="80"/>
      <c r="JL3" s="80"/>
      <c r="JM3" s="80"/>
      <c r="JN3" s="80"/>
      <c r="JO3" s="80"/>
      <c r="JP3" s="80"/>
      <c r="JQ3" s="80"/>
      <c r="JR3" s="80"/>
      <c r="JS3" s="80"/>
      <c r="JT3" s="80"/>
      <c r="JU3" s="80"/>
      <c r="JV3" s="80"/>
      <c r="JW3" s="80"/>
      <c r="JX3" s="80"/>
      <c r="JY3" s="80"/>
      <c r="JZ3" s="80"/>
      <c r="KA3" s="80"/>
      <c r="KB3" s="80"/>
      <c r="KC3" s="80"/>
      <c r="KD3" s="80"/>
      <c r="KE3" s="80"/>
      <c r="KF3" s="80"/>
      <c r="KG3" s="80"/>
      <c r="KH3" s="80"/>
      <c r="KI3" s="80"/>
      <c r="KJ3" s="80"/>
      <c r="KK3" s="80"/>
      <c r="KL3" s="80"/>
      <c r="KM3" s="80"/>
      <c r="KN3" s="80"/>
      <c r="KO3" s="80"/>
      <c r="KP3" s="80"/>
      <c r="KQ3" s="80"/>
      <c r="KR3" s="80"/>
      <c r="KS3" s="80"/>
      <c r="KT3" s="80"/>
      <c r="KU3" s="80"/>
      <c r="KV3" s="80"/>
      <c r="KW3" s="80"/>
      <c r="KX3" s="80"/>
      <c r="KY3" s="80"/>
      <c r="KZ3" s="80"/>
      <c r="LA3" s="80"/>
      <c r="LB3" s="80"/>
      <c r="LC3" s="80"/>
      <c r="LD3" s="80"/>
      <c r="LE3" s="80"/>
      <c r="LF3" s="80"/>
      <c r="LG3" s="80"/>
      <c r="LH3" s="80"/>
      <c r="LI3" s="80"/>
      <c r="LJ3" s="80"/>
      <c r="LK3" s="80"/>
      <c r="LL3" s="80"/>
      <c r="LM3" s="80"/>
      <c r="LN3" s="80"/>
      <c r="LO3" s="80"/>
      <c r="LP3" s="80"/>
      <c r="LQ3" s="80"/>
      <c r="LR3" s="80"/>
      <c r="LS3" s="80"/>
      <c r="LT3" s="80"/>
      <c r="LU3" s="80"/>
      <c r="LV3" s="80"/>
      <c r="LW3" s="80"/>
      <c r="LX3" s="80"/>
      <c r="LY3" s="80"/>
      <c r="LZ3" s="80"/>
      <c r="MA3" s="80"/>
      <c r="MB3" s="80"/>
      <c r="MC3" s="80"/>
      <c r="MD3" s="80"/>
      <c r="ME3" s="80"/>
      <c r="MF3" s="80"/>
      <c r="MG3" s="80"/>
      <c r="MH3" s="80"/>
      <c r="MI3" s="80"/>
      <c r="MJ3" s="80"/>
      <c r="MK3" s="80"/>
      <c r="ML3" s="80"/>
      <c r="MM3" s="80"/>
      <c r="MN3" s="80"/>
      <c r="MO3" s="80"/>
      <c r="MP3" s="80"/>
      <c r="MQ3" s="80"/>
      <c r="MR3" s="80"/>
      <c r="MS3" s="80"/>
      <c r="MT3" s="80"/>
      <c r="MU3" s="80"/>
      <c r="MV3" s="80"/>
      <c r="MW3" s="80"/>
      <c r="MX3" s="80"/>
      <c r="MY3" s="80"/>
      <c r="MZ3" s="80"/>
      <c r="NA3" s="80"/>
      <c r="NB3" s="80"/>
      <c r="NC3" s="80"/>
      <c r="ND3" s="80"/>
      <c r="NE3" s="80"/>
      <c r="NF3" s="80"/>
      <c r="NG3" s="80"/>
      <c r="NH3" s="80"/>
      <c r="NI3" s="80"/>
      <c r="NJ3" s="80"/>
      <c r="NK3" s="80"/>
      <c r="NL3" s="80"/>
      <c r="NM3" s="80"/>
      <c r="NN3" s="80"/>
      <c r="NO3" s="80"/>
      <c r="NP3" s="80"/>
      <c r="NQ3" s="80"/>
      <c r="NR3" s="80"/>
      <c r="NS3" s="80"/>
      <c r="NT3" s="80"/>
      <c r="NU3" s="80"/>
      <c r="NV3" s="80"/>
      <c r="NW3" s="80"/>
      <c r="NX3" s="80"/>
      <c r="NY3" s="80"/>
      <c r="NZ3" s="80"/>
      <c r="OA3" s="80"/>
      <c r="OB3" s="80"/>
      <c r="OC3" s="80"/>
      <c r="OD3" s="80"/>
      <c r="OE3" s="80"/>
      <c r="OF3" s="80"/>
      <c r="OG3" s="80"/>
      <c r="OH3" s="80"/>
      <c r="OI3" s="80"/>
      <c r="OJ3" s="80"/>
      <c r="OK3" s="80"/>
      <c r="OL3" s="80"/>
      <c r="OM3" s="80"/>
      <c r="ON3" s="80"/>
      <c r="OO3" s="80"/>
      <c r="OP3" s="80"/>
      <c r="OQ3" s="80"/>
      <c r="OR3" s="80"/>
      <c r="OS3" s="80"/>
      <c r="OT3" s="80"/>
      <c r="OU3" s="80"/>
      <c r="OV3" s="80"/>
      <c r="OW3" s="80"/>
      <c r="OX3" s="80"/>
      <c r="OY3" s="80"/>
      <c r="OZ3" s="80"/>
      <c r="PA3" s="80"/>
      <c r="PB3" s="80"/>
      <c r="PC3" s="80"/>
      <c r="PD3" s="80"/>
      <c r="PE3" s="80"/>
      <c r="PF3" s="80"/>
      <c r="PG3" s="80"/>
      <c r="PH3" s="80"/>
      <c r="PI3" s="80"/>
      <c r="PJ3" s="80"/>
      <c r="PK3" s="80"/>
      <c r="PL3" s="80"/>
      <c r="PM3" s="80"/>
      <c r="PN3" s="80"/>
      <c r="PO3" s="80"/>
      <c r="PP3" s="80"/>
      <c r="PQ3" s="80"/>
      <c r="PR3" s="80"/>
      <c r="PS3" s="80"/>
      <c r="PT3" s="80"/>
      <c r="PU3" s="80"/>
      <c r="PV3" s="80"/>
      <c r="PW3" s="80"/>
      <c r="PX3" s="80"/>
      <c r="PY3" s="80"/>
      <c r="PZ3" s="80"/>
      <c r="QA3" s="80"/>
      <c r="QB3" s="80"/>
      <c r="QC3" s="80"/>
      <c r="QD3" s="80"/>
      <c r="QE3" s="80"/>
      <c r="QF3" s="80"/>
      <c r="QG3" s="80"/>
      <c r="QH3" s="80"/>
      <c r="QI3" s="80"/>
      <c r="QJ3" s="80"/>
      <c r="QK3" s="80"/>
      <c r="QL3" s="80"/>
      <c r="QM3" s="80"/>
      <c r="QN3" s="80"/>
      <c r="QO3" s="80"/>
      <c r="QP3" s="80"/>
      <c r="QQ3" s="80"/>
      <c r="QR3" s="80"/>
      <c r="QS3" s="80"/>
      <c r="QT3" s="80"/>
      <c r="QU3" s="80"/>
      <c r="QV3" s="80"/>
      <c r="QW3" s="80"/>
      <c r="QX3" s="80"/>
      <c r="QY3" s="80"/>
      <c r="QZ3" s="80"/>
      <c r="RA3" s="80"/>
      <c r="RB3" s="80"/>
      <c r="RC3" s="80"/>
      <c r="RD3" s="80"/>
      <c r="RE3" s="80"/>
      <c r="RF3" s="80"/>
      <c r="RG3" s="80"/>
      <c r="RH3" s="80"/>
      <c r="RI3" s="80"/>
      <c r="RJ3" s="80"/>
      <c r="RK3" s="80"/>
      <c r="RL3" s="80"/>
      <c r="RM3" s="80"/>
      <c r="RN3" s="80"/>
      <c r="RO3" s="80"/>
      <c r="RP3" s="80"/>
      <c r="RQ3" s="80"/>
      <c r="RR3" s="80"/>
      <c r="RS3" s="80"/>
      <c r="RT3" s="80"/>
      <c r="RU3" s="80"/>
      <c r="RV3" s="80"/>
      <c r="RW3" s="80"/>
      <c r="RX3" s="80"/>
      <c r="RY3" s="80"/>
      <c r="RZ3" s="80"/>
      <c r="SA3" s="80"/>
      <c r="SB3" s="80"/>
      <c r="SC3" s="80"/>
      <c r="SD3" s="80"/>
      <c r="SE3" s="80"/>
      <c r="SF3" s="80"/>
      <c r="SG3" s="80"/>
      <c r="SH3" s="80"/>
      <c r="SI3" s="80"/>
      <c r="SJ3" s="80"/>
      <c r="SK3" s="80"/>
      <c r="SL3" s="80"/>
      <c r="SM3" s="80"/>
      <c r="SN3" s="80"/>
      <c r="SO3" s="80"/>
      <c r="SP3" s="80"/>
      <c r="SQ3" s="80"/>
      <c r="SR3" s="80"/>
      <c r="SS3" s="80"/>
      <c r="ST3" s="80"/>
      <c r="SU3" s="80"/>
      <c r="SV3" s="80"/>
      <c r="SW3" s="80"/>
      <c r="SX3" s="80"/>
      <c r="SY3" s="80"/>
      <c r="SZ3" s="80"/>
      <c r="TA3" s="80"/>
      <c r="TB3" s="80"/>
      <c r="TC3" s="80"/>
      <c r="TD3" s="80"/>
      <c r="TE3" s="80"/>
      <c r="TF3" s="80"/>
      <c r="TG3" s="80"/>
      <c r="TH3" s="80"/>
      <c r="TI3" s="80"/>
      <c r="TJ3" s="80"/>
      <c r="TK3" s="80"/>
      <c r="TL3" s="80"/>
      <c r="TM3" s="80"/>
      <c r="TN3" s="80"/>
      <c r="TO3" s="80"/>
      <c r="TP3" s="80"/>
      <c r="TQ3" s="80"/>
      <c r="TR3" s="80"/>
      <c r="TS3" s="80"/>
      <c r="TT3" s="80"/>
      <c r="TU3" s="80"/>
      <c r="TV3" s="80"/>
      <c r="TW3" s="80"/>
      <c r="TX3" s="80"/>
      <c r="TY3" s="80"/>
      <c r="TZ3" s="80"/>
      <c r="UA3" s="80"/>
      <c r="UB3" s="80"/>
      <c r="UC3" s="80"/>
      <c r="UD3" s="80"/>
      <c r="UE3" s="80"/>
      <c r="UF3" s="80"/>
      <c r="UG3" s="80"/>
      <c r="UH3" s="80"/>
      <c r="UI3" s="80"/>
      <c r="UJ3" s="80"/>
      <c r="UK3" s="80"/>
      <c r="UL3" s="80"/>
      <c r="UM3" s="80"/>
      <c r="UN3" s="80"/>
      <c r="UO3" s="80"/>
      <c r="UP3" s="80"/>
      <c r="UQ3" s="80"/>
      <c r="UR3" s="80"/>
      <c r="US3" s="80"/>
      <c r="UT3" s="80"/>
      <c r="UU3" s="80"/>
      <c r="UV3" s="80"/>
      <c r="UW3" s="80"/>
      <c r="UX3" s="80"/>
      <c r="UY3" s="80"/>
      <c r="UZ3" s="80"/>
      <c r="VA3" s="80"/>
      <c r="VB3" s="80"/>
      <c r="VC3" s="80"/>
      <c r="VD3" s="80"/>
      <c r="VE3" s="80"/>
      <c r="VF3" s="80"/>
      <c r="VG3" s="80"/>
      <c r="VH3" s="80"/>
      <c r="VI3" s="80"/>
      <c r="VJ3" s="80"/>
      <c r="VK3" s="80"/>
      <c r="VL3" s="80"/>
      <c r="VM3" s="80"/>
      <c r="VN3" s="80"/>
      <c r="VO3" s="80"/>
      <c r="VP3" s="80"/>
      <c r="VQ3" s="80"/>
      <c r="VR3" s="80"/>
      <c r="VS3" s="80"/>
      <c r="VT3" s="80"/>
      <c r="VU3" s="80"/>
      <c r="VV3" s="80"/>
      <c r="VW3" s="80"/>
      <c r="VX3" s="80"/>
      <c r="VY3" s="80"/>
      <c r="VZ3" s="80"/>
      <c r="WA3" s="80"/>
      <c r="WB3" s="80"/>
      <c r="WC3" s="80"/>
      <c r="WD3" s="80"/>
      <c r="WE3" s="80"/>
      <c r="WF3" s="80"/>
      <c r="WG3" s="80"/>
      <c r="WH3" s="80"/>
      <c r="WI3" s="80"/>
      <c r="WJ3" s="80"/>
      <c r="WK3" s="80"/>
      <c r="WL3" s="80"/>
      <c r="WM3" s="80"/>
      <c r="WN3" s="80"/>
      <c r="WO3" s="80"/>
      <c r="WP3" s="80"/>
      <c r="WQ3" s="80"/>
      <c r="WR3" s="80"/>
      <c r="WS3" s="80"/>
      <c r="WT3" s="80"/>
      <c r="WU3" s="80"/>
      <c r="WV3" s="80"/>
      <c r="WW3" s="80"/>
      <c r="WX3" s="80"/>
      <c r="WY3" s="80"/>
      <c r="WZ3" s="80"/>
      <c r="XA3" s="80"/>
      <c r="XB3" s="80"/>
      <c r="XC3" s="80"/>
      <c r="XD3" s="80"/>
      <c r="XE3" s="80"/>
      <c r="XF3" s="80"/>
      <c r="XG3" s="80"/>
      <c r="XH3" s="80"/>
      <c r="XI3" s="80"/>
      <c r="XJ3" s="80"/>
      <c r="XK3" s="80"/>
      <c r="XL3" s="80"/>
      <c r="XM3" s="80"/>
      <c r="XN3" s="80"/>
      <c r="XO3" s="80"/>
      <c r="XP3" s="80"/>
      <c r="XQ3" s="80"/>
      <c r="XR3" s="80"/>
      <c r="XS3" s="80"/>
      <c r="XT3" s="80"/>
      <c r="XU3" s="80"/>
      <c r="XV3" s="80"/>
      <c r="XW3" s="80"/>
      <c r="XX3" s="80"/>
      <c r="XY3" s="80"/>
      <c r="XZ3" s="80"/>
      <c r="YA3" s="80"/>
      <c r="YB3" s="80"/>
      <c r="YC3" s="80"/>
      <c r="YD3" s="80"/>
      <c r="YE3" s="80"/>
      <c r="YF3" s="80"/>
      <c r="YG3" s="80"/>
      <c r="YH3" s="80"/>
      <c r="YI3" s="80"/>
      <c r="YJ3" s="80"/>
      <c r="YK3" s="80"/>
      <c r="YL3" s="80"/>
      <c r="YM3" s="80"/>
      <c r="YN3" s="80"/>
      <c r="YO3" s="80"/>
      <c r="YP3" s="80"/>
      <c r="YQ3" s="80"/>
      <c r="YR3" s="80"/>
      <c r="YS3" s="80"/>
      <c r="YT3" s="80"/>
      <c r="YU3" s="80"/>
      <c r="YV3" s="80"/>
      <c r="YW3" s="80"/>
      <c r="YX3" s="80"/>
      <c r="YY3" s="80"/>
      <c r="YZ3" s="80"/>
      <c r="ZA3" s="80"/>
      <c r="ZB3" s="80"/>
      <c r="ZC3" s="80"/>
      <c r="ZD3" s="80"/>
      <c r="ZE3" s="80"/>
      <c r="ZF3" s="80"/>
      <c r="ZG3" s="80"/>
      <c r="ZH3" s="80"/>
      <c r="ZI3" s="80"/>
      <c r="ZJ3" s="80"/>
      <c r="ZK3" s="80"/>
      <c r="ZL3" s="80"/>
      <c r="ZM3" s="80"/>
      <c r="ZN3" s="80"/>
      <c r="ZO3" s="80"/>
      <c r="ZP3" s="80"/>
      <c r="ZQ3" s="80"/>
      <c r="ZR3" s="80"/>
      <c r="ZS3" s="80"/>
      <c r="ZT3" s="80"/>
      <c r="ZU3" s="80"/>
      <c r="ZV3" s="80"/>
      <c r="ZW3" s="80"/>
      <c r="ZX3" s="80"/>
      <c r="ZY3" s="80"/>
      <c r="ZZ3" s="80"/>
      <c r="AAA3" s="80"/>
      <c r="AAB3" s="80"/>
      <c r="AAC3" s="80"/>
      <c r="AAD3" s="80"/>
      <c r="AAE3" s="80"/>
      <c r="AAF3" s="80"/>
      <c r="AAG3" s="80"/>
      <c r="AAH3" s="80"/>
      <c r="AAI3" s="80"/>
      <c r="AAJ3" s="80"/>
      <c r="AAK3" s="80"/>
      <c r="AAL3" s="80"/>
      <c r="AAM3" s="80"/>
      <c r="AAN3" s="80"/>
      <c r="AAO3" s="80"/>
      <c r="AAP3" s="80"/>
      <c r="AAQ3" s="80"/>
      <c r="AAR3" s="80"/>
      <c r="AAS3" s="80"/>
      <c r="AAT3" s="80"/>
      <c r="AAU3" s="80"/>
      <c r="AAV3" s="80"/>
      <c r="AAW3" s="80"/>
      <c r="AAX3" s="80"/>
      <c r="AAY3" s="80"/>
      <c r="AAZ3" s="80"/>
      <c r="ABA3" s="80"/>
      <c r="ABB3" s="80"/>
      <c r="ABC3" s="80"/>
      <c r="ABD3" s="80"/>
      <c r="ABE3" s="80"/>
      <c r="ABF3" s="80"/>
      <c r="ABG3" s="80"/>
      <c r="ABH3" s="80"/>
      <c r="ABI3" s="80"/>
      <c r="ABJ3" s="80"/>
      <c r="ABK3" s="80"/>
      <c r="ABL3" s="80"/>
      <c r="ABM3" s="80"/>
      <c r="ABN3" s="80"/>
      <c r="ABO3" s="80"/>
      <c r="ABP3" s="80"/>
      <c r="ABQ3" s="80"/>
      <c r="ABR3" s="80"/>
      <c r="ABS3" s="80"/>
      <c r="ABT3" s="80"/>
      <c r="ABU3" s="80"/>
      <c r="ABV3" s="80"/>
      <c r="ABW3" s="80"/>
      <c r="ABX3" s="80"/>
      <c r="ABY3" s="80"/>
      <c r="ABZ3" s="80"/>
      <c r="ACA3" s="80"/>
      <c r="ACB3" s="80"/>
      <c r="ACC3" s="80"/>
      <c r="ACD3" s="80"/>
      <c r="ACE3" s="80"/>
      <c r="ACF3" s="80"/>
      <c r="ACG3" s="80"/>
      <c r="ACH3" s="80"/>
      <c r="ACI3" s="80"/>
      <c r="ACJ3" s="80"/>
      <c r="ACK3" s="80"/>
      <c r="ACL3" s="80"/>
      <c r="ACM3" s="80"/>
      <c r="ACN3" s="80"/>
      <c r="ACO3" s="80"/>
      <c r="ACP3" s="80"/>
      <c r="ACQ3" s="80"/>
      <c r="ACR3" s="80"/>
      <c r="ACS3" s="80"/>
      <c r="ACT3" s="80"/>
      <c r="ACU3" s="80"/>
      <c r="ACV3" s="80"/>
      <c r="ACW3" s="80"/>
      <c r="ACX3" s="80"/>
      <c r="ACY3" s="80"/>
      <c r="ACZ3" s="80"/>
      <c r="ADA3" s="80"/>
      <c r="ADB3" s="80"/>
      <c r="ADC3" s="80"/>
      <c r="ADD3" s="80"/>
      <c r="ADE3" s="80"/>
      <c r="ADF3" s="80"/>
      <c r="ADG3" s="80"/>
      <c r="ADH3" s="80"/>
      <c r="ADI3" s="80"/>
      <c r="ADJ3" s="80"/>
      <c r="ADK3" s="80"/>
      <c r="ADL3" s="80"/>
      <c r="ADM3" s="80"/>
      <c r="ADN3" s="80"/>
      <c r="ADO3" s="80"/>
      <c r="ADP3" s="80"/>
      <c r="ADQ3" s="80"/>
      <c r="ADR3" s="80"/>
      <c r="ADS3" s="80"/>
      <c r="ADT3" s="80"/>
      <c r="ADU3" s="80"/>
      <c r="ADV3" s="80"/>
      <c r="ADW3" s="80"/>
      <c r="ADX3" s="80"/>
      <c r="ADY3" s="80"/>
      <c r="ADZ3" s="80"/>
      <c r="AEA3" s="80"/>
      <c r="AEB3" s="80"/>
      <c r="AEC3" s="80"/>
      <c r="AED3" s="80"/>
      <c r="AEE3" s="80"/>
      <c r="AEF3" s="80"/>
      <c r="AEG3" s="80"/>
      <c r="AEH3" s="80"/>
      <c r="AEI3" s="80"/>
      <c r="AEJ3" s="80"/>
      <c r="AEK3" s="80"/>
      <c r="AEL3" s="80"/>
      <c r="AEM3" s="80"/>
      <c r="AEN3" s="80"/>
      <c r="AEO3" s="80"/>
      <c r="AEP3" s="80"/>
      <c r="AEQ3" s="80"/>
    </row>
    <row r="4" spans="1:823" s="102" customFormat="1" ht="21" customHeight="1">
      <c r="B4" s="569" t="s">
        <v>209</v>
      </c>
      <c r="C4" s="185">
        <v>27.59</v>
      </c>
      <c r="D4" s="185">
        <v>27.19</v>
      </c>
      <c r="E4" s="185">
        <v>27.07</v>
      </c>
      <c r="F4" s="185">
        <v>27.38</v>
      </c>
      <c r="G4" s="185">
        <v>26.56</v>
      </c>
      <c r="H4" s="185">
        <v>26.11</v>
      </c>
      <c r="I4" s="298">
        <v>25.29</v>
      </c>
      <c r="J4" s="185">
        <v>26.15</v>
      </c>
      <c r="K4" s="185">
        <v>25.84</v>
      </c>
      <c r="L4" s="185">
        <v>28.14</v>
      </c>
      <c r="M4" s="185">
        <v>27.96</v>
      </c>
      <c r="N4" s="255">
        <v>27.16</v>
      </c>
      <c r="O4" s="298">
        <v>26.49</v>
      </c>
      <c r="P4" s="410">
        <v>26.97</v>
      </c>
      <c r="Q4" s="298">
        <v>26.716000000000001</v>
      </c>
      <c r="R4" s="298">
        <v>27.88</v>
      </c>
      <c r="S4" s="298">
        <v>26.92</v>
      </c>
      <c r="T4" s="298">
        <v>25.8</v>
      </c>
      <c r="U4" s="298">
        <v>25.1</v>
      </c>
      <c r="V4" s="298">
        <v>25.26</v>
      </c>
      <c r="W4" s="411">
        <v>24.8</v>
      </c>
      <c r="X4" s="595" t="s">
        <v>227</v>
      </c>
      <c r="Y4" s="298">
        <v>27.79</v>
      </c>
      <c r="Z4" s="705">
        <v>27.3</v>
      </c>
      <c r="AA4" s="519"/>
      <c r="AB4" s="520"/>
      <c r="AC4" s="80">
        <v>28.24</v>
      </c>
      <c r="AD4" s="80">
        <v>28.38</v>
      </c>
      <c r="AE4" s="80">
        <v>27.3</v>
      </c>
      <c r="AF4" s="80">
        <v>27.17</v>
      </c>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c r="FO4" s="101"/>
      <c r="FP4" s="101"/>
      <c r="FQ4" s="101"/>
      <c r="FR4" s="101"/>
      <c r="FS4" s="101"/>
      <c r="FT4" s="101"/>
      <c r="FU4" s="101"/>
      <c r="FV4" s="101"/>
      <c r="FW4" s="101"/>
      <c r="FX4" s="101"/>
      <c r="FY4" s="101"/>
      <c r="FZ4" s="101"/>
      <c r="GA4" s="101"/>
      <c r="GB4" s="101"/>
      <c r="GC4" s="101"/>
      <c r="GD4" s="101"/>
      <c r="GE4" s="101"/>
      <c r="GF4" s="101"/>
      <c r="GG4" s="101"/>
      <c r="GH4" s="101"/>
      <c r="GI4" s="101"/>
      <c r="GJ4" s="101"/>
      <c r="GK4" s="101"/>
      <c r="GL4" s="101"/>
      <c r="GM4" s="101"/>
      <c r="GN4" s="101"/>
      <c r="GO4" s="101"/>
      <c r="GP4" s="101"/>
      <c r="GQ4" s="101"/>
      <c r="GR4" s="101"/>
      <c r="GS4" s="101"/>
      <c r="GT4" s="101"/>
      <c r="GU4" s="101"/>
      <c r="GV4" s="101"/>
      <c r="GW4" s="101"/>
      <c r="GX4" s="101"/>
      <c r="GY4" s="101"/>
      <c r="GZ4" s="101"/>
      <c r="HA4" s="101"/>
      <c r="HB4" s="101"/>
      <c r="HC4" s="101"/>
      <c r="HD4" s="101"/>
      <c r="HE4" s="101"/>
      <c r="HF4" s="101"/>
      <c r="HG4" s="101"/>
      <c r="HH4" s="101"/>
      <c r="HI4" s="101"/>
      <c r="HJ4" s="101"/>
      <c r="HK4" s="101"/>
      <c r="HL4" s="101"/>
      <c r="HM4" s="101"/>
      <c r="HN4" s="101"/>
      <c r="HO4" s="101"/>
      <c r="HP4" s="101"/>
      <c r="HQ4" s="101"/>
      <c r="HR4" s="101"/>
      <c r="HS4" s="101"/>
      <c r="HT4" s="101"/>
      <c r="HU4" s="101"/>
      <c r="HV4" s="101"/>
      <c r="HW4" s="101"/>
      <c r="HX4" s="101"/>
      <c r="HY4" s="101"/>
      <c r="HZ4" s="101"/>
      <c r="IA4" s="101"/>
      <c r="IB4" s="101"/>
      <c r="IC4" s="101"/>
      <c r="ID4" s="101"/>
      <c r="IE4" s="101"/>
      <c r="IF4" s="101"/>
      <c r="IG4" s="101"/>
      <c r="IH4" s="101"/>
      <c r="II4" s="101"/>
      <c r="IJ4" s="101"/>
      <c r="IK4" s="101"/>
      <c r="IL4" s="101"/>
      <c r="IM4" s="101"/>
      <c r="IN4" s="101"/>
      <c r="IO4" s="101"/>
      <c r="IP4" s="101"/>
      <c r="IQ4" s="101"/>
      <c r="IR4" s="101"/>
      <c r="IS4" s="101"/>
      <c r="IT4" s="101"/>
      <c r="IU4" s="101"/>
      <c r="IV4" s="101"/>
      <c r="IW4" s="101"/>
      <c r="IX4" s="101"/>
      <c r="IY4" s="101"/>
      <c r="IZ4" s="101"/>
      <c r="JA4" s="101"/>
      <c r="JB4" s="101"/>
      <c r="JC4" s="101"/>
      <c r="JD4" s="101"/>
      <c r="JE4" s="101"/>
      <c r="JF4" s="101"/>
      <c r="JG4" s="101"/>
      <c r="JH4" s="101"/>
      <c r="JI4" s="101"/>
      <c r="JJ4" s="101"/>
      <c r="JK4" s="101"/>
      <c r="JL4" s="101"/>
      <c r="JM4" s="101"/>
      <c r="JN4" s="101"/>
      <c r="JO4" s="101"/>
      <c r="JP4" s="101"/>
      <c r="JQ4" s="101"/>
      <c r="JR4" s="101"/>
      <c r="JS4" s="101"/>
      <c r="JT4" s="101"/>
      <c r="JU4" s="101"/>
      <c r="JV4" s="101"/>
      <c r="JW4" s="101"/>
      <c r="JX4" s="101"/>
      <c r="JY4" s="101"/>
      <c r="JZ4" s="101"/>
      <c r="KA4" s="101"/>
      <c r="KB4" s="101"/>
      <c r="KC4" s="101"/>
      <c r="KD4" s="101"/>
      <c r="KE4" s="101"/>
      <c r="KF4" s="101"/>
      <c r="KG4" s="101"/>
      <c r="KH4" s="101"/>
      <c r="KI4" s="101"/>
      <c r="KJ4" s="101"/>
      <c r="KK4" s="101"/>
      <c r="KL4" s="101"/>
      <c r="KM4" s="101"/>
      <c r="KN4" s="101"/>
      <c r="KO4" s="101"/>
      <c r="KP4" s="101"/>
      <c r="KQ4" s="101"/>
      <c r="KR4" s="101"/>
      <c r="KS4" s="101"/>
      <c r="KT4" s="101"/>
      <c r="KU4" s="101"/>
      <c r="KV4" s="101"/>
      <c r="KW4" s="101"/>
      <c r="KX4" s="101"/>
      <c r="KY4" s="101"/>
      <c r="KZ4" s="101"/>
      <c r="LA4" s="101"/>
      <c r="LB4" s="101"/>
      <c r="LC4" s="101"/>
      <c r="LD4" s="101"/>
      <c r="LE4" s="101"/>
      <c r="LF4" s="101"/>
      <c r="LG4" s="101"/>
      <c r="LH4" s="101"/>
      <c r="LI4" s="101"/>
      <c r="LJ4" s="101"/>
      <c r="LK4" s="101"/>
      <c r="LL4" s="101"/>
      <c r="LM4" s="101"/>
      <c r="LN4" s="101"/>
      <c r="LO4" s="101"/>
      <c r="LP4" s="101"/>
      <c r="LQ4" s="101"/>
      <c r="LR4" s="101"/>
      <c r="LS4" s="101"/>
      <c r="LT4" s="101"/>
      <c r="LU4" s="101"/>
      <c r="LV4" s="101"/>
      <c r="LW4" s="101"/>
      <c r="LX4" s="101"/>
      <c r="LY4" s="101"/>
      <c r="LZ4" s="101"/>
      <c r="MA4" s="101"/>
      <c r="MB4" s="101"/>
      <c r="MC4" s="101"/>
      <c r="MD4" s="101"/>
      <c r="ME4" s="101"/>
      <c r="MF4" s="101"/>
      <c r="MG4" s="101"/>
      <c r="MH4" s="101"/>
      <c r="MI4" s="101"/>
      <c r="MJ4" s="101"/>
      <c r="MK4" s="101"/>
      <c r="ML4" s="101"/>
      <c r="MM4" s="101"/>
      <c r="MN4" s="101"/>
      <c r="MO4" s="101"/>
      <c r="MP4" s="101"/>
      <c r="MQ4" s="101"/>
      <c r="MR4" s="101"/>
      <c r="MS4" s="101"/>
      <c r="MT4" s="101"/>
      <c r="MU4" s="101"/>
      <c r="MV4" s="101"/>
      <c r="MW4" s="101"/>
      <c r="MX4" s="101"/>
      <c r="MY4" s="101"/>
      <c r="MZ4" s="101"/>
      <c r="NA4" s="101"/>
      <c r="NB4" s="101"/>
      <c r="NC4" s="101"/>
      <c r="ND4" s="101"/>
      <c r="NE4" s="101"/>
      <c r="NF4" s="101"/>
      <c r="NG4" s="101"/>
      <c r="NH4" s="101"/>
      <c r="NI4" s="101"/>
      <c r="NJ4" s="101"/>
      <c r="NK4" s="101"/>
      <c r="NL4" s="101"/>
      <c r="NM4" s="101"/>
      <c r="NN4" s="101"/>
      <c r="NO4" s="101"/>
      <c r="NP4" s="101"/>
      <c r="NQ4" s="101"/>
      <c r="NR4" s="101"/>
      <c r="NS4" s="101"/>
      <c r="NT4" s="101"/>
      <c r="NU4" s="101"/>
      <c r="NV4" s="101"/>
      <c r="NW4" s="101"/>
      <c r="NX4" s="101"/>
      <c r="NY4" s="101"/>
      <c r="NZ4" s="101"/>
      <c r="OA4" s="101"/>
      <c r="OB4" s="101"/>
      <c r="OC4" s="101"/>
      <c r="OD4" s="101"/>
      <c r="OE4" s="101"/>
      <c r="OF4" s="101"/>
      <c r="OG4" s="101"/>
      <c r="OH4" s="101"/>
      <c r="OI4" s="101"/>
      <c r="OJ4" s="101"/>
      <c r="OK4" s="101"/>
      <c r="OL4" s="101"/>
      <c r="OM4" s="101"/>
      <c r="ON4" s="101"/>
      <c r="OO4" s="101"/>
      <c r="OP4" s="101"/>
      <c r="OQ4" s="101"/>
      <c r="OR4" s="101"/>
      <c r="OS4" s="101"/>
      <c r="OT4" s="101"/>
      <c r="OU4" s="101"/>
      <c r="OV4" s="101"/>
      <c r="OW4" s="101"/>
      <c r="OX4" s="101"/>
      <c r="OY4" s="101"/>
      <c r="OZ4" s="101"/>
      <c r="PA4" s="101"/>
      <c r="PB4" s="101"/>
      <c r="PC4" s="101"/>
      <c r="PD4" s="101"/>
      <c r="PE4" s="101"/>
      <c r="PF4" s="101"/>
      <c r="PG4" s="101"/>
      <c r="PH4" s="101"/>
      <c r="PI4" s="101"/>
      <c r="PJ4" s="101"/>
      <c r="PK4" s="101"/>
      <c r="PL4" s="101"/>
      <c r="PM4" s="101"/>
      <c r="PN4" s="101"/>
      <c r="PO4" s="101"/>
      <c r="PP4" s="101"/>
      <c r="PQ4" s="101"/>
      <c r="PR4" s="101"/>
      <c r="PS4" s="101"/>
      <c r="PT4" s="101"/>
      <c r="PU4" s="101"/>
      <c r="PV4" s="101"/>
      <c r="PW4" s="101"/>
      <c r="PX4" s="101"/>
      <c r="PY4" s="101"/>
      <c r="PZ4" s="101"/>
      <c r="QA4" s="101"/>
      <c r="QB4" s="101"/>
      <c r="QC4" s="101"/>
      <c r="QD4" s="101"/>
      <c r="QE4" s="101"/>
      <c r="QF4" s="101"/>
      <c r="QG4" s="101"/>
      <c r="QH4" s="101"/>
      <c r="QI4" s="101"/>
      <c r="QJ4" s="101"/>
      <c r="QK4" s="101"/>
      <c r="QL4" s="101"/>
      <c r="QM4" s="101"/>
      <c r="QN4" s="101"/>
      <c r="QO4" s="101"/>
      <c r="QP4" s="101"/>
      <c r="QQ4" s="101"/>
      <c r="QR4" s="101"/>
      <c r="QS4" s="101"/>
      <c r="QT4" s="101"/>
      <c r="QU4" s="101"/>
      <c r="QV4" s="101"/>
      <c r="QW4" s="101"/>
      <c r="QX4" s="101"/>
      <c r="QY4" s="101"/>
      <c r="QZ4" s="101"/>
      <c r="RA4" s="101"/>
      <c r="RB4" s="101"/>
      <c r="RC4" s="101"/>
      <c r="RD4" s="101"/>
      <c r="RE4" s="101"/>
      <c r="RF4" s="101"/>
      <c r="RG4" s="101"/>
      <c r="RH4" s="101"/>
      <c r="RI4" s="101"/>
      <c r="RJ4" s="101"/>
      <c r="RK4" s="101"/>
      <c r="RL4" s="101"/>
      <c r="RM4" s="101"/>
      <c r="RN4" s="101"/>
      <c r="RO4" s="101"/>
      <c r="RP4" s="101"/>
      <c r="RQ4" s="101"/>
      <c r="RR4" s="101"/>
      <c r="RS4" s="101"/>
      <c r="RT4" s="101"/>
      <c r="RU4" s="101"/>
      <c r="RV4" s="101"/>
      <c r="RW4" s="101"/>
      <c r="RX4" s="101"/>
      <c r="RY4" s="101"/>
      <c r="RZ4" s="101"/>
      <c r="SA4" s="101"/>
      <c r="SB4" s="101"/>
      <c r="SC4" s="101"/>
      <c r="SD4" s="101"/>
      <c r="SE4" s="101"/>
      <c r="SF4" s="101"/>
      <c r="SG4" s="101"/>
      <c r="SH4" s="101"/>
      <c r="SI4" s="101"/>
      <c r="SJ4" s="101"/>
      <c r="SK4" s="101"/>
      <c r="SL4" s="101"/>
      <c r="SM4" s="101"/>
      <c r="SN4" s="101"/>
      <c r="SO4" s="101"/>
      <c r="SP4" s="101"/>
      <c r="SQ4" s="101"/>
      <c r="SR4" s="101"/>
      <c r="SS4" s="101"/>
      <c r="ST4" s="101"/>
      <c r="SU4" s="101"/>
      <c r="SV4" s="101"/>
      <c r="SW4" s="101"/>
      <c r="SX4" s="101"/>
      <c r="SY4" s="101"/>
      <c r="SZ4" s="101"/>
      <c r="TA4" s="101"/>
      <c r="TB4" s="101"/>
      <c r="TC4" s="101"/>
      <c r="TD4" s="101"/>
      <c r="TE4" s="101"/>
      <c r="TF4" s="101"/>
      <c r="TG4" s="101"/>
      <c r="TH4" s="101"/>
      <c r="TI4" s="101"/>
      <c r="TJ4" s="101"/>
      <c r="TK4" s="101"/>
      <c r="TL4" s="101"/>
      <c r="TM4" s="101"/>
      <c r="TN4" s="101"/>
      <c r="TO4" s="101"/>
      <c r="TP4" s="101"/>
      <c r="TQ4" s="101"/>
      <c r="TR4" s="101"/>
      <c r="TS4" s="101"/>
      <c r="TT4" s="101"/>
      <c r="TU4" s="101"/>
      <c r="TV4" s="101"/>
      <c r="TW4" s="101"/>
      <c r="TX4" s="101"/>
      <c r="TY4" s="101"/>
      <c r="TZ4" s="101"/>
      <c r="UA4" s="101"/>
      <c r="UB4" s="101"/>
      <c r="UC4" s="101"/>
      <c r="UD4" s="101"/>
      <c r="UE4" s="101"/>
      <c r="UF4" s="101"/>
      <c r="UG4" s="101"/>
      <c r="UH4" s="101"/>
      <c r="UI4" s="101"/>
      <c r="UJ4" s="101"/>
      <c r="UK4" s="101"/>
      <c r="UL4" s="101"/>
      <c r="UM4" s="101"/>
      <c r="UN4" s="101"/>
      <c r="UO4" s="101"/>
      <c r="UP4" s="101"/>
      <c r="UQ4" s="101"/>
      <c r="UR4" s="101"/>
      <c r="US4" s="101"/>
      <c r="UT4" s="101"/>
      <c r="UU4" s="101"/>
      <c r="UV4" s="101"/>
      <c r="UW4" s="101"/>
      <c r="UX4" s="101"/>
      <c r="UY4" s="101"/>
      <c r="UZ4" s="101"/>
      <c r="VA4" s="101"/>
      <c r="VB4" s="101"/>
      <c r="VC4" s="101"/>
      <c r="VD4" s="101"/>
      <c r="VE4" s="101"/>
      <c r="VF4" s="101"/>
      <c r="VG4" s="101"/>
      <c r="VH4" s="101"/>
      <c r="VI4" s="101"/>
      <c r="VJ4" s="101"/>
      <c r="VK4" s="101"/>
      <c r="VL4" s="101"/>
      <c r="VM4" s="101"/>
      <c r="VN4" s="101"/>
      <c r="VO4" s="101"/>
      <c r="VP4" s="101"/>
      <c r="VQ4" s="101"/>
      <c r="VR4" s="101"/>
      <c r="VS4" s="101"/>
      <c r="VT4" s="101"/>
      <c r="VU4" s="101"/>
      <c r="VV4" s="101"/>
      <c r="VW4" s="101"/>
      <c r="VX4" s="101"/>
      <c r="VY4" s="101"/>
      <c r="VZ4" s="101"/>
      <c r="WA4" s="101"/>
      <c r="WB4" s="101"/>
      <c r="WC4" s="101"/>
      <c r="WD4" s="101"/>
      <c r="WE4" s="101"/>
      <c r="WF4" s="101"/>
      <c r="WG4" s="101"/>
      <c r="WH4" s="101"/>
      <c r="WI4" s="101"/>
      <c r="WJ4" s="101"/>
      <c r="WK4" s="101"/>
      <c r="WL4" s="101"/>
      <c r="WM4" s="101"/>
      <c r="WN4" s="101"/>
      <c r="WO4" s="101"/>
      <c r="WP4" s="101"/>
      <c r="WQ4" s="101"/>
      <c r="WR4" s="101"/>
      <c r="WS4" s="101"/>
      <c r="WT4" s="101"/>
      <c r="WU4" s="101"/>
      <c r="WV4" s="101"/>
      <c r="WW4" s="101"/>
      <c r="WX4" s="101"/>
      <c r="WY4" s="101"/>
      <c r="WZ4" s="101"/>
      <c r="XA4" s="101"/>
      <c r="XB4" s="101"/>
      <c r="XC4" s="101"/>
      <c r="XD4" s="101"/>
      <c r="XE4" s="101"/>
      <c r="XF4" s="101"/>
      <c r="XG4" s="101"/>
      <c r="XH4" s="101"/>
      <c r="XI4" s="101"/>
      <c r="XJ4" s="101"/>
      <c r="XK4" s="101"/>
      <c r="XL4" s="101"/>
      <c r="XM4" s="101"/>
      <c r="XN4" s="101"/>
      <c r="XO4" s="101"/>
      <c r="XP4" s="101"/>
      <c r="XQ4" s="101"/>
      <c r="XR4" s="101"/>
      <c r="XS4" s="101"/>
      <c r="XT4" s="101"/>
      <c r="XU4" s="101"/>
      <c r="XV4" s="101"/>
      <c r="XW4" s="101"/>
      <c r="XX4" s="101"/>
      <c r="XY4" s="101"/>
      <c r="XZ4" s="101"/>
      <c r="YA4" s="101"/>
      <c r="YB4" s="101"/>
      <c r="YC4" s="101"/>
      <c r="YD4" s="101"/>
      <c r="YE4" s="101"/>
      <c r="YF4" s="101"/>
      <c r="YG4" s="101"/>
      <c r="YH4" s="101"/>
      <c r="YI4" s="101"/>
      <c r="YJ4" s="101"/>
      <c r="YK4" s="101"/>
      <c r="YL4" s="101"/>
      <c r="YM4" s="101"/>
      <c r="YN4" s="101"/>
      <c r="YO4" s="101"/>
      <c r="YP4" s="101"/>
      <c r="YQ4" s="101"/>
      <c r="YR4" s="101"/>
      <c r="YS4" s="101"/>
      <c r="YT4" s="101"/>
      <c r="YU4" s="101"/>
      <c r="YV4" s="101"/>
      <c r="YW4" s="101"/>
      <c r="YX4" s="101"/>
      <c r="YY4" s="101"/>
      <c r="YZ4" s="101"/>
      <c r="ZA4" s="101"/>
      <c r="ZB4" s="101"/>
      <c r="ZC4" s="101"/>
      <c r="ZD4" s="101"/>
      <c r="ZE4" s="101"/>
      <c r="ZF4" s="101"/>
      <c r="ZG4" s="101"/>
      <c r="ZH4" s="101"/>
      <c r="ZI4" s="101"/>
      <c r="ZJ4" s="101"/>
      <c r="ZK4" s="101"/>
      <c r="ZL4" s="101"/>
      <c r="ZM4" s="101"/>
      <c r="ZN4" s="101"/>
      <c r="ZO4" s="101"/>
      <c r="ZP4" s="101"/>
      <c r="ZQ4" s="101"/>
      <c r="ZR4" s="101"/>
      <c r="ZS4" s="101"/>
      <c r="ZT4" s="101"/>
      <c r="ZU4" s="101"/>
      <c r="ZV4" s="101"/>
      <c r="ZW4" s="101"/>
      <c r="ZX4" s="101"/>
      <c r="ZY4" s="101"/>
      <c r="ZZ4" s="101"/>
      <c r="AAA4" s="101"/>
      <c r="AAB4" s="101"/>
      <c r="AAC4" s="101"/>
      <c r="AAD4" s="101"/>
      <c r="AAE4" s="101"/>
      <c r="AAF4" s="101"/>
      <c r="AAG4" s="101"/>
      <c r="AAH4" s="101"/>
      <c r="AAI4" s="101"/>
      <c r="AAJ4" s="101"/>
      <c r="AAK4" s="101"/>
      <c r="AAL4" s="101"/>
      <c r="AAM4" s="101"/>
      <c r="AAN4" s="101"/>
      <c r="AAO4" s="101"/>
      <c r="AAP4" s="101"/>
      <c r="AAQ4" s="101"/>
      <c r="AAR4" s="101"/>
      <c r="AAS4" s="101"/>
      <c r="AAT4" s="101"/>
      <c r="AAU4" s="101"/>
      <c r="AAV4" s="101"/>
      <c r="AAW4" s="101"/>
      <c r="AAX4" s="101"/>
      <c r="AAY4" s="101"/>
      <c r="AAZ4" s="101"/>
      <c r="ABA4" s="101"/>
      <c r="ABB4" s="101"/>
      <c r="ABC4" s="101"/>
      <c r="ABD4" s="101"/>
      <c r="ABE4" s="101"/>
      <c r="ABF4" s="101"/>
      <c r="ABG4" s="101"/>
      <c r="ABH4" s="101"/>
      <c r="ABI4" s="101"/>
      <c r="ABJ4" s="101"/>
      <c r="ABK4" s="101"/>
      <c r="ABL4" s="101"/>
      <c r="ABM4" s="101"/>
      <c r="ABN4" s="101"/>
      <c r="ABO4" s="101"/>
      <c r="ABP4" s="101"/>
      <c r="ABQ4" s="101"/>
      <c r="ABR4" s="101"/>
      <c r="ABS4" s="101"/>
      <c r="ABT4" s="101"/>
      <c r="ABU4" s="101"/>
      <c r="ABV4" s="101"/>
      <c r="ABW4" s="101"/>
      <c r="ABX4" s="101"/>
      <c r="ABY4" s="101"/>
      <c r="ABZ4" s="101"/>
      <c r="ACA4" s="101"/>
      <c r="ACB4" s="101"/>
      <c r="ACC4" s="101"/>
      <c r="ACD4" s="101"/>
      <c r="ACE4" s="101"/>
      <c r="ACF4" s="101"/>
      <c r="ACG4" s="101"/>
      <c r="ACH4" s="101"/>
      <c r="ACI4" s="101"/>
      <c r="ACJ4" s="101"/>
      <c r="ACK4" s="101"/>
      <c r="ACL4" s="101"/>
      <c r="ACM4" s="101"/>
      <c r="ACN4" s="101"/>
      <c r="ACO4" s="101"/>
      <c r="ACP4" s="101"/>
      <c r="ACQ4" s="101"/>
      <c r="ACR4" s="101"/>
      <c r="ACS4" s="101"/>
      <c r="ACT4" s="101"/>
      <c r="ACU4" s="101"/>
      <c r="ACV4" s="101"/>
      <c r="ACW4" s="101"/>
      <c r="ACX4" s="101"/>
      <c r="ACY4" s="101"/>
      <c r="ACZ4" s="101"/>
      <c r="ADA4" s="101"/>
      <c r="ADB4" s="101"/>
      <c r="ADC4" s="101"/>
      <c r="ADD4" s="101"/>
      <c r="ADE4" s="101"/>
      <c r="ADF4" s="101"/>
      <c r="ADG4" s="101"/>
      <c r="ADH4" s="101"/>
      <c r="ADI4" s="101"/>
      <c r="ADJ4" s="101"/>
      <c r="ADK4" s="101"/>
      <c r="ADL4" s="101"/>
      <c r="ADM4" s="101"/>
      <c r="ADN4" s="101"/>
      <c r="ADO4" s="101"/>
      <c r="ADP4" s="101"/>
      <c r="ADQ4" s="101"/>
      <c r="ADR4" s="101"/>
      <c r="ADS4" s="101"/>
      <c r="ADT4" s="101"/>
      <c r="ADU4" s="101"/>
      <c r="ADV4" s="101"/>
      <c r="ADW4" s="101"/>
      <c r="ADX4" s="101"/>
      <c r="ADY4" s="101"/>
      <c r="ADZ4" s="101"/>
      <c r="AEA4" s="101"/>
      <c r="AEB4" s="101"/>
      <c r="AEC4" s="101"/>
      <c r="AED4" s="101"/>
      <c r="AEE4" s="101"/>
      <c r="AEF4" s="101"/>
      <c r="AEG4" s="101"/>
      <c r="AEH4" s="101"/>
      <c r="AEI4" s="101"/>
      <c r="AEJ4" s="101"/>
      <c r="AEK4" s="101"/>
      <c r="AEL4" s="101"/>
      <c r="AEM4" s="101"/>
      <c r="AEN4" s="101"/>
      <c r="AEO4" s="101"/>
      <c r="AEP4" s="101"/>
      <c r="AEQ4" s="101"/>
    </row>
    <row r="5" spans="1:823" ht="21" customHeight="1">
      <c r="B5" s="331" t="s">
        <v>149</v>
      </c>
      <c r="C5" s="189">
        <v>0.6</v>
      </c>
      <c r="D5" s="189">
        <v>0.57999999999999996</v>
      </c>
      <c r="E5" s="189">
        <v>0.57999999999999996</v>
      </c>
      <c r="F5" s="189">
        <v>1.1399999999999999</v>
      </c>
      <c r="G5" s="189">
        <v>0.54</v>
      </c>
      <c r="H5" s="189">
        <v>0.55000000000000004</v>
      </c>
      <c r="I5" s="189">
        <v>0.56000000000000005</v>
      </c>
      <c r="J5" s="185">
        <v>0.48099999999999998</v>
      </c>
      <c r="K5" s="189">
        <v>0.47</v>
      </c>
      <c r="L5" s="189">
        <v>0.51600000000000001</v>
      </c>
      <c r="M5" s="189">
        <v>0.51</v>
      </c>
      <c r="N5" s="254">
        <v>0.496</v>
      </c>
      <c r="O5" s="189">
        <v>0.47049999999999997</v>
      </c>
      <c r="P5" s="412">
        <v>0.49325000000000002</v>
      </c>
      <c r="Q5" s="189">
        <v>0.48380000000000001</v>
      </c>
      <c r="R5" s="507">
        <v>0.50700000000000001</v>
      </c>
      <c r="S5" s="507">
        <v>0.48399999999999999</v>
      </c>
      <c r="T5" s="507">
        <v>0.46400000000000002</v>
      </c>
      <c r="U5" s="507">
        <v>0.46300000000000002</v>
      </c>
      <c r="V5" s="189">
        <v>0.443</v>
      </c>
      <c r="W5" s="414">
        <v>0.44</v>
      </c>
      <c r="X5" s="595" t="s">
        <v>227</v>
      </c>
      <c r="Y5" s="189">
        <v>0.49199999999999999</v>
      </c>
      <c r="Z5" s="706">
        <v>0.49</v>
      </c>
      <c r="AA5" s="522"/>
      <c r="AB5" s="521">
        <v>0.5</v>
      </c>
      <c r="AC5" s="80">
        <v>0.58599999999999997</v>
      </c>
      <c r="AD5" s="80">
        <v>0.63</v>
      </c>
      <c r="AE5" s="80">
        <v>0.60199999999999998</v>
      </c>
      <c r="AF5" s="80">
        <v>0.57999999999999996</v>
      </c>
      <c r="AU5" s="86"/>
      <c r="BG5" s="80"/>
      <c r="BJ5" s="82"/>
      <c r="BK5" s="80"/>
    </row>
    <row r="6" spans="1:823" ht="21" customHeight="1">
      <c r="B6" s="332" t="s">
        <v>150</v>
      </c>
      <c r="C6" s="185">
        <v>1.53</v>
      </c>
      <c r="D6" s="185">
        <v>1.55</v>
      </c>
      <c r="E6" s="185">
        <v>1.52</v>
      </c>
      <c r="F6" s="185">
        <v>1.67</v>
      </c>
      <c r="G6" s="185">
        <f>AVERAGE(1.58,1.55,1.65,1.62)</f>
        <v>1.5999999999999999</v>
      </c>
      <c r="H6" s="185">
        <v>1.55</v>
      </c>
      <c r="I6" s="185">
        <v>1.42</v>
      </c>
      <c r="J6" s="185">
        <v>1.48</v>
      </c>
      <c r="K6" s="185">
        <v>1.61</v>
      </c>
      <c r="L6" s="185">
        <v>1.524</v>
      </c>
      <c r="M6" s="185">
        <v>1.52</v>
      </c>
      <c r="N6" s="255">
        <v>1.52</v>
      </c>
      <c r="O6" s="189">
        <v>1.5625</v>
      </c>
      <c r="P6" s="412">
        <v>1.4775</v>
      </c>
      <c r="Q6" s="189">
        <v>1.4239999999999999</v>
      </c>
      <c r="R6" s="189">
        <v>1.42</v>
      </c>
      <c r="S6" s="189">
        <v>1.48</v>
      </c>
      <c r="T6" s="189">
        <v>1.49</v>
      </c>
      <c r="U6" s="189">
        <v>1.47</v>
      </c>
      <c r="V6" s="189">
        <v>1.48</v>
      </c>
      <c r="W6" s="414">
        <v>1.42</v>
      </c>
      <c r="X6" s="595" t="s">
        <v>227</v>
      </c>
      <c r="Y6" s="189">
        <v>1.46</v>
      </c>
      <c r="Z6" s="706">
        <v>1.38</v>
      </c>
      <c r="AA6" s="522"/>
      <c r="AB6" s="521">
        <v>1.48</v>
      </c>
      <c r="AC6" s="81">
        <v>1.81</v>
      </c>
      <c r="AD6" s="80">
        <v>1.78</v>
      </c>
      <c r="AE6" s="80">
        <v>1.69</v>
      </c>
      <c r="AF6" s="80">
        <v>1.53</v>
      </c>
      <c r="BG6" s="80"/>
      <c r="BJ6" s="82"/>
      <c r="BK6" s="80"/>
    </row>
    <row r="7" spans="1:823" ht="21" customHeight="1">
      <c r="B7" s="332" t="s">
        <v>151</v>
      </c>
      <c r="C7" s="185">
        <v>20.079999999999998</v>
      </c>
      <c r="D7" s="185">
        <v>19.850000000000001</v>
      </c>
      <c r="E7" s="185">
        <v>19.66</v>
      </c>
      <c r="F7" s="185">
        <v>19.774000000000001</v>
      </c>
      <c r="G7" s="185">
        <v>19.18</v>
      </c>
      <c r="H7" s="185">
        <v>18.84</v>
      </c>
      <c r="I7" s="185">
        <v>18.62</v>
      </c>
      <c r="J7" s="185">
        <v>20</v>
      </c>
      <c r="K7" s="185">
        <v>19.57</v>
      </c>
      <c r="L7" s="185">
        <v>21.34</v>
      </c>
      <c r="M7" s="185">
        <v>21.18</v>
      </c>
      <c r="N7" s="255">
        <v>20.58</v>
      </c>
      <c r="O7" s="189">
        <v>19.55</v>
      </c>
      <c r="P7" s="412">
        <v>20.577500000000001</v>
      </c>
      <c r="Q7" s="189">
        <v>20.09</v>
      </c>
      <c r="R7" s="189">
        <v>21.01</v>
      </c>
      <c r="S7" s="189">
        <v>20.03</v>
      </c>
      <c r="T7" s="189">
        <v>19.27</v>
      </c>
      <c r="U7" s="189">
        <v>19.170000000000002</v>
      </c>
      <c r="V7" s="189">
        <v>18.850000000000001</v>
      </c>
      <c r="W7" s="414">
        <v>18.46</v>
      </c>
      <c r="X7" s="596" t="s">
        <v>227</v>
      </c>
      <c r="Y7" s="189">
        <v>20.190000000000001</v>
      </c>
      <c r="Z7" s="706">
        <v>20.18</v>
      </c>
      <c r="AA7" s="522"/>
      <c r="AB7" s="521">
        <v>21</v>
      </c>
      <c r="AC7" s="81">
        <v>20.54</v>
      </c>
      <c r="AD7" s="80">
        <v>20.9</v>
      </c>
      <c r="AE7" s="80">
        <v>20.47</v>
      </c>
      <c r="AF7" s="80">
        <v>19.89</v>
      </c>
      <c r="BG7" s="80"/>
      <c r="BJ7" s="82"/>
      <c r="BK7" s="80"/>
    </row>
    <row r="8" spans="1:823" ht="21" customHeight="1">
      <c r="B8" s="332" t="s">
        <v>152</v>
      </c>
      <c r="C8" s="186">
        <v>1.03</v>
      </c>
      <c r="D8" s="186">
        <v>1.1000000000000001</v>
      </c>
      <c r="E8" s="186">
        <v>1.1200000000000001</v>
      </c>
      <c r="F8" s="186">
        <v>1.1399999999999999</v>
      </c>
      <c r="G8" s="186">
        <f>AVERAGE(1.12,1.15,1.16,1.13,1.15)</f>
        <v>1.1419999999999999</v>
      </c>
      <c r="H8" s="186">
        <v>1.1000000000000001</v>
      </c>
      <c r="I8" s="186">
        <v>1.1000000000000001</v>
      </c>
      <c r="J8" s="186">
        <v>1.1100000000000001</v>
      </c>
      <c r="K8" s="185">
        <v>1.0860000000000001</v>
      </c>
      <c r="L8" s="186">
        <v>1.04</v>
      </c>
      <c r="M8" s="186">
        <v>1.07</v>
      </c>
      <c r="N8" s="256">
        <v>1.1200000000000001</v>
      </c>
      <c r="O8" s="188">
        <v>1.1299999999999999</v>
      </c>
      <c r="P8" s="412">
        <v>1.1174999999999999</v>
      </c>
      <c r="Q8" s="188">
        <v>1.1100000000000001</v>
      </c>
      <c r="R8" s="188">
        <v>1.1200000000000001</v>
      </c>
      <c r="S8" s="188">
        <v>1.1399999999999999</v>
      </c>
      <c r="T8" s="188">
        <v>1.1200000000000001</v>
      </c>
      <c r="U8" s="188">
        <v>1.05</v>
      </c>
      <c r="V8" s="189">
        <v>1.119</v>
      </c>
      <c r="W8" s="570">
        <v>1.17</v>
      </c>
      <c r="X8" s="189">
        <v>1.095</v>
      </c>
      <c r="Y8" s="188">
        <v>1.1200000000000001</v>
      </c>
      <c r="Z8" s="707">
        <v>1.1100000000000001</v>
      </c>
      <c r="AA8" s="522"/>
      <c r="AB8" s="521"/>
      <c r="BG8" s="80"/>
      <c r="BJ8" s="82"/>
      <c r="BK8" s="80"/>
    </row>
    <row r="9" spans="1:823" ht="21" customHeight="1" thickBot="1">
      <c r="B9" s="333" t="s">
        <v>153</v>
      </c>
      <c r="C9" s="334">
        <v>2.52</v>
      </c>
      <c r="D9" s="334">
        <v>2.39</v>
      </c>
      <c r="E9" s="334">
        <v>2.37</v>
      </c>
      <c r="F9" s="334">
        <v>2.41</v>
      </c>
      <c r="G9" s="334">
        <v>2.4500000000000002</v>
      </c>
      <c r="H9" s="334">
        <v>2.33</v>
      </c>
      <c r="I9" s="334">
        <v>2.39</v>
      </c>
      <c r="J9" s="334">
        <v>2.42</v>
      </c>
      <c r="K9" s="334">
        <v>2.4620000000000002</v>
      </c>
      <c r="L9" s="334">
        <v>2.4940000000000002</v>
      </c>
      <c r="M9" s="334">
        <v>2.5</v>
      </c>
      <c r="N9" s="335">
        <v>2.44</v>
      </c>
      <c r="O9" s="330">
        <v>2.4260000000000002</v>
      </c>
      <c r="P9" s="330">
        <v>2.4649999999999999</v>
      </c>
      <c r="Q9" s="330">
        <v>2.476</v>
      </c>
      <c r="R9" s="330">
        <v>2.4</v>
      </c>
      <c r="S9" s="330">
        <v>2.4</v>
      </c>
      <c r="T9" s="330">
        <v>2.41</v>
      </c>
      <c r="U9" s="330">
        <v>2.4700000000000002</v>
      </c>
      <c r="V9" s="330">
        <v>2.4</v>
      </c>
      <c r="W9" s="571">
        <v>2.4500000000000002</v>
      </c>
      <c r="X9" s="330">
        <v>2.42</v>
      </c>
      <c r="Y9" s="330">
        <v>2.4</v>
      </c>
      <c r="Z9" s="708">
        <v>2.4900000000000002</v>
      </c>
      <c r="AA9" s="523"/>
      <c r="AB9" s="524">
        <v>2.4</v>
      </c>
      <c r="AH9" s="195"/>
      <c r="BG9" s="80"/>
      <c r="BJ9" s="82"/>
      <c r="BK9" s="80"/>
    </row>
    <row r="10" spans="1:823" ht="21" customHeight="1" thickBot="1">
      <c r="B10" s="187"/>
      <c r="C10" s="183"/>
      <c r="D10" s="183"/>
      <c r="E10" s="184"/>
      <c r="F10" s="184"/>
      <c r="G10" s="184"/>
      <c r="H10" s="184"/>
      <c r="I10" s="183"/>
      <c r="J10" s="184"/>
      <c r="K10" s="184"/>
      <c r="L10" s="184"/>
      <c r="M10" s="184"/>
      <c r="N10" s="184"/>
      <c r="O10" s="184"/>
      <c r="P10" s="184"/>
      <c r="Q10" s="184"/>
      <c r="R10" s="184"/>
      <c r="S10" s="184"/>
      <c r="T10" s="184"/>
      <c r="U10" s="184"/>
      <c r="V10" s="184"/>
      <c r="W10" s="184"/>
      <c r="X10" s="184"/>
      <c r="Y10" s="184"/>
      <c r="Z10" s="183"/>
      <c r="AA10" s="473"/>
      <c r="AB10" s="81"/>
      <c r="AH10" s="195"/>
      <c r="BG10" s="80"/>
      <c r="BH10" s="80"/>
      <c r="BI10" s="80"/>
      <c r="BJ10" s="82"/>
      <c r="BK10" s="80"/>
    </row>
    <row r="11" spans="1:823" ht="21" customHeight="1" thickBot="1">
      <c r="B11" s="572" t="s">
        <v>154</v>
      </c>
      <c r="C11" s="475">
        <v>45474</v>
      </c>
      <c r="D11" s="475">
        <v>45505</v>
      </c>
      <c r="E11" s="475">
        <v>45536</v>
      </c>
      <c r="F11" s="475">
        <v>45566</v>
      </c>
      <c r="G11" s="475">
        <v>45597</v>
      </c>
      <c r="H11" s="475">
        <v>45627</v>
      </c>
      <c r="I11" s="475">
        <v>45658</v>
      </c>
      <c r="J11" s="475">
        <v>45689</v>
      </c>
      <c r="K11" s="475">
        <v>45717</v>
      </c>
      <c r="L11" s="475">
        <v>45748</v>
      </c>
      <c r="M11" s="475">
        <v>45778</v>
      </c>
      <c r="N11" s="475">
        <v>45809</v>
      </c>
      <c r="O11" s="475">
        <v>45839</v>
      </c>
      <c r="P11" s="475">
        <v>45870</v>
      </c>
      <c r="Q11" s="475">
        <v>45901</v>
      </c>
      <c r="R11" s="475">
        <v>45931</v>
      </c>
      <c r="S11" s="475">
        <v>45962</v>
      </c>
      <c r="T11" s="474">
        <v>45992</v>
      </c>
      <c r="U11" s="474">
        <v>46023</v>
      </c>
      <c r="V11" s="474">
        <v>46054</v>
      </c>
      <c r="W11" s="474">
        <v>46082</v>
      </c>
      <c r="X11" s="474">
        <v>46113</v>
      </c>
      <c r="Y11" s="474">
        <v>46143</v>
      </c>
      <c r="Z11" s="709">
        <v>46174</v>
      </c>
      <c r="AA11" s="710"/>
      <c r="AB11" s="711"/>
      <c r="AC11" s="81">
        <v>0</v>
      </c>
      <c r="AD11" s="80">
        <v>0.57999999999999996</v>
      </c>
      <c r="AE11" s="80">
        <v>0.33</v>
      </c>
      <c r="AF11" s="80">
        <v>0.27</v>
      </c>
      <c r="AH11" s="195"/>
      <c r="AK11" s="80"/>
      <c r="AW11" s="80"/>
      <c r="BA11" s="80"/>
      <c r="BC11" s="80"/>
      <c r="BG11" s="80"/>
      <c r="BH11" s="80"/>
      <c r="BI11" s="80"/>
      <c r="BJ11" s="80"/>
      <c r="BK11" s="80"/>
      <c r="BL11" s="80"/>
    </row>
    <row r="12" spans="1:823" ht="21" customHeight="1">
      <c r="B12" s="573" t="s">
        <v>157</v>
      </c>
      <c r="C12" s="299">
        <v>0.54</v>
      </c>
      <c r="D12" s="299">
        <v>0.44</v>
      </c>
      <c r="E12" s="299">
        <v>0.55000000000000004</v>
      </c>
      <c r="F12" s="299">
        <v>0.97599999999999998</v>
      </c>
      <c r="G12" s="299">
        <v>0.89</v>
      </c>
      <c r="H12" s="299">
        <v>0.80200000000000005</v>
      </c>
      <c r="I12" s="299">
        <v>1.05</v>
      </c>
      <c r="J12" s="299">
        <v>1.01</v>
      </c>
      <c r="K12" s="299">
        <v>0.73</v>
      </c>
      <c r="L12" s="298">
        <v>0.98499999999999999</v>
      </c>
      <c r="M12" s="476">
        <v>0.56000000000000005</v>
      </c>
      <c r="N12" s="574">
        <v>0.38800000000000001</v>
      </c>
      <c r="O12" s="574">
        <v>0.96499999999999997</v>
      </c>
      <c r="P12" s="575">
        <v>1.2224999999999999</v>
      </c>
      <c r="Q12" s="476">
        <v>0.77</v>
      </c>
      <c r="R12" s="503">
        <v>7.4000000000000003E-3</v>
      </c>
      <c r="S12" s="503">
        <v>9.1999999999999998E-3</v>
      </c>
      <c r="T12" s="503">
        <v>1.11E-2</v>
      </c>
      <c r="U12" s="503">
        <v>8.0000000000000002E-3</v>
      </c>
      <c r="V12" s="503">
        <v>7.4000000000000003E-3</v>
      </c>
      <c r="W12" s="597">
        <v>1.0500000000000001E-2</v>
      </c>
      <c r="X12" s="503">
        <v>1.32E-2</v>
      </c>
      <c r="Y12" s="503">
        <v>8.0999999999999996E-3</v>
      </c>
      <c r="Z12" s="558">
        <v>1.4999999999999999E-2</v>
      </c>
      <c r="AA12" s="525"/>
      <c r="AB12" s="526">
        <v>6.0000000000000001E-3</v>
      </c>
      <c r="AK12" s="80"/>
      <c r="AW12" s="80"/>
      <c r="BA12" s="80"/>
      <c r="BC12" s="80"/>
      <c r="BG12" s="80"/>
      <c r="BH12" s="80"/>
      <c r="BI12" s="80"/>
      <c r="BJ12" s="80"/>
      <c r="BK12" s="80"/>
      <c r="BL12" s="80"/>
    </row>
    <row r="13" spans="1:823" ht="21" customHeight="1" thickBot="1">
      <c r="B13" s="328" t="s">
        <v>158</v>
      </c>
      <c r="C13" s="329">
        <v>2.2400000000000002</v>
      </c>
      <c r="D13" s="329">
        <v>1.93</v>
      </c>
      <c r="E13" s="329">
        <v>2.12</v>
      </c>
      <c r="F13" s="329">
        <v>0.78500000000000003</v>
      </c>
      <c r="G13" s="329">
        <v>1.58</v>
      </c>
      <c r="H13" s="329">
        <v>1.19</v>
      </c>
      <c r="I13" s="329">
        <v>1.06</v>
      </c>
      <c r="J13" s="329">
        <v>1.62</v>
      </c>
      <c r="K13" s="329">
        <v>1.44</v>
      </c>
      <c r="L13" s="330">
        <v>2.0960000000000001</v>
      </c>
      <c r="M13" s="368">
        <v>2.25</v>
      </c>
      <c r="N13" s="368">
        <v>1.68</v>
      </c>
      <c r="O13" s="369">
        <v>1.4419999999999999</v>
      </c>
      <c r="P13" s="418">
        <v>2.145</v>
      </c>
      <c r="Q13" s="368">
        <v>2.46</v>
      </c>
      <c r="R13" s="505">
        <v>1.7899999999999999E-2</v>
      </c>
      <c r="S13" s="505">
        <v>1.5800000000000002E-2</v>
      </c>
      <c r="T13" s="505">
        <v>1.2699999999999999E-2</v>
      </c>
      <c r="U13" s="505">
        <v>2.3800000000000002E-2</v>
      </c>
      <c r="V13" s="505">
        <v>1.9099999999999999E-2</v>
      </c>
      <c r="W13" s="598">
        <v>1.7100000000000001E-2</v>
      </c>
      <c r="X13" s="505">
        <v>1.8800000000000001E-2</v>
      </c>
      <c r="Y13" s="505">
        <v>2.52E-2</v>
      </c>
      <c r="Z13" s="508">
        <v>2.0799999999999999E-2</v>
      </c>
      <c r="AA13" s="527"/>
      <c r="AB13" s="528">
        <v>1.4999999999999999E-2</v>
      </c>
      <c r="AK13" s="80"/>
      <c r="AW13" s="80"/>
      <c r="BA13" s="80"/>
      <c r="BC13" s="80"/>
      <c r="BG13" s="80"/>
      <c r="BH13" s="80"/>
      <c r="BI13" s="80"/>
      <c r="BJ13" s="80"/>
      <c r="BK13" s="80"/>
      <c r="BL13" s="80"/>
    </row>
    <row r="14" spans="1:823" ht="21" customHeight="1"/>
    <row r="15" spans="1:823">
      <c r="AW15" s="80"/>
      <c r="AX15" s="80">
        <v>17</v>
      </c>
      <c r="AY15" s="81">
        <v>16</v>
      </c>
      <c r="AZ15" s="81">
        <v>15</v>
      </c>
      <c r="BA15" s="80">
        <v>14</v>
      </c>
    </row>
    <row r="16" spans="1:823">
      <c r="AW16" s="80" t="s">
        <v>228</v>
      </c>
      <c r="AX16" s="80">
        <v>26.46</v>
      </c>
      <c r="AY16" s="81">
        <v>26.69</v>
      </c>
      <c r="AZ16" s="81">
        <v>26.46</v>
      </c>
      <c r="BA16" s="80">
        <v>25.49</v>
      </c>
      <c r="BB16" s="80">
        <f>AVERAGE(AX16:BA16)</f>
        <v>26.275000000000002</v>
      </c>
    </row>
    <row r="17" spans="6:54" hidden="1">
      <c r="G17" s="81">
        <f>AVERAGE(AW17:AZ17)</f>
        <v>25.419999999999998</v>
      </c>
      <c r="AW17" s="80">
        <v>25.61</v>
      </c>
      <c r="AX17" s="80">
        <v>25.8</v>
      </c>
      <c r="AY17" s="81">
        <v>24.63</v>
      </c>
      <c r="AZ17" s="81">
        <v>25.64</v>
      </c>
      <c r="BA17" s="80"/>
      <c r="BB17" s="80">
        <f t="shared" ref="BB17:BB39" si="0">AVERAGE(AX17:BA17)</f>
        <v>25.356666666666666</v>
      </c>
    </row>
    <row r="18" spans="6:54" hidden="1">
      <c r="G18" s="81">
        <f>AVERAGE(AW18:AZ18)</f>
        <v>18.425000000000001</v>
      </c>
      <c r="AW18" s="80">
        <v>18.149999999999999</v>
      </c>
      <c r="AX18" s="80">
        <v>19.02</v>
      </c>
      <c r="AY18" s="81">
        <v>17.45</v>
      </c>
      <c r="AZ18" s="81">
        <v>19.079999999999998</v>
      </c>
      <c r="BA18" s="80"/>
      <c r="BB18" s="80">
        <f t="shared" si="0"/>
        <v>18.516666666666666</v>
      </c>
    </row>
    <row r="19" spans="6:54" hidden="1">
      <c r="G19" s="81">
        <f>AVERAGE(AW19:AZ19)</f>
        <v>0.54</v>
      </c>
      <c r="AW19" s="80">
        <v>0.55000000000000004</v>
      </c>
      <c r="AX19" s="80">
        <v>0.55000000000000004</v>
      </c>
      <c r="AY19" s="81">
        <v>0.5</v>
      </c>
      <c r="AZ19" s="81">
        <v>0.56000000000000005</v>
      </c>
      <c r="BA19" s="80"/>
      <c r="BB19" s="80">
        <f t="shared" si="0"/>
        <v>0.53666666666666674</v>
      </c>
    </row>
    <row r="20" spans="6:54" hidden="1">
      <c r="G20" s="81">
        <f>AVERAGE(AW20:AZ20)</f>
        <v>1.6099999999999999</v>
      </c>
      <c r="AW20" s="80">
        <v>1.67</v>
      </c>
      <c r="AX20" s="80">
        <v>1.52</v>
      </c>
      <c r="AY20" s="81">
        <v>1.78</v>
      </c>
      <c r="AZ20" s="81">
        <v>1.47</v>
      </c>
      <c r="BA20" s="80"/>
      <c r="BB20" s="80">
        <f t="shared" si="0"/>
        <v>1.5899999999999999</v>
      </c>
    </row>
    <row r="21" spans="6:54" hidden="1">
      <c r="G21" s="81">
        <f>AVERAGE(AW21:AZ21)</f>
        <v>0.60749999999999993</v>
      </c>
      <c r="AW21" s="80">
        <v>0.88</v>
      </c>
      <c r="AX21" s="80">
        <v>0.56999999999999995</v>
      </c>
      <c r="AY21" s="81">
        <v>0</v>
      </c>
      <c r="AZ21" s="81">
        <v>0.98</v>
      </c>
      <c r="BA21" s="80"/>
      <c r="BB21" s="80">
        <f t="shared" si="0"/>
        <v>0.51666666666666661</v>
      </c>
    </row>
    <row r="22" spans="6:54" hidden="1">
      <c r="AW22" s="80"/>
      <c r="AZ22" s="81"/>
      <c r="BA22" s="80"/>
      <c r="BB22" s="80" t="e">
        <f t="shared" si="0"/>
        <v>#DIV/0!</v>
      </c>
    </row>
    <row r="23" spans="6:54" hidden="1">
      <c r="G23" s="81">
        <v>10</v>
      </c>
      <c r="AW23" s="80">
        <v>11</v>
      </c>
      <c r="AX23" s="80">
        <v>12</v>
      </c>
      <c r="AY23" s="81">
        <v>13</v>
      </c>
      <c r="AZ23" s="81"/>
      <c r="BA23" s="80"/>
      <c r="BB23" s="80">
        <f t="shared" si="0"/>
        <v>12.5</v>
      </c>
    </row>
    <row r="24" spans="6:54" hidden="1">
      <c r="G24" s="81">
        <v>0</v>
      </c>
      <c r="AW24" s="80">
        <v>25.29</v>
      </c>
      <c r="AX24" s="80">
        <v>25.68</v>
      </c>
      <c r="AY24" s="81">
        <v>24.63</v>
      </c>
      <c r="AZ24" s="81">
        <f>AVERAGE(G24:AY24)</f>
        <v>18.899999999999999</v>
      </c>
      <c r="BA24" s="80"/>
      <c r="BB24" s="80">
        <f t="shared" si="0"/>
        <v>23.070000000000004</v>
      </c>
    </row>
    <row r="25" spans="6:54" hidden="1">
      <c r="G25" s="81">
        <v>0</v>
      </c>
      <c r="AW25" s="80">
        <v>18.36</v>
      </c>
      <c r="AX25" s="80">
        <v>19.2</v>
      </c>
      <c r="AY25" s="81">
        <v>16.760000000000002</v>
      </c>
      <c r="AZ25" s="81">
        <f>AVERAGE(G25:AY25)</f>
        <v>13.580000000000002</v>
      </c>
      <c r="BA25" s="80"/>
      <c r="BB25" s="80">
        <f t="shared" si="0"/>
        <v>16.513333333333335</v>
      </c>
    </row>
    <row r="26" spans="6:54" hidden="1">
      <c r="G26" s="81">
        <v>0</v>
      </c>
      <c r="AW26" s="80">
        <v>0.55000000000000004</v>
      </c>
      <c r="AX26" s="80">
        <v>0.57999999999999996</v>
      </c>
      <c r="AY26" s="81">
        <v>0.49</v>
      </c>
      <c r="AZ26" s="81">
        <f>AVERAGE(G26:AY26)</f>
        <v>0.40499999999999997</v>
      </c>
      <c r="BA26" s="80"/>
      <c r="BB26" s="80">
        <f t="shared" si="0"/>
        <v>0.49166666666666664</v>
      </c>
    </row>
    <row r="27" spans="6:54" hidden="1">
      <c r="G27" s="81">
        <v>0</v>
      </c>
      <c r="AW27" s="80">
        <v>1.69</v>
      </c>
      <c r="AX27" s="80">
        <v>1.55</v>
      </c>
      <c r="AY27" s="81">
        <v>1.73</v>
      </c>
      <c r="AZ27" s="81">
        <f>AVERAGE(G27:AY27)</f>
        <v>1.2425000000000002</v>
      </c>
      <c r="BA27" s="80"/>
      <c r="BB27" s="80">
        <f t="shared" si="0"/>
        <v>1.5075000000000003</v>
      </c>
    </row>
    <row r="28" spans="6:54" hidden="1">
      <c r="F28" s="81" t="s">
        <v>229</v>
      </c>
      <c r="G28" s="81">
        <v>0.8</v>
      </c>
      <c r="AW28" s="80">
        <v>0</v>
      </c>
      <c r="AX28" s="80">
        <v>0.28000000000000003</v>
      </c>
      <c r="AY28" s="81">
        <v>1.1000000000000001</v>
      </c>
      <c r="AZ28" s="81">
        <f>AVERAGE(G28:AY28)</f>
        <v>0.54500000000000004</v>
      </c>
      <c r="BA28" s="80"/>
      <c r="BB28" s="80">
        <f t="shared" si="0"/>
        <v>0.64166666666666672</v>
      </c>
    </row>
    <row r="29" spans="6:54" hidden="1">
      <c r="AW29" s="80"/>
      <c r="AZ29" s="81"/>
      <c r="BA29" s="80"/>
      <c r="BB29" s="80" t="e">
        <f t="shared" si="0"/>
        <v>#DIV/0!</v>
      </c>
    </row>
    <row r="30" spans="6:54" hidden="1">
      <c r="G30" s="81">
        <v>2.63</v>
      </c>
      <c r="AW30" s="80">
        <v>2.4700000000000002</v>
      </c>
      <c r="AX30" s="80">
        <v>2.4</v>
      </c>
      <c r="AY30" s="81">
        <v>2.4700000000000002</v>
      </c>
      <c r="AZ30" s="81">
        <f>AVERAGE(G30:AY30)</f>
        <v>2.4925000000000002</v>
      </c>
      <c r="BA30" s="80"/>
      <c r="BB30" s="80">
        <f t="shared" si="0"/>
        <v>2.4541666666666671</v>
      </c>
    </row>
    <row r="31" spans="6:54" hidden="1">
      <c r="G31" s="81">
        <v>0.95</v>
      </c>
      <c r="AW31" s="80">
        <v>0.94</v>
      </c>
      <c r="AX31" s="80">
        <v>1.03</v>
      </c>
      <c r="AY31" s="81">
        <v>1</v>
      </c>
      <c r="AZ31" s="81">
        <f>AVERAGE(G31:AY31)</f>
        <v>0.98</v>
      </c>
      <c r="BA31" s="80"/>
      <c r="BB31" s="80">
        <f t="shared" si="0"/>
        <v>1.0033333333333334</v>
      </c>
    </row>
    <row r="32" spans="6:54" hidden="1">
      <c r="G32" s="81">
        <v>4.6100000000000003</v>
      </c>
      <c r="AW32" s="80">
        <v>2.71</v>
      </c>
      <c r="AX32" s="81">
        <v>2.79</v>
      </c>
      <c r="AY32" s="80">
        <v>1.44</v>
      </c>
      <c r="AZ32" s="81">
        <f>AVERAGE(G32:AY32)</f>
        <v>2.8874999999999997</v>
      </c>
      <c r="BA32" s="80"/>
      <c r="BB32" s="80">
        <f t="shared" si="0"/>
        <v>2.3725000000000001</v>
      </c>
    </row>
    <row r="33" spans="49:54">
      <c r="AW33" s="80" t="s">
        <v>194</v>
      </c>
      <c r="AX33" s="80">
        <v>19.559999999999999</v>
      </c>
      <c r="AY33" s="81">
        <v>20.21</v>
      </c>
      <c r="AZ33" s="81">
        <v>19.579999999999998</v>
      </c>
      <c r="BA33" s="80">
        <v>18.48</v>
      </c>
      <c r="BB33" s="80">
        <f t="shared" si="0"/>
        <v>19.4575</v>
      </c>
    </row>
    <row r="34" spans="49:54">
      <c r="AW34" s="80" t="s">
        <v>230</v>
      </c>
      <c r="AX34" s="80">
        <v>0.55000000000000004</v>
      </c>
      <c r="AY34" s="81">
        <v>0.56999999999999995</v>
      </c>
      <c r="AZ34" s="81">
        <v>0.59</v>
      </c>
      <c r="BA34" s="80">
        <v>0.53</v>
      </c>
      <c r="BB34" s="80">
        <f t="shared" si="0"/>
        <v>0.56000000000000005</v>
      </c>
    </row>
    <row r="35" spans="49:54">
      <c r="AW35" s="80" t="s">
        <v>231</v>
      </c>
      <c r="AX35" s="80">
        <v>1.72</v>
      </c>
      <c r="AY35" s="81">
        <v>1.49</v>
      </c>
      <c r="AZ35" s="81">
        <v>1.31</v>
      </c>
      <c r="BA35" s="80">
        <v>1.39</v>
      </c>
      <c r="BB35" s="80">
        <f t="shared" si="0"/>
        <v>1.4774999999999998</v>
      </c>
    </row>
    <row r="36" spans="49:54">
      <c r="AW36" s="80" t="s">
        <v>232</v>
      </c>
      <c r="AX36" s="80">
        <v>1.03</v>
      </c>
      <c r="AY36" s="81">
        <v>1.04</v>
      </c>
      <c r="AZ36" s="81">
        <v>1.05</v>
      </c>
      <c r="BA36" s="80">
        <v>1.04</v>
      </c>
      <c r="BB36" s="80">
        <f t="shared" si="0"/>
        <v>1.04</v>
      </c>
    </row>
    <row r="37" spans="49:54">
      <c r="AW37" s="80" t="s">
        <v>233</v>
      </c>
      <c r="AX37" s="80">
        <v>2.4700000000000002</v>
      </c>
      <c r="AY37" s="81">
        <v>2.52</v>
      </c>
      <c r="AZ37" s="81">
        <v>2.63</v>
      </c>
      <c r="BA37" s="80">
        <v>2.5</v>
      </c>
      <c r="BB37" s="80">
        <f t="shared" si="0"/>
        <v>2.5300000000000002</v>
      </c>
    </row>
    <row r="38" spans="49:54">
      <c r="AW38" s="80" t="s">
        <v>234</v>
      </c>
      <c r="AX38" s="80">
        <v>0.59</v>
      </c>
      <c r="AY38" s="81">
        <v>0.59</v>
      </c>
      <c r="AZ38" s="81">
        <v>1.31</v>
      </c>
      <c r="BA38" s="80">
        <v>0.32</v>
      </c>
      <c r="BB38" s="80">
        <f t="shared" si="0"/>
        <v>0.70250000000000001</v>
      </c>
    </row>
    <row r="39" spans="49:54">
      <c r="AW39" s="80" t="s">
        <v>235</v>
      </c>
      <c r="AX39" s="80">
        <v>1.2</v>
      </c>
      <c r="AY39" s="81">
        <v>1.51</v>
      </c>
      <c r="AZ39" s="81">
        <v>2.2000000000000002</v>
      </c>
      <c r="BA39" s="80">
        <v>2.0099999999999998</v>
      </c>
      <c r="BB39" s="80">
        <f t="shared" si="0"/>
        <v>1.73</v>
      </c>
    </row>
    <row r="40" spans="49:54">
      <c r="AW40" s="80"/>
      <c r="AZ40" s="81"/>
      <c r="BA40" s="80"/>
    </row>
  </sheetData>
  <pageMargins left="0.7" right="0.7" top="0.75" bottom="0.75" header="0.3" footer="0.3"/>
  <pageSetup paperSize="9" scale="1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197DA2A4-71B1-493B-A870-E451220281CF}"/>
</file>

<file path=customXml/itemProps2.xml><?xml version="1.0" encoding="utf-8"?>
<ds:datastoreItem xmlns:ds="http://schemas.openxmlformats.org/officeDocument/2006/customXml" ds:itemID="{8A848DEB-69ED-468B-870E-05BBD9057ADA}"/>
</file>

<file path=customXml/itemProps3.xml><?xml version="1.0" encoding="utf-8"?>
<ds:datastoreItem xmlns:ds="http://schemas.openxmlformats.org/officeDocument/2006/customXml" ds:itemID="{700D47C5-08DB-41F9-9258-74BA5ABA84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Mukul Joshi</cp:lastModifiedBy>
  <cp:revision/>
  <dcterms:created xsi:type="dcterms:W3CDTF">2023-08-07T08:51:06Z</dcterms:created>
  <dcterms:modified xsi:type="dcterms:W3CDTF">2026-08-19T20:13:18Z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