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17"/>
  <workbookPr filterPrivacy="1"/>
  <xr:revisionPtr revIDLastSave="0" documentId="11_B0B4666DDDB3A4A966752D31D24B0DB8B0929DA0" xr6:coauthVersionLast="47" xr6:coauthVersionMax="47" xr10:uidLastSave="{00000000-0000-0000-0000-000000000000}"/>
  <bookViews>
    <workbookView xWindow="0" yWindow="0" windowWidth="22260" windowHeight="12648" xr2:uid="{00000000-000D-0000-FFFF-FFFF00000000}"/>
  </bookViews>
  <sheets>
    <sheet name="FIXED ASSET" sheetId="1" r:id="rId1"/>
    <sheet name="costing tdd" sheetId="2" r:id="rId2"/>
    <sheet name="amortization &amp; fv -formula" sheetId="4" r:id="rId3"/>
    <sheet name="Animal Register"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7" i="4" l="1"/>
  <c r="B45" i="4" s="1"/>
  <c r="K75" i="4"/>
  <c r="K74" i="4"/>
  <c r="K73" i="4"/>
  <c r="K72" i="4"/>
  <c r="K71" i="4"/>
  <c r="K70" i="4"/>
  <c r="F70" i="4"/>
  <c r="B54" i="4"/>
  <c r="B55" i="4" s="1"/>
  <c r="B56" i="4" s="1"/>
  <c r="B57" i="4" s="1"/>
  <c r="E54" i="4"/>
  <c r="D74" i="4"/>
  <c r="F73" i="4"/>
  <c r="D73" i="4"/>
  <c r="F72" i="4"/>
  <c r="D72" i="4"/>
  <c r="F71" i="4"/>
  <c r="D71" i="4"/>
  <c r="D70" i="4"/>
  <c r="F6" i="4"/>
  <c r="F5" i="4"/>
  <c r="F4" i="4"/>
  <c r="F3" i="4"/>
  <c r="D6" i="4"/>
  <c r="D5" i="4"/>
  <c r="D4" i="4"/>
  <c r="D3" i="4"/>
  <c r="B51" i="4" l="1"/>
  <c r="B52" i="4" s="1"/>
  <c r="B64" i="4"/>
  <c r="B62" i="4"/>
</calcChain>
</file>

<file path=xl/sharedStrings.xml><?xml version="1.0" encoding="utf-8"?>
<sst xmlns="http://schemas.openxmlformats.org/spreadsheetml/2006/main" count="385" uniqueCount="259">
  <si>
    <t>FIXED ASSET</t>
  </si>
  <si>
    <t>G/L Name-Acquisition Cost</t>
  </si>
  <si>
    <t xml:space="preserve">G/L Name-Amortization Cost / Fair Value Gain or Loss </t>
  </si>
  <si>
    <t>Useful Live</t>
  </si>
  <si>
    <t>Residual Value</t>
  </si>
  <si>
    <t>Formula of residual Value =assumed Weight*2.05 = "150*2.05</t>
  </si>
  <si>
    <t>Costing Method</t>
  </si>
  <si>
    <t>Amortization/ Fair Value Start Period</t>
  </si>
  <si>
    <t>Classification</t>
  </si>
  <si>
    <t>FA/Item</t>
  </si>
  <si>
    <t>Tracking</t>
  </si>
  <si>
    <t>Acquisition- Purchase</t>
  </si>
  <si>
    <t>Capitalization</t>
  </si>
  <si>
    <t>Upto 33 Week for Imported-F</t>
  </si>
  <si>
    <t>Upto 26 Week for Boar</t>
  </si>
  <si>
    <t>Upto 17 Week for Weaners</t>
  </si>
  <si>
    <t>GGP-Imp-F</t>
  </si>
  <si>
    <t>GGP-Imp-F Acquisition Cost</t>
  </si>
  <si>
    <t>GGP-IMP-F Amortization</t>
  </si>
  <si>
    <t>36 Months</t>
  </si>
  <si>
    <t>Yes</t>
  </si>
  <si>
    <t>Amortization</t>
  </si>
  <si>
    <t>33 Week</t>
  </si>
  <si>
    <t>Non-Current</t>
  </si>
  <si>
    <t>Fixed Asset</t>
  </si>
  <si>
    <t>Individual Tattoo</t>
  </si>
  <si>
    <t>Debit :- GGP IMP F Acquisition Cost</t>
  </si>
  <si>
    <t>Credit :- Vendor/Cash</t>
  </si>
  <si>
    <t>Credit :- Respective Inventory Account ( Feed, Vet, Med )</t>
  </si>
  <si>
    <t>GGP-Imp-M</t>
  </si>
  <si>
    <t>GGP-Imp-M Acquisition Cost</t>
  </si>
  <si>
    <t>GGP-IMP-M Amortization</t>
  </si>
  <si>
    <t>18 Months</t>
  </si>
  <si>
    <t>No</t>
  </si>
  <si>
    <t>NA</t>
  </si>
  <si>
    <t>26 Week</t>
  </si>
  <si>
    <t>Debit :- GGP IMP M Acquisition Cost</t>
  </si>
  <si>
    <t>GP-Imp-F</t>
  </si>
  <si>
    <t>GP-Imp-F Acquisition Cost</t>
  </si>
  <si>
    <t>GP-IMP-F Amortization</t>
  </si>
  <si>
    <t>Debit :- GP IMP F Acquisition Cost</t>
  </si>
  <si>
    <t>GP-Imp-M</t>
  </si>
  <si>
    <t>GP-Imp-M Acquisition Cost</t>
  </si>
  <si>
    <t>GP-IMP-M Amortization</t>
  </si>
  <si>
    <t>Debit :- GP IMP M Acquisition Cost</t>
  </si>
  <si>
    <t>P-Imp-F</t>
  </si>
  <si>
    <t>P-Imp-F Acquisition Cost</t>
  </si>
  <si>
    <t>P-IMP-F Amortization</t>
  </si>
  <si>
    <t>Debit :- P IMP F Acquisition Cost</t>
  </si>
  <si>
    <t>P-Imp-M</t>
  </si>
  <si>
    <t>P-Imp-M Acquisition Cost</t>
  </si>
  <si>
    <t>P-IMP-M Amortization</t>
  </si>
  <si>
    <t>Debit :- P IMP M Acquisition Cost</t>
  </si>
  <si>
    <t>GP-Loc-F</t>
  </si>
  <si>
    <t>GP-Loc-F Acquisition Cost</t>
  </si>
  <si>
    <t>GP-Loc-F Fair Value Gain/Loss</t>
  </si>
  <si>
    <t>Fair Value</t>
  </si>
  <si>
    <t>Debit :- GP LOC F Acquisition Cost</t>
  </si>
  <si>
    <t>Debit :- GP Local F Acquisition Cost</t>
  </si>
  <si>
    <t>Credit :- WIP-GP Local Account</t>
  </si>
  <si>
    <t>GP-Loc-M</t>
  </si>
  <si>
    <t>GP-Loc-M Acquisition Cost</t>
  </si>
  <si>
    <t>GP-Loc-M Fair Value Gain/Loss</t>
  </si>
  <si>
    <t>Debit :- GP LOC M Acquisition Cost</t>
  </si>
  <si>
    <t>Debit :- GP Local M Acquisition Cost</t>
  </si>
  <si>
    <t>P-Loc-F</t>
  </si>
  <si>
    <t>P-Loc-F Acquisition Cost</t>
  </si>
  <si>
    <t>P-Loc-F Fair Value Gain/Loss</t>
  </si>
  <si>
    <t>Debit :- P LOC F Acquisition Cost</t>
  </si>
  <si>
    <t>Debit :- P Local F Acquisition Cost</t>
  </si>
  <si>
    <t>Credit :- WIP-P Local Account</t>
  </si>
  <si>
    <t>P-Loc-M</t>
  </si>
  <si>
    <t>P-Loc-M Acquisition Cost</t>
  </si>
  <si>
    <t>P-Loc-M Fair Value Gain/Loss</t>
  </si>
  <si>
    <t>Debit :- P LOC M Acquisition Cost</t>
  </si>
  <si>
    <t>Debit :- P Local M Acquisition Cost</t>
  </si>
  <si>
    <t>PIGLETS</t>
  </si>
  <si>
    <t>Weaners Acquisition Cost</t>
  </si>
  <si>
    <t>Weaners Fair Value Gain/Loss</t>
  </si>
  <si>
    <t>17 Week</t>
  </si>
  <si>
    <t>Current</t>
  </si>
  <si>
    <t>Items</t>
  </si>
  <si>
    <t>Batch</t>
  </si>
  <si>
    <t>Debit :- Weaners</t>
  </si>
  <si>
    <t>Debit :- Weaners Acquisition Cost</t>
  </si>
  <si>
    <t>Credit :- WIP Weaners</t>
  </si>
  <si>
    <t>Finisher</t>
  </si>
  <si>
    <t>Debit :- Finisher Closing Stock</t>
  </si>
  <si>
    <t>Credit :- Weaners Acquisition Account/Fair Value Account</t>
  </si>
  <si>
    <t>API</t>
  </si>
  <si>
    <t>Events</t>
  </si>
  <si>
    <t>Source</t>
  </si>
  <si>
    <t xml:space="preserve">bc Development point </t>
  </si>
  <si>
    <t>BC Tables</t>
  </si>
  <si>
    <t>Entry type in NF</t>
  </si>
  <si>
    <t>Nav Farm Table &amp; Entry</t>
  </si>
  <si>
    <t>Relation Between Both Tables</t>
  </si>
  <si>
    <t>Accounting Entries</t>
  </si>
  <si>
    <t>Stages</t>
  </si>
  <si>
    <t>Purchase</t>
  </si>
  <si>
    <t>BC to NF &amp; NF to BC also ( if we receiving from NF ( Immediately needs to create the Fixed Asset under the Main Fixed Asset)</t>
  </si>
  <si>
    <t>On a FA card a bio assset bullion will be provided that will repsresent the biological asset, 
Tattoo No ( Code Field)
Animal No. (Code Field
Whenever a Bio asset will be purchase , equal to the purchased Qty., the regsiteration of the animals will be compulsoury. 
Validation ( On posting , equal to the Purchase Receipt Qty. the animals need to be metioned on the Animal Register 
To register the Animals, a page &amp; table will be provided 
Table Name :- Animal Register, 
Animal Register :- 
Animal Series No. ( no. Series ) No. Series will be provided on Inventory Setup
RFID (Tattoo) ( Manual)
Main Fixed Asset No. 
Child Fixed Asset No. 
Lineage
Teats
Birth Date
Birth Weight
Current Weight
Age.
Gender
Breed
Cost 
On Posting or a manual Child Fixed Asset Creation Button needs to be Provided to create the Child Fixed Asset  equal to the Purchase Receipt Qty, on the Child Fixed asset Card the animmal No and the RFID (Tattoo No. )need to be maintained.
a CHECK BOX FIELD NAV FARM ITEM WILL BE PROVIDED ON THE iTEM CARD AND IF THE BOOLEAN IS TRUE THEN ONLY THE ITEM NEED TO BE SYNCED WITH THE NAV FARM.</t>
  </si>
  <si>
    <t>Fixed Asset Ledger :- Acquisition  
General Ledger - Dr. Fixed Asset Acquisition Account 
Cr. Vendor/Cash 
Animal Register</t>
  </si>
  <si>
    <r>
      <t xml:space="preserve">Inventory Register (Postive Adjustment)
General Register
Animal Register- (Updated from BC , rest of the data need to be filled by manager manually)
</t>
    </r>
    <r>
      <rPr>
        <b/>
        <sz val="9"/>
        <color theme="1"/>
        <rFont val="Tahoma"/>
        <family val="2"/>
      </rPr>
      <t xml:space="preserve">VALUE ENTRY :- The Value Entry table is required , all the fields which we are capturing in inventory register needs to be maintained in the value entry along with the (BC Item ledger no. ), Nav farm Inventory register no. 
one field need to be added , Adj. Entry which will be come from the BC.  
There will be separate api need to be configured for the Value Entry
the Adj. Entries of BC need to be capture in Nav Farm, the check box of Adj. entries will be true. 
Value entries need to be captured only for the Item whose boolean Navfarm Item no. will be true. 
In the Nav farm inventory register the Amount field should be a flow field ( which will be a total of all the entries created in value entry with reference of Item ledger entry) </t>
    </r>
  </si>
  <si>
    <t xml:space="preserve">Fixed Asset Ledger Entry No. &amp; Inventory Ledger No. Need to be Flow from BC to NF and NF to BC
Document No.(Float from BC to NF) </t>
  </si>
  <si>
    <t>Batch &amp; Individual Asset</t>
  </si>
  <si>
    <t>Acquisition (new born GP and Parent)</t>
  </si>
  <si>
    <r>
      <t>Nf to BC ( When Piglets  are born, will be consdidered as Inventory (Item), after a weaning period out of the new born Piglets will be selected as Gilts and the Selected gilts will be treated as Fixed Asset, hence the equal to the count of Gilts , Fixed Asset , Animal Register will be created in the BC and in Navfarm the Animal Register Will be Created. 
Parallerly equal to the Gilt count , Inventory of Piglets with reference to the Batch no. will be reduced. 
New Born Piglets are associated with the Batch No. and with the Sow, and the Boar Semen Tapped, The Fixed Asset (Group) will be decied on the Sow and Boar (Lineage)
So there</t>
    </r>
    <r>
      <rPr>
        <b/>
        <sz val="9"/>
        <color theme="1"/>
        <rFont val="Tahoma"/>
        <family val="2"/>
      </rPr>
      <t xml:space="preserve"> will be a UI IN Navfarm DATA ENTRY PAGE A SEPARATE TAB WILL BE PROVIDED </t>
    </r>
    <r>
      <rPr>
        <sz val="9"/>
        <color theme="1"/>
        <rFont val="Tahoma"/>
        <family val="2"/>
      </rPr>
      <t xml:space="preserve">to select the Gilts from the Batch , User will select the batch first before selecting the Gilts , from the batch no. Sow No. and Boar No and their Lineage will be fetched and then Fixed asset (Group) GP or Parent will be Decided and accordingly the Child Fixed Asset and Animal Register Will be created.
A Breeding Lineage Master will be required to decide the Produce Output Lineage, fields are 
Sow Lineage, Boar Lineage , Produce Lineage, Main Fixed Asset No., Selection Type (Gilt/Boar)
According to the LIneage Master the GP or Parent will be decided while selection of the gilt and Boar
a Separate no. series is requried to define the Animal No. for each Farm. 
user will select the Series No. as the separate series of Animal no. is required for each farm. 
</t>
    </r>
  </si>
  <si>
    <t xml:space="preserve">Once the giltes and boar are selected in the navfarm throuth API on the basis  of the Lineage 
the child fixed asset will be created under the Main fixed asset
the Animal Register linked with the Child fixed asset will be created in the BC
</t>
  </si>
  <si>
    <t>ITEM Ledger ( Inventory will be reduced equal to the Gilt Count)
Fixed Asset - Child Account under Respective Parent Fixed Asset
Fixed Asset Ledger :- Acquisition  
General Ledger - Dr. Fixed Asset Acquisition Account 
Cr. Vendor/Cash 
Animal Register :- 
Animal Series No.
RFID (Tattoo)
Fixed Asset no. 
Lineage
Teats
Birth Date
Birth Weight
Current Weight
Age.
Gender
Breed</t>
  </si>
  <si>
    <t>Acquisition</t>
  </si>
  <si>
    <r>
      <t xml:space="preserve">Inventory Register (Piglet Item ) ( Negative Adjustment)
Inventory Register (Fixed Asset) Item (Positive)
Animal Register
General Register
</t>
    </r>
    <r>
      <rPr>
        <b/>
        <sz val="9"/>
        <color theme="1"/>
        <rFont val="Tahoma"/>
        <family val="2"/>
      </rPr>
      <t xml:space="preserve">
Item Card ( In the NavFarm for Fixed Asset and Item both are will be matained as Item ) but to identify the Fixed Asset Item a Check Box Will be provided 
The same check box need to be flow on the Inventory Register
"Costing Tab" 
Fixed Asset -Costing Method (Amortization, Fair Value ) 
Item Costing Method :- 
Amortization / Fair Value Start Period
Residual Value
Useful Life
Residual Value Applicable ( Yes/No) in case of Sow yes , in case of Boar No. </t>
    </r>
  </si>
  <si>
    <t>NF to BC ( When any Item, Resource, is consumed for the Batch )</t>
  </si>
  <si>
    <t>in Nav Farm , the Items, Resource , will be consumed , data entry could be posted for each animal and for the total batch.
There will be two APIs which needs to be configured to capture the Consumption and Resource entry in the BC
1st :- Item Ledger will be impacted thru Item Journal Line
API Fields :- Entry Type "Consumption", Item , Qty, Dimension1 ,Dimension2, Main Location, Sub-Location, Sub-Sub Location, NavFarm Batch No, Animal No. RFID No. ,document No, Nav Farm Inventory Ledger No.
if the Item is Fixed asset item and item tracking is Serial No in Nav Farm then per animal no. Item Ledger entry will be registered.
if the item is fixed asset item and item tracking is Tag no. in nav farm then per batch no . Item ledger entry will be registered. 
2nd :- FA G/L Journal - Posting Type - Appreciation 
Accordingly FA G/L Journal will be registered.
GL entry of Item Ledger entry
Gl Entry of the FA Ledger entry</t>
  </si>
  <si>
    <t>Item Ledger 
General Ledger
Fixed Asset Ledger
Animal Register</t>
  </si>
  <si>
    <t>consumption</t>
  </si>
  <si>
    <t>Inventory Register for Item 
Resource Register for Item
General Register
Animal Register
if the Item Tracking of Fixed Asset Item (Batch Input Item ) is on "Serial No." then in case of Consumption need to be posted basis of each animal no. 
Ex. If the data entry of consumption is done by selecting the batch and in the batch there are 10 Animals , and the consumption qty is 20, then for each animal there will be 10 consumption lines each line will be associated with Animal No. and need to be registered in the Nav Farm Inventory Ledger. 
and Same need to be sent thru API in business Central</t>
  </si>
  <si>
    <t>Batch &amp; Individual Asset, Batch &amp; Lot</t>
  </si>
  <si>
    <t>Amortization/Fair value</t>
  </si>
  <si>
    <t>BC - Based on Changes in Age - When Amortization/ Fair Value Period Starts</t>
  </si>
  <si>
    <t>General Ledger 
Fixed Asset Ledger
Animal Register</t>
  </si>
  <si>
    <r>
      <t xml:space="preserve">General Register
Animal Register
On Item Card :- 
Fair Value Setup :-
Type :- Item/FA
Fa/Item
Fair Value Start Date Week
Fair Value Start Date - Days
Expected CDM (decimal)
Unit Cost Per KG
Fair value (Cdm * Unit cost per kg)
</t>
    </r>
    <r>
      <rPr>
        <b/>
        <sz val="9"/>
        <color theme="1"/>
        <rFont val="Tahoma"/>
        <family val="2"/>
      </rPr>
      <t xml:space="preserve">Amortization Setup
</t>
    </r>
    <r>
      <rPr>
        <sz val="9"/>
        <color theme="1"/>
        <rFont val="Tahoma"/>
        <family val="2"/>
      </rPr>
      <t xml:space="preserve">Fixed Asset Item
Amortization Start Period Week (Age)
Amortization Start Period Days (Age
Frequeny :- Weekly/Monthly/Quarterly/Yearly
Last Run- in days :- 
Due Date :- Notification required 
</t>
    </r>
    <r>
      <rPr>
        <b/>
        <sz val="9"/>
        <color theme="1"/>
        <rFont val="Tahoma"/>
        <family val="2"/>
      </rPr>
      <t>Request Page</t>
    </r>
    <r>
      <rPr>
        <sz val="9"/>
        <color theme="1"/>
        <rFont val="Tahoma"/>
        <family val="2"/>
      </rPr>
      <t xml:space="preserve"> :- Calculate Amortization 
Main Fixed Asset No.:- Filter ( Fixed Asset Item )check box true
Amortization Start Period :- 
Frequency :- 
Period :- From 
Period  :- To 
Description :- 
No. of Days :- 
</t>
    </r>
  </si>
  <si>
    <t>Consumption</t>
  </si>
  <si>
    <t>NF to BC</t>
  </si>
  <si>
    <t>Item Ledger 
General Ledger (WIP)</t>
  </si>
  <si>
    <t>Inventory Register
General Register</t>
  </si>
  <si>
    <t>Mortality</t>
  </si>
  <si>
    <t>Trigger from NF when any Animal Stage changes to Mortality</t>
  </si>
  <si>
    <t>Fixed Asset Ledger :- Write Off of Fixed Asset 
General Ledger - Impairment Loss
Animal Register</t>
  </si>
  <si>
    <t>Inventory Ledger ( Negative Adjustment)
General Register 
Animal Register</t>
  </si>
  <si>
    <t>Sale of Fixed Asset</t>
  </si>
  <si>
    <t xml:space="preserve">BC </t>
  </si>
  <si>
    <t>Fixed Asset Ledger 
disposal of Fixed Asset
Animal Register</t>
  </si>
  <si>
    <t>Inventory Ledger ( Negative Adjustment)</t>
  </si>
  <si>
    <t>Output of Item</t>
  </si>
  <si>
    <t>NF To BC - ( Piglet to Grower)</t>
  </si>
  <si>
    <t>Item Ledger 
General Ledger</t>
  </si>
  <si>
    <t>Inventory Ledger
General Ledger (Positive Adjustment)</t>
  </si>
  <si>
    <t>Output of Fixed Asset</t>
  </si>
  <si>
    <t>NF to BC - GP &amp; Parent Stock ( to be selected as Gilt &amp; Boar)</t>
  </si>
  <si>
    <t>Fixed Asset, Animal Register (Positive), General Ledger , Fixed Asset Ledger
Item Ledger entry(Negative)</t>
  </si>
  <si>
    <t>Animal Register, Inventory Ledger , General Ledger</t>
  </si>
  <si>
    <t>Amortization Setup on Item ( check box Fixed Asset Item ) in Nav Farm</t>
  </si>
  <si>
    <t>Fixed Asset Item</t>
  </si>
  <si>
    <t>Useful life in years</t>
  </si>
  <si>
    <t>Amortization Start Period Week (Age)</t>
  </si>
  <si>
    <t>Amortization Start Period Days (Age</t>
  </si>
  <si>
    <t>Frequeny :- Weekly/Monthly/Quarterly/Yearly</t>
  </si>
  <si>
    <t>Frequency In days</t>
  </si>
  <si>
    <t>GGP - Imported M</t>
  </si>
  <si>
    <t>Weekly</t>
  </si>
  <si>
    <t>Individual</t>
  </si>
  <si>
    <t>GGP - Imported F</t>
  </si>
  <si>
    <t>monthly</t>
  </si>
  <si>
    <t>GP-Imported M</t>
  </si>
  <si>
    <t>yearly</t>
  </si>
  <si>
    <t>GP-Imported f</t>
  </si>
  <si>
    <t>quarterly</t>
  </si>
  <si>
    <t>Animal Register</t>
  </si>
  <si>
    <t>In the Animal Register we need to capture the Age in Days, the Amortization Start Period (Week Age) , Age in Days, Frequency , frequency in days</t>
  </si>
  <si>
    <t>When new animal is registered either form the Navfarm (thru selection page ) or it is received from the the BC "Purchase" , then system need to check its Main Fixed Asset and need to compare with the Amortization and Fair Value Setup and update all the details accordingly</t>
  </si>
  <si>
    <t xml:space="preserve">Request Page :- Calculate Amortization </t>
  </si>
  <si>
    <t>NEEDS TO BE CREATE ON Nav Farm</t>
  </si>
  <si>
    <t>Main Fixed Asset No.:- Filter ( Fixed Asset Item )check box true</t>
  </si>
  <si>
    <t xml:space="preserve">Amortization Start Period :- </t>
  </si>
  <si>
    <t xml:space="preserve">Frequency :- </t>
  </si>
  <si>
    <t xml:space="preserve">Period :- From </t>
  </si>
  <si>
    <t xml:space="preserve">Period  :- To </t>
  </si>
  <si>
    <t xml:space="preserve">Description :- </t>
  </si>
  <si>
    <t>No. of Days :- 30</t>
  </si>
  <si>
    <t>there will be a Page -where when this batch will be run the entries per animal or batch as per the setup and fixed asset item the entries will be created</t>
  </si>
  <si>
    <t>Amortization - Entries</t>
  </si>
  <si>
    <t xml:space="preserve">Posting Date
Animal No. 
Tattoo no.
Fixed Asset Item NO.
Date of Birth
No. of Days Amortization
Book Value 
Residual Value
Total Days of Amortization
Amortization Amount (Book Value -( Book Value -Residual Value *No. of Days Amortiation/ Total Days of Amortization) </t>
  </si>
  <si>
    <t>this entry will be posted in Animal Register &amp; GL Entry</t>
  </si>
  <si>
    <t>IN BC - thru API - FA G/l Journal will be Posted
Posting Date
Main Fixed Asset No.
Child Fixed Asset No. Animal No.
Tattoo No.
No. of Days Amortization
Amount = Amortization Amount
FA posting type - Depreciation</t>
  </si>
  <si>
    <t>Provide on Button Rum Amortization</t>
  </si>
  <si>
    <t xml:space="preserve">All the animal nos. whose Age is </t>
  </si>
  <si>
    <t>Calculation Fields</t>
  </si>
  <si>
    <t>In the Nav Farm - there is Animal Register - capturing the Individual Animals Book Value, Useful Life, Age in Week , Age in Days, Fixed Asset Costing Method ( Amortization or Fair Value) , Amortization Start Period in Days(Age) , Amortization Starte period Week(Age)</t>
  </si>
  <si>
    <t xml:space="preserve">Calculation Logic :- </t>
  </si>
  <si>
    <t>Date of Birth</t>
  </si>
  <si>
    <t>Book Value</t>
  </si>
  <si>
    <t>Age in Week</t>
  </si>
  <si>
    <t>Current Date</t>
  </si>
  <si>
    <t>Age in days</t>
  </si>
  <si>
    <t>Amortization Start Date in Days</t>
  </si>
  <si>
    <t>Amortization frequency</t>
  </si>
  <si>
    <t>Total Amortization Run - in Days</t>
  </si>
  <si>
    <t>To be capture from the entries and Need to maintain on animal card</t>
  </si>
  <si>
    <t>Total Amortization -In Days as per Current Date</t>
  </si>
  <si>
    <t>Pending Amortization - in Days - Not Run</t>
  </si>
  <si>
    <t>Useful Life in years</t>
  </si>
  <si>
    <t>Amortization Last Date</t>
  </si>
  <si>
    <t>No. of Days Useful Life</t>
  </si>
  <si>
    <t>No. of Days Amortization - Period</t>
  </si>
  <si>
    <t>Pending Amortization to be run</t>
  </si>
  <si>
    <t>It is also maintaining in the Fixed Asset Item Card and need to flow on Animal Register</t>
  </si>
  <si>
    <t>Amortization Formula</t>
  </si>
  <si>
    <t>Amortization value - for 7 Days</t>
  </si>
  <si>
    <t>Amortization value - for 1 month or 30 days</t>
  </si>
  <si>
    <t>Book Value - (Book Value - Residual Value*No. of Days Amortization want to post / No. of Days Amortization period)</t>
  </si>
  <si>
    <t>Fair Value Setup on Item ( check box Fixed Asset Item ) in Nav Farm</t>
  </si>
  <si>
    <t>CDM Baed</t>
  </si>
  <si>
    <t>Expected CDM Weight</t>
  </si>
  <si>
    <t>Unit Price</t>
  </si>
  <si>
    <t>GGP - Local M</t>
  </si>
  <si>
    <t>GGP - Local F</t>
  </si>
  <si>
    <t>GP-Local M</t>
  </si>
  <si>
    <t>GP-Local f</t>
  </si>
  <si>
    <t>Monthly</t>
  </si>
  <si>
    <t>Piglets - Weaners</t>
  </si>
  <si>
    <t>batch</t>
  </si>
  <si>
    <t>Formula -Fairvalue</t>
  </si>
  <si>
    <t>In the BC thru Fair Value Gain /Loss Journal will be Posted thru FA G/L Journal</t>
  </si>
  <si>
    <t>Fair Value - Entries</t>
  </si>
  <si>
    <t>Posting Date
Animal No. 
Tattoo no.
Fixed Asset Item NO.
Date of Birth
Book Value 
Fair Vaue (from the Setup)
Amount ( Fair Value - Book Value)
Total Days of Amortization</t>
  </si>
  <si>
    <t>IN BC - thru API - FA G/l Journal will be Posted
Posting Date
Main Fixed Asset No.
Child Fixed Asset No. Animal No.
Tattoo No.
Amount = (Book Value - Fair Value)
FA posting type - Appreciation</t>
  </si>
  <si>
    <t>Provide on Button Run the Fair Value</t>
  </si>
  <si>
    <t>Animal Code</t>
  </si>
  <si>
    <t xml:space="preserve">Fixed Asset No. </t>
  </si>
  <si>
    <t>Animal Type</t>
  </si>
  <si>
    <t>Breed</t>
  </si>
  <si>
    <t>Gender</t>
  </si>
  <si>
    <t>Age at Entry Weeks</t>
  </si>
  <si>
    <t>Entry Type</t>
  </si>
  <si>
    <t>Entry Date</t>
  </si>
  <si>
    <t>Source GRN</t>
  </si>
  <si>
    <t>Source Batch Born From</t>
  </si>
  <si>
    <t>Animal Item</t>
  </si>
  <si>
    <t>Serial Number</t>
  </si>
  <si>
    <t>RFID Tag</t>
  </si>
  <si>
    <t>Ear Tag Visual</t>
  </si>
  <si>
    <t>Sire Father</t>
  </si>
  <si>
    <t>Dam Mother</t>
  </si>
  <si>
    <t>Acquisition Cost</t>
  </si>
  <si>
    <t>Landing Cost</t>
  </si>
  <si>
    <t>Total Opening Asset Value</t>
  </si>
  <si>
    <t>Current Stage</t>
  </si>
  <si>
    <t>Current Active Batch</t>
  </si>
  <si>
    <t>Current Location</t>
  </si>
  <si>
    <t>Parity Count</t>
  </si>
  <si>
    <t>Total Piglets Born Live</t>
  </si>
  <si>
    <t>Total Piglets Weaned</t>
  </si>
  <si>
    <t>Current Bio Asset Value</t>
  </si>
  <si>
    <t>Total Amortised</t>
  </si>
  <si>
    <t>Book Value NBV</t>
  </si>
  <si>
    <t>Monthly Amortisation</t>
  </si>
  <si>
    <t>Productive Life Start Date</t>
  </si>
  <si>
    <t>Expected Cull Date</t>
  </si>
  <si>
    <t>Status</t>
  </si>
  <si>
    <t>Disposal Date</t>
  </si>
  <si>
    <t>Disposal Type</t>
  </si>
  <si>
    <t>Nos. of Teats</t>
  </si>
  <si>
    <t>TSI</t>
  </si>
  <si>
    <t xml:space="preserve">Grading </t>
  </si>
  <si>
    <t xml:space="preserve">Bio Asset Value </t>
  </si>
  <si>
    <t>From BC to Nav Farm - when Purchased</t>
  </si>
  <si>
    <t>From Nav Farm to BC - When Piglet Selected as Gilt</t>
  </si>
  <si>
    <t xml:space="preserve">Animal No.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</si>
</sst>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9"/>
      <color rgb="FF000000"/>
      <name val="Calibri"/>
      <family val="2"/>
      <scheme val="minor"/>
    </font>
    <font>
      <sz val="9"/>
      <color theme="1"/>
      <name val="Tahoma"/>
      <family val="2"/>
    </font>
    <font>
      <b/>
      <sz val="9"/>
      <color rgb="FF2C3E50"/>
      <name val="Aptos Narrow"/>
      <family val="2"/>
    </font>
    <font>
      <sz val="11"/>
      <color rgb="FF242424"/>
      <name val="Aptos Narrow"/>
      <charset val="1"/>
    </font>
    <font>
      <sz val="11"/>
      <color rgb="FF000000"/>
      <name val="Aptos Narrow"/>
      <family val="2"/>
    </font>
    <font>
      <b/>
      <sz val="9"/>
      <color theme="1"/>
      <name val="Tahoma"/>
      <family val="2"/>
    </font>
  </fonts>
  <fills count="12">
    <fill>
      <patternFill patternType="none"/>
    </fill>
    <fill>
      <patternFill patternType="gray125"/>
    </fill>
    <fill>
      <patternFill patternType="solid">
        <fgColor rgb="FFFFF2CC"/>
        <bgColor rgb="FFE2F0D9"/>
      </patternFill>
    </fill>
    <fill>
      <patternFill patternType="solid">
        <fgColor rgb="FFE2EFDA"/>
        <bgColor rgb="FFFFF2CC"/>
      </patternFill>
    </fill>
    <fill>
      <patternFill patternType="solid">
        <fgColor rgb="FFA9D08E"/>
        <bgColor rgb="FF99CCFF"/>
      </patternFill>
    </fill>
    <fill>
      <patternFill patternType="solid">
        <fgColor rgb="FFFEF9E7"/>
        <bgColor rgb="FF000000"/>
      </patternFill>
    </fill>
    <fill>
      <patternFill patternType="solid">
        <fgColor rgb="FFF2F3F4"/>
        <bgColor rgb="FF000000"/>
      </patternFill>
    </fill>
    <fill>
      <patternFill patternType="solid">
        <fgColor rgb="FFD6EAF8"/>
        <bgColor rgb="FF000000"/>
      </patternFill>
    </fill>
    <fill>
      <patternFill patternType="solid">
        <fgColor rgb="FFFFFFFF"/>
        <bgColor rgb="FF000000"/>
      </patternFill>
    </fill>
    <fill>
      <patternFill patternType="solid">
        <fgColor rgb="FFC00000"/>
        <bgColor rgb="FF000000"/>
      </patternFill>
    </fill>
    <fill>
      <patternFill patternType="solid">
        <fgColor rgb="FFE97132"/>
        <bgColor rgb="FF000000"/>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thin">
        <color indexed="64"/>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0">
    <xf numFmtId="0" fontId="0" fillId="0" borderId="0" xfId="0"/>
    <xf numFmtId="0" fontId="1" fillId="2" borderId="0" xfId="0" applyFont="1" applyFill="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2" fillId="0" borderId="0" xfId="0" applyFont="1" applyAlignment="1">
      <alignment vertical="top"/>
    </xf>
    <xf numFmtId="0" fontId="3" fillId="5" borderId="15" xfId="0" applyFont="1" applyFill="1" applyBorder="1" applyAlignment="1">
      <alignment horizontal="left" vertical="center"/>
    </xf>
    <xf numFmtId="0" fontId="3" fillId="6" borderId="15" xfId="0" applyFont="1" applyFill="1" applyBorder="1" applyAlignment="1">
      <alignment horizontal="left" vertical="center"/>
    </xf>
    <xf numFmtId="0" fontId="3" fillId="7" borderId="15" xfId="0" applyFont="1" applyFill="1" applyBorder="1" applyAlignment="1">
      <alignment horizontal="left" vertical="center"/>
    </xf>
    <xf numFmtId="0" fontId="3" fillId="8" borderId="15" xfId="0" applyFont="1" applyFill="1" applyBorder="1" applyAlignment="1">
      <alignment horizontal="left" vertical="center"/>
    </xf>
    <xf numFmtId="0" fontId="3" fillId="9" borderId="15" xfId="0" applyFont="1" applyFill="1" applyBorder="1" applyAlignment="1">
      <alignment horizontal="left" vertical="center"/>
    </xf>
    <xf numFmtId="0" fontId="4" fillId="10" borderId="0" xfId="0" applyFont="1" applyFill="1"/>
    <xf numFmtId="0" fontId="5" fillId="10" borderId="0" xfId="0" applyFont="1" applyFill="1"/>
    <xf numFmtId="0" fontId="2" fillId="0" borderId="0" xfId="0" applyFont="1" applyAlignment="1">
      <alignment vertical="top" wrapText="1"/>
    </xf>
    <xf numFmtId="0" fontId="2" fillId="0" borderId="0" xfId="0" applyFont="1" applyAlignment="1">
      <alignment horizontal="center" vertical="top"/>
    </xf>
    <xf numFmtId="0" fontId="6" fillId="0" borderId="0" xfId="0" applyFont="1" applyAlignment="1">
      <alignment vertical="top"/>
    </xf>
    <xf numFmtId="0" fontId="6" fillId="0" borderId="0" xfId="0" applyFont="1" applyAlignment="1">
      <alignment vertical="top" wrapText="1"/>
    </xf>
    <xf numFmtId="0" fontId="0" fillId="11" borderId="0" xfId="0" applyFill="1"/>
    <xf numFmtId="14" fontId="0" fillId="0" borderId="0" xfId="0" applyNumberFormat="1"/>
    <xf numFmtId="0" fontId="1" fillId="0" borderId="0" xfId="0" applyFont="1" applyAlignment="1">
      <alignment vertical="center" wrapText="1"/>
    </xf>
    <xf numFmtId="0" fontId="1" fillId="3" borderId="1"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3" borderId="1"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3" borderId="13" xfId="0" applyFont="1" applyFill="1" applyBorder="1" applyAlignment="1">
      <alignment vertical="center" wrapText="1"/>
    </xf>
    <xf numFmtId="0" fontId="1" fillId="3" borderId="6" xfId="0" applyFont="1" applyFill="1" applyBorder="1" applyAlignment="1">
      <alignment vertical="center" wrapText="1"/>
    </xf>
    <xf numFmtId="0" fontId="1" fillId="3" borderId="3"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6"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9" xfId="0" applyFont="1" applyFill="1" applyBorder="1" applyAlignment="1">
      <alignment vertical="center" wrapText="1"/>
    </xf>
    <xf numFmtId="0" fontId="1" fillId="3" borderId="10" xfId="0" applyFont="1" applyFill="1" applyBorder="1" applyAlignment="1">
      <alignment vertical="center" wrapText="1"/>
    </xf>
    <xf numFmtId="0" fontId="1" fillId="3" borderId="4" xfId="0" applyFont="1" applyFill="1" applyBorder="1" applyAlignment="1">
      <alignment vertical="center" wrapText="1"/>
    </xf>
    <xf numFmtId="0" fontId="1" fillId="3" borderId="5" xfId="0" applyFont="1" applyFill="1" applyBorder="1" applyAlignment="1">
      <alignment vertical="center" wrapText="1"/>
    </xf>
    <xf numFmtId="0" fontId="1" fillId="4" borderId="1"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1" fillId="4" borderId="1"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4" borderId="13" xfId="0" applyFont="1" applyFill="1" applyBorder="1" applyAlignment="1">
      <alignment vertical="center" wrapText="1"/>
    </xf>
    <xf numFmtId="0" fontId="1" fillId="4" borderId="6" xfId="0" applyFont="1" applyFill="1" applyBorder="1" applyAlignment="1">
      <alignment vertical="center" wrapText="1"/>
    </xf>
    <xf numFmtId="0" fontId="1" fillId="4" borderId="3"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6"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4" borderId="9" xfId="0" applyFont="1" applyFill="1" applyBorder="1" applyAlignment="1">
      <alignment vertical="center" wrapText="1"/>
    </xf>
    <xf numFmtId="0" fontId="1" fillId="4" borderId="10" xfId="0" applyFont="1" applyFill="1" applyBorder="1" applyAlignment="1">
      <alignment vertical="center" wrapText="1"/>
    </xf>
    <xf numFmtId="0" fontId="1" fillId="4" borderId="4" xfId="0" applyFont="1" applyFill="1" applyBorder="1" applyAlignment="1">
      <alignment vertical="center" wrapText="1"/>
    </xf>
    <xf numFmtId="0" fontId="1" fillId="4" borderId="5" xfId="0" applyFont="1" applyFill="1" applyBorder="1" applyAlignment="1">
      <alignment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14" xfId="0" applyFont="1" applyFill="1" applyBorder="1" applyAlignment="1">
      <alignment vertical="center"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5"/>
  <sheetViews>
    <sheetView tabSelected="1" workbookViewId="0">
      <selection sqref="A1:A4"/>
    </sheetView>
  </sheetViews>
  <sheetFormatPr defaultColWidth="13.7109375" defaultRowHeight="14.45"/>
  <cols>
    <col min="1" max="16384" width="13.7109375" style="5"/>
  </cols>
  <sheetData>
    <row r="1" spans="1:13">
      <c r="A1" s="55" t="s">
        <v>0</v>
      </c>
      <c r="B1" s="55" t="s">
        <v>1</v>
      </c>
      <c r="C1" s="55" t="s">
        <v>2</v>
      </c>
      <c r="D1" s="55" t="s">
        <v>3</v>
      </c>
      <c r="E1" s="55" t="s">
        <v>4</v>
      </c>
      <c r="F1" s="55" t="s">
        <v>5</v>
      </c>
      <c r="G1" s="55" t="s">
        <v>6</v>
      </c>
      <c r="H1" s="55" t="s">
        <v>7</v>
      </c>
      <c r="I1" s="55" t="s">
        <v>8</v>
      </c>
      <c r="J1" s="55" t="s">
        <v>9</v>
      </c>
      <c r="K1" s="55" t="s">
        <v>10</v>
      </c>
      <c r="L1" s="58" t="s">
        <v>11</v>
      </c>
      <c r="M1" s="1" t="s">
        <v>12</v>
      </c>
    </row>
    <row r="2" spans="1:13" ht="24">
      <c r="A2" s="56"/>
      <c r="B2" s="56"/>
      <c r="C2" s="56"/>
      <c r="D2" s="56"/>
      <c r="E2" s="56"/>
      <c r="F2" s="56"/>
      <c r="G2" s="56"/>
      <c r="H2" s="56"/>
      <c r="I2" s="56"/>
      <c r="J2" s="56"/>
      <c r="K2" s="56"/>
      <c r="L2" s="58"/>
      <c r="M2" s="1" t="s">
        <v>13</v>
      </c>
    </row>
    <row r="3" spans="1:13" ht="24">
      <c r="A3" s="56"/>
      <c r="B3" s="56"/>
      <c r="C3" s="56"/>
      <c r="D3" s="56"/>
      <c r="E3" s="56"/>
      <c r="F3" s="56"/>
      <c r="G3" s="56"/>
      <c r="H3" s="56"/>
      <c r="I3" s="56"/>
      <c r="J3" s="56"/>
      <c r="K3" s="56"/>
      <c r="L3" s="58"/>
      <c r="M3" s="1" t="s">
        <v>14</v>
      </c>
    </row>
    <row r="4" spans="1:13" ht="24">
      <c r="A4" s="57"/>
      <c r="B4" s="57"/>
      <c r="C4" s="57"/>
      <c r="D4" s="57"/>
      <c r="E4" s="57"/>
      <c r="F4" s="57"/>
      <c r="G4" s="57"/>
      <c r="H4" s="57"/>
      <c r="I4" s="57"/>
      <c r="J4" s="57"/>
      <c r="K4" s="57"/>
      <c r="L4" s="58"/>
      <c r="M4" s="1" t="s">
        <v>15</v>
      </c>
    </row>
    <row r="5" spans="1:13" ht="3.6" customHeight="1" thickBot="1">
      <c r="A5" s="2"/>
      <c r="B5" s="2"/>
      <c r="C5" s="2"/>
      <c r="D5" s="2"/>
      <c r="E5" s="2"/>
      <c r="F5" s="2"/>
      <c r="G5" s="2"/>
      <c r="H5" s="2"/>
      <c r="I5" s="2"/>
      <c r="J5" s="2"/>
      <c r="K5" s="2"/>
      <c r="L5" s="3"/>
      <c r="M5" s="3"/>
    </row>
    <row r="6" spans="1:13" ht="24">
      <c r="A6" s="37" t="s">
        <v>16</v>
      </c>
      <c r="B6" s="29" t="s">
        <v>17</v>
      </c>
      <c r="C6" s="29" t="s">
        <v>18</v>
      </c>
      <c r="D6" s="29" t="s">
        <v>19</v>
      </c>
      <c r="E6" s="29" t="s">
        <v>20</v>
      </c>
      <c r="F6" s="33">
        <v>307.5</v>
      </c>
      <c r="G6" s="29" t="s">
        <v>21</v>
      </c>
      <c r="H6" s="29" t="s">
        <v>22</v>
      </c>
      <c r="I6" s="29" t="s">
        <v>23</v>
      </c>
      <c r="J6" s="29" t="s">
        <v>24</v>
      </c>
      <c r="K6" s="31" t="s">
        <v>25</v>
      </c>
      <c r="L6" s="3" t="s">
        <v>26</v>
      </c>
      <c r="M6" s="3" t="s">
        <v>26</v>
      </c>
    </row>
    <row r="7" spans="1:13" ht="48">
      <c r="A7" s="38"/>
      <c r="B7" s="30"/>
      <c r="C7" s="30"/>
      <c r="D7" s="30"/>
      <c r="E7" s="30"/>
      <c r="F7" s="34"/>
      <c r="G7" s="30"/>
      <c r="H7" s="30"/>
      <c r="I7" s="30"/>
      <c r="J7" s="30"/>
      <c r="K7" s="32"/>
      <c r="L7" s="3" t="s">
        <v>27</v>
      </c>
      <c r="M7" s="3" t="s">
        <v>28</v>
      </c>
    </row>
    <row r="8" spans="1:13" ht="24">
      <c r="A8" s="35" t="s">
        <v>29</v>
      </c>
      <c r="B8" s="25" t="s">
        <v>30</v>
      </c>
      <c r="C8" s="25" t="s">
        <v>31</v>
      </c>
      <c r="D8" s="25" t="s">
        <v>32</v>
      </c>
      <c r="E8" s="25" t="s">
        <v>33</v>
      </c>
      <c r="F8" s="23" t="s">
        <v>34</v>
      </c>
      <c r="G8" s="25" t="s">
        <v>21</v>
      </c>
      <c r="H8" s="25" t="s">
        <v>35</v>
      </c>
      <c r="I8" s="25" t="s">
        <v>23</v>
      </c>
      <c r="J8" s="25" t="s">
        <v>24</v>
      </c>
      <c r="K8" s="27" t="s">
        <v>25</v>
      </c>
      <c r="L8" s="3" t="s">
        <v>36</v>
      </c>
      <c r="M8" s="3" t="s">
        <v>36</v>
      </c>
    </row>
    <row r="9" spans="1:13" ht="48.6" thickBot="1">
      <c r="A9" s="36"/>
      <c r="B9" s="26"/>
      <c r="C9" s="26"/>
      <c r="D9" s="26"/>
      <c r="E9" s="26"/>
      <c r="F9" s="24"/>
      <c r="G9" s="26"/>
      <c r="H9" s="26"/>
      <c r="I9" s="26"/>
      <c r="J9" s="26"/>
      <c r="K9" s="28"/>
      <c r="L9" s="3" t="s">
        <v>27</v>
      </c>
      <c r="M9" s="3" t="s">
        <v>28</v>
      </c>
    </row>
    <row r="10" spans="1:13" ht="3" customHeight="1" thickBot="1">
      <c r="A10" s="3"/>
      <c r="B10" s="3"/>
      <c r="C10" s="3"/>
      <c r="D10" s="3"/>
      <c r="E10" s="3"/>
      <c r="F10" s="4"/>
      <c r="G10" s="3"/>
      <c r="H10" s="3"/>
      <c r="I10" s="3"/>
      <c r="J10" s="3"/>
      <c r="K10" s="3"/>
      <c r="L10" s="3"/>
      <c r="M10" s="3"/>
    </row>
    <row r="11" spans="1:13" ht="24">
      <c r="A11" s="53" t="s">
        <v>37</v>
      </c>
      <c r="B11" s="45" t="s">
        <v>38</v>
      </c>
      <c r="C11" s="45" t="s">
        <v>39</v>
      </c>
      <c r="D11" s="45" t="s">
        <v>19</v>
      </c>
      <c r="E11" s="45" t="s">
        <v>20</v>
      </c>
      <c r="F11" s="49">
        <v>307.5</v>
      </c>
      <c r="G11" s="45" t="s">
        <v>21</v>
      </c>
      <c r="H11" s="45" t="s">
        <v>22</v>
      </c>
      <c r="I11" s="45" t="s">
        <v>23</v>
      </c>
      <c r="J11" s="45" t="s">
        <v>24</v>
      </c>
      <c r="K11" s="47" t="s">
        <v>25</v>
      </c>
      <c r="L11" s="3" t="s">
        <v>40</v>
      </c>
      <c r="M11" s="3" t="s">
        <v>40</v>
      </c>
    </row>
    <row r="12" spans="1:13" ht="48">
      <c r="A12" s="54"/>
      <c r="B12" s="46"/>
      <c r="C12" s="46"/>
      <c r="D12" s="46"/>
      <c r="E12" s="46"/>
      <c r="F12" s="50"/>
      <c r="G12" s="46"/>
      <c r="H12" s="46"/>
      <c r="I12" s="46"/>
      <c r="J12" s="46"/>
      <c r="K12" s="48"/>
      <c r="L12" s="3" t="s">
        <v>27</v>
      </c>
      <c r="M12" s="3" t="s">
        <v>28</v>
      </c>
    </row>
    <row r="13" spans="1:13" ht="24">
      <c r="A13" s="51" t="s">
        <v>41</v>
      </c>
      <c r="B13" s="41" t="s">
        <v>42</v>
      </c>
      <c r="C13" s="41" t="s">
        <v>43</v>
      </c>
      <c r="D13" s="41" t="s">
        <v>32</v>
      </c>
      <c r="E13" s="41" t="s">
        <v>33</v>
      </c>
      <c r="F13" s="39" t="s">
        <v>34</v>
      </c>
      <c r="G13" s="41" t="s">
        <v>21</v>
      </c>
      <c r="H13" s="41" t="s">
        <v>35</v>
      </c>
      <c r="I13" s="41" t="s">
        <v>23</v>
      </c>
      <c r="J13" s="41" t="s">
        <v>24</v>
      </c>
      <c r="K13" s="43" t="s">
        <v>25</v>
      </c>
      <c r="L13" s="3" t="s">
        <v>44</v>
      </c>
      <c r="M13" s="3" t="s">
        <v>44</v>
      </c>
    </row>
    <row r="14" spans="1:13" ht="48.6" thickBot="1">
      <c r="A14" s="52"/>
      <c r="B14" s="42"/>
      <c r="C14" s="42"/>
      <c r="D14" s="42"/>
      <c r="E14" s="42"/>
      <c r="F14" s="40"/>
      <c r="G14" s="42"/>
      <c r="H14" s="42"/>
      <c r="I14" s="42"/>
      <c r="J14" s="42"/>
      <c r="K14" s="44"/>
      <c r="L14" s="3" t="s">
        <v>27</v>
      </c>
      <c r="M14" s="3" t="s">
        <v>28</v>
      </c>
    </row>
    <row r="15" spans="1:13" ht="4.9000000000000004" customHeight="1" thickBot="1">
      <c r="A15" s="3"/>
      <c r="B15" s="3"/>
      <c r="C15" s="3"/>
      <c r="D15" s="3"/>
      <c r="E15" s="3"/>
      <c r="F15" s="4"/>
      <c r="G15" s="3"/>
      <c r="H15" s="3"/>
      <c r="I15" s="3"/>
      <c r="J15" s="3"/>
      <c r="K15" s="3"/>
      <c r="L15" s="3"/>
      <c r="M15" s="3"/>
    </row>
    <row r="16" spans="1:13" ht="24">
      <c r="A16" s="37" t="s">
        <v>45</v>
      </c>
      <c r="B16" s="29" t="s">
        <v>46</v>
      </c>
      <c r="C16" s="29" t="s">
        <v>47</v>
      </c>
      <c r="D16" s="29" t="s">
        <v>19</v>
      </c>
      <c r="E16" s="29" t="s">
        <v>20</v>
      </c>
      <c r="F16" s="33">
        <v>307.5</v>
      </c>
      <c r="G16" s="29" t="s">
        <v>21</v>
      </c>
      <c r="H16" s="29" t="s">
        <v>22</v>
      </c>
      <c r="I16" s="29" t="s">
        <v>23</v>
      </c>
      <c r="J16" s="29" t="s">
        <v>24</v>
      </c>
      <c r="K16" s="31" t="s">
        <v>25</v>
      </c>
      <c r="L16" s="3" t="s">
        <v>48</v>
      </c>
      <c r="M16" s="3" t="s">
        <v>48</v>
      </c>
    </row>
    <row r="17" spans="1:13" ht="48">
      <c r="A17" s="38"/>
      <c r="B17" s="30"/>
      <c r="C17" s="30"/>
      <c r="D17" s="30"/>
      <c r="E17" s="30"/>
      <c r="F17" s="34"/>
      <c r="G17" s="30"/>
      <c r="H17" s="30"/>
      <c r="I17" s="30"/>
      <c r="J17" s="30"/>
      <c r="K17" s="32"/>
      <c r="L17" s="3" t="s">
        <v>27</v>
      </c>
      <c r="M17" s="3" t="s">
        <v>28</v>
      </c>
    </row>
    <row r="18" spans="1:13" ht="24">
      <c r="A18" s="35" t="s">
        <v>49</v>
      </c>
      <c r="B18" s="25" t="s">
        <v>50</v>
      </c>
      <c r="C18" s="25" t="s">
        <v>51</v>
      </c>
      <c r="D18" s="25" t="s">
        <v>32</v>
      </c>
      <c r="E18" s="25" t="s">
        <v>33</v>
      </c>
      <c r="F18" s="23" t="s">
        <v>34</v>
      </c>
      <c r="G18" s="25" t="s">
        <v>21</v>
      </c>
      <c r="H18" s="25" t="s">
        <v>35</v>
      </c>
      <c r="I18" s="25" t="s">
        <v>23</v>
      </c>
      <c r="J18" s="25" t="s">
        <v>24</v>
      </c>
      <c r="K18" s="27" t="s">
        <v>25</v>
      </c>
      <c r="L18" s="3" t="s">
        <v>52</v>
      </c>
      <c r="M18" s="3" t="s">
        <v>52</v>
      </c>
    </row>
    <row r="19" spans="1:13" ht="48.6" thickBot="1">
      <c r="A19" s="36"/>
      <c r="B19" s="26"/>
      <c r="C19" s="26"/>
      <c r="D19" s="26"/>
      <c r="E19" s="26"/>
      <c r="F19" s="24"/>
      <c r="G19" s="26"/>
      <c r="H19" s="26"/>
      <c r="I19" s="26"/>
      <c r="J19" s="26"/>
      <c r="K19" s="28"/>
      <c r="L19" s="3" t="s">
        <v>27</v>
      </c>
      <c r="M19" s="3" t="s">
        <v>28</v>
      </c>
    </row>
    <row r="20" spans="1:13" ht="5.45" customHeight="1" thickBot="1">
      <c r="A20" s="3"/>
      <c r="B20" s="3"/>
      <c r="C20" s="3"/>
      <c r="D20" s="3"/>
      <c r="E20" s="3"/>
      <c r="F20" s="4"/>
      <c r="G20" s="3"/>
      <c r="H20" s="3"/>
      <c r="I20" s="3"/>
      <c r="J20" s="3"/>
      <c r="K20" s="3"/>
      <c r="L20" s="3"/>
      <c r="M20" s="3"/>
    </row>
    <row r="21" spans="1:13" ht="15" hidden="1" thickBot="1">
      <c r="A21" s="3"/>
      <c r="B21" s="3"/>
      <c r="C21" s="3"/>
      <c r="D21" s="3"/>
      <c r="E21" s="3"/>
      <c r="F21" s="4"/>
      <c r="G21" s="3"/>
      <c r="H21" s="3"/>
      <c r="I21" s="3"/>
      <c r="J21" s="3"/>
      <c r="K21" s="3"/>
      <c r="L21" s="3"/>
      <c r="M21" s="3"/>
    </row>
    <row r="22" spans="1:13" ht="24">
      <c r="A22" s="37" t="s">
        <v>53</v>
      </c>
      <c r="B22" s="29" t="s">
        <v>54</v>
      </c>
      <c r="C22" s="29" t="s">
        <v>55</v>
      </c>
      <c r="D22" s="29" t="s">
        <v>19</v>
      </c>
      <c r="E22" s="29"/>
      <c r="F22" s="33"/>
      <c r="G22" s="29" t="s">
        <v>56</v>
      </c>
      <c r="H22" s="29" t="s">
        <v>22</v>
      </c>
      <c r="I22" s="29" t="s">
        <v>23</v>
      </c>
      <c r="J22" s="29" t="s">
        <v>24</v>
      </c>
      <c r="K22" s="31" t="s">
        <v>25</v>
      </c>
      <c r="L22" s="3" t="s">
        <v>57</v>
      </c>
      <c r="M22" s="3" t="s">
        <v>58</v>
      </c>
    </row>
    <row r="23" spans="1:13" ht="48">
      <c r="A23" s="38"/>
      <c r="B23" s="30"/>
      <c r="C23" s="30"/>
      <c r="D23" s="30"/>
      <c r="E23" s="30"/>
      <c r="F23" s="34"/>
      <c r="G23" s="30"/>
      <c r="H23" s="30"/>
      <c r="I23" s="30"/>
      <c r="J23" s="30"/>
      <c r="K23" s="32"/>
      <c r="L23" s="3" t="s">
        <v>59</v>
      </c>
      <c r="M23" s="3" t="s">
        <v>28</v>
      </c>
    </row>
    <row r="24" spans="1:13" ht="24">
      <c r="A24" s="35" t="s">
        <v>60</v>
      </c>
      <c r="B24" s="25" t="s">
        <v>61</v>
      </c>
      <c r="C24" s="25" t="s">
        <v>62</v>
      </c>
      <c r="D24" s="25" t="s">
        <v>32</v>
      </c>
      <c r="E24" s="25"/>
      <c r="F24" s="23"/>
      <c r="G24" s="25" t="s">
        <v>56</v>
      </c>
      <c r="H24" s="25" t="s">
        <v>35</v>
      </c>
      <c r="I24" s="25" t="s">
        <v>23</v>
      </c>
      <c r="J24" s="25" t="s">
        <v>24</v>
      </c>
      <c r="K24" s="27" t="s">
        <v>25</v>
      </c>
      <c r="L24" s="3" t="s">
        <v>63</v>
      </c>
      <c r="M24" s="3" t="s">
        <v>64</v>
      </c>
    </row>
    <row r="25" spans="1:13" ht="48.6" thickBot="1">
      <c r="A25" s="36"/>
      <c r="B25" s="26"/>
      <c r="C25" s="26"/>
      <c r="D25" s="26"/>
      <c r="E25" s="26"/>
      <c r="F25" s="24"/>
      <c r="G25" s="26"/>
      <c r="H25" s="26"/>
      <c r="I25" s="26"/>
      <c r="J25" s="26"/>
      <c r="K25" s="28"/>
      <c r="L25" s="3" t="s">
        <v>59</v>
      </c>
      <c r="M25" s="3" t="s">
        <v>28</v>
      </c>
    </row>
    <row r="26" spans="1:13" ht="6.6" customHeight="1" thickBot="1">
      <c r="A26" s="3"/>
      <c r="B26" s="3"/>
      <c r="C26" s="3"/>
      <c r="D26" s="3"/>
      <c r="E26" s="3"/>
      <c r="F26" s="4"/>
      <c r="G26" s="3"/>
      <c r="H26" s="3"/>
      <c r="I26" s="3"/>
      <c r="J26" s="3"/>
      <c r="K26" s="3"/>
      <c r="L26" s="3"/>
      <c r="M26" s="3"/>
    </row>
    <row r="27" spans="1:13" ht="24">
      <c r="A27" s="53" t="s">
        <v>65</v>
      </c>
      <c r="B27" s="45" t="s">
        <v>66</v>
      </c>
      <c r="C27" s="45" t="s">
        <v>67</v>
      </c>
      <c r="D27" s="45" t="s">
        <v>19</v>
      </c>
      <c r="E27" s="45"/>
      <c r="F27" s="49"/>
      <c r="G27" s="45" t="s">
        <v>56</v>
      </c>
      <c r="H27" s="45" t="s">
        <v>22</v>
      </c>
      <c r="I27" s="45" t="s">
        <v>23</v>
      </c>
      <c r="J27" s="45" t="s">
        <v>24</v>
      </c>
      <c r="K27" s="47" t="s">
        <v>25</v>
      </c>
      <c r="L27" s="3" t="s">
        <v>68</v>
      </c>
      <c r="M27" s="3" t="s">
        <v>69</v>
      </c>
    </row>
    <row r="28" spans="1:13" ht="48">
      <c r="A28" s="54"/>
      <c r="B28" s="46"/>
      <c r="C28" s="46"/>
      <c r="D28" s="46"/>
      <c r="E28" s="46"/>
      <c r="F28" s="50"/>
      <c r="G28" s="46"/>
      <c r="H28" s="46"/>
      <c r="I28" s="46"/>
      <c r="J28" s="46"/>
      <c r="K28" s="48"/>
      <c r="L28" s="3" t="s">
        <v>70</v>
      </c>
      <c r="M28" s="3" t="s">
        <v>28</v>
      </c>
    </row>
    <row r="29" spans="1:13" ht="24">
      <c r="A29" s="51" t="s">
        <v>71</v>
      </c>
      <c r="B29" s="41" t="s">
        <v>72</v>
      </c>
      <c r="C29" s="41" t="s">
        <v>73</v>
      </c>
      <c r="D29" s="41" t="s">
        <v>32</v>
      </c>
      <c r="E29" s="41"/>
      <c r="F29" s="39"/>
      <c r="G29" s="41" t="s">
        <v>56</v>
      </c>
      <c r="H29" s="41" t="s">
        <v>35</v>
      </c>
      <c r="I29" s="41" t="s">
        <v>23</v>
      </c>
      <c r="J29" s="41" t="s">
        <v>24</v>
      </c>
      <c r="K29" s="43" t="s">
        <v>25</v>
      </c>
      <c r="L29" s="3" t="s">
        <v>74</v>
      </c>
      <c r="M29" s="3" t="s">
        <v>75</v>
      </c>
    </row>
    <row r="30" spans="1:13" ht="48.6" thickBot="1">
      <c r="A30" s="52"/>
      <c r="B30" s="42"/>
      <c r="C30" s="42"/>
      <c r="D30" s="42"/>
      <c r="E30" s="42"/>
      <c r="F30" s="40"/>
      <c r="G30" s="42"/>
      <c r="H30" s="42"/>
      <c r="I30" s="42"/>
      <c r="J30" s="42"/>
      <c r="K30" s="44"/>
      <c r="L30" s="3" t="s">
        <v>70</v>
      </c>
      <c r="M30" s="3" t="s">
        <v>28</v>
      </c>
    </row>
    <row r="31" spans="1:13" ht="4.9000000000000004" customHeight="1" thickBot="1">
      <c r="A31" s="3"/>
      <c r="B31" s="3"/>
      <c r="C31" s="3"/>
      <c r="D31" s="3"/>
      <c r="E31" s="3"/>
      <c r="F31" s="4"/>
      <c r="G31" s="3"/>
      <c r="H31" s="3"/>
      <c r="I31" s="3"/>
      <c r="J31" s="3"/>
      <c r="K31" s="3"/>
      <c r="L31" s="3"/>
      <c r="M31" s="3"/>
    </row>
    <row r="32" spans="1:13" ht="24">
      <c r="A32" s="37" t="s">
        <v>76</v>
      </c>
      <c r="B32" s="29" t="s">
        <v>77</v>
      </c>
      <c r="C32" s="29" t="s">
        <v>78</v>
      </c>
      <c r="D32" s="29"/>
      <c r="E32" s="29"/>
      <c r="F32" s="33"/>
      <c r="G32" s="29" t="s">
        <v>56</v>
      </c>
      <c r="H32" s="29" t="s">
        <v>79</v>
      </c>
      <c r="I32" s="29" t="s">
        <v>80</v>
      </c>
      <c r="J32" s="29" t="s">
        <v>81</v>
      </c>
      <c r="K32" s="31" t="s">
        <v>82</v>
      </c>
      <c r="L32" s="3" t="s">
        <v>83</v>
      </c>
      <c r="M32" s="3" t="s">
        <v>84</v>
      </c>
    </row>
    <row r="33" spans="1:13" ht="48">
      <c r="A33" s="38"/>
      <c r="B33" s="30"/>
      <c r="C33" s="30"/>
      <c r="D33" s="30"/>
      <c r="E33" s="30"/>
      <c r="F33" s="34"/>
      <c r="G33" s="30"/>
      <c r="H33" s="30"/>
      <c r="I33" s="30"/>
      <c r="J33" s="30"/>
      <c r="K33" s="32"/>
      <c r="L33" s="3" t="s">
        <v>85</v>
      </c>
      <c r="M33" s="3" t="s">
        <v>28</v>
      </c>
    </row>
    <row r="34" spans="1:13" ht="24">
      <c r="A34" s="35" t="s">
        <v>86</v>
      </c>
      <c r="B34" s="25"/>
      <c r="C34" s="25"/>
      <c r="D34" s="25"/>
      <c r="E34" s="25"/>
      <c r="F34" s="23"/>
      <c r="G34" s="25"/>
      <c r="H34" s="25"/>
      <c r="I34" s="25" t="s">
        <v>80</v>
      </c>
      <c r="J34" s="25" t="s">
        <v>81</v>
      </c>
      <c r="K34" s="27" t="s">
        <v>82</v>
      </c>
      <c r="L34" s="3" t="s">
        <v>87</v>
      </c>
      <c r="M34" s="22"/>
    </row>
    <row r="35" spans="1:13" ht="48.6" thickBot="1">
      <c r="A35" s="36"/>
      <c r="B35" s="26"/>
      <c r="C35" s="26"/>
      <c r="D35" s="26"/>
      <c r="E35" s="26"/>
      <c r="F35" s="24"/>
      <c r="G35" s="26"/>
      <c r="H35" s="26"/>
      <c r="I35" s="26"/>
      <c r="J35" s="26"/>
      <c r="K35" s="28"/>
      <c r="L35" s="3" t="s">
        <v>88</v>
      </c>
      <c r="M35" s="22"/>
    </row>
  </sheetData>
  <mergeCells count="145">
    <mergeCell ref="G1:G4"/>
    <mergeCell ref="H1:H4"/>
    <mergeCell ref="I1:I4"/>
    <mergeCell ref="J1:J4"/>
    <mergeCell ref="K1:K4"/>
    <mergeCell ref="L1:L4"/>
    <mergeCell ref="A1:A4"/>
    <mergeCell ref="B1:B4"/>
    <mergeCell ref="C1:C4"/>
    <mergeCell ref="D1:D4"/>
    <mergeCell ref="E1:E4"/>
    <mergeCell ref="F1:F4"/>
    <mergeCell ref="A8:A9"/>
    <mergeCell ref="B8:B9"/>
    <mergeCell ref="C8:C9"/>
    <mergeCell ref="D8:D9"/>
    <mergeCell ref="E8:E9"/>
    <mergeCell ref="A6:A7"/>
    <mergeCell ref="B6:B7"/>
    <mergeCell ref="C6:C7"/>
    <mergeCell ref="D6:D7"/>
    <mergeCell ref="E6:E7"/>
    <mergeCell ref="F8:F9"/>
    <mergeCell ref="G8:G9"/>
    <mergeCell ref="H8:H9"/>
    <mergeCell ref="I8:I9"/>
    <mergeCell ref="J8:J9"/>
    <mergeCell ref="K8:K9"/>
    <mergeCell ref="G6:G7"/>
    <mergeCell ref="H6:H7"/>
    <mergeCell ref="I6:I7"/>
    <mergeCell ref="J6:J7"/>
    <mergeCell ref="K6:K7"/>
    <mergeCell ref="F6:F7"/>
    <mergeCell ref="A13:A14"/>
    <mergeCell ref="B13:B14"/>
    <mergeCell ref="C13:C14"/>
    <mergeCell ref="D13:D14"/>
    <mergeCell ref="E13:E14"/>
    <mergeCell ref="A11:A12"/>
    <mergeCell ref="B11:B12"/>
    <mergeCell ref="C11:C12"/>
    <mergeCell ref="D11:D12"/>
    <mergeCell ref="E11:E12"/>
    <mergeCell ref="F13:F14"/>
    <mergeCell ref="G13:G14"/>
    <mergeCell ref="H13:H14"/>
    <mergeCell ref="I13:I14"/>
    <mergeCell ref="J13:J14"/>
    <mergeCell ref="K13:K14"/>
    <mergeCell ref="G11:G12"/>
    <mergeCell ref="H11:H12"/>
    <mergeCell ref="I11:I12"/>
    <mergeCell ref="J11:J12"/>
    <mergeCell ref="K11:K12"/>
    <mergeCell ref="F11:F12"/>
    <mergeCell ref="A18:A19"/>
    <mergeCell ref="B18:B19"/>
    <mergeCell ref="C18:C19"/>
    <mergeCell ref="D18:D19"/>
    <mergeCell ref="E18:E19"/>
    <mergeCell ref="A16:A17"/>
    <mergeCell ref="B16:B17"/>
    <mergeCell ref="C16:C17"/>
    <mergeCell ref="D16:D17"/>
    <mergeCell ref="E16:E17"/>
    <mergeCell ref="F18:F19"/>
    <mergeCell ref="G18:G19"/>
    <mergeCell ref="H18:H19"/>
    <mergeCell ref="I18:I19"/>
    <mergeCell ref="J18:J19"/>
    <mergeCell ref="K18:K19"/>
    <mergeCell ref="G16:G17"/>
    <mergeCell ref="H16:H17"/>
    <mergeCell ref="I16:I17"/>
    <mergeCell ref="J16:J17"/>
    <mergeCell ref="K16:K17"/>
    <mergeCell ref="F16:F17"/>
    <mergeCell ref="A24:A25"/>
    <mergeCell ref="B24:B25"/>
    <mergeCell ref="C24:C25"/>
    <mergeCell ref="D24:D25"/>
    <mergeCell ref="E24:E25"/>
    <mergeCell ref="A22:A23"/>
    <mergeCell ref="B22:B23"/>
    <mergeCell ref="C22:C23"/>
    <mergeCell ref="D22:D23"/>
    <mergeCell ref="E22:E23"/>
    <mergeCell ref="F24:F25"/>
    <mergeCell ref="G24:G25"/>
    <mergeCell ref="H24:H25"/>
    <mergeCell ref="I24:I25"/>
    <mergeCell ref="J24:J25"/>
    <mergeCell ref="K24:K25"/>
    <mergeCell ref="G22:G23"/>
    <mergeCell ref="H22:H23"/>
    <mergeCell ref="I22:I23"/>
    <mergeCell ref="J22:J23"/>
    <mergeCell ref="K22:K23"/>
    <mergeCell ref="F22:F23"/>
    <mergeCell ref="A29:A30"/>
    <mergeCell ref="B29:B30"/>
    <mergeCell ref="C29:C30"/>
    <mergeCell ref="D29:D30"/>
    <mergeCell ref="E29:E30"/>
    <mergeCell ref="A27:A28"/>
    <mergeCell ref="B27:B28"/>
    <mergeCell ref="C27:C28"/>
    <mergeCell ref="D27:D28"/>
    <mergeCell ref="E27:E28"/>
    <mergeCell ref="F29:F30"/>
    <mergeCell ref="G29:G30"/>
    <mergeCell ref="H29:H30"/>
    <mergeCell ref="I29:I30"/>
    <mergeCell ref="J29:J30"/>
    <mergeCell ref="K29:K30"/>
    <mergeCell ref="G27:G28"/>
    <mergeCell ref="H27:H28"/>
    <mergeCell ref="I27:I28"/>
    <mergeCell ref="J27:J28"/>
    <mergeCell ref="K27:K28"/>
    <mergeCell ref="F27:F28"/>
    <mergeCell ref="A34:A35"/>
    <mergeCell ref="B34:B35"/>
    <mergeCell ref="C34:C35"/>
    <mergeCell ref="D34:D35"/>
    <mergeCell ref="E34:E35"/>
    <mergeCell ref="A32:A33"/>
    <mergeCell ref="B32:B33"/>
    <mergeCell ref="C32:C33"/>
    <mergeCell ref="D32:D33"/>
    <mergeCell ref="E32:E33"/>
    <mergeCell ref="M34:M35"/>
    <mergeCell ref="F34:F35"/>
    <mergeCell ref="G34:G35"/>
    <mergeCell ref="H34:H35"/>
    <mergeCell ref="I34:I35"/>
    <mergeCell ref="J34:J35"/>
    <mergeCell ref="K34:K35"/>
    <mergeCell ref="G32:G33"/>
    <mergeCell ref="H32:H33"/>
    <mergeCell ref="I32:I33"/>
    <mergeCell ref="J32:J33"/>
    <mergeCell ref="K32:K33"/>
    <mergeCell ref="F32:F3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
  <sheetViews>
    <sheetView zoomScale="136" zoomScaleNormal="136" workbookViewId="0">
      <pane xSplit="2" ySplit="1" topLeftCell="H6" activePane="bottomRight" state="frozen"/>
      <selection pane="bottomRight" activeCell="K14" sqref="K14"/>
      <selection pane="bottomLeft" activeCell="A2" sqref="A2"/>
      <selection pane="topRight" activeCell="C1" sqref="C1"/>
    </sheetView>
  </sheetViews>
  <sheetFormatPr defaultColWidth="8.85546875" defaultRowHeight="11.45"/>
  <cols>
    <col min="1" max="1" width="3.28515625" style="8" bestFit="1" customWidth="1"/>
    <col min="2" max="2" width="34.28515625" style="8" bestFit="1" customWidth="1"/>
    <col min="3" max="3" width="57.42578125" style="8" bestFit="1" customWidth="1"/>
    <col min="4" max="4" width="57.42578125" style="8" customWidth="1"/>
    <col min="5" max="6" width="19.85546875" style="8" customWidth="1"/>
    <col min="7" max="7" width="64.85546875" style="8" customWidth="1"/>
    <col min="8" max="8" width="19.85546875" style="8" customWidth="1"/>
    <col min="9" max="9" width="31.42578125" style="8" bestFit="1" customWidth="1"/>
    <col min="10" max="10" width="16.28515625" style="8" bestFit="1" customWidth="1"/>
    <col min="11" max="11" width="11.28515625" style="8" bestFit="1" customWidth="1"/>
    <col min="12" max="16384" width="8.85546875" style="8"/>
  </cols>
  <sheetData>
    <row r="1" spans="1:11">
      <c r="A1" s="18" t="s">
        <v>89</v>
      </c>
      <c r="B1" s="18" t="s">
        <v>90</v>
      </c>
      <c r="C1" s="18" t="s">
        <v>91</v>
      </c>
      <c r="D1" s="18" t="s">
        <v>92</v>
      </c>
      <c r="E1" s="18" t="s">
        <v>93</v>
      </c>
      <c r="F1" s="18" t="s">
        <v>94</v>
      </c>
      <c r="G1" s="19" t="s">
        <v>95</v>
      </c>
      <c r="H1" s="18" t="s">
        <v>96</v>
      </c>
      <c r="I1" s="18" t="s">
        <v>10</v>
      </c>
      <c r="J1" s="18" t="s">
        <v>97</v>
      </c>
      <c r="K1" s="18" t="s">
        <v>98</v>
      </c>
    </row>
    <row r="2" spans="1:11" ht="409.6">
      <c r="A2" s="17">
        <v>1</v>
      </c>
      <c r="B2" s="8" t="s">
        <v>99</v>
      </c>
      <c r="C2" s="16" t="s">
        <v>100</v>
      </c>
      <c r="D2" s="16" t="s">
        <v>101</v>
      </c>
      <c r="E2" s="16" t="s">
        <v>102</v>
      </c>
      <c r="F2" s="16" t="s">
        <v>99</v>
      </c>
      <c r="G2" s="16" t="s">
        <v>103</v>
      </c>
      <c r="H2" s="16" t="s">
        <v>104</v>
      </c>
      <c r="I2" s="8" t="s">
        <v>105</v>
      </c>
      <c r="K2" s="8" t="s">
        <v>34</v>
      </c>
    </row>
    <row r="3" spans="1:11" ht="307.89999999999998">
      <c r="A3" s="17">
        <v>2</v>
      </c>
      <c r="B3" s="8" t="s">
        <v>106</v>
      </c>
      <c r="C3" s="16" t="s">
        <v>107</v>
      </c>
      <c r="D3" s="16" t="s">
        <v>108</v>
      </c>
      <c r="E3" s="16" t="s">
        <v>109</v>
      </c>
      <c r="F3" s="16" t="s">
        <v>110</v>
      </c>
      <c r="G3" s="16" t="s">
        <v>111</v>
      </c>
      <c r="H3" s="16"/>
    </row>
    <row r="4" spans="1:11" ht="250.9">
      <c r="A4" s="17">
        <v>3</v>
      </c>
      <c r="B4" s="8" t="s">
        <v>12</v>
      </c>
      <c r="C4" s="8" t="s">
        <v>112</v>
      </c>
      <c r="D4" s="16" t="s">
        <v>113</v>
      </c>
      <c r="E4" s="16" t="s">
        <v>114</v>
      </c>
      <c r="F4" s="16" t="s">
        <v>115</v>
      </c>
      <c r="G4" s="16" t="s">
        <v>116</v>
      </c>
      <c r="I4" s="8" t="s">
        <v>117</v>
      </c>
    </row>
    <row r="5" spans="1:11" ht="409.6">
      <c r="A5" s="17">
        <v>4</v>
      </c>
      <c r="B5" s="8" t="s">
        <v>118</v>
      </c>
      <c r="C5" s="8" t="s">
        <v>119</v>
      </c>
      <c r="E5" s="16" t="s">
        <v>120</v>
      </c>
      <c r="F5" s="16"/>
      <c r="G5" s="16" t="s">
        <v>121</v>
      </c>
      <c r="I5" s="8" t="s">
        <v>117</v>
      </c>
    </row>
    <row r="6" spans="1:11" ht="22.9">
      <c r="A6" s="17">
        <v>5</v>
      </c>
      <c r="B6" s="8" t="s">
        <v>122</v>
      </c>
      <c r="C6" s="8" t="s">
        <v>123</v>
      </c>
      <c r="E6" s="16" t="s">
        <v>124</v>
      </c>
      <c r="F6" s="16"/>
      <c r="G6" s="16" t="s">
        <v>125</v>
      </c>
      <c r="I6" s="8" t="s">
        <v>117</v>
      </c>
    </row>
    <row r="7" spans="1:11" ht="57">
      <c r="A7" s="17">
        <v>6</v>
      </c>
      <c r="B7" s="8" t="s">
        <v>126</v>
      </c>
      <c r="C7" s="8" t="s">
        <v>127</v>
      </c>
      <c r="E7" s="16" t="s">
        <v>128</v>
      </c>
      <c r="F7" s="16"/>
      <c r="G7" s="16" t="s">
        <v>129</v>
      </c>
      <c r="I7" s="8" t="s">
        <v>117</v>
      </c>
    </row>
    <row r="8" spans="1:11" ht="34.15">
      <c r="A8" s="17">
        <v>7</v>
      </c>
      <c r="B8" s="8" t="s">
        <v>130</v>
      </c>
      <c r="C8" s="8" t="s">
        <v>131</v>
      </c>
      <c r="E8" s="16" t="s">
        <v>132</v>
      </c>
      <c r="F8" s="16"/>
      <c r="G8" s="16" t="s">
        <v>133</v>
      </c>
      <c r="I8" s="8" t="s">
        <v>117</v>
      </c>
    </row>
    <row r="9" spans="1:11" ht="22.9">
      <c r="A9" s="17">
        <v>8</v>
      </c>
      <c r="B9" s="8" t="s">
        <v>134</v>
      </c>
      <c r="C9" s="8" t="s">
        <v>135</v>
      </c>
      <c r="E9" s="16" t="s">
        <v>136</v>
      </c>
      <c r="F9" s="16"/>
      <c r="G9" s="16" t="s">
        <v>137</v>
      </c>
      <c r="I9" s="8" t="s">
        <v>117</v>
      </c>
    </row>
    <row r="10" spans="1:11" ht="68.45">
      <c r="A10" s="8">
        <v>9</v>
      </c>
      <c r="B10" s="8" t="s">
        <v>138</v>
      </c>
      <c r="C10" s="8" t="s">
        <v>139</v>
      </c>
      <c r="E10" s="16" t="s">
        <v>140</v>
      </c>
      <c r="F10" s="16"/>
      <c r="G10" s="16" t="s">
        <v>141</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89"/>
  <sheetViews>
    <sheetView workbookViewId="0"/>
  </sheetViews>
  <sheetFormatPr defaultRowHeight="14.45"/>
  <cols>
    <col min="1" max="1" width="60.5703125" customWidth="1"/>
    <col min="2" max="2" width="85.7109375" bestFit="1" customWidth="1"/>
    <col min="3" max="3" width="30.42578125" bestFit="1" customWidth="1"/>
    <col min="4" max="4" width="39.140625" bestFit="1" customWidth="1"/>
    <col min="5" max="5" width="39.140625" customWidth="1"/>
    <col min="6" max="6" width="29" bestFit="1" customWidth="1"/>
    <col min="7" max="7" width="28.5703125" bestFit="1" customWidth="1"/>
    <col min="8" max="8" width="29" bestFit="1" customWidth="1"/>
    <col min="9" max="9" width="19.28515625" bestFit="1" customWidth="1"/>
  </cols>
  <sheetData>
    <row r="1" spans="1:7">
      <c r="A1" s="20" t="s">
        <v>142</v>
      </c>
    </row>
    <row r="2" spans="1:7">
      <c r="A2" t="s">
        <v>143</v>
      </c>
      <c r="B2" t="s">
        <v>144</v>
      </c>
      <c r="C2" t="s">
        <v>145</v>
      </c>
      <c r="D2" t="s">
        <v>146</v>
      </c>
      <c r="E2" t="s">
        <v>147</v>
      </c>
      <c r="F2" t="s">
        <v>148</v>
      </c>
      <c r="G2" t="s">
        <v>10</v>
      </c>
    </row>
    <row r="3" spans="1:7">
      <c r="A3" t="s">
        <v>149</v>
      </c>
      <c r="B3">
        <v>3</v>
      </c>
      <c r="C3">
        <v>33</v>
      </c>
      <c r="D3">
        <f>C3*7</f>
        <v>231</v>
      </c>
      <c r="E3" t="s">
        <v>150</v>
      </c>
      <c r="F3">
        <f>IF(E3="Weekly",7,IF("monthly"=30,IF("Quarterly",90,IF("yearly",360))))</f>
        <v>7</v>
      </c>
      <c r="G3" t="s">
        <v>151</v>
      </c>
    </row>
    <row r="4" spans="1:7">
      <c r="A4" t="s">
        <v>152</v>
      </c>
      <c r="B4">
        <v>1.5</v>
      </c>
      <c r="C4">
        <v>26</v>
      </c>
      <c r="D4">
        <f>C4*7</f>
        <v>182</v>
      </c>
      <c r="E4" t="s">
        <v>153</v>
      </c>
      <c r="F4" t="str">
        <f>IF(E4="Weekly",7,IF(E4="monthly","30",IF(E4="Quarterly","90",IF(E4="yearly","360"))))</f>
        <v>30</v>
      </c>
      <c r="G4" t="s">
        <v>151</v>
      </c>
    </row>
    <row r="5" spans="1:7">
      <c r="A5" t="s">
        <v>154</v>
      </c>
      <c r="B5">
        <v>3</v>
      </c>
      <c r="C5">
        <v>33</v>
      </c>
      <c r="D5">
        <f>C5*7</f>
        <v>231</v>
      </c>
      <c r="E5" t="s">
        <v>155</v>
      </c>
      <c r="F5" t="str">
        <f>IF(E5="Weekly",7,IF(E5="monthly","30",IF(E5="Quarterly","90",IF(E5="yearly","360"))))</f>
        <v>360</v>
      </c>
      <c r="G5" t="s">
        <v>151</v>
      </c>
    </row>
    <row r="6" spans="1:7">
      <c r="A6" t="s">
        <v>156</v>
      </c>
      <c r="B6">
        <v>1.5</v>
      </c>
      <c r="C6">
        <v>26</v>
      </c>
      <c r="D6">
        <f>C6*7</f>
        <v>182</v>
      </c>
      <c r="E6" t="s">
        <v>157</v>
      </c>
      <c r="F6" t="str">
        <f>IF(E6="Weekly",7,IF(E6="monthly","30",IF(E6="Quarterly","90",IF(E6="yearly","360"))))</f>
        <v>90</v>
      </c>
      <c r="G6" t="s">
        <v>151</v>
      </c>
    </row>
    <row r="12" spans="1:7">
      <c r="A12" t="s">
        <v>158</v>
      </c>
    </row>
    <row r="14" spans="1:7">
      <c r="A14" t="s">
        <v>159</v>
      </c>
    </row>
    <row r="17" spans="1:5" ht="57.6">
      <c r="A17" s="7" t="s">
        <v>160</v>
      </c>
      <c r="B17" s="6"/>
      <c r="C17" s="6"/>
      <c r="D17" s="6"/>
      <c r="E17" s="6"/>
    </row>
    <row r="19" spans="1:5">
      <c r="A19" t="s">
        <v>161</v>
      </c>
      <c r="B19" t="s">
        <v>162</v>
      </c>
    </row>
    <row r="21" spans="1:5">
      <c r="A21" t="s">
        <v>163</v>
      </c>
    </row>
    <row r="22" spans="1:5">
      <c r="A22" t="s">
        <v>164</v>
      </c>
    </row>
    <row r="23" spans="1:5">
      <c r="A23" t="s">
        <v>165</v>
      </c>
    </row>
    <row r="24" spans="1:5">
      <c r="A24" t="s">
        <v>166</v>
      </c>
    </row>
    <row r="25" spans="1:5">
      <c r="A25" t="s">
        <v>167</v>
      </c>
    </row>
    <row r="26" spans="1:5">
      <c r="A26" t="s">
        <v>168</v>
      </c>
    </row>
    <row r="27" spans="1:5">
      <c r="A27" t="s">
        <v>169</v>
      </c>
    </row>
    <row r="29" spans="1:5">
      <c r="A29" t="s">
        <v>170</v>
      </c>
    </row>
    <row r="30" spans="1:5">
      <c r="A30" t="s">
        <v>171</v>
      </c>
    </row>
    <row r="31" spans="1:5" ht="158.44999999999999">
      <c r="A31" s="5" t="s">
        <v>172</v>
      </c>
      <c r="B31" t="s">
        <v>173</v>
      </c>
      <c r="C31" s="5" t="s">
        <v>174</v>
      </c>
    </row>
    <row r="33" spans="1:2">
      <c r="A33" t="s">
        <v>175</v>
      </c>
    </row>
    <row r="35" spans="1:2">
      <c r="A35" t="s">
        <v>176</v>
      </c>
    </row>
    <row r="40" spans="1:2">
      <c r="A40" t="s">
        <v>177</v>
      </c>
    </row>
    <row r="41" spans="1:2" ht="57.6" customHeight="1">
      <c r="A41" s="59" t="s">
        <v>178</v>
      </c>
      <c r="B41" s="59"/>
    </row>
    <row r="42" spans="1:2">
      <c r="A42" t="s">
        <v>179</v>
      </c>
    </row>
    <row r="43" spans="1:2">
      <c r="A43" t="s">
        <v>180</v>
      </c>
      <c r="B43" s="21">
        <v>45935</v>
      </c>
    </row>
    <row r="44" spans="1:2">
      <c r="A44" t="s">
        <v>181</v>
      </c>
      <c r="B44">
        <v>3000</v>
      </c>
    </row>
    <row r="45" spans="1:2">
      <c r="A45" t="s">
        <v>182</v>
      </c>
      <c r="B45">
        <f>B47/7</f>
        <v>45.857142857142854</v>
      </c>
    </row>
    <row r="46" spans="1:2">
      <c r="A46" t="s">
        <v>183</v>
      </c>
      <c r="B46" s="21">
        <v>46256</v>
      </c>
    </row>
    <row r="47" spans="1:2">
      <c r="A47" t="s">
        <v>184</v>
      </c>
      <c r="B47">
        <f>B46-B43</f>
        <v>321</v>
      </c>
    </row>
    <row r="48" spans="1:2">
      <c r="A48" t="s">
        <v>185</v>
      </c>
      <c r="B48">
        <v>231</v>
      </c>
    </row>
    <row r="49" spans="1:5">
      <c r="A49" t="s">
        <v>186</v>
      </c>
      <c r="B49">
        <v>30</v>
      </c>
    </row>
    <row r="50" spans="1:5">
      <c r="A50" t="s">
        <v>187</v>
      </c>
      <c r="B50">
        <v>60</v>
      </c>
      <c r="C50" t="s">
        <v>188</v>
      </c>
    </row>
    <row r="51" spans="1:5">
      <c r="A51" t="s">
        <v>189</v>
      </c>
      <c r="B51">
        <f>B47-B48</f>
        <v>90</v>
      </c>
      <c r="C51" t="s">
        <v>188</v>
      </c>
    </row>
    <row r="52" spans="1:5">
      <c r="A52" s="20" t="s">
        <v>190</v>
      </c>
      <c r="B52" s="20">
        <f>B51-B50</f>
        <v>30</v>
      </c>
    </row>
    <row r="53" spans="1:5">
      <c r="A53" t="s">
        <v>191</v>
      </c>
      <c r="B53">
        <v>3</v>
      </c>
    </row>
    <row r="54" spans="1:5">
      <c r="A54" t="s">
        <v>192</v>
      </c>
      <c r="B54" s="21">
        <f>B43+1095</f>
        <v>47030</v>
      </c>
      <c r="D54">
        <v>3</v>
      </c>
      <c r="E54">
        <f>D54*365</f>
        <v>1095</v>
      </c>
    </row>
    <row r="55" spans="1:5">
      <c r="A55" t="s">
        <v>193</v>
      </c>
      <c r="B55">
        <f>B54-B43</f>
        <v>1095</v>
      </c>
    </row>
    <row r="56" spans="1:5">
      <c r="A56" t="s">
        <v>194</v>
      </c>
      <c r="B56">
        <f>B55-B48</f>
        <v>864</v>
      </c>
    </row>
    <row r="57" spans="1:5">
      <c r="A57" t="s">
        <v>195</v>
      </c>
      <c r="B57">
        <f>B56-B50</f>
        <v>804</v>
      </c>
    </row>
    <row r="58" spans="1:5">
      <c r="A58" t="s">
        <v>4</v>
      </c>
      <c r="B58">
        <v>307.5</v>
      </c>
      <c r="C58" t="s">
        <v>196</v>
      </c>
    </row>
    <row r="61" spans="1:5">
      <c r="A61" t="s">
        <v>197</v>
      </c>
    </row>
    <row r="62" spans="1:5">
      <c r="A62" t="s">
        <v>198</v>
      </c>
      <c r="B62">
        <f>B44-(B44-B58*B49/B56)</f>
        <v>10.677083333333485</v>
      </c>
    </row>
    <row r="64" spans="1:5">
      <c r="A64" t="s">
        <v>199</v>
      </c>
      <c r="B64">
        <f>B44-(B44-B58*30/B56)</f>
        <v>10.677083333333485</v>
      </c>
    </row>
    <row r="66" spans="1:11">
      <c r="B66" t="s">
        <v>200</v>
      </c>
    </row>
    <row r="68" spans="1:11">
      <c r="A68" s="20" t="s">
        <v>201</v>
      </c>
    </row>
    <row r="69" spans="1:11">
      <c r="A69" t="s">
        <v>143</v>
      </c>
      <c r="B69" t="s">
        <v>144</v>
      </c>
      <c r="C69" t="s">
        <v>145</v>
      </c>
      <c r="D69" t="s">
        <v>146</v>
      </c>
      <c r="E69" t="s">
        <v>147</v>
      </c>
      <c r="F69" t="s">
        <v>148</v>
      </c>
      <c r="G69" t="s">
        <v>10</v>
      </c>
      <c r="H69" t="s">
        <v>202</v>
      </c>
      <c r="I69" t="s">
        <v>203</v>
      </c>
      <c r="J69" t="s">
        <v>204</v>
      </c>
      <c r="K69" t="s">
        <v>56</v>
      </c>
    </row>
    <row r="70" spans="1:11">
      <c r="A70" t="s">
        <v>205</v>
      </c>
      <c r="B70">
        <v>3</v>
      </c>
      <c r="C70">
        <v>33</v>
      </c>
      <c r="D70">
        <f>C70*7</f>
        <v>231</v>
      </c>
      <c r="E70" t="s">
        <v>153</v>
      </c>
      <c r="F70" t="str">
        <f>IF(E70="Weekly",7,IF(E70="monthly","30",IF(E70="Quarterly","90",IF(E70="yearly","360"))))</f>
        <v>30</v>
      </c>
      <c r="G70" t="s">
        <v>151</v>
      </c>
      <c r="H70" t="s">
        <v>33</v>
      </c>
      <c r="I70">
        <v>150</v>
      </c>
      <c r="J70">
        <v>2.0499999999999998</v>
      </c>
      <c r="K70">
        <f t="shared" ref="K70:K75" si="0">J70*I70</f>
        <v>307.5</v>
      </c>
    </row>
    <row r="71" spans="1:11">
      <c r="A71" t="s">
        <v>206</v>
      </c>
      <c r="B71">
        <v>1.5</v>
      </c>
      <c r="C71">
        <v>26</v>
      </c>
      <c r="D71">
        <f>C71*7</f>
        <v>182</v>
      </c>
      <c r="E71" t="s">
        <v>153</v>
      </c>
      <c r="F71" t="str">
        <f>IF(E71="Weekly",7,IF(E71="monthly","30",IF(E71="Quarterly","90",IF(E71="yearly","360"))))</f>
        <v>30</v>
      </c>
      <c r="G71" t="s">
        <v>151</v>
      </c>
      <c r="H71" t="s">
        <v>33</v>
      </c>
      <c r="I71">
        <v>150</v>
      </c>
      <c r="J71">
        <v>2.0499999999999998</v>
      </c>
      <c r="K71">
        <f t="shared" si="0"/>
        <v>307.5</v>
      </c>
    </row>
    <row r="72" spans="1:11">
      <c r="A72" t="s">
        <v>207</v>
      </c>
      <c r="B72">
        <v>3</v>
      </c>
      <c r="C72">
        <v>33</v>
      </c>
      <c r="D72">
        <f>C72*7</f>
        <v>231</v>
      </c>
      <c r="E72" t="s">
        <v>153</v>
      </c>
      <c r="F72" t="str">
        <f>IF(E72="Weekly",7,IF(E72="monthly","30",IF(E72="Quarterly","90",IF(E72="yearly","360"))))</f>
        <v>30</v>
      </c>
      <c r="G72" t="s">
        <v>151</v>
      </c>
      <c r="H72" t="s">
        <v>33</v>
      </c>
      <c r="I72">
        <v>150</v>
      </c>
      <c r="J72">
        <v>2.0499999999999998</v>
      </c>
      <c r="K72">
        <f t="shared" si="0"/>
        <v>307.5</v>
      </c>
    </row>
    <row r="73" spans="1:11">
      <c r="A73" t="s">
        <v>208</v>
      </c>
      <c r="B73">
        <v>1.5</v>
      </c>
      <c r="C73">
        <v>26</v>
      </c>
      <c r="D73">
        <f>C73*7</f>
        <v>182</v>
      </c>
      <c r="E73" t="s">
        <v>209</v>
      </c>
      <c r="F73" t="str">
        <f>IF(E73="Weekly",7,IF(E73="monthly","30",IF(E73="Quarterly","90",IF(E73="yearly","360"))))</f>
        <v>30</v>
      </c>
      <c r="G73" t="s">
        <v>151</v>
      </c>
      <c r="H73" t="s">
        <v>33</v>
      </c>
      <c r="I73">
        <v>150</v>
      </c>
      <c r="J73">
        <v>2.0499999999999998</v>
      </c>
      <c r="K73">
        <f t="shared" si="0"/>
        <v>307.5</v>
      </c>
    </row>
    <row r="74" spans="1:11">
      <c r="A74" t="s">
        <v>210</v>
      </c>
      <c r="C74">
        <v>18</v>
      </c>
      <c r="D74">
        <f>C74*7</f>
        <v>126</v>
      </c>
      <c r="E74" t="s">
        <v>209</v>
      </c>
      <c r="F74">
        <v>30</v>
      </c>
      <c r="G74" t="s">
        <v>211</v>
      </c>
      <c r="H74" t="s">
        <v>20</v>
      </c>
      <c r="I74">
        <v>60</v>
      </c>
      <c r="J74">
        <v>2.0499999999999998</v>
      </c>
      <c r="K74">
        <f t="shared" si="0"/>
        <v>122.99999999999999</v>
      </c>
    </row>
    <row r="75" spans="1:11">
      <c r="F75">
        <v>30</v>
      </c>
      <c r="G75" t="s">
        <v>211</v>
      </c>
      <c r="H75" t="s">
        <v>20</v>
      </c>
      <c r="I75">
        <v>150</v>
      </c>
      <c r="J75">
        <v>2.0499999999999998</v>
      </c>
      <c r="K75">
        <f t="shared" si="0"/>
        <v>307.5</v>
      </c>
    </row>
    <row r="79" spans="1:11">
      <c r="A79" t="s">
        <v>212</v>
      </c>
    </row>
    <row r="81" spans="1:3">
      <c r="A81" t="s">
        <v>213</v>
      </c>
    </row>
    <row r="85" spans="1:3">
      <c r="A85" t="s">
        <v>170</v>
      </c>
    </row>
    <row r="86" spans="1:3">
      <c r="A86" t="s">
        <v>214</v>
      </c>
    </row>
    <row r="87" spans="1:3" ht="129.6">
      <c r="A87" s="5" t="s">
        <v>215</v>
      </c>
      <c r="B87" t="s">
        <v>173</v>
      </c>
      <c r="C87" s="5" t="s">
        <v>216</v>
      </c>
    </row>
    <row r="89" spans="1:3">
      <c r="A89" t="s">
        <v>217</v>
      </c>
    </row>
  </sheetData>
  <mergeCells count="1">
    <mergeCell ref="A41:B4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7"/>
  <sheetViews>
    <sheetView workbookViewId="0"/>
  </sheetViews>
  <sheetFormatPr defaultRowHeight="14.45"/>
  <cols>
    <col min="1" max="1" width="10.5703125" bestFit="1" customWidth="1"/>
    <col min="2" max="2" width="13.5703125" bestFit="1" customWidth="1"/>
    <col min="3" max="3" width="43.28515625" bestFit="1" customWidth="1"/>
    <col min="4" max="4" width="5.7109375" bestFit="1" customWidth="1"/>
    <col min="5" max="5" width="6.7109375" bestFit="1" customWidth="1"/>
    <col min="6" max="6" width="43.28515625" bestFit="1" customWidth="1"/>
    <col min="7" max="7" width="16" bestFit="1" customWidth="1"/>
    <col min="8" max="8" width="9.28515625" bestFit="1" customWidth="1"/>
    <col min="9" max="9" width="9" bestFit="1" customWidth="1"/>
    <col min="10" max="10" width="10.7109375" bestFit="1" customWidth="1"/>
    <col min="11" max="11" width="20.42578125" bestFit="1" customWidth="1"/>
    <col min="12" max="12" width="9.7109375" bestFit="1" customWidth="1"/>
    <col min="13" max="13" width="12" bestFit="1" customWidth="1"/>
    <col min="14" max="14" width="8.140625" bestFit="1" customWidth="1"/>
    <col min="15" max="15" width="12" bestFit="1" customWidth="1"/>
    <col min="16" max="16" width="9.5703125" bestFit="1" customWidth="1"/>
    <col min="17" max="17" width="10.28515625" bestFit="1" customWidth="1"/>
    <col min="18" max="18" width="13.7109375" bestFit="1" customWidth="1"/>
    <col min="19" max="19" width="11.28515625" bestFit="1" customWidth="1"/>
    <col min="20" max="20" width="21.85546875" bestFit="1" customWidth="1"/>
    <col min="21" max="21" width="11.85546875" bestFit="1" customWidth="1"/>
    <col min="22" max="22" width="17.42578125" bestFit="1" customWidth="1"/>
    <col min="23" max="23" width="14.28515625" bestFit="1" customWidth="1"/>
    <col min="24" max="24" width="10.42578125" bestFit="1" customWidth="1"/>
    <col min="25" max="25" width="19.140625" bestFit="1" customWidth="1"/>
    <col min="26" max="26" width="17.7109375" bestFit="1" customWidth="1"/>
    <col min="27" max="27" width="19.7109375" bestFit="1" customWidth="1"/>
    <col min="28" max="28" width="13.28515625" bestFit="1" customWidth="1"/>
    <col min="29" max="29" width="13.7109375" bestFit="1" customWidth="1"/>
    <col min="30" max="30" width="12.42578125" bestFit="1" customWidth="1"/>
    <col min="31" max="31" width="17.42578125" bestFit="1" customWidth="1"/>
    <col min="32" max="32" width="21.5703125" bestFit="1" customWidth="1"/>
    <col min="33" max="33" width="16" bestFit="1" customWidth="1"/>
    <col min="34" max="34" width="5.7109375" bestFit="1" customWidth="1"/>
    <col min="35" max="35" width="11.7109375" bestFit="1" customWidth="1"/>
    <col min="36" max="36" width="11.85546875" bestFit="1" customWidth="1"/>
    <col min="37" max="37" width="13.140625" bestFit="1" customWidth="1"/>
    <col min="38" max="38" width="4.140625" bestFit="1" customWidth="1"/>
    <col min="39" max="39" width="8.7109375" bestFit="1" customWidth="1"/>
    <col min="40" max="40" width="15.5703125" bestFit="1" customWidth="1"/>
  </cols>
  <sheetData>
    <row r="1" spans="1:40">
      <c r="A1" s="9" t="s">
        <v>218</v>
      </c>
      <c r="B1" s="9" t="s">
        <v>219</v>
      </c>
      <c r="C1" s="10" t="s">
        <v>220</v>
      </c>
      <c r="D1" s="11" t="s">
        <v>221</v>
      </c>
      <c r="E1" s="10" t="s">
        <v>222</v>
      </c>
      <c r="F1" s="12" t="s">
        <v>180</v>
      </c>
      <c r="G1" s="9" t="s">
        <v>223</v>
      </c>
      <c r="H1" s="12" t="s">
        <v>224</v>
      </c>
      <c r="I1" s="10" t="s">
        <v>225</v>
      </c>
      <c r="J1" s="11" t="s">
        <v>226</v>
      </c>
      <c r="K1" s="11" t="s">
        <v>227</v>
      </c>
      <c r="L1" s="11" t="s">
        <v>228</v>
      </c>
      <c r="M1" s="11" t="s">
        <v>229</v>
      </c>
      <c r="N1" s="12" t="s">
        <v>230</v>
      </c>
      <c r="O1" s="10" t="s">
        <v>231</v>
      </c>
      <c r="P1" s="11" t="s">
        <v>232</v>
      </c>
      <c r="Q1" s="11" t="s">
        <v>233</v>
      </c>
      <c r="R1" s="12" t="s">
        <v>234</v>
      </c>
      <c r="S1" s="10" t="s">
        <v>235</v>
      </c>
      <c r="T1" s="13" t="s">
        <v>236</v>
      </c>
      <c r="U1" s="10" t="s">
        <v>237</v>
      </c>
      <c r="V1" s="11" t="s">
        <v>238</v>
      </c>
      <c r="W1" s="11" t="s">
        <v>239</v>
      </c>
      <c r="X1" s="9" t="s">
        <v>240</v>
      </c>
      <c r="Y1" s="9" t="s">
        <v>241</v>
      </c>
      <c r="Z1" s="9" t="s">
        <v>242</v>
      </c>
      <c r="AA1" s="9" t="s">
        <v>243</v>
      </c>
      <c r="AB1" s="9" t="s">
        <v>244</v>
      </c>
      <c r="AC1" s="9" t="s">
        <v>245</v>
      </c>
      <c r="AD1" s="13" t="s">
        <v>4</v>
      </c>
      <c r="AE1" s="9" t="s">
        <v>246</v>
      </c>
      <c r="AF1" s="12" t="s">
        <v>247</v>
      </c>
      <c r="AG1" s="9" t="s">
        <v>248</v>
      </c>
      <c r="AH1" s="12" t="s">
        <v>249</v>
      </c>
      <c r="AI1" s="10" t="s">
        <v>250</v>
      </c>
      <c r="AJ1" s="12" t="s">
        <v>251</v>
      </c>
      <c r="AK1" s="14" t="s">
        <v>252</v>
      </c>
      <c r="AL1" s="14" t="s">
        <v>253</v>
      </c>
      <c r="AM1" s="15" t="s">
        <v>254</v>
      </c>
      <c r="AN1" s="15" t="s">
        <v>255</v>
      </c>
    </row>
    <row r="5" spans="1:40">
      <c r="C5" t="s">
        <v>256</v>
      </c>
      <c r="F5" t="s">
        <v>257</v>
      </c>
    </row>
    <row r="7" spans="1:40">
      <c r="C7" t="s">
        <v>258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556EAEE72D7747B3D0355DABB429F3" ma:contentTypeVersion="5" ma:contentTypeDescription="Create a new document." ma:contentTypeScope="" ma:versionID="510511ce609cd22d073012b858703f23">
  <xsd:schema xmlns:xsd="http://www.w3.org/2001/XMLSchema" xmlns:xs="http://www.w3.org/2001/XMLSchema" xmlns:p="http://schemas.microsoft.com/office/2006/metadata/properties" xmlns:ns2="7146d502-05f5-4fb7-b414-24f33b760985" targetNamespace="http://schemas.microsoft.com/office/2006/metadata/properties" ma:root="true" ma:fieldsID="dff61d6fb0c51ac950ba6c8675b4ac1a" ns2:_="">
    <xsd:import namespace="7146d502-05f5-4fb7-b414-24f33b76098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Review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46d502-05f5-4fb7-b414-24f33b7609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ReviewBy" ma:index="11" nillable="true" ma:displayName="Review By" ma:format="Dropdown" ma:list="UserInfo" ma:SharePointGroup="0" ma:internalName="Review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viewBy xmlns="7146d502-05f5-4fb7-b414-24f33b760985">
      <UserInfo>
        <DisplayName/>
        <AccountId xsi:nil="true"/>
        <AccountType/>
      </UserInfo>
    </ReviewBy>
  </documentManagement>
</p:properties>
</file>

<file path=customXml/itemProps1.xml><?xml version="1.0" encoding="utf-8"?>
<ds:datastoreItem xmlns:ds="http://schemas.openxmlformats.org/officeDocument/2006/customXml" ds:itemID="{D8DFB59F-0016-48F9-86B8-083044ADF226}"/>
</file>

<file path=customXml/itemProps2.xml><?xml version="1.0" encoding="utf-8"?>
<ds:datastoreItem xmlns:ds="http://schemas.openxmlformats.org/officeDocument/2006/customXml" ds:itemID="{DC54D7BA-1D7B-44F0-93AB-924EE809BB9A}"/>
</file>

<file path=customXml/itemProps3.xml><?xml version="1.0" encoding="utf-8"?>
<ds:datastoreItem xmlns:ds="http://schemas.openxmlformats.org/officeDocument/2006/customXml" ds:itemID="{405584B9-0EDB-4AA9-A785-256E9CBA8E0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Paul Young</cp:lastModifiedBy>
  <cp:revision/>
  <dcterms:created xsi:type="dcterms:W3CDTF">2015-06-05T18:17:20Z</dcterms:created>
  <dcterms:modified xsi:type="dcterms:W3CDTF">2026-08-23T11:43:59Z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0x010100F4556EAEE72D7747B3D0355DABB429F3</vt:lpwstr>
  </property>
</Properties>
</file>