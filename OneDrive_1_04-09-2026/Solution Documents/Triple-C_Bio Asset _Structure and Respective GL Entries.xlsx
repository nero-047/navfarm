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D:\Projects Data\Zimb\Proejct Solution Draft_Technical\"/>
    </mc:Choice>
  </mc:AlternateContent>
  <xr:revisionPtr revIDLastSave="52" documentId="8_{295CEB9F-EFB3-46CF-804E-1CF8A522AF11}" xr6:coauthVersionLast="47" xr6:coauthVersionMax="47" xr10:uidLastSave="{31ABBE21-7D9A-44E8-8DF3-78F477FD7A09}"/>
  <bookViews>
    <workbookView xWindow="-110" yWindow="-110" windowWidth="19420" windowHeight="11500" tabRatio="500" xr2:uid="{00000000-000D-0000-FFFF-FFFF00000000}"/>
  </bookViews>
  <sheets>
    <sheet name="Bio Asset Structure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2" i="1" l="1"/>
  <c r="K31" i="1"/>
  <c r="I31" i="1"/>
  <c r="I32" i="1"/>
  <c r="F9" i="1"/>
  <c r="F6" i="1"/>
  <c r="F3" i="1"/>
</calcChain>
</file>

<file path=xl/sharedStrings.xml><?xml version="1.0" encoding="utf-8"?>
<sst xmlns="http://schemas.openxmlformats.org/spreadsheetml/2006/main" count="196" uniqueCount="127">
  <si>
    <t>FIXED ASSET</t>
  </si>
  <si>
    <t>G/L Name-Acquisition Cost</t>
  </si>
  <si>
    <t xml:space="preserve">G/L Name-Amortization Cost / Fair Value Gain or Loss </t>
  </si>
  <si>
    <t>Useful Live</t>
  </si>
  <si>
    <t>Residual Value</t>
  </si>
  <si>
    <t>Formula of residual Value =assumed Weight*2.05 = "150*2.05</t>
  </si>
  <si>
    <t>Costing Method</t>
  </si>
  <si>
    <t>Amortization/ Fair Value Start Period</t>
  </si>
  <si>
    <t>Classification</t>
  </si>
  <si>
    <t>FA/Item</t>
  </si>
  <si>
    <t>Tracking</t>
  </si>
  <si>
    <t>Acquisition- Purchase</t>
  </si>
  <si>
    <t>Capitalization 
Upto 33 Week for Imported-F 
Upto 26 Week for Boar
Upto 17 Week for Weaners</t>
  </si>
  <si>
    <t>Consumption</t>
  </si>
  <si>
    <t>Amortization</t>
  </si>
  <si>
    <t>GGP-Imp-F</t>
  </si>
  <si>
    <t>GGP-Imp-F Acquisition Cost</t>
  </si>
  <si>
    <t>GGP-IMP-F Amortization</t>
  </si>
  <si>
    <t>36 Months</t>
  </si>
  <si>
    <t>Yes</t>
  </si>
  <si>
    <t>33 Week</t>
  </si>
  <si>
    <t>Non-Current</t>
  </si>
  <si>
    <t>Fixed Asset</t>
  </si>
  <si>
    <t>Individual Tattoo</t>
  </si>
  <si>
    <t>Debit :- GGP IMP F Acquisition Cost
Credit :- Vendor/Cash</t>
  </si>
  <si>
    <t>Debit :- GGP IMP F Acquisition Cost
Credit :- Respective Inventory Account ( Feed, Vet, Med )</t>
  </si>
  <si>
    <t>Debit :- WIP GP Local 
Credit :- Respective Inventory Account ( Feed, Vet, Med )/Overhead</t>
  </si>
  <si>
    <t>Debit :- GGP-IMP-F Amortization (Expense Account)
Credit :- GGP-IMP-F Amortization (BS Account)</t>
  </si>
  <si>
    <t>GGP-Imp-M</t>
  </si>
  <si>
    <t>GGP-Imp-M Acquisition Cost</t>
  </si>
  <si>
    <t>GGP-IMP-M Amortization</t>
  </si>
  <si>
    <t>18 Months</t>
  </si>
  <si>
    <t>No</t>
  </si>
  <si>
    <t>NA</t>
  </si>
  <si>
    <t>26 Week</t>
  </si>
  <si>
    <t>Debit :- GGP IMP M Acquisition Cost
Credit :- Vendor/Cash</t>
  </si>
  <si>
    <t>Debit :- GGP IMP M Acquisition Cost
Credit :- Respective Inventory Account ( Feed, Vet, Med )</t>
  </si>
  <si>
    <t>Debit :-  SIEMEN A/C  
Credit :- Respective Inventory Account ( Feed, Vet, Med )/OverHead</t>
  </si>
  <si>
    <t>Debit :- GGP-IMP-M Amortization (Expense Account)
Credit :- GGP-IMP-M Amortization (BS Account)</t>
  </si>
  <si>
    <t>GP-Imp-F</t>
  </si>
  <si>
    <t>GP-Imp-F Acquisition Cost</t>
  </si>
  <si>
    <t>GP-IMP-F Amortization</t>
  </si>
  <si>
    <t>Debit :- GP IMP F Acquisition Cost
Credit :- Vendor/Cash</t>
  </si>
  <si>
    <t>Debit :- GP IMP F Acquisition Cost
Credit :- Respective Inventory Account ( Feed, Vet, Med )</t>
  </si>
  <si>
    <t>Debit :- WIP P Local 
Credit :- Respective Inventory Account ( Feed, Vet, Med )/Overhead</t>
  </si>
  <si>
    <t>Debit :- GP-IMP-F Amortization (Expense Account)
Credit :- GP-IMP-F Amortization (BS Account)</t>
  </si>
  <si>
    <t>GP-Imp-M</t>
  </si>
  <si>
    <t>GP-Imp-M Acquisition Cost</t>
  </si>
  <si>
    <t>GP-IMP-M Amortization</t>
  </si>
  <si>
    <t>Debit :- GP IMP M Acquisition Cost
Credit :- Vendor/Cash</t>
  </si>
  <si>
    <t>Debit :- GP IMP M Acquisition Cost
Credit :- Respective Inventory Account ( Feed, Vet, Med )</t>
  </si>
  <si>
    <t>Debit :- GP-IMP-M Amortization (Expense Account)
Credit :- GP-IMP-M Amortization (BS Account)</t>
  </si>
  <si>
    <t>P-Imp-F</t>
  </si>
  <si>
    <t>P-Imp-F Acquisition Cost</t>
  </si>
  <si>
    <t>P-IMP-F Amortization</t>
  </si>
  <si>
    <t>Debit :- P IMP F Acquisition Cost
Credit :- Vendor/Cash</t>
  </si>
  <si>
    <t>Debit :- P IMP F Acquisition Cost
Credit :- Respective Inventory Account ( Feed, Vet, Med )</t>
  </si>
  <si>
    <t>Debit :- WIP Weaner 
Credit :- Respective Inventory Account ( Feed, Vet, Med )/OverHead</t>
  </si>
  <si>
    <t>Debit :- P-IMP-F Amortization (Expense Account)
Credit :- P-IMP-F Amortization (BS Account)</t>
  </si>
  <si>
    <t>P-Imp-M</t>
  </si>
  <si>
    <t>P-Imp-M Acquisition Cost</t>
  </si>
  <si>
    <t>P-IMP-M Amortization</t>
  </si>
  <si>
    <t>Debit :- P IMP M Acquisition Cost
Credit :- Vendor/Cash</t>
  </si>
  <si>
    <t>Debit :- P IMP M Acquisition Cost
Credit :- Respective Inventory Account ( Feed, Vet, Med )</t>
  </si>
  <si>
    <t>Debit :- P-IMP-M Amortization (Expense Account)
Credit :- P-IMP-M Amortization (BS Account)</t>
  </si>
  <si>
    <t>GP-Loc-F</t>
  </si>
  <si>
    <t>GP-Loc-F Acquisition Cost</t>
  </si>
  <si>
    <t>GP-Loc-F Fair Value Gain/Loss</t>
  </si>
  <si>
    <t>Fair Value</t>
  </si>
  <si>
    <t>Debit :- GP LOC F Acquisition Cost
Credit :- WIP-GP Local Account</t>
  </si>
  <si>
    <t>Debit :- GP Local F Acquisition Cost
Credit :- Respective Inventory Account ( Feed, Vet, Med )</t>
  </si>
  <si>
    <t>Debit :- WIP P Local 
Credit :- Respective Inventory Account ( Feed, Vet, Med )/OverHead</t>
  </si>
  <si>
    <t>Debit :- GP LOC F Fair Value
Credit :- Fair Value Adjustment Gain/Loss</t>
  </si>
  <si>
    <t>GP-Loc-M</t>
  </si>
  <si>
    <t>GP-Loc-M Acquisition Cost</t>
  </si>
  <si>
    <t>GP-Loc-M Fair Value Gain/Loss</t>
  </si>
  <si>
    <t>Debit :- GP LOC M Acquisition Cost
Credit :- WIP-GP Local Account</t>
  </si>
  <si>
    <t>Debit :- GP Local M Acquisition Cost
Credit :- Respective Inventory Account ( Feed, Vet, Med )</t>
  </si>
  <si>
    <t>Debit :- GP LOC M Fair Value
Credit :- Fair Value Adjustment Gain/Loss</t>
  </si>
  <si>
    <t>P-Loc-F</t>
  </si>
  <si>
    <t>P-Loc-F Acquisition Cost</t>
  </si>
  <si>
    <t>P-Loc-F Fair Value Gain/Loss</t>
  </si>
  <si>
    <t>Debit :- P LOC F Acquisition Cost
Credit :- WIP-P Local Account</t>
  </si>
  <si>
    <t>Debit :- P Local F Acquisition Cost
Credit :- Respective Inventory Account ( Feed, Vet, Med )</t>
  </si>
  <si>
    <t>Debit :- WIP Weaner 
Credit :- Respective Inventory Account ( Feed, Vet, Med )/Overhead</t>
  </si>
  <si>
    <t>Debit :- P LOC F Fair Value
Credit :- Fair Value Adjustment Gain/Loss</t>
  </si>
  <si>
    <t>P-Loc-M</t>
  </si>
  <si>
    <t>P-Loc-M Acquisition Cost</t>
  </si>
  <si>
    <t>P-Loc-M Fair Value Gain/Loss</t>
  </si>
  <si>
    <t>Debit :- P LOC M Acquisition Cost
Credit :- WIP-P Local Account</t>
  </si>
  <si>
    <t>Debit :- P Local M Acquisition Cost
Credit :- Respective Inventory Account ( Feed, Vet, Med )</t>
  </si>
  <si>
    <t>Debit :- P LOC M Fair Value
Credit :- Fair Value Adjustment Gain/Loss</t>
  </si>
  <si>
    <t>PIGLETS</t>
  </si>
  <si>
    <t>Weaners Acquisition Cost</t>
  </si>
  <si>
    <t>Weaners Fair Value Gain/Loss</t>
  </si>
  <si>
    <t>17 Week</t>
  </si>
  <si>
    <t>Current</t>
  </si>
  <si>
    <t>Items</t>
  </si>
  <si>
    <t>Batch</t>
  </si>
  <si>
    <t>Debit :- Weaners 
Credit :- WIP Weaners</t>
  </si>
  <si>
    <t>Debit :- Weaners Acquisition Cost
Credit :- Respective Inventory Account ( Feed, Vet, Med )</t>
  </si>
  <si>
    <t>Debit:-Weaners
Credit:- Respective Inventory Account ( Feed, Vet, Med )/Overhead</t>
  </si>
  <si>
    <t>Debit :- Weaners Fair Value
Credit :- Fair Value Adjustment Gain/Loss</t>
  </si>
  <si>
    <t>Finisher</t>
  </si>
  <si>
    <t>Debit :- Finisher Closing Stock
Credit :- Weaners Acquisition Account/Fair Value Account</t>
  </si>
  <si>
    <t>Disposal</t>
  </si>
  <si>
    <r>
      <rPr>
        <b/>
        <sz val="9"/>
        <color rgb="FF000000"/>
        <rFont val="Calibri"/>
        <scheme val="minor"/>
      </rPr>
      <t xml:space="preserve">Entry 1 - Sale to Customer:
</t>
    </r>
    <r>
      <rPr>
        <sz val="9"/>
        <color rgb="FF000000"/>
        <rFont val="Calibri"/>
        <scheme val="minor"/>
      </rPr>
      <t xml:space="preserve">Debit :-  COST OF SALES
</t>
    </r>
    <r>
      <rPr>
        <b/>
        <sz val="9"/>
        <color rgb="FF000000"/>
        <rFont val="Calibri"/>
        <scheme val="minor"/>
      </rPr>
      <t xml:space="preserve">Credit :- FIXED ASSET Aquisition
Debit:-Accumalated Amortizatin
Credit :- Cost of Sales
Entry 2 - Write-off of Asset Cost:
</t>
    </r>
    <r>
      <rPr>
        <sz val="9"/>
        <color rgb="FF000000"/>
        <rFont val="Calibri"/>
        <scheme val="minor"/>
      </rPr>
      <t>Debit :- Fixed Asset - Sales Loss/Gain
Credit :- Respective - Acquisition Account</t>
    </r>
  </si>
  <si>
    <t>MORTALITY :- DR. iMPAIRMENT /LOSS
                          CR.  RESPECTIVE AQUISITION ACCOUNT</t>
  </si>
  <si>
    <t>FAIR vALUE</t>
  </si>
  <si>
    <t xml:space="preserve">GROWERS - to calcuate the Fair value of Piglets at Grower Stage , there will be a master where </t>
  </si>
  <si>
    <t xml:space="preserve">Batch No. </t>
  </si>
  <si>
    <t xml:space="preserve">Item No. </t>
  </si>
  <si>
    <t>Farm</t>
  </si>
  <si>
    <t>Week</t>
  </si>
  <si>
    <t>Stage</t>
  </si>
  <si>
    <t>expected CDM Weight</t>
  </si>
  <si>
    <t>Unit per KG</t>
  </si>
  <si>
    <t>no. of pigs</t>
  </si>
  <si>
    <t>Fairvalue of the Batch</t>
  </si>
  <si>
    <t>current Book Value</t>
  </si>
  <si>
    <t>Fair value Voucher Amount</t>
  </si>
  <si>
    <t>Piglet</t>
  </si>
  <si>
    <t>Porta</t>
  </si>
  <si>
    <t>18th</t>
  </si>
  <si>
    <t>Grower</t>
  </si>
  <si>
    <t>Richland</t>
  </si>
  <si>
    <t>22nd Veek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</si>
</sst>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sz val="9"/>
      <color theme="1"/>
      <name val="Calibri"/>
      <family val="2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89013336588644"/>
        <bgColor rgb="FFE2F0D9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9" tint="0.39988402966399123"/>
        <bgColor rgb="FF99CC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17" zoomScale="80" zoomScaleNormal="80" workbookViewId="0">
      <selection activeCell="B24" sqref="B24"/>
    </sheetView>
  </sheetViews>
  <sheetFormatPr defaultColWidth="8.85546875" defaultRowHeight="12"/>
  <cols>
    <col min="1" max="1" width="15.140625" style="23" customWidth="1"/>
    <col min="2" max="2" width="28.140625" style="23" customWidth="1"/>
    <col min="3" max="3" width="25.5703125" style="23" customWidth="1"/>
    <col min="4" max="4" width="18.42578125" style="23" customWidth="1"/>
    <col min="5" max="5" width="12.7109375" style="23" customWidth="1"/>
    <col min="6" max="6" width="16.85546875" style="24" customWidth="1"/>
    <col min="7" max="7" width="14" style="23" customWidth="1"/>
    <col min="8" max="8" width="15.42578125" style="23" customWidth="1"/>
    <col min="9" max="9" width="11.7109375" style="23" customWidth="1"/>
    <col min="10" max="10" width="10" style="23" customWidth="1"/>
    <col min="11" max="11" width="14.85546875" style="23" customWidth="1"/>
    <col min="12" max="12" width="28.140625" style="23" customWidth="1"/>
    <col min="13" max="14" width="24.85546875" style="23" customWidth="1"/>
    <col min="15" max="15" width="31.85546875" style="23" customWidth="1"/>
    <col min="16" max="16" width="18.85546875" style="23" customWidth="1"/>
    <col min="17" max="16384" width="8.85546875" style="23"/>
  </cols>
  <sheetData>
    <row r="1" spans="1:16" s="4" customFormat="1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/>
    </row>
    <row r="2" spans="1:16" s="4" customFormat="1" ht="3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6" s="4" customFormat="1" ht="72" customHeight="1">
      <c r="A3" s="6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8">
        <f>150*2.05</f>
        <v>307.5</v>
      </c>
      <c r="G3" s="7" t="s">
        <v>14</v>
      </c>
      <c r="H3" s="7" t="s">
        <v>20</v>
      </c>
      <c r="I3" s="7" t="s">
        <v>21</v>
      </c>
      <c r="J3" s="7" t="s">
        <v>22</v>
      </c>
      <c r="K3" s="9" t="s">
        <v>23</v>
      </c>
      <c r="L3" s="4" t="s">
        <v>24</v>
      </c>
      <c r="M3" s="4" t="s">
        <v>25</v>
      </c>
      <c r="N3" s="4" t="s">
        <v>26</v>
      </c>
      <c r="O3" s="4" t="s">
        <v>27</v>
      </c>
    </row>
    <row r="4" spans="1:16" s="4" customFormat="1" ht="72" customHeight="1">
      <c r="A4" s="10" t="s">
        <v>28</v>
      </c>
      <c r="B4" s="11" t="s">
        <v>29</v>
      </c>
      <c r="C4" s="11" t="s">
        <v>30</v>
      </c>
      <c r="D4" s="11" t="s">
        <v>31</v>
      </c>
      <c r="E4" s="11" t="s">
        <v>32</v>
      </c>
      <c r="F4" s="12" t="s">
        <v>33</v>
      </c>
      <c r="G4" s="11" t="s">
        <v>14</v>
      </c>
      <c r="H4" s="11" t="s">
        <v>34</v>
      </c>
      <c r="I4" s="11" t="s">
        <v>21</v>
      </c>
      <c r="J4" s="11" t="s">
        <v>22</v>
      </c>
      <c r="K4" s="13" t="s">
        <v>23</v>
      </c>
      <c r="L4" s="4" t="s">
        <v>35</v>
      </c>
      <c r="M4" s="4" t="s">
        <v>36</v>
      </c>
      <c r="N4" s="4" t="s">
        <v>37</v>
      </c>
      <c r="O4" s="4" t="s">
        <v>38</v>
      </c>
    </row>
    <row r="5" spans="1:16" s="4" customFormat="1" ht="3" customHeight="1">
      <c r="F5" s="14"/>
    </row>
    <row r="6" spans="1:16" s="4" customFormat="1" ht="72" customHeight="1">
      <c r="A6" s="15" t="s">
        <v>39</v>
      </c>
      <c r="B6" s="16" t="s">
        <v>40</v>
      </c>
      <c r="C6" s="16" t="s">
        <v>41</v>
      </c>
      <c r="D6" s="16" t="s">
        <v>18</v>
      </c>
      <c r="E6" s="16" t="s">
        <v>19</v>
      </c>
      <c r="F6" s="17">
        <f>150*2.05</f>
        <v>307.5</v>
      </c>
      <c r="G6" s="16" t="s">
        <v>14</v>
      </c>
      <c r="H6" s="16" t="s">
        <v>20</v>
      </c>
      <c r="I6" s="16" t="s">
        <v>21</v>
      </c>
      <c r="J6" s="16" t="s">
        <v>22</v>
      </c>
      <c r="K6" s="18" t="s">
        <v>23</v>
      </c>
      <c r="L6" s="4" t="s">
        <v>42</v>
      </c>
      <c r="M6" s="4" t="s">
        <v>43</v>
      </c>
      <c r="N6" s="4" t="s">
        <v>44</v>
      </c>
      <c r="O6" s="4" t="s">
        <v>45</v>
      </c>
    </row>
    <row r="7" spans="1:16" s="4" customFormat="1" ht="72" customHeight="1">
      <c r="A7" s="19" t="s">
        <v>46</v>
      </c>
      <c r="B7" s="20" t="s">
        <v>47</v>
      </c>
      <c r="C7" s="20" t="s">
        <v>48</v>
      </c>
      <c r="D7" s="20" t="s">
        <v>31</v>
      </c>
      <c r="E7" s="20" t="s">
        <v>32</v>
      </c>
      <c r="F7" s="21" t="s">
        <v>33</v>
      </c>
      <c r="G7" s="20" t="s">
        <v>14</v>
      </c>
      <c r="H7" s="20" t="s">
        <v>34</v>
      </c>
      <c r="I7" s="20" t="s">
        <v>21</v>
      </c>
      <c r="J7" s="20" t="s">
        <v>22</v>
      </c>
      <c r="K7" s="22" t="s">
        <v>23</v>
      </c>
      <c r="L7" s="4" t="s">
        <v>49</v>
      </c>
      <c r="M7" s="4" t="s">
        <v>50</v>
      </c>
      <c r="N7" s="4" t="s">
        <v>37</v>
      </c>
      <c r="O7" s="4" t="s">
        <v>51</v>
      </c>
    </row>
    <row r="8" spans="1:16" s="4" customFormat="1" ht="3" customHeight="1">
      <c r="F8" s="14"/>
    </row>
    <row r="9" spans="1:16" s="4" customFormat="1" ht="72" customHeight="1">
      <c r="A9" s="6" t="s">
        <v>52</v>
      </c>
      <c r="B9" s="7" t="s">
        <v>53</v>
      </c>
      <c r="C9" s="7" t="s">
        <v>54</v>
      </c>
      <c r="D9" s="7" t="s">
        <v>18</v>
      </c>
      <c r="E9" s="7" t="s">
        <v>19</v>
      </c>
      <c r="F9" s="8">
        <f>150*2.05</f>
        <v>307.5</v>
      </c>
      <c r="G9" s="7" t="s">
        <v>14</v>
      </c>
      <c r="H9" s="7" t="s">
        <v>20</v>
      </c>
      <c r="I9" s="7" t="s">
        <v>21</v>
      </c>
      <c r="J9" s="7" t="s">
        <v>22</v>
      </c>
      <c r="K9" s="9" t="s">
        <v>23</v>
      </c>
      <c r="L9" s="4" t="s">
        <v>55</v>
      </c>
      <c r="M9" s="4" t="s">
        <v>56</v>
      </c>
      <c r="N9" s="4" t="s">
        <v>57</v>
      </c>
      <c r="O9" s="4" t="s">
        <v>58</v>
      </c>
    </row>
    <row r="10" spans="1:16" s="4" customFormat="1" ht="72" customHeight="1">
      <c r="A10" s="10" t="s">
        <v>59</v>
      </c>
      <c r="B10" s="11" t="s">
        <v>60</v>
      </c>
      <c r="C10" s="11" t="s">
        <v>61</v>
      </c>
      <c r="D10" s="11" t="s">
        <v>31</v>
      </c>
      <c r="E10" s="11" t="s">
        <v>32</v>
      </c>
      <c r="F10" s="12" t="s">
        <v>33</v>
      </c>
      <c r="G10" s="11" t="s">
        <v>14</v>
      </c>
      <c r="H10" s="11" t="s">
        <v>34</v>
      </c>
      <c r="I10" s="11" t="s">
        <v>21</v>
      </c>
      <c r="J10" s="11" t="s">
        <v>22</v>
      </c>
      <c r="K10" s="13" t="s">
        <v>23</v>
      </c>
      <c r="L10" s="4" t="s">
        <v>62</v>
      </c>
      <c r="M10" s="4" t="s">
        <v>63</v>
      </c>
      <c r="N10" s="4" t="s">
        <v>37</v>
      </c>
      <c r="O10" s="4" t="s">
        <v>64</v>
      </c>
    </row>
    <row r="11" spans="1:16" s="4" customFormat="1" ht="3" customHeight="1">
      <c r="F11" s="14"/>
    </row>
    <row r="12" spans="1:16" s="4" customFormat="1" ht="3" customHeight="1">
      <c r="F12" s="14"/>
    </row>
    <row r="13" spans="1:16" s="4" customFormat="1" ht="72" customHeight="1">
      <c r="A13" s="6" t="s">
        <v>65</v>
      </c>
      <c r="B13" s="7" t="s">
        <v>66</v>
      </c>
      <c r="C13" s="7" t="s">
        <v>67</v>
      </c>
      <c r="D13" s="7" t="s">
        <v>18</v>
      </c>
      <c r="E13" s="7"/>
      <c r="F13" s="8"/>
      <c r="G13" s="7" t="s">
        <v>68</v>
      </c>
      <c r="H13" s="7" t="s">
        <v>20</v>
      </c>
      <c r="I13" s="7" t="s">
        <v>21</v>
      </c>
      <c r="J13" s="7" t="s">
        <v>22</v>
      </c>
      <c r="K13" s="9" t="s">
        <v>23</v>
      </c>
      <c r="L13" s="4" t="s">
        <v>69</v>
      </c>
      <c r="M13" s="4" t="s">
        <v>70</v>
      </c>
      <c r="N13" s="4" t="s">
        <v>71</v>
      </c>
      <c r="O13" s="4" t="s">
        <v>72</v>
      </c>
    </row>
    <row r="14" spans="1:16" s="4" customFormat="1" ht="72" customHeight="1">
      <c r="A14" s="10" t="s">
        <v>73</v>
      </c>
      <c r="B14" s="11" t="s">
        <v>74</v>
      </c>
      <c r="C14" s="11" t="s">
        <v>75</v>
      </c>
      <c r="D14" s="11" t="s">
        <v>31</v>
      </c>
      <c r="E14" s="11"/>
      <c r="F14" s="12"/>
      <c r="G14" s="11" t="s">
        <v>68</v>
      </c>
      <c r="H14" s="11" t="s">
        <v>34</v>
      </c>
      <c r="I14" s="11" t="s">
        <v>21</v>
      </c>
      <c r="J14" s="11" t="s">
        <v>22</v>
      </c>
      <c r="K14" s="13" t="s">
        <v>23</v>
      </c>
      <c r="L14" s="4" t="s">
        <v>76</v>
      </c>
      <c r="M14" s="4" t="s">
        <v>77</v>
      </c>
      <c r="N14" s="4" t="s">
        <v>37</v>
      </c>
      <c r="O14" s="4" t="s">
        <v>78</v>
      </c>
    </row>
    <row r="15" spans="1:16" s="4" customFormat="1" ht="4.5" customHeight="1">
      <c r="F15" s="14"/>
    </row>
    <row r="16" spans="1:16" s="4" customFormat="1" ht="72" customHeight="1">
      <c r="A16" s="15" t="s">
        <v>79</v>
      </c>
      <c r="B16" s="16" t="s">
        <v>80</v>
      </c>
      <c r="C16" s="16" t="s">
        <v>81</v>
      </c>
      <c r="D16" s="16" t="s">
        <v>18</v>
      </c>
      <c r="E16" s="16"/>
      <c r="F16" s="17"/>
      <c r="G16" s="16" t="s">
        <v>68</v>
      </c>
      <c r="H16" s="16" t="s">
        <v>20</v>
      </c>
      <c r="I16" s="16" t="s">
        <v>21</v>
      </c>
      <c r="J16" s="16" t="s">
        <v>22</v>
      </c>
      <c r="K16" s="18" t="s">
        <v>23</v>
      </c>
      <c r="L16" s="4" t="s">
        <v>82</v>
      </c>
      <c r="M16" s="4" t="s">
        <v>83</v>
      </c>
      <c r="N16" s="4" t="s">
        <v>84</v>
      </c>
      <c r="O16" s="4" t="s">
        <v>85</v>
      </c>
    </row>
    <row r="17" spans="1:15" s="4" customFormat="1" ht="72" customHeight="1">
      <c r="A17" s="19" t="s">
        <v>86</v>
      </c>
      <c r="B17" s="20" t="s">
        <v>87</v>
      </c>
      <c r="C17" s="20" t="s">
        <v>88</v>
      </c>
      <c r="D17" s="20" t="s">
        <v>31</v>
      </c>
      <c r="E17" s="20"/>
      <c r="F17" s="21"/>
      <c r="G17" s="20" t="s">
        <v>68</v>
      </c>
      <c r="H17" s="20" t="s">
        <v>34</v>
      </c>
      <c r="I17" s="20" t="s">
        <v>21</v>
      </c>
      <c r="J17" s="20" t="s">
        <v>22</v>
      </c>
      <c r="K17" s="22" t="s">
        <v>23</v>
      </c>
      <c r="L17" s="4" t="s">
        <v>89</v>
      </c>
      <c r="M17" s="4" t="s">
        <v>90</v>
      </c>
      <c r="N17" s="4" t="s">
        <v>37</v>
      </c>
      <c r="O17" s="4" t="s">
        <v>91</v>
      </c>
    </row>
    <row r="18" spans="1:15" s="4" customFormat="1" ht="3" customHeight="1">
      <c r="F18" s="14"/>
    </row>
    <row r="19" spans="1:15" s="4" customFormat="1" ht="72" customHeight="1">
      <c r="A19" s="6" t="s">
        <v>92</v>
      </c>
      <c r="B19" s="7" t="s">
        <v>93</v>
      </c>
      <c r="C19" s="7" t="s">
        <v>94</v>
      </c>
      <c r="D19" s="7"/>
      <c r="E19" s="7"/>
      <c r="F19" s="8"/>
      <c r="G19" s="7" t="s">
        <v>68</v>
      </c>
      <c r="H19" s="7" t="s">
        <v>95</v>
      </c>
      <c r="I19" s="7" t="s">
        <v>96</v>
      </c>
      <c r="J19" s="7" t="s">
        <v>97</v>
      </c>
      <c r="K19" s="9" t="s">
        <v>98</v>
      </c>
      <c r="L19" s="4" t="s">
        <v>99</v>
      </c>
      <c r="M19" s="4" t="s">
        <v>100</v>
      </c>
      <c r="N19" s="4" t="s">
        <v>101</v>
      </c>
      <c r="O19" s="4" t="s">
        <v>102</v>
      </c>
    </row>
    <row r="20" spans="1:15" s="4" customFormat="1" ht="43.5" customHeight="1">
      <c r="A20" s="10" t="s">
        <v>103</v>
      </c>
      <c r="B20" s="11"/>
      <c r="C20" s="11"/>
      <c r="D20" s="11"/>
      <c r="E20" s="11"/>
      <c r="F20" s="12"/>
      <c r="G20" s="11"/>
      <c r="H20" s="11"/>
      <c r="I20" s="11" t="s">
        <v>96</v>
      </c>
      <c r="J20" s="11" t="s">
        <v>97</v>
      </c>
      <c r="K20" s="13" t="s">
        <v>98</v>
      </c>
      <c r="L20" s="4" t="s">
        <v>104</v>
      </c>
    </row>
    <row r="24" spans="1:15" ht="123.75" customHeight="1">
      <c r="A24" s="4" t="s">
        <v>105</v>
      </c>
      <c r="B24" s="25" t="s">
        <v>106</v>
      </c>
      <c r="D24" s="23" t="s">
        <v>107</v>
      </c>
    </row>
    <row r="27" spans="1:15" ht="37.5">
      <c r="A27" s="23" t="s">
        <v>108</v>
      </c>
      <c r="B27" s="23" t="s">
        <v>109</v>
      </c>
    </row>
    <row r="30" spans="1:15" ht="24.75">
      <c r="A30" s="23" t="s">
        <v>110</v>
      </c>
      <c r="B30" s="23" t="s">
        <v>111</v>
      </c>
      <c r="C30" s="23" t="s">
        <v>112</v>
      </c>
      <c r="D30" s="23" t="s">
        <v>113</v>
      </c>
      <c r="E30" s="23" t="s">
        <v>114</v>
      </c>
      <c r="F30" s="23" t="s">
        <v>115</v>
      </c>
      <c r="G30" s="23" t="s">
        <v>116</v>
      </c>
      <c r="H30" s="23" t="s">
        <v>117</v>
      </c>
      <c r="I30" s="23" t="s">
        <v>118</v>
      </c>
      <c r="J30" s="23" t="s">
        <v>119</v>
      </c>
      <c r="K30" s="23" t="s">
        <v>120</v>
      </c>
    </row>
    <row r="31" spans="1:15" ht="12.75">
      <c r="B31" s="23" t="s">
        <v>121</v>
      </c>
      <c r="C31" s="23" t="s">
        <v>122</v>
      </c>
      <c r="D31" s="23" t="s">
        <v>123</v>
      </c>
      <c r="E31" s="23" t="s">
        <v>124</v>
      </c>
      <c r="F31" s="23">
        <v>60</v>
      </c>
      <c r="G31" s="23">
        <v>2</v>
      </c>
      <c r="H31" s="23">
        <v>100</v>
      </c>
      <c r="I31" s="23">
        <f>H31*G31*F31</f>
        <v>12000</v>
      </c>
      <c r="J31" s="23">
        <v>5000</v>
      </c>
      <c r="K31" s="23">
        <f>I31-J31</f>
        <v>7000</v>
      </c>
    </row>
    <row r="32" spans="1:15" ht="12.75">
      <c r="B32" s="23" t="s">
        <v>121</v>
      </c>
      <c r="C32" s="23" t="s">
        <v>125</v>
      </c>
      <c r="D32" s="23" t="s">
        <v>123</v>
      </c>
      <c r="E32" s="23" t="s">
        <v>124</v>
      </c>
      <c r="F32" s="23">
        <v>63</v>
      </c>
      <c r="G32" s="23">
        <v>2</v>
      </c>
      <c r="H32" s="23">
        <v>200</v>
      </c>
      <c r="I32" s="23">
        <f>H32*G32*F32</f>
        <v>25200</v>
      </c>
      <c r="J32" s="23">
        <v>15000</v>
      </c>
      <c r="K32" s="23">
        <f>I32-J32</f>
        <v>10200</v>
      </c>
    </row>
    <row r="33" spans="4:4" ht="12.75">
      <c r="D33" s="23" t="s">
        <v>126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4709E-5DDE-47C4-B572-8D8BDE6D8DFA}"/>
</file>

<file path=customXml/itemProps2.xml><?xml version="1.0" encoding="utf-8"?>
<ds:datastoreItem xmlns:ds="http://schemas.openxmlformats.org/officeDocument/2006/customXml" ds:itemID="{0C1637C8-4B01-4A59-92C5-B4593731C670}"/>
</file>

<file path=customXml/itemProps3.xml><?xml version="1.0" encoding="utf-8"?>
<ds:datastoreItem xmlns:ds="http://schemas.openxmlformats.org/officeDocument/2006/customXml" ds:itemID="{25E39C5B-A1A7-4371-B5CB-74B5991E2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Mukul Joshi</cp:lastModifiedBy>
  <cp:revision>0</cp:revision>
  <dcterms:created xsi:type="dcterms:W3CDTF">2026-08-17T17:52:08Z</dcterms:created>
  <dcterms:modified xsi:type="dcterms:W3CDTF">2026-08-21T13:19:34Z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