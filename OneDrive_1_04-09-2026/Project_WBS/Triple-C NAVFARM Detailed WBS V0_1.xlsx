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/Users/viqar/Desktop/ZIM/"/>
    </mc:Choice>
  </mc:AlternateContent>
  <xr:revisionPtr revIDLastSave="24" documentId="8_{E6DC744F-8499-8246-957C-B24927012A9B}" xr6:coauthVersionLast="47" xr6:coauthVersionMax="47" xr10:uidLastSave="{A5269DCD-948E-4F71-AB8C-0A883D039B5A}"/>
  <bookViews>
    <workbookView xWindow="0" yWindow="620" windowWidth="28800" windowHeight="17380" tabRatio="500" xr2:uid="{00000000-000D-0000-FFFF-FFFF00000000}"/>
  </bookViews>
  <sheets>
    <sheet name="Timeline" sheetId="2" r:id="rId1"/>
    <sheet name="Milestones" sheetId="3" r:id="rId2"/>
    <sheet name="Detailed WBS" sheetId="4" r:id="rId3"/>
    <sheet name="holidays" sheetId="5" r:id="rId4"/>
    <sheet name="Prudence Holidays" sheetId="6" r:id="rId5"/>
    <sheet name="About wbs" sheetId="1" r:id="rId6"/>
    <sheet name="Calendar_Dont Use this" sheetId="7" r:id="rId7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6" i="7" l="1"/>
  <c r="C6" i="7"/>
  <c r="A6" i="7"/>
  <c r="F5" i="7"/>
  <c r="E5" i="7"/>
  <c r="D5" i="7"/>
  <c r="C5" i="7"/>
  <c r="B5" i="7"/>
  <c r="C16" i="2"/>
  <c r="G5" i="7" l="1"/>
  <c r="I5" i="7" s="1"/>
  <c r="F6" i="7"/>
  <c r="H6" i="7" s="1"/>
  <c r="E6" i="7"/>
  <c r="G6" i="7" s="1"/>
  <c r="I6" i="7" s="1"/>
  <c r="A7" i="7"/>
  <c r="B6" i="7"/>
  <c r="H5" i="7"/>
  <c r="J5" i="7" s="1"/>
  <c r="J6" i="7" l="1"/>
  <c r="E7" i="7"/>
  <c r="C7" i="7"/>
  <c r="B7" i="7"/>
  <c r="A8" i="7"/>
  <c r="F7" i="7"/>
  <c r="D7" i="7"/>
  <c r="G7" i="7" l="1"/>
  <c r="I7" i="7" s="1"/>
  <c r="A9" i="7"/>
  <c r="F8" i="7"/>
  <c r="C8" i="7"/>
  <c r="D8" i="7"/>
  <c r="B8" i="7"/>
  <c r="E8" i="7"/>
  <c r="H7" i="7"/>
  <c r="J7" i="7"/>
  <c r="G8" i="7" l="1"/>
  <c r="I8" i="7" s="1"/>
  <c r="H8" i="7"/>
  <c r="J8" i="7" s="1"/>
  <c r="C9" i="7"/>
  <c r="B9" i="7"/>
  <c r="E9" i="7"/>
  <c r="F9" i="7"/>
  <c r="D9" i="7"/>
  <c r="A10" i="7"/>
  <c r="G9" i="7" l="1"/>
  <c r="A11" i="7"/>
  <c r="F10" i="7"/>
  <c r="E10" i="7"/>
  <c r="D10" i="7"/>
  <c r="C10" i="7"/>
  <c r="H10" i="7" s="1"/>
  <c r="B10" i="7"/>
  <c r="H9" i="7"/>
  <c r="J9" i="7" s="1"/>
  <c r="J10" i="7" s="1"/>
  <c r="I9" i="7"/>
  <c r="G10" i="7" l="1"/>
  <c r="I10" i="7" s="1"/>
  <c r="D11" i="7"/>
  <c r="C11" i="7"/>
  <c r="E11" i="7"/>
  <c r="F11" i="7"/>
  <c r="B11" i="7"/>
  <c r="A12" i="7"/>
  <c r="F12" i="7" l="1"/>
  <c r="A13" i="7"/>
  <c r="D12" i="7"/>
  <c r="B12" i="7"/>
  <c r="E12" i="7"/>
  <c r="C12" i="7"/>
  <c r="H12" i="7" s="1"/>
  <c r="H11" i="7"/>
  <c r="J11" i="7" s="1"/>
  <c r="J12" i="7" s="1"/>
  <c r="G11" i="7"/>
  <c r="I11" i="7" s="1"/>
  <c r="G12" i="7" l="1"/>
  <c r="E13" i="7"/>
  <c r="D13" i="7"/>
  <c r="B13" i="7"/>
  <c r="A14" i="7"/>
  <c r="F13" i="7"/>
  <c r="C13" i="7"/>
  <c r="I12" i="7"/>
  <c r="G13" i="7" l="1"/>
  <c r="I13" i="7" s="1"/>
  <c r="E14" i="7"/>
  <c r="D14" i="7"/>
  <c r="C14" i="7"/>
  <c r="B14" i="7"/>
  <c r="A15" i="7"/>
  <c r="F14" i="7"/>
  <c r="H13" i="7"/>
  <c r="J13" i="7" s="1"/>
  <c r="F15" i="7" l="1"/>
  <c r="E15" i="7"/>
  <c r="C15" i="7"/>
  <c r="B15" i="7"/>
  <c r="D15" i="7"/>
  <c r="A16" i="7"/>
  <c r="H14" i="7"/>
  <c r="J14" i="7" s="1"/>
  <c r="G14" i="7"/>
  <c r="I14" i="7" s="1"/>
  <c r="G15" i="7" l="1"/>
  <c r="I15" i="7" s="1"/>
  <c r="E16" i="7"/>
  <c r="C16" i="7"/>
  <c r="B16" i="7"/>
  <c r="A17" i="7"/>
  <c r="F16" i="7"/>
  <c r="D16" i="7"/>
  <c r="H15" i="7"/>
  <c r="J15" i="7" s="1"/>
  <c r="G16" i="7" l="1"/>
  <c r="I16" i="7" s="1"/>
  <c r="H16" i="7"/>
  <c r="J16" i="7" s="1"/>
  <c r="A18" i="7"/>
  <c r="F17" i="7"/>
  <c r="D17" i="7"/>
  <c r="C17" i="7"/>
  <c r="B17" i="7"/>
  <c r="E17" i="7"/>
  <c r="H17" i="7" l="1"/>
  <c r="J17" i="7" s="1"/>
  <c r="G17" i="7"/>
  <c r="I17" i="7" s="1"/>
  <c r="C18" i="7"/>
  <c r="A19" i="7"/>
  <c r="F18" i="7"/>
  <c r="D18" i="7"/>
  <c r="E18" i="7"/>
  <c r="B18" i="7"/>
  <c r="G18" i="7" l="1"/>
  <c r="H18" i="7"/>
  <c r="J18" i="7" s="1"/>
  <c r="A20" i="7"/>
  <c r="E19" i="7"/>
  <c r="D19" i="7"/>
  <c r="C19" i="7"/>
  <c r="F19" i="7"/>
  <c r="B19" i="7"/>
  <c r="I18" i="7"/>
  <c r="H19" i="7" l="1"/>
  <c r="J19" i="7" s="1"/>
  <c r="G19" i="7"/>
  <c r="I19" i="7" s="1"/>
  <c r="E20" i="7"/>
  <c r="D20" i="7"/>
  <c r="C20" i="7"/>
  <c r="B20" i="7"/>
  <c r="F20" i="7"/>
  <c r="A21" i="7"/>
  <c r="H20" i="7" l="1"/>
  <c r="J20" i="7" s="1"/>
  <c r="G20" i="7"/>
  <c r="I20" i="7" s="1"/>
  <c r="F21" i="7"/>
  <c r="A22" i="7"/>
  <c r="E21" i="7"/>
  <c r="C21" i="7"/>
  <c r="D21" i="7"/>
  <c r="B21" i="7"/>
  <c r="B22" i="7" l="1"/>
  <c r="E22" i="7"/>
  <c r="A23" i="7"/>
  <c r="F22" i="7"/>
  <c r="D22" i="7"/>
  <c r="C22" i="7"/>
  <c r="G21" i="7"/>
  <c r="I21" i="7" s="1"/>
  <c r="H21" i="7"/>
  <c r="J21" i="7" s="1"/>
  <c r="H22" i="7" l="1"/>
  <c r="J22" i="7" s="1"/>
  <c r="G22" i="7"/>
  <c r="I22" i="7" s="1"/>
  <c r="E23" i="7"/>
  <c r="D23" i="7"/>
  <c r="F23" i="7"/>
  <c r="B23" i="7"/>
  <c r="A24" i="7"/>
  <c r="C23" i="7"/>
  <c r="H23" i="7" l="1"/>
  <c r="J23" i="7" s="1"/>
  <c r="G23" i="7"/>
  <c r="I23" i="7" s="1"/>
  <c r="C24" i="7"/>
  <c r="B24" i="7"/>
  <c r="A25" i="7"/>
  <c r="F24" i="7"/>
  <c r="E24" i="7"/>
  <c r="D24" i="7"/>
  <c r="G24" i="7" l="1"/>
  <c r="I24" i="7" s="1"/>
  <c r="E25" i="7"/>
  <c r="C25" i="7"/>
  <c r="B25" i="7"/>
  <c r="A26" i="7"/>
  <c r="F25" i="7"/>
  <c r="D25" i="7"/>
  <c r="H24" i="7"/>
  <c r="J24" i="7" s="1"/>
  <c r="G25" i="7" l="1"/>
  <c r="I25" i="7" s="1"/>
  <c r="A27" i="7"/>
  <c r="D26" i="7"/>
  <c r="C26" i="7"/>
  <c r="B26" i="7"/>
  <c r="E26" i="7"/>
  <c r="F26" i="7"/>
  <c r="H25" i="7"/>
  <c r="J25" i="7" s="1"/>
  <c r="H26" i="7" l="1"/>
  <c r="J26" i="7" s="1"/>
  <c r="G26" i="7"/>
  <c r="I26" i="7" s="1"/>
  <c r="C27" i="7"/>
  <c r="A28" i="7"/>
  <c r="E27" i="7"/>
  <c r="B27" i="7"/>
  <c r="F27" i="7"/>
  <c r="D27" i="7"/>
  <c r="G27" i="7" s="1"/>
  <c r="A29" i="7" l="1"/>
  <c r="E28" i="7"/>
  <c r="D28" i="7"/>
  <c r="B28" i="7"/>
  <c r="F28" i="7"/>
  <c r="C28" i="7"/>
  <c r="H27" i="7"/>
  <c r="J27" i="7" s="1"/>
  <c r="I27" i="7"/>
  <c r="H28" i="7" l="1"/>
  <c r="J28" i="7" s="1"/>
  <c r="G28" i="7"/>
  <c r="C29" i="7"/>
  <c r="B29" i="7"/>
  <c r="F29" i="7"/>
  <c r="E29" i="7"/>
  <c r="D29" i="7"/>
  <c r="A30" i="7"/>
  <c r="I28" i="7"/>
  <c r="G29" i="7" l="1"/>
  <c r="H29" i="7"/>
  <c r="J29" i="7" s="1"/>
  <c r="I29" i="7"/>
  <c r="F30" i="7"/>
  <c r="E30" i="7"/>
  <c r="C30" i="7"/>
  <c r="B30" i="7"/>
  <c r="A31" i="7"/>
  <c r="D30" i="7"/>
  <c r="G30" i="7" l="1"/>
  <c r="F31" i="7"/>
  <c r="E31" i="7"/>
  <c r="D31" i="7"/>
  <c r="C31" i="7"/>
  <c r="A32" i="7"/>
  <c r="B31" i="7"/>
  <c r="H30" i="7"/>
  <c r="J30" i="7" s="1"/>
  <c r="I30" i="7"/>
  <c r="H31" i="7" l="1"/>
  <c r="J31" i="7" s="1"/>
  <c r="E32" i="7"/>
  <c r="D32" i="7"/>
  <c r="G32" i="7" s="1"/>
  <c r="F32" i="7"/>
  <c r="C32" i="7"/>
  <c r="A33" i="7"/>
  <c r="B32" i="7"/>
  <c r="G31" i="7"/>
  <c r="I31" i="7" s="1"/>
  <c r="I32" i="7" s="1"/>
  <c r="E33" i="7" l="1"/>
  <c r="A34" i="7"/>
  <c r="D33" i="7"/>
  <c r="F33" i="7"/>
  <c r="C33" i="7"/>
  <c r="B33" i="7"/>
  <c r="H32" i="7"/>
  <c r="J32" i="7" s="1"/>
  <c r="H33" i="7" l="1"/>
  <c r="J33" i="7" s="1"/>
  <c r="G33" i="7"/>
  <c r="I33" i="7" s="1"/>
  <c r="F34" i="7"/>
  <c r="E34" i="7"/>
  <c r="C34" i="7"/>
  <c r="B34" i="7"/>
  <c r="A35" i="7"/>
  <c r="D34" i="7"/>
  <c r="G34" i="7" s="1"/>
  <c r="A36" i="7" l="1"/>
  <c r="B35" i="7"/>
  <c r="C35" i="7"/>
  <c r="E35" i="7"/>
  <c r="D35" i="7"/>
  <c r="F35" i="7"/>
  <c r="I34" i="7"/>
  <c r="H34" i="7"/>
  <c r="J34" i="7" s="1"/>
  <c r="H35" i="7" l="1"/>
  <c r="J35" i="7" s="1"/>
  <c r="D36" i="7"/>
  <c r="E36" i="7"/>
  <c r="B36" i="7"/>
  <c r="A37" i="7"/>
  <c r="C36" i="7"/>
  <c r="F36" i="7"/>
  <c r="G35" i="7"/>
  <c r="I35" i="7" s="1"/>
  <c r="G36" i="7" l="1"/>
  <c r="I36" i="7" s="1"/>
  <c r="H36" i="7"/>
  <c r="J36" i="7" s="1"/>
  <c r="A38" i="7"/>
  <c r="D37" i="7"/>
  <c r="C37" i="7"/>
  <c r="F37" i="7"/>
  <c r="E37" i="7"/>
  <c r="B37" i="7"/>
  <c r="H37" i="7" l="1"/>
  <c r="J37" i="7" s="1"/>
  <c r="G37" i="7"/>
  <c r="I37" i="7" s="1"/>
  <c r="B38" i="7"/>
  <c r="D38" i="7"/>
  <c r="A39" i="7"/>
  <c r="E38" i="7"/>
  <c r="C38" i="7"/>
  <c r="F38" i="7"/>
  <c r="A40" i="7" l="1"/>
  <c r="F39" i="7"/>
  <c r="E39" i="7"/>
  <c r="C39" i="7"/>
  <c r="B39" i="7"/>
  <c r="D39" i="7"/>
  <c r="G39" i="7" s="1"/>
  <c r="G38" i="7"/>
  <c r="I38" i="7" s="1"/>
  <c r="I39" i="7" s="1"/>
  <c r="H38" i="7"/>
  <c r="J38" i="7" s="1"/>
  <c r="H39" i="7" l="1"/>
  <c r="J39" i="7" s="1"/>
  <c r="C40" i="7"/>
  <c r="A41" i="7"/>
  <c r="E40" i="7"/>
  <c r="B40" i="7"/>
  <c r="F40" i="7"/>
  <c r="D40" i="7"/>
  <c r="G40" i="7" s="1"/>
  <c r="I40" i="7" s="1"/>
  <c r="A42" i="7" l="1"/>
  <c r="E41" i="7"/>
  <c r="D41" i="7"/>
  <c r="C41" i="7"/>
  <c r="B41" i="7"/>
  <c r="F41" i="7"/>
  <c r="H40" i="7"/>
  <c r="J40" i="7" s="1"/>
  <c r="G41" i="7" l="1"/>
  <c r="I41" i="7" s="1"/>
  <c r="H41" i="7"/>
  <c r="J41" i="7" s="1"/>
  <c r="B42" i="7"/>
  <c r="E42" i="7"/>
  <c r="D42" i="7"/>
  <c r="F42" i="7"/>
  <c r="A43" i="7"/>
  <c r="C42" i="7"/>
  <c r="G42" i="7" l="1"/>
  <c r="I42" i="7" s="1"/>
  <c r="H42" i="7"/>
  <c r="J42" i="7" s="1"/>
  <c r="F43" i="7"/>
  <c r="A44" i="7"/>
  <c r="E43" i="7"/>
  <c r="B43" i="7"/>
  <c r="D43" i="7"/>
  <c r="C43" i="7"/>
  <c r="H43" i="7" l="1"/>
  <c r="J43" i="7"/>
  <c r="D44" i="7"/>
  <c r="C44" i="7"/>
  <c r="A45" i="7"/>
  <c r="F44" i="7"/>
  <c r="E44" i="7"/>
  <c r="B44" i="7"/>
  <c r="G43" i="7"/>
  <c r="I43" i="7" s="1"/>
  <c r="D45" i="7" l="1"/>
  <c r="E45" i="7"/>
  <c r="C45" i="7"/>
  <c r="B45" i="7"/>
  <c r="F45" i="7"/>
  <c r="A46" i="7"/>
  <c r="H44" i="7"/>
  <c r="J44" i="7" s="1"/>
  <c r="G44" i="7"/>
  <c r="I44" i="7" s="1"/>
  <c r="F46" i="7" l="1"/>
  <c r="E46" i="7"/>
  <c r="C46" i="7"/>
  <c r="B46" i="7"/>
  <c r="A47" i="7"/>
  <c r="D46" i="7"/>
  <c r="H45" i="7"/>
  <c r="J45" i="7" s="1"/>
  <c r="G45" i="7"/>
  <c r="I45" i="7" s="1"/>
  <c r="G46" i="7" l="1"/>
  <c r="I46" i="7" s="1"/>
  <c r="B47" i="7"/>
  <c r="F47" i="7"/>
  <c r="A48" i="7"/>
  <c r="E47" i="7"/>
  <c r="D47" i="7"/>
  <c r="C47" i="7"/>
  <c r="H46" i="7"/>
  <c r="J46" i="7" s="1"/>
  <c r="G47" i="7" l="1"/>
  <c r="I47" i="7"/>
  <c r="H47" i="7"/>
  <c r="J47" i="7" s="1"/>
  <c r="E48" i="7"/>
  <c r="D48" i="7"/>
  <c r="C48" i="7"/>
  <c r="B48" i="7"/>
  <c r="A49" i="7"/>
  <c r="F48" i="7"/>
  <c r="G48" i="7" l="1"/>
  <c r="I48" i="7" s="1"/>
  <c r="F49" i="7"/>
  <c r="E49" i="7"/>
  <c r="A50" i="7"/>
  <c r="C49" i="7"/>
  <c r="D49" i="7"/>
  <c r="B49" i="7"/>
  <c r="H48" i="7"/>
  <c r="J48" i="7" s="1"/>
  <c r="G49" i="7" l="1"/>
  <c r="I49" i="7" s="1"/>
  <c r="H49" i="7"/>
  <c r="J49" i="7" s="1"/>
  <c r="A51" i="7"/>
  <c r="F50" i="7"/>
  <c r="E50" i="7"/>
  <c r="D50" i="7"/>
  <c r="C50" i="7"/>
  <c r="B50" i="7"/>
  <c r="H50" i="7" l="1"/>
  <c r="J50" i="7"/>
  <c r="G50" i="7"/>
  <c r="E51" i="7"/>
  <c r="D51" i="7"/>
  <c r="B51" i="7"/>
  <c r="F51" i="7"/>
  <c r="C51" i="7"/>
  <c r="A52" i="7"/>
  <c r="I50" i="7"/>
  <c r="G51" i="7" l="1"/>
  <c r="I51" i="7" s="1"/>
  <c r="F52" i="7"/>
  <c r="E52" i="7"/>
  <c r="A53" i="7"/>
  <c r="C52" i="7"/>
  <c r="D52" i="7"/>
  <c r="B52" i="7"/>
  <c r="H51" i="7"/>
  <c r="J51" i="7" s="1"/>
  <c r="G52" i="7" l="1"/>
  <c r="I52" i="7" s="1"/>
  <c r="H52" i="7"/>
  <c r="J52" i="7" s="1"/>
  <c r="F53" i="7"/>
  <c r="D53" i="7"/>
  <c r="C53" i="7"/>
  <c r="E53" i="7"/>
  <c r="B53" i="7"/>
  <c r="A54" i="7"/>
  <c r="H53" i="7" l="1"/>
  <c r="J53" i="7"/>
  <c r="G53" i="7"/>
  <c r="I53" i="7" s="1"/>
  <c r="D54" i="7"/>
  <c r="A55" i="7"/>
  <c r="F54" i="7"/>
  <c r="E54" i="7"/>
  <c r="C54" i="7"/>
  <c r="B54" i="7"/>
  <c r="H54" i="7" l="1"/>
  <c r="J54" i="7" s="1"/>
  <c r="E55" i="7"/>
  <c r="C55" i="7"/>
  <c r="B55" i="7"/>
  <c r="D55" i="7"/>
  <c r="A56" i="7"/>
  <c r="F55" i="7"/>
  <c r="G54" i="7"/>
  <c r="I54" i="7" s="1"/>
  <c r="G55" i="7" l="1"/>
  <c r="I55" i="7" s="1"/>
  <c r="B56" i="7"/>
  <c r="A57" i="7"/>
  <c r="F56" i="7"/>
  <c r="D56" i="7"/>
  <c r="C56" i="7"/>
  <c r="E56" i="7"/>
  <c r="H55" i="7"/>
  <c r="J55" i="7" s="1"/>
  <c r="D57" i="7" l="1"/>
  <c r="B57" i="7"/>
  <c r="A58" i="7"/>
  <c r="F57" i="7"/>
  <c r="E57" i="7"/>
  <c r="C57" i="7"/>
  <c r="H56" i="7"/>
  <c r="J56" i="7" s="1"/>
  <c r="G56" i="7"/>
  <c r="I56" i="7" s="1"/>
  <c r="H57" i="7" l="1"/>
  <c r="J57" i="7" s="1"/>
  <c r="A59" i="7"/>
  <c r="D58" i="7"/>
  <c r="C58" i="7"/>
  <c r="B58" i="7"/>
  <c r="F58" i="7"/>
  <c r="E58" i="7"/>
  <c r="G57" i="7"/>
  <c r="I57" i="7" s="1"/>
  <c r="H58" i="7" l="1"/>
  <c r="J58" i="7" s="1"/>
  <c r="G58" i="7"/>
  <c r="I58" i="7" s="1"/>
  <c r="C59" i="7"/>
  <c r="F59" i="7"/>
  <c r="A60" i="7"/>
  <c r="E59" i="7"/>
  <c r="D59" i="7"/>
  <c r="G59" i="7" s="1"/>
  <c r="B59" i="7"/>
  <c r="I59" i="7" l="1"/>
  <c r="C60" i="7"/>
  <c r="B60" i="7"/>
  <c r="A61" i="7"/>
  <c r="F60" i="7"/>
  <c r="E60" i="7"/>
  <c r="D60" i="7"/>
  <c r="G60" i="7" s="1"/>
  <c r="I60" i="7" s="1"/>
  <c r="H59" i="7"/>
  <c r="J59" i="7"/>
  <c r="F61" i="7" l="1"/>
  <c r="B61" i="7"/>
  <c r="A62" i="7"/>
  <c r="E61" i="7"/>
  <c r="D61" i="7"/>
  <c r="G61" i="7" s="1"/>
  <c r="I61" i="7" s="1"/>
  <c r="C61" i="7"/>
  <c r="H60" i="7"/>
  <c r="J60" i="7" s="1"/>
  <c r="A63" i="7" l="1"/>
  <c r="E62" i="7"/>
  <c r="D62" i="7"/>
  <c r="B62" i="7"/>
  <c r="F62" i="7"/>
  <c r="C62" i="7"/>
  <c r="H61" i="7"/>
  <c r="J61" i="7" s="1"/>
  <c r="G62" i="7" l="1"/>
  <c r="I62" i="7" s="1"/>
  <c r="H62" i="7"/>
  <c r="J62" i="7" s="1"/>
  <c r="D63" i="7"/>
  <c r="A64" i="7"/>
  <c r="E63" i="7"/>
  <c r="F63" i="7"/>
  <c r="C63" i="7"/>
  <c r="B63" i="7"/>
  <c r="H63" i="7" l="1"/>
  <c r="J63" i="7" s="1"/>
  <c r="F64" i="7"/>
  <c r="D64" i="7"/>
  <c r="C64" i="7"/>
  <c r="H64" i="7" s="1"/>
  <c r="A65" i="7"/>
  <c r="E64" i="7"/>
  <c r="B64" i="7"/>
  <c r="G63" i="7"/>
  <c r="I63" i="7" s="1"/>
  <c r="J64" i="7" l="1"/>
  <c r="B65" i="7"/>
  <c r="F65" i="7"/>
  <c r="A66" i="7"/>
  <c r="E65" i="7"/>
  <c r="D65" i="7"/>
  <c r="C65" i="7"/>
  <c r="G64" i="7"/>
  <c r="I64" i="7" s="1"/>
  <c r="H65" i="7" l="1"/>
  <c r="J65" i="7" s="1"/>
  <c r="G65" i="7"/>
  <c r="I65" i="7" s="1"/>
  <c r="F66" i="7"/>
  <c r="E66" i="7"/>
  <c r="C66" i="7"/>
  <c r="B66" i="7"/>
  <c r="A67" i="7"/>
  <c r="D66" i="7"/>
  <c r="G66" i="7" s="1"/>
  <c r="I66" i="7" l="1"/>
  <c r="C67" i="7"/>
  <c r="B67" i="7"/>
  <c r="F67" i="7"/>
  <c r="E67" i="7"/>
  <c r="D67" i="7"/>
  <c r="A68" i="7"/>
  <c r="H66" i="7"/>
  <c r="J66" i="7"/>
  <c r="G67" i="7" l="1"/>
  <c r="I67" i="7" s="1"/>
  <c r="F68" i="7"/>
  <c r="E68" i="7"/>
  <c r="A69" i="7"/>
  <c r="D68" i="7"/>
  <c r="C68" i="7"/>
  <c r="B68" i="7"/>
  <c r="H67" i="7"/>
  <c r="J67" i="7" s="1"/>
  <c r="H68" i="7" l="1"/>
  <c r="J68" i="7" s="1"/>
  <c r="G68" i="7"/>
  <c r="I68" i="7" s="1"/>
  <c r="E69" i="7"/>
  <c r="D69" i="7"/>
  <c r="G69" i="7" s="1"/>
  <c r="B69" i="7"/>
  <c r="A70" i="7"/>
  <c r="C69" i="7"/>
  <c r="F69" i="7"/>
  <c r="H69" i="7" l="1"/>
  <c r="J69" i="7" s="1"/>
  <c r="F70" i="7"/>
  <c r="E70" i="7"/>
  <c r="D70" i="7"/>
  <c r="A71" i="7"/>
  <c r="C70" i="7"/>
  <c r="B70" i="7"/>
  <c r="I69" i="7"/>
  <c r="G70" i="7" l="1"/>
  <c r="I70" i="7" s="1"/>
  <c r="H70" i="7"/>
  <c r="J70" i="7" s="1"/>
  <c r="F71" i="7"/>
  <c r="D71" i="7"/>
  <c r="C71" i="7"/>
  <c r="E71" i="7"/>
  <c r="B71" i="7"/>
  <c r="A72" i="7"/>
  <c r="D72" i="7" l="1"/>
  <c r="E72" i="7"/>
  <c r="C72" i="7"/>
  <c r="F72" i="7"/>
  <c r="B72" i="7"/>
  <c r="A73" i="7"/>
  <c r="G71" i="7"/>
  <c r="I71" i="7" s="1"/>
  <c r="H71" i="7"/>
  <c r="J71" i="7" s="1"/>
  <c r="H72" i="7" l="1"/>
  <c r="J72" i="7" s="1"/>
  <c r="F73" i="7"/>
  <c r="E73" i="7"/>
  <c r="A74" i="7"/>
  <c r="D73" i="7"/>
  <c r="C73" i="7"/>
  <c r="H73" i="7" s="1"/>
  <c r="B73" i="7"/>
  <c r="G72" i="7"/>
  <c r="I72" i="7" s="1"/>
  <c r="J73" i="7" l="1"/>
  <c r="G73" i="7"/>
  <c r="I73" i="7" s="1"/>
  <c r="B74" i="7"/>
  <c r="F74" i="7"/>
  <c r="D74" i="7"/>
  <c r="C74" i="7"/>
  <c r="E74" i="7"/>
  <c r="A75" i="7"/>
  <c r="A76" i="7" l="1"/>
  <c r="E75" i="7"/>
  <c r="C75" i="7"/>
  <c r="F75" i="7"/>
  <c r="D75" i="7"/>
  <c r="G75" i="7" s="1"/>
  <c r="B75" i="7"/>
  <c r="H74" i="7"/>
  <c r="J74" i="7" s="1"/>
  <c r="G74" i="7"/>
  <c r="I74" i="7" s="1"/>
  <c r="I75" i="7" s="1"/>
  <c r="H75" i="7" l="1"/>
  <c r="J75" i="7" s="1"/>
  <c r="E76" i="7"/>
  <c r="C76" i="7"/>
  <c r="B76" i="7"/>
  <c r="D76" i="7"/>
  <c r="G76" i="7" s="1"/>
  <c r="I76" i="7" s="1"/>
  <c r="A77" i="7"/>
  <c r="F76" i="7"/>
  <c r="A78" i="7" l="1"/>
  <c r="D77" i="7"/>
  <c r="C77" i="7"/>
  <c r="F77" i="7"/>
  <c r="E77" i="7"/>
  <c r="B77" i="7"/>
  <c r="H76" i="7"/>
  <c r="J76" i="7" s="1"/>
  <c r="H77" i="7" l="1"/>
  <c r="J77" i="7" s="1"/>
  <c r="G77" i="7"/>
  <c r="I77" i="7" s="1"/>
  <c r="D78" i="7"/>
  <c r="B78" i="7"/>
  <c r="F78" i="7"/>
  <c r="C78" i="7"/>
  <c r="E78" i="7"/>
  <c r="A79" i="7"/>
  <c r="H78" i="7" l="1"/>
  <c r="J78" i="7" s="1"/>
  <c r="F79" i="7"/>
  <c r="A80" i="7"/>
  <c r="D79" i="7"/>
  <c r="E79" i="7"/>
  <c r="B79" i="7"/>
  <c r="C79" i="7"/>
  <c r="G78" i="7"/>
  <c r="I78" i="7" s="1"/>
  <c r="H79" i="7" l="1"/>
  <c r="J79" i="7" s="1"/>
  <c r="G79" i="7"/>
  <c r="I79" i="7" s="1"/>
  <c r="C80" i="7"/>
  <c r="F80" i="7"/>
  <c r="E80" i="7"/>
  <c r="D80" i="7"/>
  <c r="B80" i="7"/>
  <c r="A81" i="7"/>
  <c r="G80" i="7" l="1"/>
  <c r="I80" i="7"/>
  <c r="D81" i="7"/>
  <c r="E81" i="7"/>
  <c r="C81" i="7"/>
  <c r="B81" i="7"/>
  <c r="A82" i="7"/>
  <c r="F81" i="7"/>
  <c r="H80" i="7"/>
  <c r="J80" i="7" s="1"/>
  <c r="B82" i="7" l="1"/>
  <c r="A83" i="7"/>
  <c r="F82" i="7"/>
  <c r="E82" i="7"/>
  <c r="D82" i="7"/>
  <c r="G82" i="7" s="1"/>
  <c r="C82" i="7"/>
  <c r="H81" i="7"/>
  <c r="J81" i="7" s="1"/>
  <c r="G81" i="7"/>
  <c r="I81" i="7" s="1"/>
  <c r="I82" i="7" s="1"/>
  <c r="B83" i="7" l="1"/>
  <c r="A84" i="7"/>
  <c r="F83" i="7"/>
  <c r="E83" i="7"/>
  <c r="D83" i="7"/>
  <c r="C83" i="7"/>
  <c r="H82" i="7"/>
  <c r="J82" i="7" s="1"/>
  <c r="H83" i="7" l="1"/>
  <c r="J83" i="7" s="1"/>
  <c r="G83" i="7"/>
  <c r="I83" i="7" s="1"/>
  <c r="A85" i="7"/>
  <c r="C84" i="7"/>
  <c r="F84" i="7"/>
  <c r="E84" i="7"/>
  <c r="D84" i="7"/>
  <c r="B84" i="7"/>
  <c r="D85" i="7" l="1"/>
  <c r="C85" i="7"/>
  <c r="A86" i="7"/>
  <c r="E85" i="7"/>
  <c r="F85" i="7"/>
  <c r="B85" i="7"/>
  <c r="G84" i="7"/>
  <c r="H84" i="7"/>
  <c r="J84" i="7" s="1"/>
  <c r="I84" i="7"/>
  <c r="H85" i="7" l="1"/>
  <c r="J85" i="7" s="1"/>
  <c r="E86" i="7"/>
  <c r="F86" i="7"/>
  <c r="D86" i="7"/>
  <c r="G86" i="7" s="1"/>
  <c r="B86" i="7"/>
  <c r="A87" i="7"/>
  <c r="C86" i="7"/>
  <c r="G85" i="7"/>
  <c r="I85" i="7" s="1"/>
  <c r="I86" i="7" s="1"/>
  <c r="F87" i="7" l="1"/>
  <c r="E87" i="7"/>
  <c r="C87" i="7"/>
  <c r="B87" i="7"/>
  <c r="A88" i="7"/>
  <c r="D87" i="7"/>
  <c r="H86" i="7"/>
  <c r="J86" i="7" s="1"/>
  <c r="F88" i="7" l="1"/>
  <c r="E88" i="7"/>
  <c r="D88" i="7"/>
  <c r="C88" i="7"/>
  <c r="B88" i="7"/>
  <c r="A89" i="7"/>
  <c r="G87" i="7"/>
  <c r="I87" i="7" s="1"/>
  <c r="H87" i="7"/>
  <c r="J87" i="7" s="1"/>
  <c r="H88" i="7" l="1"/>
  <c r="J88" i="7" s="1"/>
  <c r="F89" i="7"/>
  <c r="E89" i="7"/>
  <c r="A90" i="7"/>
  <c r="D89" i="7"/>
  <c r="B89" i="7"/>
  <c r="C89" i="7"/>
  <c r="G88" i="7"/>
  <c r="I88" i="7" s="1"/>
  <c r="H89" i="7" l="1"/>
  <c r="J89" i="7" s="1"/>
  <c r="G89" i="7"/>
  <c r="I89" i="7" s="1"/>
  <c r="D90" i="7"/>
  <c r="B90" i="7"/>
  <c r="A91" i="7"/>
  <c r="F90" i="7"/>
  <c r="E90" i="7"/>
  <c r="C90" i="7"/>
  <c r="F91" i="7" l="1"/>
  <c r="E91" i="7"/>
  <c r="D91" i="7"/>
  <c r="A92" i="7"/>
  <c r="C91" i="7"/>
  <c r="B91" i="7"/>
  <c r="H90" i="7"/>
  <c r="J90" i="7" s="1"/>
  <c r="G90" i="7"/>
  <c r="I90" i="7" s="1"/>
  <c r="H91" i="7" l="1"/>
  <c r="J91" i="7" s="1"/>
  <c r="B92" i="7"/>
  <c r="E92" i="7"/>
  <c r="D92" i="7"/>
  <c r="G92" i="7" s="1"/>
  <c r="A93" i="7"/>
  <c r="C92" i="7"/>
  <c r="F92" i="7"/>
  <c r="G91" i="7"/>
  <c r="I91" i="7" s="1"/>
  <c r="I92" i="7" s="1"/>
  <c r="H92" i="7" l="1"/>
  <c r="J92" i="7" s="1"/>
  <c r="E93" i="7"/>
  <c r="F93" i="7"/>
  <c r="D93" i="7"/>
  <c r="G93" i="7" s="1"/>
  <c r="I93" i="7" s="1"/>
  <c r="C93" i="7"/>
  <c r="A94" i="7"/>
  <c r="B93" i="7"/>
  <c r="H93" i="7" l="1"/>
  <c r="J93" i="7" s="1"/>
  <c r="E94" i="7"/>
  <c r="D94" i="7"/>
  <c r="A95" i="7"/>
  <c r="F94" i="7"/>
  <c r="C94" i="7"/>
  <c r="B94" i="7"/>
  <c r="G94" i="7" l="1"/>
  <c r="I94" i="7" s="1"/>
  <c r="H94" i="7"/>
  <c r="J94" i="7"/>
  <c r="D95" i="7"/>
  <c r="F95" i="7"/>
  <c r="E95" i="7"/>
  <c r="A96" i="7"/>
  <c r="C95" i="7"/>
  <c r="B95" i="7"/>
  <c r="H95" i="7" l="1"/>
  <c r="A97" i="7"/>
  <c r="E96" i="7"/>
  <c r="D96" i="7"/>
  <c r="B96" i="7"/>
  <c r="F96" i="7"/>
  <c r="C96" i="7"/>
  <c r="G95" i="7"/>
  <c r="I95" i="7" s="1"/>
  <c r="J95" i="7"/>
  <c r="H96" i="7" l="1"/>
  <c r="J96" i="7" s="1"/>
  <c r="G96" i="7"/>
  <c r="I96" i="7" s="1"/>
  <c r="F97" i="7"/>
  <c r="C97" i="7"/>
  <c r="E97" i="7"/>
  <c r="A98" i="7"/>
  <c r="D97" i="7"/>
  <c r="G97" i="7" s="1"/>
  <c r="B97" i="7"/>
  <c r="I97" i="7" l="1"/>
  <c r="A99" i="7"/>
  <c r="D98" i="7"/>
  <c r="F98" i="7"/>
  <c r="E98" i="7"/>
  <c r="C98" i="7"/>
  <c r="B98" i="7"/>
  <c r="H97" i="7"/>
  <c r="J97" i="7"/>
  <c r="H98" i="7" l="1"/>
  <c r="G98" i="7"/>
  <c r="I98" i="7" s="1"/>
  <c r="J98" i="7"/>
  <c r="D99" i="7"/>
  <c r="B99" i="7"/>
  <c r="F99" i="7"/>
  <c r="E99" i="7"/>
  <c r="A100" i="7"/>
  <c r="C99" i="7"/>
  <c r="A101" i="7" l="1"/>
  <c r="B100" i="7"/>
  <c r="D100" i="7"/>
  <c r="F100" i="7"/>
  <c r="E100" i="7"/>
  <c r="C100" i="7"/>
  <c r="H99" i="7"/>
  <c r="J99" i="7" s="1"/>
  <c r="G99" i="7"/>
  <c r="I99" i="7" s="1"/>
  <c r="H100" i="7" l="1"/>
  <c r="J100" i="7" s="1"/>
  <c r="G100" i="7"/>
  <c r="I100" i="7" s="1"/>
  <c r="B101" i="7"/>
  <c r="F101" i="7"/>
  <c r="A102" i="7"/>
  <c r="E101" i="7"/>
  <c r="D101" i="7"/>
  <c r="C101" i="7"/>
  <c r="H101" i="7" s="1"/>
  <c r="J101" i="7" l="1"/>
  <c r="G101" i="7"/>
  <c r="I101" i="7" s="1"/>
  <c r="A103" i="7"/>
  <c r="B102" i="7"/>
  <c r="F102" i="7"/>
  <c r="E102" i="7"/>
  <c r="D102" i="7"/>
  <c r="C102" i="7"/>
  <c r="G102" i="7" l="1"/>
  <c r="I102" i="7" s="1"/>
  <c r="H102" i="7"/>
  <c r="J102" i="7" s="1"/>
  <c r="F103" i="7"/>
  <c r="A104" i="7"/>
  <c r="B103" i="7"/>
  <c r="C103" i="7"/>
  <c r="E103" i="7"/>
  <c r="D103" i="7"/>
  <c r="G103" i="7" l="1"/>
  <c r="I103" i="7" s="1"/>
  <c r="H103" i="7"/>
  <c r="E104" i="7"/>
  <c r="D104" i="7"/>
  <c r="G104" i="7" s="1"/>
  <c r="B104" i="7"/>
  <c r="F104" i="7"/>
  <c r="A105" i="7"/>
  <c r="C104" i="7"/>
  <c r="J103" i="7"/>
  <c r="I104" i="7" l="1"/>
  <c r="H104" i="7"/>
  <c r="J104" i="7" s="1"/>
  <c r="F105" i="7"/>
  <c r="E105" i="7"/>
  <c r="A106" i="7"/>
  <c r="B105" i="7"/>
  <c r="D105" i="7"/>
  <c r="C105" i="7"/>
  <c r="H105" i="7" l="1"/>
  <c r="J105" i="7" s="1"/>
  <c r="G105" i="7"/>
  <c r="I105" i="7" s="1"/>
  <c r="F106" i="7"/>
  <c r="E106" i="7"/>
  <c r="D106" i="7"/>
  <c r="C106" i="7"/>
  <c r="A107" i="7"/>
  <c r="B106" i="7"/>
  <c r="H106" i="7" l="1"/>
  <c r="J106" i="7" s="1"/>
  <c r="F107" i="7"/>
  <c r="A108" i="7"/>
  <c r="D107" i="7"/>
  <c r="C107" i="7"/>
  <c r="B107" i="7"/>
  <c r="E107" i="7"/>
  <c r="G106" i="7"/>
  <c r="I106" i="7"/>
  <c r="H107" i="7" l="1"/>
  <c r="J107" i="7" s="1"/>
  <c r="G107" i="7"/>
  <c r="I107" i="7" s="1"/>
  <c r="D108" i="7"/>
  <c r="A109" i="7"/>
  <c r="C108" i="7"/>
  <c r="B108" i="7"/>
  <c r="F108" i="7"/>
  <c r="E108" i="7"/>
  <c r="F109" i="7" l="1"/>
  <c r="C109" i="7"/>
  <c r="B109" i="7"/>
  <c r="A110" i="7"/>
  <c r="E109" i="7"/>
  <c r="D109" i="7"/>
  <c r="H108" i="7"/>
  <c r="J108" i="7" s="1"/>
  <c r="G108" i="7"/>
  <c r="I108" i="7" s="1"/>
  <c r="B110" i="7" l="1"/>
  <c r="E110" i="7"/>
  <c r="F110" i="7"/>
  <c r="D110" i="7"/>
  <c r="C110" i="7"/>
  <c r="A111" i="7"/>
  <c r="H109" i="7"/>
  <c r="J109" i="7"/>
  <c r="G109" i="7"/>
  <c r="I109" i="7" s="1"/>
  <c r="H110" i="7" l="1"/>
  <c r="J110" i="7" s="1"/>
  <c r="G110" i="7"/>
  <c r="I110" i="7" s="1"/>
  <c r="F111" i="7"/>
  <c r="E111" i="7"/>
  <c r="C111" i="7"/>
  <c r="B111" i="7"/>
  <c r="A112" i="7"/>
  <c r="D111" i="7"/>
  <c r="G111" i="7" l="1"/>
  <c r="I111" i="7"/>
  <c r="F112" i="7"/>
  <c r="A113" i="7"/>
  <c r="B112" i="7"/>
  <c r="E112" i="7"/>
  <c r="D112" i="7"/>
  <c r="C112" i="7"/>
  <c r="H111" i="7"/>
  <c r="J111" i="7" s="1"/>
  <c r="H112" i="7" l="1"/>
  <c r="J112" i="7" s="1"/>
  <c r="G112" i="7"/>
  <c r="I112" i="7" s="1"/>
  <c r="F113" i="7"/>
  <c r="E113" i="7"/>
  <c r="B113" i="7"/>
  <c r="A114" i="7"/>
  <c r="D113" i="7"/>
  <c r="C113" i="7"/>
  <c r="H113" i="7" s="1"/>
  <c r="J113" i="7" l="1"/>
  <c r="G113" i="7"/>
  <c r="I113" i="7" s="1"/>
  <c r="E114" i="7"/>
  <c r="C114" i="7"/>
  <c r="B114" i="7"/>
  <c r="F114" i="7"/>
  <c r="D114" i="7"/>
  <c r="A115" i="7"/>
  <c r="G114" i="7" l="1"/>
  <c r="I114" i="7" s="1"/>
  <c r="H114" i="7"/>
  <c r="J114" i="7" s="1"/>
  <c r="F115" i="7"/>
  <c r="B115" i="7"/>
  <c r="A116" i="7"/>
  <c r="D115" i="7"/>
  <c r="E115" i="7"/>
  <c r="C115" i="7"/>
  <c r="H115" i="7" l="1"/>
  <c r="J115" i="7" s="1"/>
  <c r="G115" i="7"/>
  <c r="I115" i="7" s="1"/>
  <c r="D116" i="7"/>
  <c r="F116" i="7"/>
  <c r="C116" i="7"/>
  <c r="B116" i="7"/>
  <c r="A117" i="7"/>
  <c r="E116" i="7"/>
  <c r="D117" i="7" l="1"/>
  <c r="F117" i="7"/>
  <c r="A118" i="7"/>
  <c r="E117" i="7"/>
  <c r="C117" i="7"/>
  <c r="B117" i="7"/>
  <c r="H116" i="7"/>
  <c r="J116" i="7" s="1"/>
  <c r="G116" i="7"/>
  <c r="I116" i="7" s="1"/>
  <c r="H117" i="7" l="1"/>
  <c r="J117" i="7" s="1"/>
  <c r="C118" i="7"/>
  <c r="F118" i="7"/>
  <c r="E118" i="7"/>
  <c r="D118" i="7"/>
  <c r="B118" i="7"/>
  <c r="A119" i="7"/>
  <c r="G117" i="7"/>
  <c r="I117" i="7" s="1"/>
  <c r="B119" i="7" l="1"/>
  <c r="A120" i="7"/>
  <c r="E119" i="7"/>
  <c r="D119" i="7"/>
  <c r="C119" i="7"/>
  <c r="F119" i="7"/>
  <c r="G118" i="7"/>
  <c r="I118" i="7" s="1"/>
  <c r="H118" i="7"/>
  <c r="J118" i="7" s="1"/>
  <c r="B120" i="7" l="1"/>
  <c r="A121" i="7"/>
  <c r="C120" i="7"/>
  <c r="F120" i="7"/>
  <c r="E120" i="7"/>
  <c r="D120" i="7"/>
  <c r="H119" i="7"/>
  <c r="J119" i="7" s="1"/>
  <c r="G119" i="7"/>
  <c r="I119" i="7" s="1"/>
  <c r="G120" i="7" l="1"/>
  <c r="I120" i="7" s="1"/>
  <c r="H120" i="7"/>
  <c r="J120" i="7" s="1"/>
  <c r="A122" i="7"/>
  <c r="D121" i="7"/>
  <c r="C121" i="7"/>
  <c r="F121" i="7"/>
  <c r="E121" i="7"/>
  <c r="B121" i="7"/>
  <c r="H121" i="7" l="1"/>
  <c r="J121" i="7" s="1"/>
  <c r="G121" i="7"/>
  <c r="I121" i="7" s="1"/>
  <c r="F122" i="7"/>
  <c r="A123" i="7"/>
  <c r="D122" i="7"/>
  <c r="C122" i="7"/>
  <c r="B122" i="7"/>
  <c r="E122" i="7"/>
  <c r="G122" i="7" l="1"/>
  <c r="I122" i="7" s="1"/>
  <c r="A124" i="7"/>
  <c r="F123" i="7"/>
  <c r="D123" i="7"/>
  <c r="C123" i="7"/>
  <c r="B123" i="7"/>
  <c r="E123" i="7"/>
  <c r="H122" i="7"/>
  <c r="J122" i="7" s="1"/>
  <c r="H123" i="7" l="1"/>
  <c r="J123" i="7" s="1"/>
  <c r="G123" i="7"/>
  <c r="I123" i="7" s="1"/>
  <c r="F124" i="7"/>
  <c r="A125" i="7"/>
  <c r="E124" i="7"/>
  <c r="D124" i="7"/>
  <c r="C124" i="7"/>
  <c r="B124" i="7"/>
  <c r="H124" i="7" l="1"/>
  <c r="J124" i="7" s="1"/>
  <c r="A126" i="7"/>
  <c r="F125" i="7"/>
  <c r="E125" i="7"/>
  <c r="D125" i="7"/>
  <c r="C125" i="7"/>
  <c r="H125" i="7" s="1"/>
  <c r="B125" i="7"/>
  <c r="G124" i="7"/>
  <c r="I124" i="7" s="1"/>
  <c r="J125" i="7" l="1"/>
  <c r="G125" i="7"/>
  <c r="I125" i="7" s="1"/>
  <c r="D126" i="7"/>
  <c r="E126" i="7"/>
  <c r="C126" i="7"/>
  <c r="B126" i="7"/>
  <c r="F126" i="7"/>
  <c r="A127" i="7"/>
  <c r="A128" i="7" l="1"/>
  <c r="C127" i="7"/>
  <c r="F127" i="7"/>
  <c r="E127" i="7"/>
  <c r="D127" i="7"/>
  <c r="B127" i="7"/>
  <c r="H126" i="7"/>
  <c r="J126" i="7" s="1"/>
  <c r="G126" i="7"/>
  <c r="I126" i="7" s="1"/>
  <c r="G127" i="7" l="1"/>
  <c r="I127" i="7" s="1"/>
  <c r="H127" i="7"/>
  <c r="J127" i="7" s="1"/>
  <c r="B128" i="7"/>
  <c r="E128" i="7"/>
  <c r="D128" i="7"/>
  <c r="A129" i="7"/>
  <c r="C128" i="7"/>
  <c r="F128" i="7"/>
  <c r="H128" i="7" l="1"/>
  <c r="J128" i="7" s="1"/>
  <c r="A130" i="7"/>
  <c r="F129" i="7"/>
  <c r="E129" i="7"/>
  <c r="D129" i="7"/>
  <c r="C129" i="7"/>
  <c r="B129" i="7"/>
  <c r="G128" i="7"/>
  <c r="I128" i="7" s="1"/>
  <c r="H129" i="7" l="1"/>
  <c r="J129" i="7" s="1"/>
  <c r="C130" i="7"/>
  <c r="B130" i="7"/>
  <c r="E130" i="7"/>
  <c r="D130" i="7"/>
  <c r="G130" i="7" s="1"/>
  <c r="F130" i="7"/>
  <c r="A131" i="7"/>
  <c r="G129" i="7"/>
  <c r="I129" i="7" s="1"/>
  <c r="I130" i="7" s="1"/>
  <c r="F131" i="7" l="1"/>
  <c r="A132" i="7"/>
  <c r="C131" i="7"/>
  <c r="B131" i="7"/>
  <c r="E131" i="7"/>
  <c r="D131" i="7"/>
  <c r="H130" i="7"/>
  <c r="J130" i="7" s="1"/>
  <c r="H131" i="7" l="1"/>
  <c r="D132" i="7"/>
  <c r="B132" i="7"/>
  <c r="A133" i="7"/>
  <c r="C132" i="7"/>
  <c r="F132" i="7"/>
  <c r="E132" i="7"/>
  <c r="J131" i="7"/>
  <c r="G131" i="7"/>
  <c r="I131" i="7" s="1"/>
  <c r="H132" i="7" l="1"/>
  <c r="J132" i="7" s="1"/>
  <c r="F133" i="7"/>
  <c r="E133" i="7"/>
  <c r="A134" i="7"/>
  <c r="D133" i="7"/>
  <c r="G133" i="7" s="1"/>
  <c r="C133" i="7"/>
  <c r="B133" i="7"/>
  <c r="G132" i="7"/>
  <c r="I132" i="7" s="1"/>
  <c r="I133" i="7" s="1"/>
  <c r="H133" i="7" l="1"/>
  <c r="J133" i="7" s="1"/>
  <c r="E134" i="7"/>
  <c r="C134" i="7"/>
  <c r="B134" i="7"/>
  <c r="D134" i="7"/>
  <c r="F134" i="7"/>
  <c r="A135" i="7"/>
  <c r="G134" i="7" l="1"/>
  <c r="I134" i="7" s="1"/>
  <c r="D135" i="7"/>
  <c r="E135" i="7"/>
  <c r="C135" i="7"/>
  <c r="B135" i="7"/>
  <c r="A136" i="7"/>
  <c r="F135" i="7"/>
  <c r="H134" i="7"/>
  <c r="J134" i="7" s="1"/>
  <c r="F136" i="7" l="1"/>
  <c r="D136" i="7"/>
  <c r="C136" i="7"/>
  <c r="B136" i="7"/>
  <c r="E136" i="7"/>
  <c r="A137" i="7"/>
  <c r="H135" i="7"/>
  <c r="J135" i="7" s="1"/>
  <c r="G135" i="7"/>
  <c r="I135" i="7" s="1"/>
  <c r="B137" i="7" l="1"/>
  <c r="F137" i="7"/>
  <c r="D137" i="7"/>
  <c r="A138" i="7"/>
  <c r="E137" i="7"/>
  <c r="C137" i="7"/>
  <c r="H136" i="7"/>
  <c r="J136" i="7" s="1"/>
  <c r="G136" i="7"/>
  <c r="I136" i="7"/>
  <c r="H137" i="7" l="1"/>
  <c r="J137" i="7" s="1"/>
  <c r="E138" i="7"/>
  <c r="D138" i="7"/>
  <c r="G138" i="7" s="1"/>
  <c r="C138" i="7"/>
  <c r="F138" i="7"/>
  <c r="B138" i="7"/>
  <c r="A139" i="7"/>
  <c r="G137" i="7"/>
  <c r="I137" i="7" s="1"/>
  <c r="I138" i="7" s="1"/>
  <c r="H138" i="7" l="1"/>
  <c r="J138" i="7" s="1"/>
  <c r="E139" i="7"/>
  <c r="C139" i="7"/>
  <c r="D139" i="7"/>
  <c r="G139" i="7" s="1"/>
  <c r="I139" i="7" s="1"/>
  <c r="B139" i="7"/>
  <c r="F139" i="7"/>
  <c r="A140" i="7"/>
  <c r="F140" i="7" l="1"/>
  <c r="E140" i="7"/>
  <c r="D140" i="7"/>
  <c r="A141" i="7"/>
  <c r="C140" i="7"/>
  <c r="B140" i="7"/>
  <c r="H139" i="7"/>
  <c r="J139" i="7" s="1"/>
  <c r="G140" i="7" l="1"/>
  <c r="I140" i="7" s="1"/>
  <c r="H140" i="7"/>
  <c r="J140" i="7"/>
  <c r="D141" i="7"/>
  <c r="B141" i="7"/>
  <c r="F141" i="7"/>
  <c r="A142" i="7"/>
  <c r="E141" i="7"/>
  <c r="C141" i="7"/>
  <c r="H141" i="7" s="1"/>
  <c r="F142" i="7" l="1"/>
  <c r="A143" i="7"/>
  <c r="E142" i="7"/>
  <c r="C142" i="7"/>
  <c r="B142" i="7"/>
  <c r="D142" i="7"/>
  <c r="G141" i="7"/>
  <c r="I141" i="7" s="1"/>
  <c r="J141" i="7"/>
  <c r="G142" i="7" l="1"/>
  <c r="I142" i="7" s="1"/>
  <c r="C143" i="7"/>
  <c r="D143" i="7"/>
  <c r="B143" i="7"/>
  <c r="A144" i="7"/>
  <c r="F143" i="7"/>
  <c r="E143" i="7"/>
  <c r="H142" i="7"/>
  <c r="J142" i="7" s="1"/>
  <c r="D144" i="7" l="1"/>
  <c r="F144" i="7"/>
  <c r="E144" i="7"/>
  <c r="A145" i="7"/>
  <c r="C144" i="7"/>
  <c r="B144" i="7"/>
  <c r="G143" i="7"/>
  <c r="I143" i="7" s="1"/>
  <c r="H143" i="7"/>
  <c r="J143" i="7" s="1"/>
  <c r="G144" i="7" l="1"/>
  <c r="I144" i="7"/>
  <c r="H144" i="7"/>
  <c r="J144" i="7" s="1"/>
  <c r="B145" i="7"/>
  <c r="C145" i="7"/>
  <c r="E145" i="7"/>
  <c r="D145" i="7"/>
  <c r="A146" i="7"/>
  <c r="F145" i="7"/>
  <c r="G145" i="7" l="1"/>
  <c r="I145" i="7"/>
  <c r="B146" i="7"/>
  <c r="A147" i="7"/>
  <c r="D146" i="7"/>
  <c r="F146" i="7"/>
  <c r="E146" i="7"/>
  <c r="C146" i="7"/>
  <c r="H145" i="7"/>
  <c r="J145" i="7" s="1"/>
  <c r="H146" i="7" l="1"/>
  <c r="J146" i="7" s="1"/>
  <c r="G146" i="7"/>
  <c r="I146" i="7" s="1"/>
  <c r="D147" i="7"/>
  <c r="B147" i="7"/>
  <c r="A148" i="7"/>
  <c r="F147" i="7"/>
  <c r="C147" i="7"/>
  <c r="E147" i="7"/>
  <c r="A149" i="7" l="1"/>
  <c r="F148" i="7"/>
  <c r="E148" i="7"/>
  <c r="B148" i="7"/>
  <c r="D148" i="7"/>
  <c r="C148" i="7"/>
  <c r="H147" i="7"/>
  <c r="J147" i="7" s="1"/>
  <c r="G147" i="7"/>
  <c r="I147" i="7"/>
  <c r="H148" i="7" l="1"/>
  <c r="J148" i="7" s="1"/>
  <c r="G148" i="7"/>
  <c r="I148" i="7" s="1"/>
  <c r="E149" i="7"/>
  <c r="C149" i="7"/>
  <c r="B149" i="7"/>
  <c r="D149" i="7"/>
  <c r="F149" i="7"/>
  <c r="A150" i="7"/>
  <c r="G149" i="7" l="1"/>
  <c r="I149" i="7" s="1"/>
  <c r="F150" i="7"/>
  <c r="E150" i="7"/>
  <c r="C150" i="7"/>
  <c r="B150" i="7"/>
  <c r="A151" i="7"/>
  <c r="D150" i="7"/>
  <c r="H149" i="7"/>
  <c r="J149" i="7" s="1"/>
  <c r="G150" i="7" l="1"/>
  <c r="I150" i="7" s="1"/>
  <c r="F151" i="7"/>
  <c r="D151" i="7"/>
  <c r="C151" i="7"/>
  <c r="B151" i="7"/>
  <c r="A152" i="7"/>
  <c r="E151" i="7"/>
  <c r="H150" i="7"/>
  <c r="J150" i="7" s="1"/>
  <c r="F152" i="7" l="1"/>
  <c r="A153" i="7"/>
  <c r="E152" i="7"/>
  <c r="D152" i="7"/>
  <c r="C152" i="7"/>
  <c r="B152" i="7"/>
  <c r="H151" i="7"/>
  <c r="J151" i="7" s="1"/>
  <c r="G151" i="7"/>
  <c r="I151" i="7" s="1"/>
  <c r="J152" i="7" l="1"/>
  <c r="H152" i="7"/>
  <c r="G152" i="7"/>
  <c r="I152" i="7" s="1"/>
  <c r="D153" i="7"/>
  <c r="F153" i="7"/>
  <c r="E153" i="7"/>
  <c r="C153" i="7"/>
  <c r="B153" i="7"/>
  <c r="A154" i="7"/>
  <c r="H153" i="7" l="1"/>
  <c r="J153" i="7" s="1"/>
  <c r="E154" i="7"/>
  <c r="A155" i="7"/>
  <c r="F154" i="7"/>
  <c r="D154" i="7"/>
  <c r="G154" i="7" s="1"/>
  <c r="C154" i="7"/>
  <c r="B154" i="7"/>
  <c r="G153" i="7"/>
  <c r="I153" i="7" s="1"/>
  <c r="I154" i="7" s="1"/>
  <c r="B155" i="7" l="1"/>
  <c r="F155" i="7"/>
  <c r="E155" i="7"/>
  <c r="D155" i="7"/>
  <c r="G155" i="7" s="1"/>
  <c r="C155" i="7"/>
  <c r="A156" i="7"/>
  <c r="I155" i="7"/>
  <c r="H154" i="7"/>
  <c r="J154" i="7" s="1"/>
  <c r="F156" i="7" l="1"/>
  <c r="D156" i="7"/>
  <c r="C156" i="7"/>
  <c r="B156" i="7"/>
  <c r="A157" i="7"/>
  <c r="E156" i="7"/>
  <c r="H155" i="7"/>
  <c r="J155" i="7" s="1"/>
  <c r="F157" i="7" l="1"/>
  <c r="D157" i="7"/>
  <c r="E157" i="7"/>
  <c r="B157" i="7"/>
  <c r="A158" i="7"/>
  <c r="C157" i="7"/>
  <c r="G156" i="7"/>
  <c r="I156" i="7" s="1"/>
  <c r="H156" i="7"/>
  <c r="J156" i="7" s="1"/>
  <c r="H157" i="7" l="1"/>
  <c r="J157" i="7" s="1"/>
  <c r="G157" i="7"/>
  <c r="I157" i="7" s="1"/>
  <c r="E158" i="7"/>
  <c r="C158" i="7"/>
  <c r="A159" i="7"/>
  <c r="F158" i="7"/>
  <c r="D158" i="7"/>
  <c r="B158" i="7"/>
  <c r="G158" i="7" l="1"/>
  <c r="I158" i="7" s="1"/>
  <c r="A160" i="7"/>
  <c r="F159" i="7"/>
  <c r="E159" i="7"/>
  <c r="D159" i="7"/>
  <c r="G159" i="7" s="1"/>
  <c r="C159" i="7"/>
  <c r="B159" i="7"/>
  <c r="H158" i="7"/>
  <c r="J158" i="7" s="1"/>
  <c r="H159" i="7" l="1"/>
  <c r="J159" i="7" s="1"/>
  <c r="I159" i="7"/>
  <c r="F160" i="7"/>
  <c r="D160" i="7"/>
  <c r="B160" i="7"/>
  <c r="C160" i="7"/>
  <c r="A161" i="7"/>
  <c r="E160" i="7"/>
  <c r="A162" i="7" l="1"/>
  <c r="F161" i="7"/>
  <c r="D161" i="7"/>
  <c r="C161" i="7"/>
  <c r="B161" i="7"/>
  <c r="E161" i="7"/>
  <c r="H160" i="7"/>
  <c r="J160" i="7" s="1"/>
  <c r="G160" i="7"/>
  <c r="I160" i="7" s="1"/>
  <c r="H161" i="7" l="1"/>
  <c r="G161" i="7"/>
  <c r="I161" i="7"/>
  <c r="J161" i="7"/>
  <c r="D162" i="7"/>
  <c r="E162" i="7"/>
  <c r="C162" i="7"/>
  <c r="F162" i="7"/>
  <c r="B162" i="7"/>
  <c r="A163" i="7"/>
  <c r="A164" i="7" l="1"/>
  <c r="D163" i="7"/>
  <c r="F163" i="7"/>
  <c r="E163" i="7"/>
  <c r="C163" i="7"/>
  <c r="B163" i="7"/>
  <c r="H162" i="7"/>
  <c r="J162" i="7" s="1"/>
  <c r="G162" i="7"/>
  <c r="I162" i="7"/>
  <c r="H163" i="7" l="1"/>
  <c r="J163" i="7" s="1"/>
  <c r="G163" i="7"/>
  <c r="I163" i="7" s="1"/>
  <c r="B164" i="7"/>
  <c r="D164" i="7"/>
  <c r="E164" i="7"/>
  <c r="A165" i="7"/>
  <c r="F164" i="7"/>
  <c r="C164" i="7"/>
  <c r="A166" i="7" l="1"/>
  <c r="C165" i="7"/>
  <c r="B165" i="7"/>
  <c r="E165" i="7"/>
  <c r="D165" i="7"/>
  <c r="F165" i="7"/>
  <c r="H164" i="7"/>
  <c r="J164" i="7" s="1"/>
  <c r="G164" i="7"/>
  <c r="I164" i="7" s="1"/>
  <c r="G165" i="7" l="1"/>
  <c r="I165" i="7" s="1"/>
  <c r="H165" i="7"/>
  <c r="J165" i="7" s="1"/>
  <c r="C166" i="7"/>
  <c r="E166" i="7"/>
  <c r="B166" i="7"/>
  <c r="A167" i="7"/>
  <c r="F166" i="7"/>
  <c r="D166" i="7"/>
  <c r="G166" i="7" s="1"/>
  <c r="I166" i="7" l="1"/>
  <c r="A168" i="7"/>
  <c r="D167" i="7"/>
  <c r="B167" i="7"/>
  <c r="F167" i="7"/>
  <c r="E167" i="7"/>
  <c r="C167" i="7"/>
  <c r="H166" i="7"/>
  <c r="J166" i="7" s="1"/>
  <c r="H167" i="7" l="1"/>
  <c r="J167" i="7" s="1"/>
  <c r="B168" i="7"/>
  <c r="E168" i="7"/>
  <c r="C168" i="7"/>
  <c r="D168" i="7"/>
  <c r="A169" i="7"/>
  <c r="F168" i="7"/>
  <c r="G167" i="7"/>
  <c r="I167" i="7" s="1"/>
  <c r="H168" i="7" l="1"/>
  <c r="J168" i="7" s="1"/>
  <c r="F169" i="7"/>
  <c r="A170" i="7"/>
  <c r="E169" i="7"/>
  <c r="D169" i="7"/>
  <c r="C169" i="7"/>
  <c r="B169" i="7"/>
  <c r="G168" i="7"/>
  <c r="I168" i="7" s="1"/>
  <c r="H169" i="7" l="1"/>
  <c r="J169" i="7" s="1"/>
  <c r="G169" i="7"/>
  <c r="I169" i="7" s="1"/>
  <c r="E170" i="7"/>
  <c r="C170" i="7"/>
  <c r="B170" i="7"/>
  <c r="A171" i="7"/>
  <c r="D170" i="7"/>
  <c r="G170" i="7" s="1"/>
  <c r="F170" i="7"/>
  <c r="I170" i="7" l="1"/>
  <c r="H170" i="7"/>
  <c r="D171" i="7"/>
  <c r="B171" i="7"/>
  <c r="A172" i="7"/>
  <c r="E171" i="7"/>
  <c r="C171" i="7"/>
  <c r="F171" i="7"/>
  <c r="J170" i="7"/>
  <c r="E172" i="7" l="1"/>
  <c r="C172" i="7"/>
  <c r="B172" i="7"/>
  <c r="D172" i="7"/>
  <c r="A173" i="7"/>
  <c r="F172" i="7"/>
  <c r="H171" i="7"/>
  <c r="J171" i="7" s="1"/>
  <c r="G171" i="7"/>
  <c r="I171" i="7" s="1"/>
  <c r="G172" i="7" l="1"/>
  <c r="I172" i="7" s="1"/>
  <c r="B173" i="7"/>
  <c r="F173" i="7"/>
  <c r="A174" i="7"/>
  <c r="E173" i="7"/>
  <c r="D173" i="7"/>
  <c r="G173" i="7" s="1"/>
  <c r="C173" i="7"/>
  <c r="H172" i="7"/>
  <c r="J172" i="7" s="1"/>
  <c r="H173" i="7" l="1"/>
  <c r="J173" i="7" s="1"/>
  <c r="F174" i="7"/>
  <c r="D174" i="7"/>
  <c r="C174" i="7"/>
  <c r="E174" i="7"/>
  <c r="B174" i="7"/>
  <c r="A175" i="7"/>
  <c r="I173" i="7"/>
  <c r="E175" i="7" l="1"/>
  <c r="C175" i="7"/>
  <c r="B175" i="7"/>
  <c r="A176" i="7"/>
  <c r="D175" i="7"/>
  <c r="F175" i="7"/>
  <c r="H174" i="7"/>
  <c r="J174" i="7" s="1"/>
  <c r="G174" i="7"/>
  <c r="I174" i="7" s="1"/>
  <c r="G175" i="7" l="1"/>
  <c r="I175" i="7" s="1"/>
  <c r="E176" i="7"/>
  <c r="D176" i="7"/>
  <c r="A177" i="7"/>
  <c r="B176" i="7"/>
  <c r="C176" i="7"/>
  <c r="F176" i="7"/>
  <c r="H175" i="7"/>
  <c r="J175" i="7" s="1"/>
  <c r="G176" i="7" l="1"/>
  <c r="I176" i="7"/>
  <c r="D177" i="7"/>
  <c r="E177" i="7"/>
  <c r="B177" i="7"/>
  <c r="F177" i="7"/>
  <c r="C177" i="7"/>
  <c r="A178" i="7"/>
  <c r="H176" i="7"/>
  <c r="J176" i="7" s="1"/>
  <c r="F178" i="7" l="1"/>
  <c r="E178" i="7"/>
  <c r="D178" i="7"/>
  <c r="C178" i="7"/>
  <c r="A179" i="7"/>
  <c r="B178" i="7"/>
  <c r="H177" i="7"/>
  <c r="J177" i="7" s="1"/>
  <c r="G177" i="7"/>
  <c r="I177" i="7" s="1"/>
  <c r="G178" i="7" l="1"/>
  <c r="I178" i="7" s="1"/>
  <c r="F179" i="7"/>
  <c r="C179" i="7"/>
  <c r="E179" i="7"/>
  <c r="B179" i="7"/>
  <c r="A180" i="7"/>
  <c r="D179" i="7"/>
  <c r="H178" i="7"/>
  <c r="J178" i="7" s="1"/>
  <c r="G179" i="7" l="1"/>
  <c r="I179" i="7" s="1"/>
  <c r="D180" i="7"/>
  <c r="A181" i="7"/>
  <c r="F180" i="7"/>
  <c r="E180" i="7"/>
  <c r="C180" i="7"/>
  <c r="H180" i="7" s="1"/>
  <c r="B180" i="7"/>
  <c r="H179" i="7"/>
  <c r="J179" i="7" s="1"/>
  <c r="J180" i="7" s="1"/>
  <c r="E181" i="7" l="1"/>
  <c r="B181" i="7"/>
  <c r="A182" i="7"/>
  <c r="C181" i="7"/>
  <c r="D181" i="7"/>
  <c r="F181" i="7"/>
  <c r="G180" i="7"/>
  <c r="I180" i="7" s="1"/>
  <c r="G181" i="7" l="1"/>
  <c r="I181" i="7" s="1"/>
  <c r="H181" i="7"/>
  <c r="J181" i="7" s="1"/>
  <c r="B182" i="7"/>
  <c r="A183" i="7"/>
  <c r="E182" i="7"/>
  <c r="C182" i="7"/>
  <c r="F182" i="7"/>
  <c r="D182" i="7"/>
  <c r="G182" i="7" s="1"/>
  <c r="I182" i="7" l="1"/>
  <c r="D183" i="7"/>
  <c r="B183" i="7"/>
  <c r="C183" i="7"/>
  <c r="A184" i="7"/>
  <c r="F183" i="7"/>
  <c r="E183" i="7"/>
  <c r="H182" i="7"/>
  <c r="J182" i="7" s="1"/>
  <c r="A185" i="7" l="1"/>
  <c r="F184" i="7"/>
  <c r="E184" i="7"/>
  <c r="C184" i="7"/>
  <c r="B184" i="7"/>
  <c r="D184" i="7"/>
  <c r="G184" i="7" s="1"/>
  <c r="H183" i="7"/>
  <c r="J183" i="7" s="1"/>
  <c r="G183" i="7"/>
  <c r="I183" i="7" s="1"/>
  <c r="I184" i="7" s="1"/>
  <c r="C185" i="7" l="1"/>
  <c r="D185" i="7"/>
  <c r="B185" i="7"/>
  <c r="A186" i="7"/>
  <c r="F185" i="7"/>
  <c r="E185" i="7"/>
  <c r="H184" i="7"/>
  <c r="J184" i="7" s="1"/>
  <c r="A187" i="7" l="1"/>
  <c r="F186" i="7"/>
  <c r="D186" i="7"/>
  <c r="E186" i="7"/>
  <c r="C186" i="7"/>
  <c r="B186" i="7"/>
  <c r="G185" i="7"/>
  <c r="I185" i="7" s="1"/>
  <c r="H185" i="7"/>
  <c r="J185" i="7" s="1"/>
  <c r="H186" i="7" l="1"/>
  <c r="J186" i="7" s="1"/>
  <c r="G186" i="7"/>
  <c r="I186" i="7" s="1"/>
  <c r="F187" i="7"/>
  <c r="B187" i="7"/>
  <c r="E187" i="7"/>
  <c r="C187" i="7"/>
  <c r="D187" i="7"/>
  <c r="A188" i="7"/>
  <c r="G187" i="7" l="1"/>
  <c r="I187" i="7" s="1"/>
  <c r="A189" i="7"/>
  <c r="B188" i="7"/>
  <c r="F188" i="7"/>
  <c r="E188" i="7"/>
  <c r="C188" i="7"/>
  <c r="D188" i="7"/>
  <c r="G188" i="7" s="1"/>
  <c r="I188" i="7" s="1"/>
  <c r="H187" i="7"/>
  <c r="J187" i="7" s="1"/>
  <c r="H188" i="7" l="1"/>
  <c r="J188" i="7" s="1"/>
  <c r="D189" i="7"/>
  <c r="E189" i="7"/>
  <c r="C189" i="7"/>
  <c r="A190" i="7"/>
  <c r="F189" i="7"/>
  <c r="B189" i="7"/>
  <c r="C190" i="7" l="1"/>
  <c r="A191" i="7"/>
  <c r="F190" i="7"/>
  <c r="E190" i="7"/>
  <c r="B190" i="7"/>
  <c r="D190" i="7"/>
  <c r="H189" i="7"/>
  <c r="J189" i="7" s="1"/>
  <c r="G189" i="7"/>
  <c r="I189" i="7" s="1"/>
  <c r="G190" i="7" l="1"/>
  <c r="I190" i="7" s="1"/>
  <c r="B191" i="7"/>
  <c r="F191" i="7"/>
  <c r="E191" i="7"/>
  <c r="A192" i="7"/>
  <c r="D191" i="7"/>
  <c r="G191" i="7" s="1"/>
  <c r="C191" i="7"/>
  <c r="H190" i="7"/>
  <c r="J190" i="7" s="1"/>
  <c r="H191" i="7" l="1"/>
  <c r="J191" i="7" s="1"/>
  <c r="I191" i="7"/>
  <c r="F192" i="7"/>
  <c r="E192" i="7"/>
  <c r="D192" i="7"/>
  <c r="C192" i="7"/>
  <c r="A193" i="7"/>
  <c r="B192" i="7"/>
  <c r="G192" i="7" l="1"/>
  <c r="I192" i="7" s="1"/>
  <c r="F193" i="7"/>
  <c r="A194" i="7"/>
  <c r="E193" i="7"/>
  <c r="B193" i="7"/>
  <c r="D193" i="7"/>
  <c r="G193" i="7" s="1"/>
  <c r="C193" i="7"/>
  <c r="H192" i="7"/>
  <c r="J192" i="7" s="1"/>
  <c r="H193" i="7" l="1"/>
  <c r="J193" i="7" s="1"/>
  <c r="E194" i="7"/>
  <c r="A195" i="7"/>
  <c r="C194" i="7"/>
  <c r="B194" i="7"/>
  <c r="F194" i="7"/>
  <c r="D194" i="7"/>
  <c r="G194" i="7" s="1"/>
  <c r="I193" i="7"/>
  <c r="I194" i="7" s="1"/>
  <c r="H194" i="7" l="1"/>
  <c r="J194" i="7" s="1"/>
  <c r="D195" i="7"/>
  <c r="B195" i="7"/>
  <c r="A196" i="7"/>
  <c r="E195" i="7"/>
  <c r="C195" i="7"/>
  <c r="F195" i="7"/>
  <c r="H195" i="7" l="1"/>
  <c r="J195" i="7" s="1"/>
  <c r="F196" i="7"/>
  <c r="D196" i="7"/>
  <c r="A197" i="7"/>
  <c r="E196" i="7"/>
  <c r="C196" i="7"/>
  <c r="B196" i="7"/>
  <c r="G195" i="7"/>
  <c r="I195" i="7" s="1"/>
  <c r="H196" i="7" l="1"/>
  <c r="J196" i="7" s="1"/>
  <c r="A198" i="7"/>
  <c r="F197" i="7"/>
  <c r="E197" i="7"/>
  <c r="D197" i="7"/>
  <c r="B197" i="7"/>
  <c r="C197" i="7"/>
  <c r="G196" i="7"/>
  <c r="I196" i="7" s="1"/>
  <c r="H197" i="7" l="1"/>
  <c r="J197" i="7" s="1"/>
  <c r="G197" i="7"/>
  <c r="I197" i="7" s="1"/>
  <c r="D198" i="7"/>
  <c r="C198" i="7"/>
  <c r="B198" i="7"/>
  <c r="A199" i="7"/>
  <c r="E198" i="7"/>
  <c r="F198" i="7"/>
  <c r="G198" i="7" l="1"/>
  <c r="I198" i="7" s="1"/>
  <c r="A200" i="7"/>
  <c r="D199" i="7"/>
  <c r="F199" i="7"/>
  <c r="E199" i="7"/>
  <c r="C199" i="7"/>
  <c r="B199" i="7"/>
  <c r="H198" i="7"/>
  <c r="J198" i="7" s="1"/>
  <c r="H199" i="7" l="1"/>
  <c r="J199" i="7" s="1"/>
  <c r="G199" i="7"/>
  <c r="I199" i="7" s="1"/>
  <c r="B200" i="7"/>
  <c r="F200" i="7"/>
  <c r="C200" i="7"/>
  <c r="D200" i="7"/>
  <c r="A201" i="7"/>
  <c r="E200" i="7"/>
  <c r="E201" i="7" l="1"/>
  <c r="D201" i="7"/>
  <c r="B201" i="7"/>
  <c r="A202" i="7"/>
  <c r="F201" i="7"/>
  <c r="C201" i="7"/>
  <c r="G200" i="7"/>
  <c r="I200" i="7" s="1"/>
  <c r="H200" i="7"/>
  <c r="J200" i="7" s="1"/>
  <c r="J201" i="7" l="1"/>
  <c r="H201" i="7"/>
  <c r="E202" i="7"/>
  <c r="B202" i="7"/>
  <c r="F202" i="7"/>
  <c r="C202" i="7"/>
  <c r="A203" i="7"/>
  <c r="D202" i="7"/>
  <c r="G202" i="7" s="1"/>
  <c r="G201" i="7"/>
  <c r="I201" i="7" s="1"/>
  <c r="I202" i="7" s="1"/>
  <c r="A204" i="7" l="1"/>
  <c r="F203" i="7"/>
  <c r="D203" i="7"/>
  <c r="C203" i="7"/>
  <c r="B203" i="7"/>
  <c r="E203" i="7"/>
  <c r="H202" i="7"/>
  <c r="J202" i="7" s="1"/>
  <c r="H203" i="7" l="1"/>
  <c r="J203" i="7" s="1"/>
  <c r="G203" i="7"/>
  <c r="I203" i="7" s="1"/>
  <c r="F204" i="7"/>
  <c r="D204" i="7"/>
  <c r="C204" i="7"/>
  <c r="H204" i="7" s="1"/>
  <c r="B204" i="7"/>
  <c r="A205" i="7"/>
  <c r="E204" i="7"/>
  <c r="J204" i="7" l="1"/>
  <c r="F205" i="7"/>
  <c r="B205" i="7"/>
  <c r="A206" i="7"/>
  <c r="E205" i="7"/>
  <c r="D205" i="7"/>
  <c r="G205" i="7" s="1"/>
  <c r="C205" i="7"/>
  <c r="G204" i="7"/>
  <c r="I204" i="7"/>
  <c r="I205" i="7" s="1"/>
  <c r="H205" i="7" l="1"/>
  <c r="J205" i="7" s="1"/>
  <c r="E206" i="7"/>
  <c r="C206" i="7"/>
  <c r="A207" i="7"/>
  <c r="D206" i="7"/>
  <c r="F206" i="7"/>
  <c r="B206" i="7"/>
  <c r="G206" i="7" l="1"/>
  <c r="I206" i="7" s="1"/>
  <c r="H206" i="7"/>
  <c r="J206" i="7" s="1"/>
  <c r="D207" i="7"/>
  <c r="E207" i="7"/>
  <c r="B207" i="7"/>
  <c r="A208" i="7"/>
  <c r="C207" i="7"/>
  <c r="F207" i="7"/>
  <c r="H207" i="7" l="1"/>
  <c r="J207" i="7" s="1"/>
  <c r="D208" i="7"/>
  <c r="B208" i="7"/>
  <c r="F208" i="7"/>
  <c r="C208" i="7"/>
  <c r="A209" i="7"/>
  <c r="E208" i="7"/>
  <c r="G207" i="7"/>
  <c r="I207" i="7" s="1"/>
  <c r="H208" i="7" l="1"/>
  <c r="G208" i="7"/>
  <c r="J208" i="7"/>
  <c r="I208" i="7"/>
  <c r="B209" i="7"/>
  <c r="A210" i="7"/>
  <c r="E209" i="7"/>
  <c r="D209" i="7"/>
  <c r="F209" i="7"/>
  <c r="C209" i="7"/>
  <c r="G209" i="7" l="1"/>
  <c r="H209" i="7"/>
  <c r="C210" i="7"/>
  <c r="A211" i="7"/>
  <c r="B210" i="7"/>
  <c r="F210" i="7"/>
  <c r="E210" i="7"/>
  <c r="D210" i="7"/>
  <c r="G210" i="7" s="1"/>
  <c r="I209" i="7"/>
  <c r="I210" i="7" s="1"/>
  <c r="J209" i="7"/>
  <c r="A212" i="7" l="1"/>
  <c r="F211" i="7"/>
  <c r="D211" i="7"/>
  <c r="C211" i="7"/>
  <c r="B211" i="7"/>
  <c r="E211" i="7"/>
  <c r="H210" i="7"/>
  <c r="J210" i="7" s="1"/>
  <c r="H211" i="7" l="1"/>
  <c r="J211" i="7" s="1"/>
  <c r="G211" i="7"/>
  <c r="I211" i="7" s="1"/>
  <c r="F212" i="7"/>
  <c r="B212" i="7"/>
  <c r="D212" i="7"/>
  <c r="C212" i="7"/>
  <c r="E212" i="7"/>
  <c r="A213" i="7"/>
  <c r="H212" i="7" l="1"/>
  <c r="J212" i="7"/>
  <c r="A214" i="7"/>
  <c r="D213" i="7"/>
  <c r="F213" i="7"/>
  <c r="E213" i="7"/>
  <c r="C213" i="7"/>
  <c r="B213" i="7"/>
  <c r="G212" i="7"/>
  <c r="I212" i="7"/>
  <c r="H213" i="7" l="1"/>
  <c r="J213" i="7" s="1"/>
  <c r="G213" i="7"/>
  <c r="I213" i="7" s="1"/>
  <c r="F214" i="7"/>
  <c r="D214" i="7"/>
  <c r="B214" i="7"/>
  <c r="C214" i="7"/>
  <c r="E214" i="7"/>
  <c r="A215" i="7"/>
  <c r="H214" i="7" l="1"/>
  <c r="J214" i="7" s="1"/>
  <c r="G214" i="7"/>
  <c r="I214" i="7" s="1"/>
  <c r="F215" i="7"/>
  <c r="E215" i="7"/>
  <c r="C215" i="7"/>
  <c r="B215" i="7"/>
  <c r="A216" i="7"/>
  <c r="D215" i="7"/>
  <c r="G215" i="7" s="1"/>
  <c r="D216" i="7" l="1"/>
  <c r="B216" i="7"/>
  <c r="C216" i="7"/>
  <c r="F216" i="7"/>
  <c r="E216" i="7"/>
  <c r="A217" i="7"/>
  <c r="H215" i="7"/>
  <c r="J215" i="7" s="1"/>
  <c r="I215" i="7"/>
  <c r="H216" i="7" l="1"/>
  <c r="J216" i="7" s="1"/>
  <c r="A218" i="7"/>
  <c r="F217" i="7"/>
  <c r="D217" i="7"/>
  <c r="C217" i="7"/>
  <c r="B217" i="7"/>
  <c r="E217" i="7"/>
  <c r="G216" i="7"/>
  <c r="I216" i="7" s="1"/>
  <c r="H217" i="7" l="1"/>
  <c r="J217" i="7" s="1"/>
  <c r="G217" i="7"/>
  <c r="I217" i="7" s="1"/>
  <c r="B218" i="7"/>
  <c r="D218" i="7"/>
  <c r="A219" i="7"/>
  <c r="C218" i="7"/>
  <c r="F218" i="7"/>
  <c r="E218" i="7"/>
  <c r="H218" i="7" l="1"/>
  <c r="J218" i="7" s="1"/>
  <c r="C219" i="7"/>
  <c r="A220" i="7"/>
  <c r="D219" i="7"/>
  <c r="B219" i="7"/>
  <c r="F219" i="7"/>
  <c r="E219" i="7"/>
  <c r="G218" i="7"/>
  <c r="I218" i="7" s="1"/>
  <c r="G219" i="7" l="1"/>
  <c r="I219" i="7" s="1"/>
  <c r="D220" i="7"/>
  <c r="B220" i="7"/>
  <c r="E220" i="7"/>
  <c r="C220" i="7"/>
  <c r="A221" i="7"/>
  <c r="F220" i="7"/>
  <c r="H219" i="7"/>
  <c r="J219" i="7"/>
  <c r="F221" i="7" l="1"/>
  <c r="D221" i="7"/>
  <c r="C221" i="7"/>
  <c r="E221" i="7"/>
  <c r="A222" i="7"/>
  <c r="B221" i="7"/>
  <c r="H220" i="7"/>
  <c r="J220" i="7" s="1"/>
  <c r="G220" i="7"/>
  <c r="I220" i="7" s="1"/>
  <c r="H221" i="7" l="1"/>
  <c r="J221" i="7" s="1"/>
  <c r="D222" i="7"/>
  <c r="B222" i="7"/>
  <c r="A223" i="7"/>
  <c r="F222" i="7"/>
  <c r="E222" i="7"/>
  <c r="C222" i="7"/>
  <c r="G221" i="7"/>
  <c r="I221" i="7" s="1"/>
  <c r="H222" i="7" l="1"/>
  <c r="J222" i="7" s="1"/>
  <c r="F223" i="7"/>
  <c r="D223" i="7"/>
  <c r="C223" i="7"/>
  <c r="B223" i="7"/>
  <c r="A224" i="7"/>
  <c r="E223" i="7"/>
  <c r="G222" i="7"/>
  <c r="I222" i="7" s="1"/>
  <c r="H223" i="7" l="1"/>
  <c r="J223" i="7" s="1"/>
  <c r="D224" i="7"/>
  <c r="B224" i="7"/>
  <c r="C224" i="7"/>
  <c r="A225" i="7"/>
  <c r="F224" i="7"/>
  <c r="E224" i="7"/>
  <c r="G223" i="7"/>
  <c r="I223" i="7" s="1"/>
  <c r="H224" i="7" l="1"/>
  <c r="J224" i="7" s="1"/>
  <c r="D225" i="7"/>
  <c r="B225" i="7"/>
  <c r="A226" i="7"/>
  <c r="E225" i="7"/>
  <c r="F225" i="7"/>
  <c r="C225" i="7"/>
  <c r="G224" i="7"/>
  <c r="I224" i="7" s="1"/>
  <c r="H225" i="7" l="1"/>
  <c r="J225" i="7" s="1"/>
  <c r="A227" i="7"/>
  <c r="E226" i="7"/>
  <c r="C226" i="7"/>
  <c r="F226" i="7"/>
  <c r="D226" i="7"/>
  <c r="G226" i="7" s="1"/>
  <c r="B226" i="7"/>
  <c r="G225" i="7"/>
  <c r="I225" i="7" s="1"/>
  <c r="I226" i="7" s="1"/>
  <c r="H226" i="7" l="1"/>
  <c r="J226" i="7" s="1"/>
  <c r="C227" i="7"/>
  <c r="A228" i="7"/>
  <c r="D227" i="7"/>
  <c r="B227" i="7"/>
  <c r="F227" i="7"/>
  <c r="E227" i="7"/>
  <c r="G227" i="7" l="1"/>
  <c r="I227" i="7" s="1"/>
  <c r="F228" i="7"/>
  <c r="D228" i="7"/>
  <c r="A229" i="7"/>
  <c r="E228" i="7"/>
  <c r="C228" i="7"/>
  <c r="B228" i="7"/>
  <c r="H227" i="7"/>
  <c r="J227" i="7"/>
  <c r="H228" i="7" l="1"/>
  <c r="J228" i="7" s="1"/>
  <c r="E229" i="7"/>
  <c r="B229" i="7"/>
  <c r="D229" i="7"/>
  <c r="F229" i="7"/>
  <c r="C229" i="7"/>
  <c r="A230" i="7"/>
  <c r="G228" i="7"/>
  <c r="I228" i="7" s="1"/>
  <c r="H229" i="7" l="1"/>
  <c r="J229" i="7" s="1"/>
  <c r="G229" i="7"/>
  <c r="I229" i="7" s="1"/>
  <c r="F230" i="7"/>
  <c r="C230" i="7"/>
  <c r="A231" i="7"/>
  <c r="E230" i="7"/>
  <c r="D230" i="7"/>
  <c r="B230" i="7"/>
  <c r="C231" i="7" l="1"/>
  <c r="B231" i="7"/>
  <c r="A232" i="7"/>
  <c r="D231" i="7"/>
  <c r="F231" i="7"/>
  <c r="E231" i="7"/>
  <c r="H230" i="7"/>
  <c r="J230" i="7" s="1"/>
  <c r="G230" i="7"/>
  <c r="I230" i="7" s="1"/>
  <c r="G231" i="7" l="1"/>
  <c r="I231" i="7" s="1"/>
  <c r="A233" i="7"/>
  <c r="E232" i="7"/>
  <c r="F232" i="7"/>
  <c r="D232" i="7"/>
  <c r="C232" i="7"/>
  <c r="B232" i="7"/>
  <c r="H231" i="7"/>
  <c r="J231" i="7" s="1"/>
  <c r="H232" i="7" l="1"/>
  <c r="J232" i="7" s="1"/>
  <c r="G232" i="7"/>
  <c r="I232" i="7" s="1"/>
  <c r="F233" i="7"/>
  <c r="C233" i="7"/>
  <c r="B233" i="7"/>
  <c r="E233" i="7"/>
  <c r="D233" i="7"/>
  <c r="A234" i="7"/>
  <c r="A235" i="7" l="1"/>
  <c r="F234" i="7"/>
  <c r="D234" i="7"/>
  <c r="C234" i="7"/>
  <c r="E234" i="7"/>
  <c r="B234" i="7"/>
  <c r="G233" i="7"/>
  <c r="I233" i="7" s="1"/>
  <c r="H233" i="7"/>
  <c r="J233" i="7" s="1"/>
  <c r="H234" i="7" l="1"/>
  <c r="J234" i="7" s="1"/>
  <c r="G234" i="7"/>
  <c r="I234" i="7" s="1"/>
  <c r="D235" i="7"/>
  <c r="C235" i="7"/>
  <c r="F235" i="7"/>
  <c r="B235" i="7"/>
  <c r="E235" i="7"/>
  <c r="A236" i="7"/>
  <c r="A237" i="7" l="1"/>
  <c r="B236" i="7"/>
  <c r="D236" i="7"/>
  <c r="C236" i="7"/>
  <c r="F236" i="7"/>
  <c r="E236" i="7"/>
  <c r="H235" i="7"/>
  <c r="J235" i="7" s="1"/>
  <c r="G235" i="7"/>
  <c r="I235" i="7" s="1"/>
  <c r="H236" i="7" l="1"/>
  <c r="J236" i="7" s="1"/>
  <c r="B237" i="7"/>
  <c r="D237" i="7"/>
  <c r="F237" i="7"/>
  <c r="C237" i="7"/>
  <c r="E237" i="7"/>
  <c r="A238" i="7"/>
  <c r="G236" i="7"/>
  <c r="I236" i="7" s="1"/>
  <c r="H237" i="7" l="1"/>
  <c r="J237" i="7" s="1"/>
  <c r="E238" i="7"/>
  <c r="F238" i="7"/>
  <c r="D238" i="7"/>
  <c r="C238" i="7"/>
  <c r="B238" i="7"/>
  <c r="A239" i="7"/>
  <c r="G237" i="7"/>
  <c r="I237" i="7" s="1"/>
  <c r="G238" i="7" l="1"/>
  <c r="I238" i="7" s="1"/>
  <c r="D239" i="7"/>
  <c r="B239" i="7"/>
  <c r="E239" i="7"/>
  <c r="A240" i="7"/>
  <c r="C239" i="7"/>
  <c r="F239" i="7"/>
  <c r="H238" i="7"/>
  <c r="J238" i="7" s="1"/>
  <c r="H239" i="7" l="1"/>
  <c r="J239" i="7"/>
  <c r="C240" i="7"/>
  <c r="D240" i="7"/>
  <c r="A241" i="7"/>
  <c r="F240" i="7"/>
  <c r="E240" i="7"/>
  <c r="B240" i="7"/>
  <c r="G239" i="7"/>
  <c r="I239" i="7" s="1"/>
  <c r="A242" i="7" l="1"/>
  <c r="D241" i="7"/>
  <c r="B241" i="7"/>
  <c r="C241" i="7"/>
  <c r="F241" i="7"/>
  <c r="E241" i="7"/>
  <c r="G240" i="7"/>
  <c r="I240" i="7" s="1"/>
  <c r="H240" i="7"/>
  <c r="J240" i="7" s="1"/>
  <c r="H241" i="7" l="1"/>
  <c r="J241" i="7" s="1"/>
  <c r="G241" i="7"/>
  <c r="I241" i="7" s="1"/>
  <c r="F242" i="7"/>
  <c r="C242" i="7"/>
  <c r="D242" i="7"/>
  <c r="B242" i="7"/>
  <c r="E242" i="7"/>
  <c r="A243" i="7"/>
  <c r="D243" i="7" l="1"/>
  <c r="B243" i="7"/>
  <c r="E243" i="7"/>
  <c r="C243" i="7"/>
  <c r="F243" i="7"/>
  <c r="A244" i="7"/>
  <c r="G242" i="7"/>
  <c r="I242" i="7" s="1"/>
  <c r="H242" i="7"/>
  <c r="J242" i="7" s="1"/>
  <c r="H243" i="7" l="1"/>
  <c r="J243" i="7"/>
  <c r="D244" i="7"/>
  <c r="F244" i="7"/>
  <c r="C244" i="7"/>
  <c r="A245" i="7"/>
  <c r="E244" i="7"/>
  <c r="B244" i="7"/>
  <c r="G243" i="7"/>
  <c r="I243" i="7" s="1"/>
  <c r="G244" i="7" l="1"/>
  <c r="I244" i="7" s="1"/>
  <c r="D245" i="7"/>
  <c r="B245" i="7"/>
  <c r="E245" i="7"/>
  <c r="C245" i="7"/>
  <c r="A246" i="7"/>
  <c r="F245" i="7"/>
  <c r="H244" i="7"/>
  <c r="J244" i="7" s="1"/>
  <c r="D246" i="7" l="1"/>
  <c r="B246" i="7"/>
  <c r="C246" i="7"/>
  <c r="A247" i="7"/>
  <c r="F246" i="7"/>
  <c r="E246" i="7"/>
  <c r="H245" i="7"/>
  <c r="J245" i="7" s="1"/>
  <c r="G245" i="7"/>
  <c r="I245" i="7" s="1"/>
  <c r="H246" i="7" l="1"/>
  <c r="J246" i="7" s="1"/>
  <c r="A248" i="7"/>
  <c r="F247" i="7"/>
  <c r="E247" i="7"/>
  <c r="C247" i="7"/>
  <c r="D247" i="7"/>
  <c r="B247" i="7"/>
  <c r="G246" i="7"/>
  <c r="I246" i="7" s="1"/>
  <c r="G247" i="7" l="1"/>
  <c r="I247" i="7" s="1"/>
  <c r="H247" i="7"/>
  <c r="J247" i="7" s="1"/>
  <c r="B248" i="7"/>
  <c r="A249" i="7"/>
  <c r="F248" i="7"/>
  <c r="D248" i="7"/>
  <c r="C248" i="7"/>
  <c r="E248" i="7"/>
  <c r="H248" i="7" l="1"/>
  <c r="J248" i="7" s="1"/>
  <c r="G248" i="7"/>
  <c r="I248" i="7" s="1"/>
  <c r="F249" i="7"/>
  <c r="E249" i="7"/>
  <c r="C249" i="7"/>
  <c r="D249" i="7"/>
  <c r="B249" i="7"/>
  <c r="A250" i="7"/>
  <c r="G249" i="7" l="1"/>
  <c r="I249" i="7" s="1"/>
  <c r="H249" i="7"/>
  <c r="J249" i="7" s="1"/>
  <c r="E250" i="7"/>
  <c r="B250" i="7"/>
  <c r="A251" i="7"/>
  <c r="F250" i="7"/>
  <c r="D250" i="7"/>
  <c r="C250" i="7"/>
  <c r="H250" i="7" l="1"/>
  <c r="J250" i="7" s="1"/>
  <c r="G250" i="7"/>
  <c r="I250" i="7"/>
  <c r="F251" i="7"/>
  <c r="A252" i="7"/>
  <c r="E251" i="7"/>
  <c r="B251" i="7"/>
  <c r="C251" i="7"/>
  <c r="D251" i="7"/>
  <c r="G251" i="7" l="1"/>
  <c r="I251" i="7" s="1"/>
  <c r="H251" i="7"/>
  <c r="J251" i="7" s="1"/>
  <c r="C252" i="7"/>
  <c r="B252" i="7"/>
  <c r="A253" i="7"/>
  <c r="E252" i="7"/>
  <c r="D252" i="7"/>
  <c r="G252" i="7" s="1"/>
  <c r="I252" i="7" s="1"/>
  <c r="F252" i="7"/>
  <c r="H252" i="7" l="1"/>
  <c r="A254" i="7"/>
  <c r="F253" i="7"/>
  <c r="B253" i="7"/>
  <c r="C253" i="7"/>
  <c r="E253" i="7"/>
  <c r="D253" i="7"/>
  <c r="G253" i="7" s="1"/>
  <c r="I253" i="7" s="1"/>
  <c r="J252" i="7"/>
  <c r="H253" i="7" l="1"/>
  <c r="J253" i="7" s="1"/>
  <c r="C254" i="7"/>
  <c r="E254" i="7"/>
  <c r="B254" i="7"/>
  <c r="D254" i="7"/>
  <c r="G254" i="7" s="1"/>
  <c r="I254" i="7" s="1"/>
  <c r="F254" i="7"/>
  <c r="A255" i="7"/>
  <c r="H254" i="7" l="1"/>
  <c r="J254" i="7" s="1"/>
  <c r="D255" i="7"/>
  <c r="A256" i="7"/>
  <c r="B255" i="7"/>
  <c r="F255" i="7"/>
  <c r="E255" i="7"/>
  <c r="C255" i="7"/>
  <c r="H255" i="7" s="1"/>
  <c r="J255" i="7" l="1"/>
  <c r="C256" i="7"/>
  <c r="E256" i="7"/>
  <c r="A257" i="7"/>
  <c r="D256" i="7"/>
  <c r="F256" i="7"/>
  <c r="B256" i="7"/>
  <c r="G255" i="7"/>
  <c r="I255" i="7" s="1"/>
  <c r="G256" i="7" l="1"/>
  <c r="I256" i="7" s="1"/>
  <c r="B257" i="7"/>
  <c r="F257" i="7"/>
  <c r="E257" i="7"/>
  <c r="A258" i="7"/>
  <c r="C257" i="7"/>
  <c r="D257" i="7"/>
  <c r="H256" i="7"/>
  <c r="J256" i="7" s="1"/>
  <c r="G257" i="7" l="1"/>
  <c r="I257" i="7" s="1"/>
  <c r="H257" i="7"/>
  <c r="J257" i="7" s="1"/>
  <c r="C258" i="7"/>
  <c r="A259" i="7"/>
  <c r="B258" i="7"/>
  <c r="F258" i="7"/>
  <c r="E258" i="7"/>
  <c r="D258" i="7"/>
  <c r="G258" i="7" l="1"/>
  <c r="I258" i="7" s="1"/>
  <c r="E259" i="7"/>
  <c r="D259" i="7"/>
  <c r="A260" i="7"/>
  <c r="F259" i="7"/>
  <c r="B259" i="7"/>
  <c r="C259" i="7"/>
  <c r="H258" i="7"/>
  <c r="J258" i="7" s="1"/>
  <c r="H259" i="7" l="1"/>
  <c r="J259" i="7" s="1"/>
  <c r="C260" i="7"/>
  <c r="F260" i="7"/>
  <c r="E260" i="7"/>
  <c r="B260" i="7"/>
  <c r="A261" i="7"/>
  <c r="D260" i="7"/>
  <c r="G259" i="7"/>
  <c r="I259" i="7" s="1"/>
  <c r="G260" i="7" l="1"/>
  <c r="I260" i="7" s="1"/>
  <c r="C261" i="7"/>
  <c r="B261" i="7"/>
  <c r="F261" i="7"/>
  <c r="A262" i="7"/>
  <c r="E261" i="7"/>
  <c r="D261" i="7"/>
  <c r="H260" i="7"/>
  <c r="J260" i="7" s="1"/>
  <c r="G261" i="7" l="1"/>
  <c r="I261" i="7" s="1"/>
  <c r="A263" i="7"/>
  <c r="F262" i="7"/>
  <c r="C262" i="7"/>
  <c r="B262" i="7"/>
  <c r="E262" i="7"/>
  <c r="D262" i="7"/>
  <c r="H261" i="7"/>
  <c r="J261" i="7" s="1"/>
  <c r="G262" i="7" l="1"/>
  <c r="I262" i="7" s="1"/>
  <c r="H262" i="7"/>
  <c r="J262" i="7" s="1"/>
  <c r="E263" i="7"/>
  <c r="C263" i="7"/>
  <c r="A264" i="7"/>
  <c r="F263" i="7"/>
  <c r="D263" i="7"/>
  <c r="B263" i="7"/>
  <c r="H263" i="7" l="1"/>
  <c r="J263" i="7" s="1"/>
  <c r="G263" i="7"/>
  <c r="D264" i="7"/>
  <c r="C264" i="7"/>
  <c r="F264" i="7"/>
  <c r="B264" i="7"/>
  <c r="A265" i="7"/>
  <c r="E264" i="7"/>
  <c r="I263" i="7"/>
  <c r="E265" i="7" l="1"/>
  <c r="A266" i="7"/>
  <c r="B265" i="7"/>
  <c r="F265" i="7"/>
  <c r="D265" i="7"/>
  <c r="C265" i="7"/>
  <c r="H264" i="7"/>
  <c r="J264" i="7" s="1"/>
  <c r="G264" i="7"/>
  <c r="I264" i="7" s="1"/>
  <c r="G265" i="7" l="1"/>
  <c r="I265" i="7" s="1"/>
  <c r="B266" i="7"/>
  <c r="D266" i="7"/>
  <c r="A267" i="7"/>
  <c r="F266" i="7"/>
  <c r="E266" i="7"/>
  <c r="C266" i="7"/>
  <c r="H265" i="7"/>
  <c r="J265" i="7" s="1"/>
  <c r="H266" i="7" l="1"/>
  <c r="J266" i="7" s="1"/>
  <c r="A268" i="7"/>
  <c r="C267" i="7"/>
  <c r="B267" i="7"/>
  <c r="F267" i="7"/>
  <c r="E267" i="7"/>
  <c r="D267" i="7"/>
  <c r="G266" i="7"/>
  <c r="I266" i="7" s="1"/>
  <c r="G267" i="7" l="1"/>
  <c r="I267" i="7" s="1"/>
  <c r="H267" i="7"/>
  <c r="J267" i="7" s="1"/>
  <c r="E268" i="7"/>
  <c r="D268" i="7"/>
  <c r="C268" i="7"/>
  <c r="A269" i="7"/>
  <c r="B268" i="7"/>
  <c r="F268" i="7"/>
  <c r="H268" i="7" l="1"/>
  <c r="J268" i="7" s="1"/>
  <c r="G268" i="7"/>
  <c r="I268" i="7" s="1"/>
  <c r="A270" i="7"/>
  <c r="E269" i="7"/>
  <c r="B269" i="7"/>
  <c r="F269" i="7"/>
  <c r="D269" i="7"/>
  <c r="C269" i="7"/>
  <c r="H269" i="7" l="1"/>
  <c r="J269" i="7" s="1"/>
  <c r="G269" i="7"/>
  <c r="I269" i="7" s="1"/>
  <c r="C270" i="7"/>
  <c r="E270" i="7"/>
  <c r="D270" i="7"/>
  <c r="F270" i="7"/>
  <c r="A271" i="7"/>
  <c r="B270" i="7"/>
  <c r="A272" i="7" l="1"/>
  <c r="F271" i="7"/>
  <c r="E271" i="7"/>
  <c r="C271" i="7"/>
  <c r="B271" i="7"/>
  <c r="D271" i="7"/>
  <c r="G270" i="7"/>
  <c r="I270" i="7" s="1"/>
  <c r="H270" i="7"/>
  <c r="J270" i="7" s="1"/>
  <c r="G271" i="7" l="1"/>
  <c r="I271" i="7" s="1"/>
  <c r="H271" i="7"/>
  <c r="J271" i="7" s="1"/>
  <c r="E272" i="7"/>
  <c r="D272" i="7"/>
  <c r="F272" i="7"/>
  <c r="B272" i="7"/>
  <c r="A273" i="7"/>
  <c r="C272" i="7"/>
  <c r="H272" i="7" l="1"/>
  <c r="J272" i="7" s="1"/>
  <c r="G272" i="7"/>
  <c r="I272" i="7" s="1"/>
  <c r="A274" i="7"/>
  <c r="E273" i="7"/>
  <c r="D273" i="7"/>
  <c r="B273" i="7"/>
  <c r="C273" i="7"/>
  <c r="F273" i="7"/>
  <c r="G273" i="7" l="1"/>
  <c r="I273" i="7" s="1"/>
  <c r="H273" i="7"/>
  <c r="J273" i="7" s="1"/>
  <c r="B274" i="7"/>
  <c r="C274" i="7"/>
  <c r="A275" i="7"/>
  <c r="F274" i="7"/>
  <c r="E274" i="7"/>
  <c r="D274" i="7"/>
  <c r="G274" i="7" l="1"/>
  <c r="I274" i="7" s="1"/>
  <c r="E275" i="7"/>
  <c r="C275" i="7"/>
  <c r="F275" i="7"/>
  <c r="B275" i="7"/>
  <c r="A276" i="7"/>
  <c r="D275" i="7"/>
  <c r="G275" i="7" s="1"/>
  <c r="I275" i="7" s="1"/>
  <c r="H274" i="7"/>
  <c r="J274" i="7" s="1"/>
  <c r="H275" i="7" l="1"/>
  <c r="J275" i="7" s="1"/>
  <c r="F276" i="7"/>
  <c r="C276" i="7"/>
  <c r="E276" i="7"/>
  <c r="D276" i="7"/>
  <c r="G276" i="7" s="1"/>
  <c r="I276" i="7" s="1"/>
  <c r="B276" i="7"/>
  <c r="A277" i="7"/>
  <c r="H276" i="7" l="1"/>
  <c r="J276" i="7"/>
  <c r="C277" i="7"/>
  <c r="B277" i="7"/>
  <c r="A278" i="7"/>
  <c r="F277" i="7"/>
  <c r="E277" i="7"/>
  <c r="D277" i="7"/>
  <c r="G277" i="7" s="1"/>
  <c r="I277" i="7" s="1"/>
  <c r="H277" i="7" l="1"/>
  <c r="J277" i="7" s="1"/>
  <c r="A279" i="7"/>
  <c r="D278" i="7"/>
  <c r="E278" i="7"/>
  <c r="C278" i="7"/>
  <c r="B278" i="7"/>
  <c r="F278" i="7"/>
  <c r="H278" i="7" l="1"/>
  <c r="J278" i="7" s="1"/>
  <c r="G278" i="7"/>
  <c r="I278" i="7" s="1"/>
  <c r="E279" i="7"/>
  <c r="A280" i="7"/>
  <c r="F279" i="7"/>
  <c r="D279" i="7"/>
  <c r="G279" i="7" s="1"/>
  <c r="B279" i="7"/>
  <c r="C279" i="7"/>
  <c r="H279" i="7" l="1"/>
  <c r="J279" i="7" s="1"/>
  <c r="B280" i="7"/>
  <c r="F280" i="7"/>
  <c r="E280" i="7"/>
  <c r="C280" i="7"/>
  <c r="D280" i="7"/>
  <c r="A281" i="7"/>
  <c r="I279" i="7"/>
  <c r="G280" i="7" l="1"/>
  <c r="I280" i="7"/>
  <c r="C281" i="7"/>
  <c r="A282" i="7"/>
  <c r="E281" i="7"/>
  <c r="D281" i="7"/>
  <c r="F281" i="7"/>
  <c r="B281" i="7"/>
  <c r="H280" i="7"/>
  <c r="J280" i="7" s="1"/>
  <c r="G281" i="7" l="1"/>
  <c r="A283" i="7"/>
  <c r="B282" i="7"/>
  <c r="F282" i="7"/>
  <c r="D282" i="7"/>
  <c r="C282" i="7"/>
  <c r="E282" i="7"/>
  <c r="H281" i="7"/>
  <c r="J281" i="7" s="1"/>
  <c r="I281" i="7"/>
  <c r="H282" i="7" l="1"/>
  <c r="J282" i="7" s="1"/>
  <c r="G282" i="7"/>
  <c r="I282" i="7" s="1"/>
  <c r="E283" i="7"/>
  <c r="C283" i="7"/>
  <c r="B283" i="7"/>
  <c r="A284" i="7"/>
  <c r="F283" i="7"/>
  <c r="D283" i="7"/>
  <c r="G283" i="7" l="1"/>
  <c r="I283" i="7" s="1"/>
  <c r="E284" i="7"/>
  <c r="C284" i="7"/>
  <c r="F284" i="7"/>
  <c r="A285" i="7"/>
  <c r="B284" i="7"/>
  <c r="D284" i="7"/>
  <c r="H283" i="7"/>
  <c r="J283" i="7" s="1"/>
  <c r="G284" i="7" l="1"/>
  <c r="I284" i="7" s="1"/>
  <c r="H284" i="7"/>
  <c r="J284" i="7" s="1"/>
  <c r="F285" i="7"/>
  <c r="A286" i="7"/>
  <c r="D285" i="7"/>
  <c r="B285" i="7"/>
  <c r="E285" i="7"/>
  <c r="C285" i="7"/>
  <c r="H285" i="7" l="1"/>
  <c r="J285" i="7" s="1"/>
  <c r="G285" i="7"/>
  <c r="I285" i="7" s="1"/>
  <c r="C286" i="7"/>
  <c r="A287" i="7"/>
  <c r="E286" i="7"/>
  <c r="B286" i="7"/>
  <c r="D286" i="7"/>
  <c r="F286" i="7"/>
  <c r="G286" i="7" l="1"/>
  <c r="A288" i="7"/>
  <c r="D287" i="7"/>
  <c r="E287" i="7"/>
  <c r="F287" i="7"/>
  <c r="C287" i="7"/>
  <c r="B287" i="7"/>
  <c r="H286" i="7"/>
  <c r="J286" i="7" s="1"/>
  <c r="I286" i="7"/>
  <c r="H287" i="7" l="1"/>
  <c r="J287" i="7" s="1"/>
  <c r="G287" i="7"/>
  <c r="I287" i="7" s="1"/>
  <c r="E288" i="7"/>
  <c r="F288" i="7"/>
  <c r="D288" i="7"/>
  <c r="B288" i="7"/>
  <c r="A289" i="7"/>
  <c r="C288" i="7"/>
  <c r="H288" i="7" l="1"/>
  <c r="J288" i="7" s="1"/>
  <c r="G288" i="7"/>
  <c r="B289" i="7"/>
  <c r="C289" i="7"/>
  <c r="E289" i="7"/>
  <c r="F289" i="7"/>
  <c r="D289" i="7"/>
  <c r="A290" i="7"/>
  <c r="I288" i="7"/>
  <c r="G289" i="7" l="1"/>
  <c r="I289" i="7" s="1"/>
  <c r="C290" i="7"/>
  <c r="E290" i="7"/>
  <c r="A291" i="7"/>
  <c r="F290" i="7"/>
  <c r="D290" i="7"/>
  <c r="B290" i="7"/>
  <c r="H289" i="7"/>
  <c r="J289" i="7" s="1"/>
  <c r="G290" i="7" l="1"/>
  <c r="I290" i="7" s="1"/>
  <c r="A292" i="7"/>
  <c r="D291" i="7"/>
  <c r="B291" i="7"/>
  <c r="E291" i="7"/>
  <c r="C291" i="7"/>
  <c r="F291" i="7"/>
  <c r="H290" i="7"/>
  <c r="J290" i="7" s="1"/>
  <c r="H291" i="7" l="1"/>
  <c r="J291" i="7" s="1"/>
  <c r="G291" i="7"/>
  <c r="I291" i="7" s="1"/>
  <c r="F292" i="7"/>
  <c r="D292" i="7"/>
  <c r="C292" i="7"/>
  <c r="B292" i="7"/>
  <c r="E292" i="7"/>
  <c r="A293" i="7"/>
  <c r="H292" i="7" l="1"/>
  <c r="J292" i="7" s="1"/>
  <c r="G292" i="7"/>
  <c r="I292" i="7" s="1"/>
  <c r="E293" i="7"/>
  <c r="F293" i="7"/>
  <c r="A294" i="7"/>
  <c r="D293" i="7"/>
  <c r="C293" i="7"/>
  <c r="B293" i="7"/>
  <c r="H293" i="7" l="1"/>
  <c r="J293" i="7" s="1"/>
  <c r="G293" i="7"/>
  <c r="I293" i="7" s="1"/>
  <c r="F294" i="7"/>
  <c r="A295" i="7"/>
  <c r="C294" i="7"/>
  <c r="E294" i="7"/>
  <c r="B294" i="7"/>
  <c r="D294" i="7"/>
  <c r="G294" i="7" l="1"/>
  <c r="I294" i="7"/>
  <c r="H294" i="7"/>
  <c r="J294" i="7" s="1"/>
  <c r="C295" i="7"/>
  <c r="A296" i="7"/>
  <c r="E295" i="7"/>
  <c r="D295" i="7"/>
  <c r="F295" i="7"/>
  <c r="B295" i="7"/>
  <c r="G295" i="7" l="1"/>
  <c r="I295" i="7" s="1"/>
  <c r="A297" i="7"/>
  <c r="D296" i="7"/>
  <c r="C296" i="7"/>
  <c r="B296" i="7"/>
  <c r="F296" i="7"/>
  <c r="E296" i="7"/>
  <c r="H295" i="7"/>
  <c r="J295" i="7" s="1"/>
  <c r="G296" i="7" l="1"/>
  <c r="H296" i="7"/>
  <c r="J296" i="7" s="1"/>
  <c r="E297" i="7"/>
  <c r="C297" i="7"/>
  <c r="B297" i="7"/>
  <c r="A298" i="7"/>
  <c r="D297" i="7"/>
  <c r="G297" i="7" s="1"/>
  <c r="F297" i="7"/>
  <c r="I296" i="7"/>
  <c r="I297" i="7" l="1"/>
  <c r="B298" i="7"/>
  <c r="A299" i="7"/>
  <c r="E298" i="7"/>
  <c r="F298" i="7"/>
  <c r="D298" i="7"/>
  <c r="C298" i="7"/>
  <c r="H297" i="7"/>
  <c r="J297" i="7" s="1"/>
  <c r="H298" i="7" l="1"/>
  <c r="J298" i="7" s="1"/>
  <c r="G298" i="7"/>
  <c r="I298" i="7" s="1"/>
  <c r="C299" i="7"/>
  <c r="A300" i="7"/>
  <c r="E299" i="7"/>
  <c r="F299" i="7"/>
  <c r="D299" i="7"/>
  <c r="B299" i="7"/>
  <c r="G299" i="7" l="1"/>
  <c r="I299" i="7" s="1"/>
  <c r="A301" i="7"/>
  <c r="E300" i="7"/>
  <c r="D300" i="7"/>
  <c r="G300" i="7" s="1"/>
  <c r="B300" i="7"/>
  <c r="F300" i="7"/>
  <c r="C300" i="7"/>
  <c r="H299" i="7"/>
  <c r="J299" i="7" s="1"/>
  <c r="H300" i="7" l="1"/>
  <c r="J300" i="7" s="1"/>
  <c r="F301" i="7"/>
  <c r="E301" i="7"/>
  <c r="C301" i="7"/>
  <c r="D301" i="7"/>
  <c r="A302" i="7"/>
  <c r="B301" i="7"/>
  <c r="I300" i="7"/>
  <c r="G301" i="7" l="1"/>
  <c r="I301" i="7" s="1"/>
  <c r="E302" i="7"/>
  <c r="B302" i="7"/>
  <c r="D302" i="7"/>
  <c r="G302" i="7" s="1"/>
  <c r="C302" i="7"/>
  <c r="A303" i="7"/>
  <c r="F302" i="7"/>
  <c r="H301" i="7"/>
  <c r="J301" i="7" s="1"/>
  <c r="I302" i="7" l="1"/>
  <c r="F303" i="7"/>
  <c r="C303" i="7"/>
  <c r="E303" i="7"/>
  <c r="A304" i="7"/>
  <c r="B303" i="7"/>
  <c r="D303" i="7"/>
  <c r="G303" i="7" s="1"/>
  <c r="I303" i="7" s="1"/>
  <c r="H302" i="7"/>
  <c r="J302" i="7" s="1"/>
  <c r="C304" i="7" l="1"/>
  <c r="D304" i="7"/>
  <c r="A305" i="7"/>
  <c r="F304" i="7"/>
  <c r="B304" i="7"/>
  <c r="E304" i="7"/>
  <c r="H303" i="7"/>
  <c r="J303" i="7" s="1"/>
  <c r="A306" i="7" l="1"/>
  <c r="D305" i="7"/>
  <c r="C305" i="7"/>
  <c r="F305" i="7"/>
  <c r="B305" i="7"/>
  <c r="E305" i="7"/>
  <c r="G304" i="7"/>
  <c r="I304" i="7" s="1"/>
  <c r="H304" i="7"/>
  <c r="J304" i="7" s="1"/>
  <c r="E306" i="7" l="1"/>
  <c r="F306" i="7"/>
  <c r="D306" i="7"/>
  <c r="C306" i="7"/>
  <c r="B306" i="7"/>
  <c r="A307" i="7"/>
  <c r="H305" i="7"/>
  <c r="J305" i="7" s="1"/>
  <c r="G305" i="7"/>
  <c r="I305" i="7" s="1"/>
  <c r="B307" i="7" l="1"/>
  <c r="A308" i="7"/>
  <c r="F307" i="7"/>
  <c r="D307" i="7"/>
  <c r="E307" i="7"/>
  <c r="C307" i="7"/>
  <c r="H306" i="7"/>
  <c r="J306" i="7" s="1"/>
  <c r="G306" i="7"/>
  <c r="I306" i="7" s="1"/>
  <c r="H307" i="7" l="1"/>
  <c r="J307" i="7" s="1"/>
  <c r="G307" i="7"/>
  <c r="I307" i="7" s="1"/>
  <c r="C308" i="7"/>
  <c r="B308" i="7"/>
  <c r="F308" i="7"/>
  <c r="D308" i="7"/>
  <c r="E308" i="7"/>
  <c r="A309" i="7"/>
  <c r="A310" i="7" l="1"/>
  <c r="B309" i="7"/>
  <c r="F309" i="7"/>
  <c r="E309" i="7"/>
  <c r="D309" i="7"/>
  <c r="C309" i="7"/>
  <c r="G308" i="7"/>
  <c r="I308" i="7" s="1"/>
  <c r="H308" i="7"/>
  <c r="J308" i="7" s="1"/>
  <c r="H309" i="7" l="1"/>
  <c r="J309" i="7" s="1"/>
  <c r="G309" i="7"/>
  <c r="I309" i="7" s="1"/>
  <c r="C310" i="7"/>
  <c r="F310" i="7"/>
  <c r="E310" i="7"/>
  <c r="D310" i="7"/>
  <c r="G310" i="7" s="1"/>
  <c r="A311" i="7"/>
  <c r="B310" i="7"/>
  <c r="I310" i="7" l="1"/>
  <c r="E311" i="7"/>
  <c r="C311" i="7"/>
  <c r="D311" i="7"/>
  <c r="A312" i="7"/>
  <c r="F311" i="7"/>
  <c r="B311" i="7"/>
  <c r="H310" i="7"/>
  <c r="J310" i="7" s="1"/>
  <c r="F312" i="7" l="1"/>
  <c r="D312" i="7"/>
  <c r="A313" i="7"/>
  <c r="B312" i="7"/>
  <c r="E312" i="7"/>
  <c r="C312" i="7"/>
  <c r="G311" i="7"/>
  <c r="I311" i="7" s="1"/>
  <c r="H311" i="7"/>
  <c r="J311" i="7" s="1"/>
  <c r="H312" i="7" l="1"/>
  <c r="J312" i="7" s="1"/>
  <c r="C313" i="7"/>
  <c r="F313" i="7"/>
  <c r="D313" i="7"/>
  <c r="B313" i="7"/>
  <c r="E313" i="7"/>
  <c r="A314" i="7"/>
  <c r="G312" i="7"/>
  <c r="I312" i="7" s="1"/>
  <c r="A315" i="7" l="1"/>
  <c r="D314" i="7"/>
  <c r="F314" i="7"/>
  <c r="E314" i="7"/>
  <c r="B314" i="7"/>
  <c r="C314" i="7"/>
  <c r="G313" i="7"/>
  <c r="I313" i="7" s="1"/>
  <c r="H313" i="7"/>
  <c r="J313" i="7" s="1"/>
  <c r="H314" i="7" l="1"/>
  <c r="J314" i="7" s="1"/>
  <c r="G314" i="7"/>
  <c r="I314" i="7" s="1"/>
  <c r="E315" i="7"/>
  <c r="B315" i="7"/>
  <c r="A316" i="7"/>
  <c r="F315" i="7"/>
  <c r="D315" i="7"/>
  <c r="G315" i="7" s="1"/>
  <c r="C315" i="7"/>
  <c r="I315" i="7" l="1"/>
  <c r="H315" i="7"/>
  <c r="J315" i="7" s="1"/>
  <c r="B316" i="7"/>
  <c r="D316" i="7"/>
  <c r="C316" i="7"/>
  <c r="E316" i="7"/>
  <c r="A317" i="7"/>
  <c r="F316" i="7"/>
  <c r="C317" i="7" l="1"/>
  <c r="D317" i="7"/>
  <c r="E317" i="7"/>
  <c r="F317" i="7"/>
  <c r="B317" i="7"/>
  <c r="A318" i="7"/>
  <c r="H316" i="7"/>
  <c r="J316" i="7" s="1"/>
  <c r="G316" i="7"/>
  <c r="I316" i="7" s="1"/>
  <c r="A319" i="7" l="1"/>
  <c r="E318" i="7"/>
  <c r="F318" i="7"/>
  <c r="B318" i="7"/>
  <c r="D318" i="7"/>
  <c r="G318" i="7" s="1"/>
  <c r="C318" i="7"/>
  <c r="G317" i="7"/>
  <c r="I317" i="7" s="1"/>
  <c r="I318" i="7" s="1"/>
  <c r="H317" i="7"/>
  <c r="J317" i="7" s="1"/>
  <c r="H318" i="7" l="1"/>
  <c r="J318" i="7" s="1"/>
  <c r="E319" i="7"/>
  <c r="B319" i="7"/>
  <c r="A320" i="7"/>
  <c r="F319" i="7"/>
  <c r="D319" i="7"/>
  <c r="G319" i="7" s="1"/>
  <c r="I319" i="7" s="1"/>
  <c r="C319" i="7"/>
  <c r="H319" i="7" l="1"/>
  <c r="J319" i="7"/>
  <c r="E320" i="7"/>
  <c r="A321" i="7"/>
  <c r="C320" i="7"/>
  <c r="F320" i="7"/>
  <c r="D320" i="7"/>
  <c r="G320" i="7" s="1"/>
  <c r="I320" i="7" s="1"/>
  <c r="B320" i="7"/>
  <c r="H320" i="7" l="1"/>
  <c r="J320" i="7" s="1"/>
  <c r="F321" i="7"/>
  <c r="E321" i="7"/>
  <c r="D321" i="7"/>
  <c r="G321" i="7" s="1"/>
  <c r="I321" i="7" s="1"/>
  <c r="A322" i="7"/>
  <c r="C321" i="7"/>
  <c r="B321" i="7"/>
  <c r="H321" i="7" l="1"/>
  <c r="C322" i="7"/>
  <c r="A323" i="7"/>
  <c r="F322" i="7"/>
  <c r="D322" i="7"/>
  <c r="B322" i="7"/>
  <c r="E322" i="7"/>
  <c r="J321" i="7"/>
  <c r="G322" i="7" l="1"/>
  <c r="I322" i="7" s="1"/>
  <c r="A324" i="7"/>
  <c r="D323" i="7"/>
  <c r="B323" i="7"/>
  <c r="E323" i="7"/>
  <c r="C323" i="7"/>
  <c r="F323" i="7"/>
  <c r="H322" i="7"/>
  <c r="J322" i="7" s="1"/>
  <c r="G323" i="7" l="1"/>
  <c r="E324" i="7"/>
  <c r="A325" i="7"/>
  <c r="F324" i="7"/>
  <c r="C324" i="7"/>
  <c r="B324" i="7"/>
  <c r="D324" i="7"/>
  <c r="G324" i="7" s="1"/>
  <c r="H323" i="7"/>
  <c r="J323" i="7" s="1"/>
  <c r="I323" i="7"/>
  <c r="I324" i="7" s="1"/>
  <c r="H324" i="7" l="1"/>
  <c r="J324" i="7" s="1"/>
  <c r="B325" i="7"/>
  <c r="D325" i="7"/>
  <c r="F325" i="7"/>
  <c r="E325" i="7"/>
  <c r="C325" i="7"/>
  <c r="A326" i="7"/>
  <c r="H325" i="7" l="1"/>
  <c r="J325" i="7" s="1"/>
  <c r="C326" i="7"/>
  <c r="F326" i="7"/>
  <c r="E326" i="7"/>
  <c r="D326" i="7"/>
  <c r="G326" i="7" s="1"/>
  <c r="A327" i="7"/>
  <c r="B326" i="7"/>
  <c r="G325" i="7"/>
  <c r="I325" i="7" s="1"/>
  <c r="I326" i="7" s="1"/>
  <c r="A328" i="7" l="1"/>
  <c r="E327" i="7"/>
  <c r="F327" i="7"/>
  <c r="B327" i="7"/>
  <c r="C327" i="7"/>
  <c r="D327" i="7"/>
  <c r="G327" i="7" s="1"/>
  <c r="I327" i="7"/>
  <c r="H326" i="7"/>
  <c r="J326" i="7" s="1"/>
  <c r="H327" i="7" l="1"/>
  <c r="J327" i="7" s="1"/>
  <c r="B328" i="7"/>
  <c r="D328" i="7"/>
  <c r="C328" i="7"/>
  <c r="F328" i="7"/>
  <c r="E328" i="7"/>
  <c r="A329" i="7"/>
  <c r="E329" i="7" l="1"/>
  <c r="A330" i="7"/>
  <c r="F329" i="7"/>
  <c r="D329" i="7"/>
  <c r="C329" i="7"/>
  <c r="B329" i="7"/>
  <c r="H328" i="7"/>
  <c r="J328" i="7" s="1"/>
  <c r="G328" i="7"/>
  <c r="I328" i="7" s="1"/>
  <c r="H329" i="7" l="1"/>
  <c r="J329" i="7" s="1"/>
  <c r="G329" i="7"/>
  <c r="I329" i="7" s="1"/>
  <c r="F330" i="7"/>
  <c r="C330" i="7"/>
  <c r="B330" i="7"/>
  <c r="A331" i="7"/>
  <c r="E330" i="7"/>
  <c r="D330" i="7"/>
  <c r="G330" i="7" s="1"/>
  <c r="I330" i="7" l="1"/>
  <c r="C331" i="7"/>
  <c r="E331" i="7"/>
  <c r="D331" i="7"/>
  <c r="F331" i="7"/>
  <c r="B331" i="7"/>
  <c r="A332" i="7"/>
  <c r="H330" i="7"/>
  <c r="J330" i="7" s="1"/>
  <c r="A333" i="7" l="1"/>
  <c r="D332" i="7"/>
  <c r="E332" i="7"/>
  <c r="F332" i="7"/>
  <c r="C332" i="7"/>
  <c r="H332" i="7" s="1"/>
  <c r="B332" i="7"/>
  <c r="G331" i="7"/>
  <c r="I331" i="7" s="1"/>
  <c r="H331" i="7"/>
  <c r="J331" i="7" s="1"/>
  <c r="J332" i="7" s="1"/>
  <c r="G332" i="7" l="1"/>
  <c r="I332" i="7" s="1"/>
  <c r="E333" i="7"/>
  <c r="B333" i="7"/>
  <c r="A334" i="7"/>
  <c r="D333" i="7"/>
  <c r="G333" i="7" s="1"/>
  <c r="F333" i="7"/>
  <c r="C333" i="7"/>
  <c r="H333" i="7" s="1"/>
  <c r="J333" i="7" s="1"/>
  <c r="I333" i="7" l="1"/>
  <c r="B334" i="7"/>
  <c r="F334" i="7"/>
  <c r="A335" i="7"/>
  <c r="D334" i="7"/>
  <c r="E334" i="7"/>
  <c r="C334" i="7"/>
  <c r="H334" i="7" l="1"/>
  <c r="J334" i="7" s="1"/>
  <c r="G334" i="7"/>
  <c r="I334" i="7" s="1"/>
  <c r="C335" i="7"/>
  <c r="F335" i="7"/>
  <c r="E335" i="7"/>
  <c r="B335" i="7"/>
  <c r="D335" i="7"/>
  <c r="G335" i="7" s="1"/>
  <c r="A336" i="7"/>
  <c r="H335" i="7" l="1"/>
  <c r="A337" i="7"/>
  <c r="B336" i="7"/>
  <c r="E336" i="7"/>
  <c r="F336" i="7"/>
  <c r="D336" i="7"/>
  <c r="C336" i="7"/>
  <c r="I335" i="7"/>
  <c r="J335" i="7"/>
  <c r="H336" i="7" l="1"/>
  <c r="J336" i="7" s="1"/>
  <c r="G336" i="7"/>
  <c r="I336" i="7" s="1"/>
  <c r="D337" i="7"/>
  <c r="C337" i="7"/>
  <c r="B337" i="7"/>
  <c r="A338" i="7"/>
  <c r="E337" i="7"/>
  <c r="F337" i="7"/>
  <c r="E338" i="7" l="1"/>
  <c r="C338" i="7"/>
  <c r="B338" i="7"/>
  <c r="D338" i="7"/>
  <c r="G338" i="7" s="1"/>
  <c r="F338" i="7"/>
  <c r="A339" i="7"/>
  <c r="H337" i="7"/>
  <c r="J337" i="7" s="1"/>
  <c r="G337" i="7"/>
  <c r="I337" i="7" s="1"/>
  <c r="I338" i="7" s="1"/>
  <c r="F339" i="7" l="1"/>
  <c r="A340" i="7"/>
  <c r="E339" i="7"/>
  <c r="C339" i="7"/>
  <c r="B339" i="7"/>
  <c r="D339" i="7"/>
  <c r="H338" i="7"/>
  <c r="J338" i="7" s="1"/>
  <c r="C340" i="7" l="1"/>
  <c r="A341" i="7"/>
  <c r="E340" i="7"/>
  <c r="D340" i="7"/>
  <c r="F340" i="7"/>
  <c r="B340" i="7"/>
  <c r="G339" i="7"/>
  <c r="I339" i="7" s="1"/>
  <c r="H339" i="7"/>
  <c r="J339" i="7" s="1"/>
  <c r="G340" i="7" l="1"/>
  <c r="I340" i="7" s="1"/>
  <c r="A342" i="7"/>
  <c r="D341" i="7"/>
  <c r="F341" i="7"/>
  <c r="E341" i="7"/>
  <c r="C341" i="7"/>
  <c r="B341" i="7"/>
  <c r="H340" i="7"/>
  <c r="J340" i="7" s="1"/>
  <c r="H341" i="7" l="1"/>
  <c r="J341" i="7" s="1"/>
  <c r="G341" i="7"/>
  <c r="I341" i="7" s="1"/>
  <c r="E342" i="7"/>
  <c r="B342" i="7"/>
  <c r="A343" i="7"/>
  <c r="F342" i="7"/>
  <c r="D342" i="7"/>
  <c r="G342" i="7" s="1"/>
  <c r="C342" i="7"/>
  <c r="I342" i="7" l="1"/>
  <c r="H342" i="7"/>
  <c r="J342" i="7" s="1"/>
  <c r="B343" i="7"/>
  <c r="C343" i="7"/>
  <c r="E343" i="7"/>
  <c r="D343" i="7"/>
  <c r="A344" i="7"/>
  <c r="F343" i="7"/>
  <c r="C344" i="7" l="1"/>
  <c r="F344" i="7"/>
  <c r="D344" i="7"/>
  <c r="B344" i="7"/>
  <c r="E344" i="7"/>
  <c r="A345" i="7"/>
  <c r="G343" i="7"/>
  <c r="I343" i="7" s="1"/>
  <c r="H343" i="7"/>
  <c r="J343" i="7"/>
  <c r="G344" i="7" l="1"/>
  <c r="I344" i="7"/>
  <c r="A346" i="7"/>
  <c r="D345" i="7"/>
  <c r="C345" i="7"/>
  <c r="F345" i="7"/>
  <c r="E345" i="7"/>
  <c r="B345" i="7"/>
  <c r="H344" i="7"/>
  <c r="J344" i="7" s="1"/>
  <c r="H345" i="7" l="1"/>
  <c r="J345" i="7" s="1"/>
  <c r="G345" i="7"/>
  <c r="A347" i="7"/>
  <c r="D346" i="7"/>
  <c r="B346" i="7"/>
  <c r="E346" i="7"/>
  <c r="C346" i="7"/>
  <c r="F346" i="7"/>
  <c r="I345" i="7"/>
  <c r="H346" i="7" l="1"/>
  <c r="J346" i="7" s="1"/>
  <c r="G346" i="7"/>
  <c r="I346" i="7" s="1"/>
  <c r="E347" i="7"/>
  <c r="F347" i="7"/>
  <c r="C347" i="7"/>
  <c r="D347" i="7"/>
  <c r="G347" i="7" s="1"/>
  <c r="B347" i="7"/>
  <c r="A348" i="7"/>
  <c r="I347" i="7" l="1"/>
  <c r="F348" i="7"/>
  <c r="A349" i="7"/>
  <c r="E348" i="7"/>
  <c r="D348" i="7"/>
  <c r="B348" i="7"/>
  <c r="C348" i="7"/>
  <c r="H347" i="7"/>
  <c r="J347" i="7"/>
  <c r="H348" i="7" l="1"/>
  <c r="J348" i="7" s="1"/>
  <c r="C349" i="7"/>
  <c r="E349" i="7"/>
  <c r="A350" i="7"/>
  <c r="F349" i="7"/>
  <c r="D349" i="7"/>
  <c r="G349" i="7" s="1"/>
  <c r="B349" i="7"/>
  <c r="G348" i="7"/>
  <c r="I348" i="7" s="1"/>
  <c r="I349" i="7" s="1"/>
  <c r="A351" i="7" l="1"/>
  <c r="D350" i="7"/>
  <c r="B350" i="7"/>
  <c r="F350" i="7"/>
  <c r="C350" i="7"/>
  <c r="E350" i="7"/>
  <c r="H349" i="7"/>
  <c r="J349" i="7" s="1"/>
  <c r="H350" i="7" l="1"/>
  <c r="J350" i="7" s="1"/>
  <c r="G350" i="7"/>
  <c r="I350" i="7" s="1"/>
  <c r="E351" i="7"/>
  <c r="C351" i="7"/>
  <c r="F351" i="7"/>
  <c r="D351" i="7"/>
  <c r="G351" i="7" s="1"/>
  <c r="B351" i="7"/>
  <c r="A352" i="7"/>
  <c r="H351" i="7" l="1"/>
  <c r="J351" i="7" s="1"/>
  <c r="B352" i="7"/>
  <c r="F352" i="7"/>
  <c r="E352" i="7"/>
  <c r="D352" i="7"/>
  <c r="G352" i="7" s="1"/>
  <c r="A353" i="7"/>
  <c r="C352" i="7"/>
  <c r="I351" i="7"/>
  <c r="I352" i="7" s="1"/>
  <c r="H352" i="7" l="1"/>
  <c r="J352" i="7" s="1"/>
  <c r="C353" i="7"/>
  <c r="A354" i="7"/>
  <c r="E353" i="7"/>
  <c r="D353" i="7"/>
  <c r="F353" i="7"/>
  <c r="B353" i="7"/>
  <c r="G353" i="7" l="1"/>
  <c r="I353" i="7" s="1"/>
  <c r="A355" i="7"/>
  <c r="D354" i="7"/>
  <c r="F354" i="7"/>
  <c r="C354" i="7"/>
  <c r="B354" i="7"/>
  <c r="E354" i="7"/>
  <c r="H353" i="7"/>
  <c r="J353" i="7" s="1"/>
  <c r="G354" i="7" l="1"/>
  <c r="F355" i="7"/>
  <c r="A356" i="7"/>
  <c r="E355" i="7"/>
  <c r="C355" i="7"/>
  <c r="B355" i="7"/>
  <c r="D355" i="7"/>
  <c r="H354" i="7"/>
  <c r="J354" i="7" s="1"/>
  <c r="I354" i="7"/>
  <c r="G355" i="7" l="1"/>
  <c r="I355" i="7" s="1"/>
  <c r="E356" i="7"/>
  <c r="B356" i="7"/>
  <c r="A357" i="7"/>
  <c r="F356" i="7"/>
  <c r="D356" i="7"/>
  <c r="G356" i="7" s="1"/>
  <c r="C356" i="7"/>
  <c r="H355" i="7"/>
  <c r="J355" i="7" s="1"/>
  <c r="I356" i="7" l="1"/>
  <c r="H356" i="7"/>
  <c r="J356" i="7" s="1"/>
  <c r="F357" i="7"/>
  <c r="D357" i="7"/>
  <c r="C357" i="7"/>
  <c r="B357" i="7"/>
  <c r="A358" i="7"/>
  <c r="E357" i="7"/>
  <c r="H357" i="7" l="1"/>
  <c r="J357" i="7" s="1"/>
  <c r="C358" i="7"/>
  <c r="D358" i="7"/>
  <c r="A359" i="7"/>
  <c r="E358" i="7"/>
  <c r="F358" i="7"/>
  <c r="B358" i="7"/>
  <c r="G357" i="7"/>
  <c r="I357" i="7" s="1"/>
  <c r="A360" i="7" l="1"/>
  <c r="D359" i="7"/>
  <c r="B359" i="7"/>
  <c r="F359" i="7"/>
  <c r="C359" i="7"/>
  <c r="E359" i="7"/>
  <c r="G358" i="7"/>
  <c r="I358" i="7" s="1"/>
  <c r="H358" i="7"/>
  <c r="J358" i="7" s="1"/>
  <c r="H359" i="7" l="1"/>
  <c r="J359" i="7" s="1"/>
  <c r="G359" i="7"/>
  <c r="I359" i="7" s="1"/>
  <c r="E360" i="7"/>
  <c r="F360" i="7"/>
  <c r="B360" i="7"/>
  <c r="C360" i="7"/>
  <c r="D360" i="7"/>
  <c r="A361" i="7"/>
  <c r="B361" i="7" l="1"/>
  <c r="A362" i="7"/>
  <c r="F361" i="7"/>
  <c r="E361" i="7"/>
  <c r="D361" i="7"/>
  <c r="G361" i="7" s="1"/>
  <c r="C361" i="7"/>
  <c r="G360" i="7"/>
  <c r="I360" i="7" s="1"/>
  <c r="H360" i="7"/>
  <c r="J360" i="7" s="1"/>
  <c r="H361" i="7" l="1"/>
  <c r="J361" i="7" s="1"/>
  <c r="I361" i="7"/>
  <c r="C362" i="7"/>
  <c r="D362" i="7"/>
  <c r="F362" i="7"/>
  <c r="E362" i="7"/>
  <c r="A363" i="7"/>
  <c r="B362" i="7"/>
  <c r="A364" i="7" l="1"/>
  <c r="F363" i="7"/>
  <c r="D363" i="7"/>
  <c r="E363" i="7"/>
  <c r="B363" i="7"/>
  <c r="C363" i="7"/>
  <c r="G362" i="7"/>
  <c r="I362" i="7" s="1"/>
  <c r="H362" i="7"/>
  <c r="J362" i="7" s="1"/>
  <c r="G363" i="7" l="1"/>
  <c r="I363" i="7" s="1"/>
  <c r="H363" i="7"/>
  <c r="J363" i="7" s="1"/>
  <c r="C364" i="7"/>
  <c r="A365" i="7"/>
  <c r="F364" i="7"/>
  <c r="E364" i="7"/>
  <c r="D364" i="7"/>
  <c r="B364" i="7"/>
  <c r="G364" i="7" l="1"/>
  <c r="I364" i="7" s="1"/>
  <c r="E365" i="7"/>
  <c r="F365" i="7"/>
  <c r="C365" i="7"/>
  <c r="B365" i="7"/>
  <c r="A366" i="7"/>
  <c r="D365" i="7"/>
  <c r="G365" i="7" s="1"/>
  <c r="H364" i="7"/>
  <c r="J364" i="7"/>
  <c r="I365" i="7" l="1"/>
  <c r="F366" i="7"/>
  <c r="D366" i="7"/>
  <c r="E366" i="7"/>
  <c r="A367" i="7"/>
  <c r="C366" i="7"/>
  <c r="B366" i="7"/>
  <c r="H365" i="7"/>
  <c r="J365" i="7" s="1"/>
  <c r="H366" i="7" l="1"/>
  <c r="J366" i="7" s="1"/>
  <c r="C367" i="7"/>
  <c r="B367" i="7"/>
  <c r="E367" i="7"/>
  <c r="A368" i="7"/>
  <c r="F367" i="7"/>
  <c r="D367" i="7"/>
  <c r="G367" i="7" s="1"/>
  <c r="G366" i="7"/>
  <c r="I366" i="7" s="1"/>
  <c r="I367" i="7" s="1"/>
  <c r="A369" i="7" l="1"/>
  <c r="D368" i="7"/>
  <c r="F368" i="7"/>
  <c r="B368" i="7"/>
  <c r="E368" i="7"/>
  <c r="C368" i="7"/>
  <c r="H367" i="7"/>
  <c r="J367" i="7" s="1"/>
  <c r="H368" i="7" l="1"/>
  <c r="J368" i="7" s="1"/>
  <c r="G368" i="7"/>
  <c r="I368" i="7" s="1"/>
  <c r="E369" i="7"/>
  <c r="B369" i="7"/>
  <c r="A370" i="7"/>
  <c r="D369" i="7"/>
  <c r="G369" i="7" s="1"/>
  <c r="F369" i="7"/>
  <c r="C369" i="7"/>
  <c r="H369" i="7" l="1"/>
  <c r="J369" i="7" s="1"/>
  <c r="B370" i="7"/>
  <c r="F370" i="7"/>
  <c r="E370" i="7"/>
  <c r="A371" i="7"/>
  <c r="C370" i="7"/>
  <c r="D370" i="7"/>
  <c r="I369" i="7"/>
  <c r="G370" i="7" l="1"/>
  <c r="I370" i="7" s="1"/>
  <c r="H370" i="7"/>
  <c r="C371" i="7"/>
  <c r="D371" i="7"/>
  <c r="A372" i="7"/>
  <c r="E371" i="7"/>
  <c r="F371" i="7"/>
  <c r="B371" i="7"/>
  <c r="J370" i="7"/>
  <c r="A373" i="7" l="1"/>
  <c r="E372" i="7"/>
  <c r="B372" i="7"/>
  <c r="F372" i="7"/>
  <c r="D372" i="7"/>
  <c r="G372" i="7" s="1"/>
  <c r="C372" i="7"/>
  <c r="G371" i="7"/>
  <c r="I371" i="7" s="1"/>
  <c r="I372" i="7" s="1"/>
  <c r="H371" i="7"/>
  <c r="J371" i="7" s="1"/>
  <c r="H372" i="7" l="1"/>
  <c r="J372" i="7" s="1"/>
  <c r="E373" i="7"/>
  <c r="D373" i="7"/>
  <c r="G373" i="7" s="1"/>
  <c r="I373" i="7" s="1"/>
  <c r="C373" i="7"/>
  <c r="F373" i="7"/>
  <c r="A374" i="7"/>
  <c r="B373" i="7"/>
  <c r="E374" i="7" l="1"/>
  <c r="A375" i="7"/>
  <c r="D374" i="7"/>
  <c r="G374" i="7" s="1"/>
  <c r="I374" i="7" s="1"/>
  <c r="F374" i="7"/>
  <c r="C374" i="7"/>
  <c r="B374" i="7"/>
  <c r="H373" i="7"/>
  <c r="J373" i="7" s="1"/>
  <c r="F375" i="7" l="1"/>
  <c r="A376" i="7"/>
  <c r="B375" i="7"/>
  <c r="E375" i="7"/>
  <c r="C375" i="7"/>
  <c r="D375" i="7"/>
  <c r="G375" i="7" s="1"/>
  <c r="I375" i="7" s="1"/>
  <c r="H374" i="7"/>
  <c r="J374" i="7" s="1"/>
  <c r="C376" i="7" l="1"/>
  <c r="B376" i="7"/>
  <c r="E376" i="7"/>
  <c r="F376" i="7"/>
  <c r="D376" i="7"/>
  <c r="G376" i="7" s="1"/>
  <c r="I376" i="7" s="1"/>
  <c r="A377" i="7"/>
  <c r="H375" i="7"/>
  <c r="J375" i="7" s="1"/>
  <c r="A378" i="7" l="1"/>
  <c r="D377" i="7"/>
  <c r="B377" i="7"/>
  <c r="E377" i="7"/>
  <c r="F377" i="7"/>
  <c r="C377" i="7"/>
  <c r="H377" i="7" s="1"/>
  <c r="H376" i="7"/>
  <c r="J376" i="7" s="1"/>
  <c r="J377" i="7" s="1"/>
  <c r="G377" i="7" l="1"/>
  <c r="I377" i="7" s="1"/>
  <c r="E378" i="7"/>
  <c r="A379" i="7"/>
  <c r="D378" i="7"/>
  <c r="C378" i="7"/>
  <c r="F378" i="7"/>
  <c r="B378" i="7"/>
  <c r="H378" i="7" l="1"/>
  <c r="J378" i="7" s="1"/>
  <c r="G378" i="7"/>
  <c r="B379" i="7"/>
  <c r="D379" i="7"/>
  <c r="C379" i="7"/>
  <c r="E379" i="7"/>
  <c r="A380" i="7"/>
  <c r="F379" i="7"/>
  <c r="I378" i="7"/>
  <c r="C380" i="7" l="1"/>
  <c r="A381" i="7"/>
  <c r="B380" i="7"/>
  <c r="F380" i="7"/>
  <c r="E380" i="7"/>
  <c r="D380" i="7"/>
  <c r="G380" i="7" s="1"/>
  <c r="H379" i="7"/>
  <c r="J379" i="7" s="1"/>
  <c r="G379" i="7"/>
  <c r="I379" i="7" s="1"/>
  <c r="I380" i="7" s="1"/>
  <c r="H380" i="7" l="1"/>
  <c r="J380" i="7" s="1"/>
  <c r="A382" i="7"/>
  <c r="E381" i="7"/>
  <c r="F381" i="7"/>
  <c r="D381" i="7"/>
  <c r="G381" i="7" s="1"/>
  <c r="I381" i="7" s="1"/>
  <c r="C381" i="7"/>
  <c r="B381" i="7"/>
  <c r="H381" i="7" l="1"/>
  <c r="B382" i="7"/>
  <c r="F382" i="7"/>
  <c r="A383" i="7"/>
  <c r="E382" i="7"/>
  <c r="C382" i="7"/>
  <c r="D382" i="7"/>
  <c r="G382" i="7" s="1"/>
  <c r="I382" i="7" s="1"/>
  <c r="J381" i="7"/>
  <c r="H382" i="7" l="1"/>
  <c r="J382" i="7" s="1"/>
  <c r="E383" i="7"/>
  <c r="D383" i="7"/>
  <c r="G383" i="7" s="1"/>
  <c r="I383" i="7" s="1"/>
  <c r="B383" i="7"/>
  <c r="A384" i="7"/>
  <c r="F383" i="7"/>
  <c r="C383" i="7"/>
  <c r="H383" i="7" l="1"/>
  <c r="J383" i="7" s="1"/>
  <c r="F384" i="7"/>
  <c r="C384" i="7"/>
  <c r="B384" i="7"/>
  <c r="E384" i="7"/>
  <c r="D384" i="7"/>
  <c r="G384" i="7" s="1"/>
  <c r="I384" i="7" s="1"/>
  <c r="A385" i="7"/>
  <c r="H384" i="7" l="1"/>
  <c r="J384" i="7" s="1"/>
  <c r="C385" i="7"/>
  <c r="F385" i="7"/>
  <c r="B385" i="7"/>
  <c r="E385" i="7"/>
  <c r="D385" i="7"/>
  <c r="G385" i="7" s="1"/>
  <c r="I385" i="7" s="1"/>
  <c r="A386" i="7"/>
  <c r="A387" i="7" l="1"/>
  <c r="D386" i="7"/>
  <c r="E386" i="7"/>
  <c r="F386" i="7"/>
  <c r="B386" i="7"/>
  <c r="C386" i="7"/>
  <c r="H385" i="7"/>
  <c r="J385" i="7" s="1"/>
  <c r="H386" i="7" l="1"/>
  <c r="J386" i="7" s="1"/>
  <c r="G386" i="7"/>
  <c r="I386" i="7" s="1"/>
  <c r="E387" i="7"/>
  <c r="D387" i="7"/>
  <c r="B387" i="7"/>
  <c r="C387" i="7"/>
  <c r="A388" i="7"/>
  <c r="F387" i="7"/>
  <c r="B388" i="7" l="1"/>
  <c r="F388" i="7"/>
  <c r="A389" i="7"/>
  <c r="D388" i="7"/>
  <c r="E388" i="7"/>
  <c r="C388" i="7"/>
  <c r="H387" i="7"/>
  <c r="J387" i="7" s="1"/>
  <c r="G387" i="7"/>
  <c r="I387" i="7" s="1"/>
  <c r="G388" i="7" l="1"/>
  <c r="C389" i="7"/>
  <c r="A390" i="7"/>
  <c r="E389" i="7"/>
  <c r="B389" i="7"/>
  <c r="F389" i="7"/>
  <c r="D389" i="7"/>
  <c r="G389" i="7" s="1"/>
  <c r="I388" i="7"/>
  <c r="I389" i="7" s="1"/>
  <c r="H388" i="7"/>
  <c r="J388" i="7" s="1"/>
  <c r="A391" i="7" l="1"/>
  <c r="B390" i="7"/>
  <c r="F390" i="7"/>
  <c r="E390" i="7"/>
  <c r="D390" i="7"/>
  <c r="G390" i="7" s="1"/>
  <c r="I390" i="7" s="1"/>
  <c r="C390" i="7"/>
  <c r="H389" i="7"/>
  <c r="J389" i="7" s="1"/>
  <c r="H390" i="7" l="1"/>
  <c r="J390" i="7" s="1"/>
  <c r="E391" i="7"/>
  <c r="A392" i="7"/>
  <c r="B391" i="7"/>
  <c r="F391" i="7"/>
  <c r="C391" i="7"/>
  <c r="D391" i="7"/>
  <c r="G391" i="7" s="1"/>
  <c r="I391" i="7" s="1"/>
  <c r="H391" i="7" l="1"/>
  <c r="J391" i="7" s="1"/>
  <c r="E392" i="7"/>
  <c r="C392" i="7"/>
  <c r="F392" i="7"/>
  <c r="D392" i="7"/>
  <c r="G392" i="7" s="1"/>
  <c r="I392" i="7" s="1"/>
  <c r="A393" i="7"/>
  <c r="B392" i="7"/>
  <c r="F393" i="7" l="1"/>
  <c r="C393" i="7"/>
  <c r="D393" i="7"/>
  <c r="E393" i="7"/>
  <c r="B393" i="7"/>
  <c r="A394" i="7"/>
  <c r="H392" i="7"/>
  <c r="J392" i="7" s="1"/>
  <c r="C394" i="7" l="1"/>
  <c r="A395" i="7"/>
  <c r="E394" i="7"/>
  <c r="D394" i="7"/>
  <c r="G394" i="7" s="1"/>
  <c r="B394" i="7"/>
  <c r="F394" i="7"/>
  <c r="G393" i="7"/>
  <c r="I393" i="7" s="1"/>
  <c r="I394" i="7" s="1"/>
  <c r="H393" i="7"/>
  <c r="J393" i="7" s="1"/>
  <c r="A396" i="7" l="1"/>
  <c r="D395" i="7"/>
  <c r="F395" i="7"/>
  <c r="C395" i="7"/>
  <c r="B395" i="7"/>
  <c r="E395" i="7"/>
  <c r="H394" i="7"/>
  <c r="J394" i="7" s="1"/>
  <c r="H395" i="7" l="1"/>
  <c r="J395" i="7" s="1"/>
  <c r="G395" i="7"/>
  <c r="I395" i="7" s="1"/>
  <c r="E396" i="7"/>
  <c r="C396" i="7"/>
  <c r="F396" i="7"/>
  <c r="B396" i="7"/>
  <c r="D396" i="7"/>
  <c r="G396" i="7" s="1"/>
  <c r="A397" i="7"/>
  <c r="B397" i="7" l="1"/>
  <c r="C397" i="7"/>
  <c r="A398" i="7"/>
  <c r="F397" i="7"/>
  <c r="E397" i="7"/>
  <c r="D397" i="7"/>
  <c r="G397" i="7" s="1"/>
  <c r="H396" i="7"/>
  <c r="J396" i="7" s="1"/>
  <c r="I396" i="7"/>
  <c r="I397" i="7" s="1"/>
  <c r="C398" i="7" l="1"/>
  <c r="D398" i="7"/>
  <c r="A399" i="7"/>
  <c r="E398" i="7"/>
  <c r="B398" i="7"/>
  <c r="F398" i="7"/>
  <c r="H397" i="7"/>
  <c r="J397" i="7" s="1"/>
  <c r="A400" i="7" l="1"/>
  <c r="D399" i="7"/>
  <c r="E399" i="7"/>
  <c r="B399" i="7"/>
  <c r="F399" i="7"/>
  <c r="C399" i="7"/>
  <c r="G398" i="7"/>
  <c r="I398" i="7" s="1"/>
  <c r="H398" i="7"/>
  <c r="J398" i="7" s="1"/>
  <c r="H399" i="7" l="1"/>
  <c r="J399" i="7" s="1"/>
  <c r="G399" i="7"/>
  <c r="I399" i="7" s="1"/>
  <c r="E400" i="7"/>
  <c r="A401" i="7"/>
  <c r="F400" i="7"/>
  <c r="D400" i="7"/>
  <c r="G400" i="7" s="1"/>
  <c r="C400" i="7"/>
  <c r="B400" i="7"/>
  <c r="I400" i="7" l="1"/>
  <c r="H400" i="7"/>
  <c r="J400" i="7" s="1"/>
  <c r="E401" i="7"/>
  <c r="F401" i="7"/>
  <c r="B401" i="7"/>
  <c r="A402" i="7"/>
  <c r="D401" i="7"/>
  <c r="C401" i="7"/>
  <c r="H401" i="7" l="1"/>
  <c r="J401" i="7" s="1"/>
  <c r="G401" i="7"/>
  <c r="I401" i="7" s="1"/>
  <c r="F402" i="7"/>
  <c r="A403" i="7"/>
  <c r="E402" i="7"/>
  <c r="B402" i="7"/>
  <c r="C402" i="7"/>
  <c r="D402" i="7"/>
  <c r="G402" i="7" s="1"/>
  <c r="C403" i="7" l="1"/>
  <c r="F403" i="7"/>
  <c r="E403" i="7"/>
  <c r="D403" i="7"/>
  <c r="G403" i="7" s="1"/>
  <c r="B403" i="7"/>
  <c r="A404" i="7"/>
  <c r="H402" i="7"/>
  <c r="I402" i="7"/>
  <c r="J402" i="7"/>
  <c r="I403" i="7" l="1"/>
  <c r="A405" i="7"/>
  <c r="D404" i="7"/>
  <c r="F404" i="7"/>
  <c r="E404" i="7"/>
  <c r="C404" i="7"/>
  <c r="B404" i="7"/>
  <c r="H403" i="7"/>
  <c r="J403" i="7" s="1"/>
  <c r="H404" i="7" l="1"/>
  <c r="J404" i="7" s="1"/>
  <c r="G404" i="7"/>
  <c r="E405" i="7"/>
  <c r="C405" i="7"/>
  <c r="A406" i="7"/>
  <c r="D405" i="7"/>
  <c r="G405" i="7" s="1"/>
  <c r="B405" i="7"/>
  <c r="F405" i="7"/>
  <c r="I404" i="7"/>
  <c r="I405" i="7" s="1"/>
  <c r="B406" i="7" l="1"/>
  <c r="F406" i="7"/>
  <c r="D406" i="7"/>
  <c r="C406" i="7"/>
  <c r="E406" i="7"/>
  <c r="A407" i="7"/>
  <c r="H405" i="7"/>
  <c r="J405" i="7" s="1"/>
  <c r="H406" i="7" l="1"/>
  <c r="J406" i="7" s="1"/>
  <c r="C407" i="7"/>
  <c r="A408" i="7"/>
  <c r="E407" i="7"/>
  <c r="F407" i="7"/>
  <c r="D407" i="7"/>
  <c r="G407" i="7" s="1"/>
  <c r="B407" i="7"/>
  <c r="G406" i="7"/>
  <c r="I406" i="7" s="1"/>
  <c r="I407" i="7" l="1"/>
  <c r="A409" i="7"/>
  <c r="E408" i="7"/>
  <c r="F408" i="7"/>
  <c r="D408" i="7"/>
  <c r="G408" i="7" s="1"/>
  <c r="I408" i="7" s="1"/>
  <c r="C408" i="7"/>
  <c r="B408" i="7"/>
  <c r="H407" i="7"/>
  <c r="J407" i="7" s="1"/>
  <c r="H408" i="7" l="1"/>
  <c r="J408" i="7" s="1"/>
  <c r="F409" i="7"/>
  <c r="C409" i="7"/>
  <c r="D409" i="7"/>
  <c r="A410" i="7"/>
  <c r="B409" i="7"/>
  <c r="E409" i="7"/>
  <c r="H409" i="7" l="1"/>
  <c r="J409" i="7" s="1"/>
  <c r="E410" i="7"/>
  <c r="B410" i="7"/>
  <c r="C410" i="7"/>
  <c r="D410" i="7"/>
  <c r="A411" i="7"/>
  <c r="F410" i="7"/>
  <c r="G409" i="7"/>
  <c r="I409" i="7" s="1"/>
  <c r="G410" i="7" l="1"/>
  <c r="I410" i="7" s="1"/>
  <c r="F411" i="7"/>
  <c r="E411" i="7"/>
  <c r="A412" i="7"/>
  <c r="D411" i="7"/>
  <c r="G411" i="7" s="1"/>
  <c r="C411" i="7"/>
  <c r="B411" i="7"/>
  <c r="H410" i="7"/>
  <c r="J410" i="7" s="1"/>
  <c r="H411" i="7" l="1"/>
  <c r="J411" i="7"/>
  <c r="I411" i="7"/>
  <c r="C412" i="7"/>
  <c r="D412" i="7"/>
  <c r="F412" i="7"/>
  <c r="E412" i="7"/>
  <c r="B412" i="7"/>
  <c r="A413" i="7"/>
  <c r="A414" i="7" l="1"/>
  <c r="D413" i="7"/>
  <c r="C413" i="7"/>
  <c r="F413" i="7"/>
  <c r="E413" i="7"/>
  <c r="B413" i="7"/>
  <c r="G412" i="7"/>
  <c r="I412" i="7" s="1"/>
  <c r="H412" i="7"/>
  <c r="J412" i="7" s="1"/>
  <c r="H413" i="7" l="1"/>
  <c r="J413" i="7" s="1"/>
  <c r="G413" i="7"/>
  <c r="I413" i="7" s="1"/>
  <c r="E414" i="7"/>
  <c r="F414" i="7"/>
  <c r="A415" i="7"/>
  <c r="D414" i="7"/>
  <c r="C414" i="7"/>
  <c r="B414" i="7"/>
  <c r="G414" i="7" l="1"/>
  <c r="I414" i="7" s="1"/>
  <c r="H414" i="7"/>
  <c r="J414" i="7" s="1"/>
  <c r="B415" i="7"/>
  <c r="A416" i="7"/>
  <c r="D415" i="7"/>
  <c r="F415" i="7"/>
  <c r="E415" i="7"/>
  <c r="C415" i="7"/>
  <c r="H415" i="7" l="1"/>
  <c r="J415" i="7" s="1"/>
  <c r="G415" i="7"/>
  <c r="I415" i="7" s="1"/>
  <c r="C416" i="7"/>
  <c r="A417" i="7"/>
  <c r="B416" i="7"/>
  <c r="F416" i="7"/>
  <c r="E416" i="7"/>
  <c r="D416" i="7"/>
  <c r="G416" i="7" l="1"/>
  <c r="I416" i="7" s="1"/>
  <c r="A418" i="7"/>
  <c r="E417" i="7"/>
  <c r="D417" i="7"/>
  <c r="B417" i="7"/>
  <c r="C417" i="7"/>
  <c r="F417" i="7"/>
  <c r="H416" i="7"/>
  <c r="J416" i="7" s="1"/>
  <c r="H417" i="7" l="1"/>
  <c r="J417" i="7" s="1"/>
  <c r="G417" i="7"/>
  <c r="I417" i="7" s="1"/>
  <c r="C418" i="7"/>
  <c r="B418" i="7"/>
  <c r="A419" i="7"/>
  <c r="F418" i="7"/>
  <c r="E418" i="7"/>
  <c r="D418" i="7"/>
  <c r="G418" i="7" s="1"/>
  <c r="I418" i="7" l="1"/>
  <c r="E419" i="7"/>
  <c r="C419" i="7"/>
  <c r="A420" i="7"/>
  <c r="F419" i="7"/>
  <c r="D419" i="7"/>
  <c r="G419" i="7" s="1"/>
  <c r="I419" i="7" s="1"/>
  <c r="B419" i="7"/>
  <c r="H418" i="7"/>
  <c r="J418" i="7" s="1"/>
  <c r="H419" i="7" l="1"/>
  <c r="J419" i="7" s="1"/>
  <c r="F420" i="7"/>
  <c r="D420" i="7"/>
  <c r="B420" i="7"/>
  <c r="A421" i="7"/>
  <c r="C420" i="7"/>
  <c r="E420" i="7"/>
  <c r="H420" i="7" l="1"/>
  <c r="J420" i="7" s="1"/>
  <c r="C421" i="7"/>
  <c r="A422" i="7"/>
  <c r="F421" i="7"/>
  <c r="E421" i="7"/>
  <c r="D421" i="7"/>
  <c r="B421" i="7"/>
  <c r="G420" i="7"/>
  <c r="I420" i="7" s="1"/>
  <c r="G421" i="7" l="1"/>
  <c r="I421" i="7"/>
  <c r="A423" i="7"/>
  <c r="D422" i="7"/>
  <c r="F422" i="7"/>
  <c r="C422" i="7"/>
  <c r="E422" i="7"/>
  <c r="B422" i="7"/>
  <c r="H421" i="7"/>
  <c r="J421" i="7" s="1"/>
  <c r="H422" i="7" l="1"/>
  <c r="J422" i="7" s="1"/>
  <c r="G422" i="7"/>
  <c r="I422" i="7" s="1"/>
  <c r="A424" i="7"/>
  <c r="F423" i="7"/>
  <c r="E423" i="7"/>
  <c r="D423" i="7"/>
  <c r="G423" i="7" s="1"/>
  <c r="C423" i="7"/>
  <c r="B423" i="7"/>
  <c r="H423" i="7" l="1"/>
  <c r="J423" i="7" s="1"/>
  <c r="F424" i="7"/>
  <c r="E424" i="7"/>
  <c r="D424" i="7"/>
  <c r="G424" i="7" s="1"/>
  <c r="C424" i="7"/>
  <c r="B424" i="7"/>
  <c r="F3" i="2"/>
  <c r="F4" i="2"/>
  <c r="I423" i="7"/>
  <c r="I424" i="7" s="1"/>
  <c r="H424" i="7" l="1"/>
  <c r="J424" i="7" s="1"/>
  <c r="E9" i="4"/>
  <c r="E8" i="4"/>
  <c r="E7" i="4"/>
  <c r="E10" i="4"/>
  <c r="E6" i="4"/>
  <c r="G4" i="2"/>
  <c r="E4" i="4"/>
  <c r="E3" i="4"/>
  <c r="G3" i="2"/>
  <c r="E5" i="4"/>
  <c r="F4" i="4" l="1"/>
  <c r="C3" i="3"/>
  <c r="F5" i="4"/>
  <c r="F3" i="4"/>
  <c r="F8" i="4"/>
  <c r="F7" i="4"/>
  <c r="F6" i="4"/>
  <c r="F9" i="4"/>
  <c r="F10" i="4"/>
  <c r="F5" i="2"/>
  <c r="E13" i="4" l="1"/>
  <c r="E12" i="4"/>
  <c r="E11" i="4"/>
  <c r="G5" i="2"/>
  <c r="F13" i="4" l="1"/>
  <c r="F11" i="4"/>
  <c r="C4" i="3"/>
  <c r="F6" i="2"/>
  <c r="F12" i="4"/>
  <c r="E40" i="4" l="1"/>
  <c r="E31" i="4"/>
  <c r="E22" i="4"/>
  <c r="E39" i="4"/>
  <c r="E30" i="4"/>
  <c r="E21" i="4"/>
  <c r="E36" i="4"/>
  <c r="E25" i="4"/>
  <c r="E14" i="4"/>
  <c r="E34" i="4"/>
  <c r="E20" i="4"/>
  <c r="E33" i="4"/>
  <c r="E19" i="4"/>
  <c r="E32" i="4"/>
  <c r="E43" i="4"/>
  <c r="E18" i="4"/>
  <c r="E29" i="4"/>
  <c r="E16" i="4"/>
  <c r="G6" i="2"/>
  <c r="E35" i="4"/>
  <c r="E15" i="4"/>
  <c r="E28" i="4"/>
  <c r="E27" i="4"/>
  <c r="E26" i="4"/>
  <c r="E42" i="4"/>
  <c r="E37" i="4"/>
  <c r="E23" i="4"/>
  <c r="E41" i="4"/>
  <c r="E24" i="4"/>
  <c r="E17" i="4"/>
  <c r="E38" i="4"/>
  <c r="F40" i="4" l="1"/>
  <c r="F31" i="4"/>
  <c r="F22" i="4"/>
  <c r="F38" i="4"/>
  <c r="F29" i="4"/>
  <c r="F20" i="4"/>
  <c r="F21" i="4"/>
  <c r="F33" i="4"/>
  <c r="F19" i="4"/>
  <c r="F32" i="4"/>
  <c r="F43" i="4"/>
  <c r="F18" i="4"/>
  <c r="F30" i="4"/>
  <c r="F42" i="4"/>
  <c r="F36" i="4"/>
  <c r="F35" i="4"/>
  <c r="F15" i="4"/>
  <c r="F14" i="4"/>
  <c r="F27" i="4"/>
  <c r="F7" i="2"/>
  <c r="F25" i="4"/>
  <c r="F24" i="4"/>
  <c r="F34" i="4"/>
  <c r="F28" i="4"/>
  <c r="F26" i="4"/>
  <c r="F37" i="4"/>
  <c r="F17" i="4"/>
  <c r="F16" i="4"/>
  <c r="F39" i="4"/>
  <c r="F23" i="4"/>
  <c r="F41" i="4"/>
  <c r="G7" i="2" l="1"/>
  <c r="E45" i="4"/>
  <c r="E44" i="4"/>
  <c r="E46" i="4"/>
  <c r="F45" i="4" l="1"/>
  <c r="F44" i="4"/>
  <c r="F46" i="4"/>
  <c r="F8" i="2"/>
  <c r="C5" i="3"/>
  <c r="E49" i="4" l="1"/>
  <c r="E48" i="4"/>
  <c r="E47" i="4"/>
  <c r="E51" i="4"/>
  <c r="E50" i="4"/>
  <c r="G8" i="2"/>
  <c r="F49" i="4" l="1"/>
  <c r="F47" i="4"/>
  <c r="F51" i="4"/>
  <c r="F50" i="4"/>
  <c r="F9" i="2"/>
  <c r="F48" i="4"/>
  <c r="C6" i="3"/>
  <c r="E54" i="4" l="1"/>
  <c r="E53" i="4"/>
  <c r="G9" i="2"/>
  <c r="E52" i="4"/>
  <c r="F54" i="4" l="1"/>
  <c r="F53" i="4"/>
  <c r="F10" i="2"/>
  <c r="F52" i="4"/>
  <c r="C7" i="3"/>
  <c r="E58" i="4" l="1"/>
  <c r="E57" i="4"/>
  <c r="E56" i="4"/>
  <c r="E55" i="4"/>
  <c r="G10" i="2"/>
  <c r="F58" i="4" l="1"/>
  <c r="F56" i="4"/>
  <c r="F11" i="2"/>
  <c r="C8" i="3"/>
  <c r="F57" i="4"/>
  <c r="F55" i="4"/>
  <c r="G11" i="2" l="1"/>
  <c r="E60" i="4"/>
  <c r="E59" i="4"/>
  <c r="E61" i="4"/>
  <c r="F12" i="2" l="1"/>
  <c r="F61" i="4"/>
  <c r="F59" i="4"/>
  <c r="C9" i="3"/>
  <c r="F60" i="4"/>
  <c r="G12" i="2" l="1"/>
  <c r="E64" i="4"/>
  <c r="E63" i="4"/>
  <c r="E62" i="4"/>
  <c r="F62" i="4" l="1"/>
  <c r="F13" i="2"/>
  <c r="C17" i="2"/>
  <c r="F64" i="4"/>
  <c r="F63" i="4"/>
  <c r="C10" i="3"/>
  <c r="E68" i="4" l="1"/>
  <c r="E66" i="4"/>
  <c r="G13" i="2"/>
  <c r="E67" i="4"/>
  <c r="E65" i="4"/>
  <c r="F67" i="4" l="1"/>
  <c r="F66" i="4"/>
  <c r="C11" i="3"/>
  <c r="C18" i="2"/>
  <c r="F68" i="4"/>
  <c r="F65" i="4"/>
  <c r="C19" i="2"/>
</calcChain>
</file>

<file path=xl/sharedStrings.xml><?xml version="1.0" encoding="utf-8"?>
<sst xmlns="http://schemas.openxmlformats.org/spreadsheetml/2006/main" count="581" uniqueCount="290">
  <si>
    <t>WBS ID</t>
  </si>
  <si>
    <t>Phase / Activity</t>
  </si>
  <si>
    <t>Duration
(Working Days)</t>
  </si>
  <si>
    <t>Mode</t>
  </si>
  <si>
    <t>Fixed Start
(optional)</t>
  </si>
  <si>
    <t>Start Date</t>
  </si>
  <si>
    <t>End Date</t>
  </si>
  <si>
    <t>Comments</t>
  </si>
  <si>
    <t>1. Project Kick-off</t>
  </si>
  <si>
    <t>Offshore</t>
  </si>
  <si>
    <t>Formal project launch; PMT and governance confirmed. Fixed date.</t>
  </si>
  <si>
    <t>2. Business Process Study</t>
  </si>
  <si>
    <t>Mix-Mode</t>
  </si>
  <si>
    <t>On-site and remote study of current farm &amp; finance processes (7 onshore days within this window). Fixed start date, gap after kick-off for mobilisation.</t>
  </si>
  <si>
    <t>3. Business Blueprint</t>
  </si>
  <si>
    <t>Business Blueprint Document (BBP) prepared and signed off.</t>
  </si>
  <si>
    <t>4. System Configuration &amp; Customization (P1)</t>
  </si>
  <si>
    <t>Core NAVFarm configuration per signed-off BBP.</t>
  </si>
  <si>
    <t>5. Conference Room Pilot (CRP)</t>
  </si>
  <si>
    <t>Configured solution walked through with client stakeholders.</t>
  </si>
  <si>
    <t>6. Integration &amp; Customization (P2)</t>
  </si>
  <si>
    <t>D365BC and Pig Vision integration build.</t>
  </si>
  <si>
    <t>7. Key User Training</t>
  </si>
  <si>
    <t>Onshore</t>
  </si>
  <si>
    <t>May extend up to 5 additional days with joint management approval.</t>
  </si>
  <si>
    <t>8. User Testing</t>
  </si>
  <si>
    <t>May extend up to 5 additional days (combined with training) with joint management approval.</t>
  </si>
  <si>
    <t>9. Data Migration &amp; Go-Live Preparation</t>
  </si>
  <si>
    <t>4 years of historical data migrated (client-provided in NAVFarm template format).</t>
  </si>
  <si>
    <t>10. Go-Live</t>
  </si>
  <si>
    <t>Production cutover.</t>
  </si>
  <si>
    <t>11. Post Go-Live Support</t>
  </si>
  <si>
    <t>Stabilization support, performance tuning, issue resolution, user enablement.</t>
  </si>
  <si>
    <t>12. Phase 2 - System Enhancement &amp; Integration</t>
  </si>
  <si>
    <t>TBD</t>
  </si>
  <si>
    <t>Scope and timeline to be finalized separately per proposal.</t>
  </si>
  <si>
    <t>Total Phase 1 Duration (Working Days)</t>
  </si>
  <si>
    <t>Go-Live Date</t>
  </si>
  <si>
    <t>Project Closure (Post Go-Live Support End)</t>
  </si>
  <si>
    <t>Total Calendar Span (Kick-off to Closure, days)</t>
  </si>
  <si>
    <t>Project Milestones</t>
  </si>
  <si>
    <t>No.</t>
  </si>
  <si>
    <t>Milestone</t>
  </si>
  <si>
    <t>Target Date</t>
  </si>
  <si>
    <t>Description / Exit Criteria</t>
  </si>
  <si>
    <t>M1</t>
  </si>
  <si>
    <t>Project Kick-off Complete</t>
  </si>
  <si>
    <t>Project charter confirmed, PMT, governance model and communication plan agreed.</t>
  </si>
  <si>
    <t>M2</t>
  </si>
  <si>
    <t>Business Blueprint Sign-off</t>
  </si>
  <si>
    <t>Business Blueprint Document reviewed and signed off by both parties.</t>
  </si>
  <si>
    <t>M3</t>
  </si>
  <si>
    <t>Conference Room Pilot (CRP) Sign-off</t>
  </si>
  <si>
    <t>Configured solution demonstrated and accepted by client stakeholders.</t>
  </si>
  <si>
    <t>M4</t>
  </si>
  <si>
    <t>Integration &amp; Customization Complete</t>
  </si>
  <si>
    <t>NAVFarm-D365BC and NAVFarm-Pig Vision integrations built and unit tested.</t>
  </si>
  <si>
    <t>M5</t>
  </si>
  <si>
    <t>Key User Training Complete</t>
  </si>
  <si>
    <t>Key users trained at the centralized location (Head Office).</t>
  </si>
  <si>
    <t>M6</t>
  </si>
  <si>
    <t>User Testing (UAT) Complete</t>
  </si>
  <si>
    <t>User acceptance testing completed and signed off.</t>
  </si>
  <si>
    <t>M7</t>
  </si>
  <si>
    <t>Data Migration Complete</t>
  </si>
  <si>
    <t>4 years of historical pig farm data migrated and validated in NAVFarm.</t>
  </si>
  <si>
    <t>M8</t>
  </si>
  <si>
    <t>Go-Live</t>
  </si>
  <si>
    <t>Production cutover, NAVFarm live across all farms.</t>
  </si>
  <si>
    <t>M9</t>
  </si>
  <si>
    <t>1-month stabilization support complete, project handed to AMC/support agreement.</t>
  </si>
  <si>
    <t>Detailed Work Breakdown Structure - Phase 1</t>
  </si>
  <si>
    <t>Work Package</t>
  </si>
  <si>
    <t>Deliverable / Task</t>
  </si>
  <si>
    <t>Owner</t>
  </si>
  <si>
    <t>1.1.1</t>
  </si>
  <si>
    <t>Project Launch</t>
  </si>
  <si>
    <t>Project charter and governance model confirmed</t>
  </si>
  <si>
    <t>Joint (Client &amp; Prudence)</t>
  </si>
  <si>
    <t>1.1.2</t>
  </si>
  <si>
    <t>Project Management Team (PMT) introduced and roles agreed</t>
  </si>
  <si>
    <t>1.1.3</t>
  </si>
  <si>
    <t>Communication plan and meeting cadence agreed</t>
  </si>
  <si>
    <t>2.1.1</t>
  </si>
  <si>
    <t>Farm Process Walkthroughs</t>
  </si>
  <si>
    <t>Feed, health, breeding and mortality workflows reviewed, farm by farm</t>
  </si>
  <si>
    <t>2.1.2</t>
  </si>
  <si>
    <t>Current reporting structure and MIS reviewed</t>
  </si>
  <si>
    <t>2.1.3</t>
  </si>
  <si>
    <t>Roles and responsibilities of farm and finance staff reviewed</t>
  </si>
  <si>
    <t>2.2.1</t>
  </si>
  <si>
    <t>Documentation</t>
  </si>
  <si>
    <t>Current-state process documentation</t>
  </si>
  <si>
    <t>Prudence Consulting</t>
  </si>
  <si>
    <t>2.2.2</t>
  </si>
  <si>
    <t>Gap analysis against NAVFarm standard functionality</t>
  </si>
  <si>
    <t>3.1.1</t>
  </si>
  <si>
    <t>Business Blueprint</t>
  </si>
  <si>
    <t>Business Blueprint Document (BBP) prepared</t>
  </si>
  <si>
    <t>3.1.2</t>
  </si>
  <si>
    <t>Blueprint review workshops with Triple-C stakeholders</t>
  </si>
  <si>
    <t>3.1.3</t>
  </si>
  <si>
    <t>Blueprint sign-off by both parties</t>
  </si>
  <si>
    <t>4.1.1</t>
  </si>
  <si>
    <t>Master Data &amp; Farm Setup</t>
  </si>
  <si>
    <t>Breed Master</t>
  </si>
  <si>
    <t>4.1.2</t>
  </si>
  <si>
    <t>Animal Register</t>
  </si>
  <si>
    <t>4.1.3</t>
  </si>
  <si>
    <t>Location, Sub-Location &amp; Sub-Sub-Location hierarchy</t>
  </si>
  <si>
    <t>4.1.4</t>
  </si>
  <si>
    <t>Farm Store / Silo Allocation</t>
  </si>
  <si>
    <t>4.1.5</t>
  </si>
  <si>
    <t>Item Master and Attributes</t>
  </si>
  <si>
    <t>4.1.6</t>
  </si>
  <si>
    <t>Farm Resource Creation</t>
  </si>
  <si>
    <t>4.2.1</t>
  </si>
  <si>
    <t>Feed Management</t>
  </si>
  <si>
    <t>Feed Forecast Planning (demand driven by population, growth stage &amp; inventory)</t>
  </si>
  <si>
    <t>4.2.2</t>
  </si>
  <si>
    <t>Feed Forecast Report</t>
  </si>
  <si>
    <t>4.2.3</t>
  </si>
  <si>
    <t>Automated feed cost posting</t>
  </si>
  <si>
    <t>4.3.1</t>
  </si>
  <si>
    <t>Batch &amp; Lifecycle Management</t>
  </si>
  <si>
    <t>Batch Scheduler</t>
  </si>
  <si>
    <t>4.3.2</t>
  </si>
  <si>
    <t>Batch Creation</t>
  </si>
  <si>
    <t>4.3.3</t>
  </si>
  <si>
    <t>Resource Allocation to Batch</t>
  </si>
  <si>
    <t>4.3.4</t>
  </si>
  <si>
    <t>Stage-wise Data Entry</t>
  </si>
  <si>
    <t>4.3.5</t>
  </si>
  <si>
    <t>Animal Transfer Traceability</t>
  </si>
  <si>
    <t>4.3.6</t>
  </si>
  <si>
    <t>End-to-end Pig Lifecycle Tracking (birth to market)</t>
  </si>
  <si>
    <t>4.4.1</t>
  </si>
  <si>
    <t>Animal Health</t>
  </si>
  <si>
    <t>Animal Health Card &amp; History</t>
  </si>
  <si>
    <t>4.5.1</t>
  </si>
  <si>
    <t>Transfers</t>
  </si>
  <si>
    <t>Transfer Request</t>
  </si>
  <si>
    <t>4.5.2</t>
  </si>
  <si>
    <t>Transfer In / Out</t>
  </si>
  <si>
    <t>4.6.1</t>
  </si>
  <si>
    <t>RFID &amp; AI-Enabled Capabilities</t>
  </si>
  <si>
    <t>RFID Integration with NAVFarm App</t>
  </si>
  <si>
    <t>4.6.2</t>
  </si>
  <si>
    <t>AI-Schedule</t>
  </si>
  <si>
    <t>4.6.3</t>
  </si>
  <si>
    <t>AI-Parameters</t>
  </si>
  <si>
    <t>4.6.4</t>
  </si>
  <si>
    <t>AI-Semen Production</t>
  </si>
  <si>
    <t>4.6.5</t>
  </si>
  <si>
    <t>QR Code Generation &amp; Traceability (Semen)</t>
  </si>
  <si>
    <t>4.6.6</t>
  </si>
  <si>
    <t>Lot Tracking - AI (Expiry Calculation)</t>
  </si>
  <si>
    <t>4.6.7</t>
  </si>
  <si>
    <t>AI-Cost Allocation</t>
  </si>
  <si>
    <t>4.7.1</t>
  </si>
  <si>
    <t>Applications &amp; Field Capture</t>
  </si>
  <si>
    <t>Web Application</t>
  </si>
  <si>
    <t>4.7.2</t>
  </si>
  <si>
    <t>Mobile App (Online / Offline)</t>
  </si>
  <si>
    <t>4.7.3</t>
  </si>
  <si>
    <t>Picture Saving (stage-wise / data-entry-wise)</t>
  </si>
  <si>
    <t>4.8.1</t>
  </si>
  <si>
    <t>Finance &amp; Procurement Functions</t>
  </si>
  <si>
    <t>Procurement Requisitions Function in NAVFarm</t>
  </si>
  <si>
    <t>4.8.2</t>
  </si>
  <si>
    <t>Petty Cash Requisitions Function in NAVFarm</t>
  </si>
  <si>
    <t>5.1.1</t>
  </si>
  <si>
    <t>Dashboards &amp; Reporting</t>
  </si>
  <si>
    <t>Real-time performance dashboards</t>
  </si>
  <si>
    <t>5.1.2</t>
  </si>
  <si>
    <t>16 standard reports (Animal Medical, Feed Consumption, Stock, Traceability, Cost, etc.)</t>
  </si>
  <si>
    <t>5.1.3</t>
  </si>
  <si>
    <t>8 custom reports (finalized during Business Process Study)</t>
  </si>
  <si>
    <t>6.1.1</t>
  </si>
  <si>
    <t>System Integration</t>
  </si>
  <si>
    <t>NAVFarm Connector (real-time API layer, data transfer &amp; log management)</t>
  </si>
  <si>
    <t>6.1.2</t>
  </si>
  <si>
    <t>NAVFarm to D365BC Integration for Stock Transfer</t>
  </si>
  <si>
    <t>6.1.3</t>
  </si>
  <si>
    <t>Bio-Logical Module - Amortization Engine @ D365BC</t>
  </si>
  <si>
    <t>6.1.4</t>
  </si>
  <si>
    <t>Batch-wise &amp; Stage-wise Traceability (Farm to Fork)</t>
  </si>
  <si>
    <t>6.1.5</t>
  </si>
  <si>
    <t>NAVFarm - Pig Vision Integration (bi-directional data exchange via APIs)</t>
  </si>
  <si>
    <t>7.1.1</t>
  </si>
  <si>
    <t>Key User Training</t>
  </si>
  <si>
    <t>Training material and user guides prepared</t>
  </si>
  <si>
    <t>7.1.2</t>
  </si>
  <si>
    <t>Key user training sessions delivered at Head Office</t>
  </si>
  <si>
    <t>7.1.3</t>
  </si>
  <si>
    <t>Training attendance and sign-off</t>
  </si>
  <si>
    <t>8.1.1</t>
  </si>
  <si>
    <t>User Acceptance Testing (UAT)</t>
  </si>
  <si>
    <t>UAT test scenarios and scripts prepared</t>
  </si>
  <si>
    <t>8.1.2</t>
  </si>
  <si>
    <t>UAT executed by key users against real farm scenarios</t>
  </si>
  <si>
    <t>8.1.3</t>
  </si>
  <si>
    <t>Defects logged, triaged and resolved</t>
  </si>
  <si>
    <t>8.1.4</t>
  </si>
  <si>
    <t>UAT sign-off by Triple-C</t>
  </si>
  <si>
    <t>9.1.1</t>
  </si>
  <si>
    <t>Data Migration</t>
  </si>
  <si>
    <t>4 years of historical pig farm data prepared in NAVFarm template format (client)</t>
  </si>
  <si>
    <t>9.1.2</t>
  </si>
  <si>
    <t>Data validation and load into NAVFarm (Prudence, with client assistance)</t>
  </si>
  <si>
    <t>9.1.3</t>
  </si>
  <si>
    <t>Go-Live readiness checklist sign-off</t>
  </si>
  <si>
    <t>10.1.1</t>
  </si>
  <si>
    <t>Go-Live readiness checklist confirmed</t>
  </si>
  <si>
    <t>10.1.2</t>
  </si>
  <si>
    <t>Production cutover across all farms</t>
  </si>
  <si>
    <t>10.1.3</t>
  </si>
  <si>
    <t>Hypercare support begins</t>
  </si>
  <si>
    <t>11.1.1</t>
  </si>
  <si>
    <t>Post Go-Live Stabilization</t>
  </si>
  <si>
    <t>Stabilization support</t>
  </si>
  <si>
    <t>11.1.2</t>
  </si>
  <si>
    <t>Performance tuning</t>
  </si>
  <si>
    <t>11.1.3</t>
  </si>
  <si>
    <t>Issue resolution</t>
  </si>
  <si>
    <t>11.1.4</t>
  </si>
  <si>
    <t>User enablement</t>
  </si>
  <si>
    <t>P2</t>
  </si>
  <si>
    <t>Phase 2 - System Enhancement &amp; Integration (scope &amp; timeline TBD)</t>
  </si>
  <si>
    <t>P2.1</t>
  </si>
  <si>
    <t>Process Enhancement</t>
  </si>
  <si>
    <t>Process enhancement on the NAVFarm platform</t>
  </si>
  <si>
    <t>P2.2</t>
  </si>
  <si>
    <t>Reporting</t>
  </si>
  <si>
    <t>New report / MIS development on NAVFarm or D365BC</t>
  </si>
  <si>
    <t>P2.3</t>
  </si>
  <si>
    <t>IoT Integration</t>
  </si>
  <si>
    <t>NAVFarm integration with water meters</t>
  </si>
  <si>
    <t>P2.4</t>
  </si>
  <si>
    <t>NAVFarm integration with silo weight scales</t>
  </si>
  <si>
    <t>P2.5</t>
  </si>
  <si>
    <t>Any other device/equipment integrations, as required</t>
  </si>
  <si>
    <t>Holidays / Non-Working Days - Customer (Triple-C)</t>
  </si>
  <si>
    <t>Date</t>
  </si>
  <si>
    <t>Holiday / Closure Name</t>
  </si>
  <si>
    <t>Heroes Holiday - Zimbabwe</t>
  </si>
  <si>
    <t>Zimbabwe Defence Forces day</t>
  </si>
  <si>
    <t>Zimbabwe Unity Day</t>
  </si>
  <si>
    <t>Christmas Day</t>
  </si>
  <si>
    <t>Boxing Day</t>
  </si>
  <si>
    <t>Holidays / Non-Working Days- Prudence Consulting</t>
  </si>
  <si>
    <t>Raksha Bandhan</t>
  </si>
  <si>
    <t>Mahatma Gandhi Jayanti</t>
  </si>
  <si>
    <t>Dussehra</t>
  </si>
  <si>
    <t>Govardhan Puja</t>
  </si>
  <si>
    <t>Bhai Dooj</t>
  </si>
  <si>
    <t>Gurpurab</t>
  </si>
  <si>
    <t>Christmas</t>
  </si>
  <si>
    <t>Triple-C - NAVFARM Implementation</t>
  </si>
  <si>
    <r>
      <rPr>
        <b/>
        <sz val="9"/>
        <rFont val="Calibri"/>
        <family val="2"/>
      </rPr>
      <t>Project Plan:</t>
    </r>
    <r>
      <rPr>
        <sz val="9"/>
        <rFont val="Calibri"/>
        <family val="2"/>
      </rPr>
      <t xml:space="preserve"> Working-Day Timeline, Milestones &amp; Detailed WBS</t>
    </r>
  </si>
  <si>
    <t>Two working calendars are used, based on each activity's Mode</t>
  </si>
  <si>
    <t>- Mode = Mix-Mode or Onshore  -&gt;  follows the CUSTOMER (Triple-C) calendar: Monday to Saturday, Sunday off, plus any date on the 'holidays' sheet.</t>
  </si>
  <si>
    <t>- Mode = Offshore  -&gt;  follows the PRUDENCE calendar: Monday to Friday only (Saturday and Sunday off), plus any date on the 'Prudence Holidays' sheet.</t>
  </si>
  <si>
    <t>- Every date on the Timeline, Milestones and Detailed WBS sheets is calculated automatically using whichever calendar applies to that activity's Mode.</t>
  </si>
  <si>
    <t>- Add or change a holiday on either holiday sheet and the whole plan recalculates and shifts automatically.</t>
  </si>
  <si>
    <t>Fixed (anchor) dates</t>
  </si>
  <si>
    <t>- Project Kick-off is fixed to 04-Aug-2026 (Timeline sheet, cell E7).</t>
  </si>
  <si>
    <t>- Business Process Study is fixed to start 15-Aug-2026 (Timeline sheet, cell E8) - there is a deliberate gap after kick-off for mobilisation.</t>
  </si>
  <si>
    <t>- Every other activity is chained automatically: it starts on the next working day (per its own Mode's calendar) after the previous activity ends.</t>
  </si>
  <si>
    <t>- To fix any other activity to a specific start date, type that date into its 'Fixed Start' cell (column E) on the Timeline sheet. Leave it blank to let the plan auto-chain.</t>
  </si>
  <si>
    <t>How to use this workbook</t>
  </si>
  <si>
    <t>1. Add Triple-C public holidays / closure days to the 'holidays' sheet.</t>
  </si>
  <si>
    <t>2. Add Prudence Consulting holidays to the 'Prudence Holidays' sheet.</t>
  </si>
  <si>
    <t>3. Timeline (Phase-Level): all 11 Phase 1 activities, with working-day durations, Mode, start and end dates.</t>
  </si>
  <si>
    <t>4. Milestones: 9 key sign-off / completion dates, linked live to the Timeline sheet.</t>
  </si>
  <si>
    <t>5. Detailed WBS: deliverable-level breakdown, grouped under each Phase 1 activity; dates pulled automatically from the Timeline sheet.</t>
  </si>
  <si>
    <t>6. Calendar_Dont Use this: the underlying working-day calendar for both calendars. You shouldn't need to edit this sheet directly.</t>
  </si>
  <si>
    <t>Source</t>
  </si>
  <si>
    <t>Durations, phases and deliverables are taken from the Prudence Consulting Business Proposal (Enterprise Pig Farming Transformation Proposal, v0.4). Working-day durations use the same day-counts as the proposal's implementation plan.</t>
  </si>
  <si>
    <t>Working-Day Calendar (helper sheet - drives all date calculations)</t>
  </si>
  <si>
    <t xml:space="preserve">We shouldn't need to edit this sheet. </t>
  </si>
  <si>
    <t>Day</t>
  </si>
  <si>
    <t>Is Saturday?</t>
  </si>
  <si>
    <t>Is Sunday?</t>
  </si>
  <si>
    <t>Is Customer
Holiday?</t>
  </si>
  <si>
    <t>Is Prudence
Holiday?</t>
  </si>
  <si>
    <t>Working Day -
Customer (Mon-Sat)</t>
  </si>
  <si>
    <t>Working Day -
Prudence (Mon-Fri)</t>
  </si>
  <si>
    <t>Cumulative Working
Days - Customer</t>
  </si>
  <si>
    <t>Cumulative Working
Days - Prudence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</si>
</sst>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16">
    <font>
      <sz val="11"/>
      <color theme="1"/>
      <name val="Calibri"/>
      <family val="2"/>
      <charset val="1"/>
    </font>
    <font>
      <b/>
      <sz val="9"/>
      <color rgb="FF1F3B2E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1"/>
      <color rgb="FF1F3B2E"/>
      <name val="Calibri"/>
      <family val="2"/>
    </font>
    <font>
      <sz val="9"/>
      <color theme="1"/>
      <name val="Calibri"/>
      <family val="2"/>
    </font>
    <font>
      <sz val="9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sz val="9"/>
      <name val="Calibri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3B2E"/>
        <bgColor rgb="FF333300"/>
      </patternFill>
    </fill>
    <fill>
      <patternFill patternType="solid">
        <fgColor rgb="FFFFFFFF"/>
        <bgColor rgb="FFFFFFCC"/>
      </patternFill>
    </fill>
    <fill>
      <patternFill patternType="solid">
        <fgColor rgb="FFE7EEE8"/>
        <bgColor rgb="FFFFFFFF"/>
      </patternFill>
    </fill>
    <fill>
      <patternFill patternType="solid">
        <fgColor rgb="FFFFFFCC"/>
        <bgColor rgb="FFFFFFFF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333300"/>
      </patternFill>
    </fill>
  </fills>
  <borders count="1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vertical="center" wrapText="1"/>
    </xf>
    <xf numFmtId="164" fontId="5" fillId="3" borderId="1" xfId="0" applyNumberFormat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6" fillId="0" borderId="5" xfId="0" applyFont="1" applyBorder="1"/>
    <xf numFmtId="164" fontId="6" fillId="0" borderId="6" xfId="0" applyNumberFormat="1" applyFont="1" applyBorder="1"/>
    <xf numFmtId="0" fontId="6" fillId="0" borderId="7" xfId="0" applyFont="1" applyBorder="1"/>
    <xf numFmtId="0" fontId="6" fillId="0" borderId="8" xfId="0" applyFont="1" applyBorder="1"/>
    <xf numFmtId="0" fontId="5" fillId="3" borderId="9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vertical="center" wrapText="1"/>
    </xf>
    <xf numFmtId="0" fontId="5" fillId="4" borderId="10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vertical="center" wrapText="1"/>
    </xf>
    <xf numFmtId="0" fontId="5" fillId="4" borderId="16" xfId="0" applyFont="1" applyFill="1" applyBorder="1" applyAlignment="1">
      <alignment vertical="center" wrapText="1"/>
    </xf>
    <xf numFmtId="0" fontId="7" fillId="6" borderId="17" xfId="0" applyFont="1" applyFill="1" applyBorder="1"/>
    <xf numFmtId="0" fontId="8" fillId="6" borderId="0" xfId="0" applyFont="1" applyFill="1"/>
    <xf numFmtId="0" fontId="9" fillId="6" borderId="0" xfId="0" applyFont="1" applyFill="1"/>
    <xf numFmtId="0" fontId="10" fillId="6" borderId="17" xfId="0" applyFont="1" applyFill="1" applyBorder="1"/>
    <xf numFmtId="0" fontId="11" fillId="6" borderId="0" xfId="0" applyFont="1" applyFill="1" applyAlignment="1">
      <alignment wrapText="1"/>
    </xf>
    <xf numFmtId="164" fontId="5" fillId="6" borderId="2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5" fillId="4" borderId="15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164" fontId="5" fillId="4" borderId="15" xfId="0" applyNumberFormat="1" applyFont="1" applyFill="1" applyBorder="1" applyAlignment="1">
      <alignment vertical="center" wrapText="1"/>
    </xf>
    <xf numFmtId="0" fontId="5" fillId="4" borderId="15" xfId="0" applyFont="1" applyFill="1" applyBorder="1" applyAlignment="1">
      <alignment horizontal="center" vertical="center"/>
    </xf>
    <xf numFmtId="164" fontId="13" fillId="5" borderId="1" xfId="0" applyNumberFormat="1" applyFont="1" applyFill="1" applyBorder="1"/>
    <xf numFmtId="0" fontId="14" fillId="5" borderId="1" xfId="0" applyFont="1" applyFill="1" applyBorder="1"/>
    <xf numFmtId="164" fontId="14" fillId="5" borderId="1" xfId="0" applyNumberFormat="1" applyFont="1" applyFill="1" applyBorder="1"/>
    <xf numFmtId="164" fontId="15" fillId="4" borderId="1" xfId="0" applyNumberFormat="1" applyFont="1" applyFill="1" applyBorder="1" applyAlignment="1">
      <alignment vertical="center" wrapText="1"/>
    </xf>
    <xf numFmtId="0" fontId="1" fillId="0" borderId="0" xfId="0" applyFont="1" applyAlignment="1"/>
    <xf numFmtId="0" fontId="3" fillId="0" borderId="0" xfId="0" applyFont="1" applyAlignment="1"/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fill>
        <patternFill patternType="solid">
          <fgColor rgb="FFFFFFFF"/>
          <bgColor rgb="FFE7EEE8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fill>
        <patternFill patternType="solid">
          <fgColor rgb="FFFFFFFF"/>
          <bgColor rgb="FFE7EEE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numFmt numFmtId="164" formatCode="dd\-mmm\-yyyy"/>
      <fill>
        <patternFill patternType="solid">
          <fgColor rgb="FFFFFFFF"/>
          <bgColor rgb="FFE7EEE8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numFmt numFmtId="164" formatCode="dd\-mmm\-yyyy"/>
      <fill>
        <patternFill patternType="solid">
          <fgColor rgb="FFFFFFFF"/>
          <bgColor rgb="FFE7EEE8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fill>
        <patternFill patternType="solid">
          <fgColor rgb="FFFFFFFF"/>
          <bgColor rgb="FFE7EEE8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fill>
        <patternFill patternType="solid">
          <fgColor rgb="FFFFFFFF"/>
          <bgColor rgb="FFE7EEE8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fill>
        <patternFill patternType="solid">
          <fgColor rgb="FFFFFFFF"/>
          <bgColor rgb="FFE7EEE8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fill>
        <patternFill patternType="solid">
          <fgColor rgb="FFFFFFFF"/>
          <bgColor rgb="FFE7EEE8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alibri"/>
        <family val="2"/>
        <scheme val="minor"/>
      </font>
      <fill>
        <patternFill patternType="solid">
          <fgColor rgb="FF333300"/>
          <bgColor rgb="FF1F3B2E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fill>
        <patternFill patternType="solid">
          <fgColor rgb="FFFFFFFF"/>
          <bgColor rgb="FFE7EEE8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fill>
        <patternFill patternType="solid">
          <fgColor rgb="FFFFFFFF"/>
          <bgColor rgb="FFE7EEE8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left style="thin">
          <color rgb="FFBFBFBF"/>
        </left>
      </border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fill>
        <patternFill patternType="solid">
          <fgColor rgb="FFFFFFFF"/>
          <bgColor rgb="FFE7EEE8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fill>
        <patternFill patternType="solid">
          <fgColor rgb="FFFFFFFF"/>
          <bgColor rgb="FFE7EEE8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alibri"/>
        <family val="2"/>
        <scheme val="minor"/>
      </font>
      <fill>
        <patternFill patternType="solid">
          <fgColor rgb="FF333300"/>
          <bgColor rgb="FF1F3B2E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7EE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B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AD9105-7F0A-46E0-9EAC-50D581D9BF71}" name="Table1" displayName="Table1" ref="A2:H14" totalsRowShown="0" headerRowDxfId="21" headerRowBorderDxfId="19" tableBorderDxfId="20" totalsRowBorderDxfId="18">
  <autoFilter ref="A2:H14" xr:uid="{D8AD9105-7F0A-46E0-9EAC-50D581D9BF71}"/>
  <tableColumns count="8">
    <tableColumn id="1" xr3:uid="{A9496C37-045B-459C-BD22-71320F1A1EE4}" name="WBS ID" dataDxfId="17"/>
    <tableColumn id="2" xr3:uid="{570DB117-BB8A-47D8-ADB6-E77460019844}" name="Phase / Activity" dataDxfId="16"/>
    <tableColumn id="3" xr3:uid="{0EDFFB55-49E9-4BF4-931B-1DDBB9CF8B86}" name="Duration_x000a_(Working Days)" dataDxfId="15"/>
    <tableColumn id="4" xr3:uid="{E9AEAC98-7312-4A6A-8AB2-B709C4AEC755}" name="Mode" dataDxfId="14"/>
    <tableColumn id="5" xr3:uid="{29C5DED8-D507-4820-A623-7073F0E42068}" name="Fixed Start_x000a_(optional)" dataDxfId="13"/>
    <tableColumn id="6" xr3:uid="{45FDB63D-9274-4831-A9F6-E4021FBEC430}" name="Start Date"/>
    <tableColumn id="7" xr3:uid="{B6CC1713-CA08-4796-BE89-E5D47544A3AE}" name="End Date"/>
    <tableColumn id="8" xr3:uid="{11BC7BCE-2869-40FE-8EA3-99202E886A1B}" name="Comments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0E0474-578D-4A56-9B39-84B900986E32}" name="Table2" displayName="Table2" ref="A2:H68" totalsRowShown="0" headerRowDxfId="11" headerRowBorderDxfId="9" tableBorderDxfId="10" totalsRowBorderDxfId="8">
  <autoFilter ref="A2:H68" xr:uid="{0B0E0474-578D-4A56-9B39-84B900986E32}"/>
  <tableColumns count="8">
    <tableColumn id="1" xr3:uid="{F8023206-6D6C-4A25-A4F3-D8D0FDD7242F}" name="WBS ID" dataDxfId="7"/>
    <tableColumn id="2" xr3:uid="{B9B997C6-FF98-48F6-8A28-6374389DCDB7}" name="Phase / Activity" dataDxfId="6"/>
    <tableColumn id="3" xr3:uid="{2B97B9A2-7699-4F94-A743-277DBBD53A9E}" name="Work Package" dataDxfId="5"/>
    <tableColumn id="4" xr3:uid="{82F2BF81-FA64-46B0-BBC2-0E95D5592234}" name="Deliverable / Task" dataDxfId="4"/>
    <tableColumn id="5" xr3:uid="{E90F6EFC-D7D8-4717-9FA7-C429D30232F5}" name="Start Date" dataDxfId="3">
      <calculatedColumnFormula>INDEX(Timeline!$F$3:$F$13,MATCH($B3,Timeline!$B$3:$B$13,0))</calculatedColumnFormula>
    </tableColumn>
    <tableColumn id="6" xr3:uid="{3067DD37-B95E-46C6-8942-BB05D2DDA9DF}" name="End Date" dataDxfId="2">
      <calculatedColumnFormula>INDEX(Timeline!$G$3:$G$13,MATCH($B3,Timeline!$B$3:$B$13,0))</calculatedColumnFormula>
    </tableColumn>
    <tableColumn id="7" xr3:uid="{E296581D-4EF2-443F-9290-A2E7F358E73E}" name="Mode" dataDxfId="1"/>
    <tableColumn id="8" xr3:uid="{A1596694-7120-4628-A49A-5E0C03C63039}" name="Own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showGridLines="0" tabSelected="1" zoomScaleNormal="100" workbookViewId="0">
      <pane ySplit="1" topLeftCell="A3" activePane="bottomLeft" state="frozen"/>
      <selection pane="bottomLeft" activeCell="G12" sqref="G12"/>
    </sheetView>
  </sheetViews>
  <sheetFormatPr defaultColWidth="8.7109375" defaultRowHeight="19.5" customHeight="1"/>
  <cols>
    <col min="1" max="1" width="8.5703125" style="1" bestFit="1" customWidth="1"/>
    <col min="2" max="2" width="35" style="1" bestFit="1" customWidth="1"/>
    <col min="3" max="3" width="10" style="1" bestFit="1" customWidth="1"/>
    <col min="4" max="4" width="8.42578125" style="1" bestFit="1" customWidth="1"/>
    <col min="5" max="5" width="10" style="1" bestFit="1" customWidth="1"/>
    <col min="6" max="6" width="10.42578125" style="1" bestFit="1" customWidth="1"/>
    <col min="7" max="7" width="10" style="1" bestFit="1" customWidth="1"/>
    <col min="8" max="8" width="49.28515625" style="1" bestFit="1" customWidth="1"/>
    <col min="9" max="16384" width="8.7109375" style="1"/>
  </cols>
  <sheetData>
    <row r="1" spans="1:8" ht="19.5" customHeight="1">
      <c r="A1" s="46"/>
      <c r="B1" s="46"/>
      <c r="C1" s="46"/>
      <c r="D1" s="46"/>
      <c r="E1" s="46"/>
      <c r="F1" s="46"/>
      <c r="G1" s="46"/>
      <c r="H1" s="46"/>
    </row>
    <row r="2" spans="1:8" ht="19.5" customHeight="1">
      <c r="A2" s="21" t="s">
        <v>0</v>
      </c>
      <c r="B2" s="22" t="s">
        <v>1</v>
      </c>
      <c r="C2" s="22" t="s">
        <v>2</v>
      </c>
      <c r="D2" s="22" t="s">
        <v>3</v>
      </c>
      <c r="E2" s="22" t="s">
        <v>4</v>
      </c>
      <c r="F2" s="22" t="s">
        <v>5</v>
      </c>
      <c r="G2" s="22" t="s">
        <v>6</v>
      </c>
      <c r="H2" s="23" t="s">
        <v>7</v>
      </c>
    </row>
    <row r="3" spans="1:8" ht="19.5" customHeight="1">
      <c r="A3" s="17">
        <v>1</v>
      </c>
      <c r="B3" s="3" t="s">
        <v>8</v>
      </c>
      <c r="C3" s="4">
        <v>1</v>
      </c>
      <c r="D3" s="4" t="s">
        <v>9</v>
      </c>
      <c r="E3" s="5">
        <v>46238</v>
      </c>
      <c r="F3" s="5">
        <f>IF(D3="Offshore",INDEX('Calendar_Dont Use this'!$A$5:$A$424,MATCH(INDEX('Calendar_Dont Use this'!$J$5:$J$424,MATCH(E3-1,'Calendar_Dont Use this'!$A$5:$A$424,0))+1,'Calendar_Dont Use this'!$J$5:$J$424,0)),INDEX('Calendar_Dont Use this'!$A$5:$A$424,MATCH(INDEX('Calendar_Dont Use this'!$I$5:$I$424,MATCH(E3-1,'Calendar_Dont Use this'!$A$5:$A$424,0))+1,'Calendar_Dont Use this'!$I$5:$I$424,0)))</f>
        <v>46238</v>
      </c>
      <c r="G3" s="5">
        <f>IF(D3="Offshore",INDEX('Calendar_Dont Use this'!$A$5:$A$424,MATCH(INDEX('Calendar_Dont Use this'!$J$5:$J$424,MATCH(F3,'Calendar_Dont Use this'!$A$5:$A$424,0))+C3-1,'Calendar_Dont Use this'!$J$5:$J$424,0)),INDEX('Calendar_Dont Use this'!$A$5:$A$424,MATCH(INDEX('Calendar_Dont Use this'!$I$5:$I$424,MATCH(F3,'Calendar_Dont Use this'!$A$5:$A$424,0))+C3-1,'Calendar_Dont Use this'!$I$5:$I$424,0)))</f>
        <v>46238</v>
      </c>
      <c r="H3" s="19" t="s">
        <v>10</v>
      </c>
    </row>
    <row r="4" spans="1:8" ht="19.5" customHeight="1">
      <c r="A4" s="18">
        <v>2</v>
      </c>
      <c r="B4" s="6" t="s">
        <v>11</v>
      </c>
      <c r="C4" s="7">
        <v>12</v>
      </c>
      <c r="D4" s="7" t="s">
        <v>12</v>
      </c>
      <c r="E4" s="8">
        <v>46249</v>
      </c>
      <c r="F4" s="8">
        <f>IF(D4="Offshore",INDEX('Calendar_Dont Use this'!$A$5:$A$424,MATCH(INDEX('Calendar_Dont Use this'!$J$5:$J$424,MATCH(IF(E4&lt;&gt;"",E4-1,G3),'Calendar_Dont Use this'!$A$5:$A$424,0))+1,'Calendar_Dont Use this'!$J$5:$J$424,0)),INDEX('Calendar_Dont Use this'!$A$5:$A$424,MATCH(INDEX('Calendar_Dont Use this'!$I$5:$I$424,MATCH(IF(E4&lt;&gt;"",E4-1,G3),'Calendar_Dont Use this'!$A$5:$A$424,0))+1,'Calendar_Dont Use this'!$I$5:$I$424,0)))</f>
        <v>46249</v>
      </c>
      <c r="G4" s="8">
        <f>IF(D4="Offshore",INDEX('Calendar_Dont Use this'!$A$5:$A$424,MATCH(INDEX('Calendar_Dont Use this'!$J$5:$J$424,MATCH(F4,'Calendar_Dont Use this'!$A$5:$A$424,0))+C4-1,'Calendar_Dont Use this'!$J$5:$J$424,0)),INDEX('Calendar_Dont Use this'!$A$5:$A$424,MATCH(INDEX('Calendar_Dont Use this'!$I$5:$I$424,MATCH(F4,'Calendar_Dont Use this'!$A$5:$A$424,0))+C4-1,'Calendar_Dont Use this'!$I$5:$I$424,0)))</f>
        <v>46262</v>
      </c>
      <c r="H4" s="20" t="s">
        <v>13</v>
      </c>
    </row>
    <row r="5" spans="1:8" ht="19.5" customHeight="1">
      <c r="A5" s="17">
        <v>3</v>
      </c>
      <c r="B5" s="3" t="s">
        <v>14</v>
      </c>
      <c r="C5" s="4">
        <v>7</v>
      </c>
      <c r="D5" s="4" t="s">
        <v>9</v>
      </c>
      <c r="E5" s="3"/>
      <c r="F5" s="5">
        <f>IF(D5="Offshore",INDEX('Calendar_Dont Use this'!$A$5:$A$424,MATCH(INDEX('Calendar_Dont Use this'!$J$5:$J$424,MATCH(IF(E5&lt;&gt;"",E5-1,G4),'Calendar_Dont Use this'!$A$5:$A$424,0))+1,'Calendar_Dont Use this'!$J$5:$J$424,0)),INDEX('Calendar_Dont Use this'!$A$5:$A$424,MATCH(INDEX('Calendar_Dont Use this'!$I$5:$I$424,MATCH(IF(E5&lt;&gt;"",E5-1,G4),'Calendar_Dont Use this'!$A$5:$A$424,0))+1,'Calendar_Dont Use this'!$I$5:$I$424,0)))</f>
        <v>46265</v>
      </c>
      <c r="G5" s="5">
        <f>IF(D5="Offshore",INDEX('Calendar_Dont Use this'!$A$5:$A$424,MATCH(INDEX('Calendar_Dont Use this'!$J$5:$J$424,MATCH(F5,'Calendar_Dont Use this'!$A$5:$A$424,0))+C5-1,'Calendar_Dont Use this'!$J$5:$J$424,0)),INDEX('Calendar_Dont Use this'!$A$5:$A$424,MATCH(INDEX('Calendar_Dont Use this'!$I$5:$I$424,MATCH(F5,'Calendar_Dont Use this'!$A$5:$A$424,0))+C5-1,'Calendar_Dont Use this'!$I$5:$I$424,0)))</f>
        <v>46273</v>
      </c>
      <c r="H5" s="19" t="s">
        <v>15</v>
      </c>
    </row>
    <row r="6" spans="1:8" ht="19.5" customHeight="1">
      <c r="A6" s="18">
        <v>4</v>
      </c>
      <c r="B6" s="6" t="s">
        <v>16</v>
      </c>
      <c r="C6" s="7">
        <v>20</v>
      </c>
      <c r="D6" s="7" t="s">
        <v>9</v>
      </c>
      <c r="E6" s="6"/>
      <c r="F6" s="8">
        <f>IF(D6="Offshore",INDEX('Calendar_Dont Use this'!$A$5:$A$424,MATCH(INDEX('Calendar_Dont Use this'!$J$5:$J$424,MATCH(IF(E6&lt;&gt;"",E6-1,G5),'Calendar_Dont Use this'!$A$5:$A$424,0))+1,'Calendar_Dont Use this'!$J$5:$J$424,0)),INDEX('Calendar_Dont Use this'!$A$5:$A$424,MATCH(INDEX('Calendar_Dont Use this'!$I$5:$I$424,MATCH(IF(E6&lt;&gt;"",E6-1,G5),'Calendar_Dont Use this'!$A$5:$A$424,0))+1,'Calendar_Dont Use this'!$I$5:$I$424,0)))</f>
        <v>46274</v>
      </c>
      <c r="G6" s="8">
        <f>IF(D6="Offshore",INDEX('Calendar_Dont Use this'!$A$5:$A$424,MATCH(INDEX('Calendar_Dont Use this'!$J$5:$J$424,MATCH(F6,'Calendar_Dont Use this'!$A$5:$A$424,0))+C6-1,'Calendar_Dont Use this'!$J$5:$J$424,0)),INDEX('Calendar_Dont Use this'!$A$5:$A$424,MATCH(INDEX('Calendar_Dont Use this'!$I$5:$I$424,MATCH(F6,'Calendar_Dont Use this'!$A$5:$A$424,0))+C6-1,'Calendar_Dont Use this'!$I$5:$I$424,0)))</f>
        <v>46302</v>
      </c>
      <c r="H6" s="20" t="s">
        <v>17</v>
      </c>
    </row>
    <row r="7" spans="1:8" ht="19.5" customHeight="1">
      <c r="A7" s="17">
        <v>5</v>
      </c>
      <c r="B7" s="3" t="s">
        <v>18</v>
      </c>
      <c r="C7" s="4">
        <v>3</v>
      </c>
      <c r="D7" s="4" t="s">
        <v>9</v>
      </c>
      <c r="E7" s="3"/>
      <c r="F7" s="5">
        <f>IF(D7="Offshore",INDEX('Calendar_Dont Use this'!$A$5:$A$424,MATCH(INDEX('Calendar_Dont Use this'!$J$5:$J$424,MATCH(IF(E7&lt;&gt;"",E7-1,G6),'Calendar_Dont Use this'!$A$5:$A$424,0))+1,'Calendar_Dont Use this'!$J$5:$J$424,0)),INDEX('Calendar_Dont Use this'!$A$5:$A$424,MATCH(INDEX('Calendar_Dont Use this'!$I$5:$I$424,MATCH(IF(E7&lt;&gt;"",E7-1,G6),'Calendar_Dont Use this'!$A$5:$A$424,0))+1,'Calendar_Dont Use this'!$I$5:$I$424,0)))</f>
        <v>46303</v>
      </c>
      <c r="G7" s="5">
        <f>IF(D7="Offshore",INDEX('Calendar_Dont Use this'!$A$5:$A$424,MATCH(INDEX('Calendar_Dont Use this'!$J$5:$J$424,MATCH(F7,'Calendar_Dont Use this'!$A$5:$A$424,0))+C7-1,'Calendar_Dont Use this'!$J$5:$J$424,0)),INDEX('Calendar_Dont Use this'!$A$5:$A$424,MATCH(INDEX('Calendar_Dont Use this'!$I$5:$I$424,MATCH(F7,'Calendar_Dont Use this'!$A$5:$A$424,0))+C7-1,'Calendar_Dont Use this'!$I$5:$I$424,0)))</f>
        <v>46307</v>
      </c>
      <c r="H7" s="19" t="s">
        <v>19</v>
      </c>
    </row>
    <row r="8" spans="1:8" ht="19.5" customHeight="1">
      <c r="A8" s="18">
        <v>6</v>
      </c>
      <c r="B8" s="6" t="s">
        <v>20</v>
      </c>
      <c r="C8" s="7">
        <v>20</v>
      </c>
      <c r="D8" s="7" t="s">
        <v>9</v>
      </c>
      <c r="E8" s="6"/>
      <c r="F8" s="8">
        <f>IF(D8="Offshore",INDEX('Calendar_Dont Use this'!$A$5:$A$424,MATCH(INDEX('Calendar_Dont Use this'!$J$5:$J$424,MATCH(IF(E8&lt;&gt;"",E8-1,G7),'Calendar_Dont Use this'!$A$5:$A$424,0))+1,'Calendar_Dont Use this'!$J$5:$J$424,0)),INDEX('Calendar_Dont Use this'!$A$5:$A$424,MATCH(INDEX('Calendar_Dont Use this'!$I$5:$I$424,MATCH(IF(E8&lt;&gt;"",E8-1,G7),'Calendar_Dont Use this'!$A$5:$A$424,0))+1,'Calendar_Dont Use this'!$I$5:$I$424,0)))</f>
        <v>46308</v>
      </c>
      <c r="G8" s="8">
        <f>IF(D8="Offshore",INDEX('Calendar_Dont Use this'!$A$5:$A$424,MATCH(INDEX('Calendar_Dont Use this'!$J$5:$J$424,MATCH(F8,'Calendar_Dont Use this'!$A$5:$A$424,0))+C8-1,'Calendar_Dont Use this'!$J$5:$J$424,0)),INDEX('Calendar_Dont Use this'!$A$5:$A$424,MATCH(INDEX('Calendar_Dont Use this'!$I$5:$I$424,MATCH(F8,'Calendar_Dont Use this'!$A$5:$A$424,0))+C8-1,'Calendar_Dont Use this'!$I$5:$I$424,0)))</f>
        <v>46338</v>
      </c>
      <c r="H8" s="20" t="s">
        <v>21</v>
      </c>
    </row>
    <row r="9" spans="1:8" ht="19.5" customHeight="1">
      <c r="A9" s="17">
        <v>7</v>
      </c>
      <c r="B9" s="3" t="s">
        <v>22</v>
      </c>
      <c r="C9" s="4">
        <v>7</v>
      </c>
      <c r="D9" s="4" t="s">
        <v>23</v>
      </c>
      <c r="E9" s="3"/>
      <c r="F9" s="5">
        <f>IF(D9="Offshore",INDEX('Calendar_Dont Use this'!$A$5:$A$424,MATCH(INDEX('Calendar_Dont Use this'!$J$5:$J$424,MATCH(IF(E9&lt;&gt;"",E9-1,G8),'Calendar_Dont Use this'!$A$5:$A$424,0))+1,'Calendar_Dont Use this'!$J$5:$J$424,0)),INDEX('Calendar_Dont Use this'!$A$5:$A$424,MATCH(INDEX('Calendar_Dont Use this'!$I$5:$I$424,MATCH(IF(E9&lt;&gt;"",E9-1,G8),'Calendar_Dont Use this'!$A$5:$A$424,0))+1,'Calendar_Dont Use this'!$I$5:$I$424,0)))</f>
        <v>46339</v>
      </c>
      <c r="G9" s="5">
        <f>IF(D9="Offshore",INDEX('Calendar_Dont Use this'!$A$5:$A$424,MATCH(INDEX('Calendar_Dont Use this'!$J$5:$J$424,MATCH(F9,'Calendar_Dont Use this'!$A$5:$A$424,0))+C9-1,'Calendar_Dont Use this'!$J$5:$J$424,0)),INDEX('Calendar_Dont Use this'!$A$5:$A$424,MATCH(INDEX('Calendar_Dont Use this'!$I$5:$I$424,MATCH(F9,'Calendar_Dont Use this'!$A$5:$A$424,0))+C9-1,'Calendar_Dont Use this'!$I$5:$I$424,0)))</f>
        <v>46346</v>
      </c>
      <c r="H9" s="19" t="s">
        <v>24</v>
      </c>
    </row>
    <row r="10" spans="1:8" ht="19.5" customHeight="1">
      <c r="A10" s="18">
        <v>8</v>
      </c>
      <c r="B10" s="6" t="s">
        <v>25</v>
      </c>
      <c r="C10" s="7">
        <v>8</v>
      </c>
      <c r="D10" s="7" t="s">
        <v>23</v>
      </c>
      <c r="E10" s="6"/>
      <c r="F10" s="8">
        <f>IF(D10="Offshore",INDEX('Calendar_Dont Use this'!$A$5:$A$424,MATCH(INDEX('Calendar_Dont Use this'!$J$5:$J$424,MATCH(IF(E10&lt;&gt;"",E10-1,G9),'Calendar_Dont Use this'!$A$5:$A$424,0))+1,'Calendar_Dont Use this'!$J$5:$J$424,0)),INDEX('Calendar_Dont Use this'!$A$5:$A$424,MATCH(INDEX('Calendar_Dont Use this'!$I$5:$I$424,MATCH(IF(E10&lt;&gt;"",E10-1,G9),'Calendar_Dont Use this'!$A$5:$A$424,0))+1,'Calendar_Dont Use this'!$I$5:$I$424,0)))</f>
        <v>46347</v>
      </c>
      <c r="G10" s="8">
        <f>IF(D10="Offshore",INDEX('Calendar_Dont Use this'!$A$5:$A$424,MATCH(INDEX('Calendar_Dont Use this'!$J$5:$J$424,MATCH(F10,'Calendar_Dont Use this'!$A$5:$A$424,0))+C10-1,'Calendar_Dont Use this'!$J$5:$J$424,0)),INDEX('Calendar_Dont Use this'!$A$5:$A$424,MATCH(INDEX('Calendar_Dont Use this'!$I$5:$I$424,MATCH(F10,'Calendar_Dont Use this'!$A$5:$A$424,0))+C10-1,'Calendar_Dont Use this'!$I$5:$I$424,0)))</f>
        <v>46356</v>
      </c>
      <c r="H10" s="20" t="s">
        <v>26</v>
      </c>
    </row>
    <row r="11" spans="1:8" ht="19.5" customHeight="1">
      <c r="A11" s="17">
        <v>9</v>
      </c>
      <c r="B11" s="3" t="s">
        <v>27</v>
      </c>
      <c r="C11" s="4">
        <v>7</v>
      </c>
      <c r="D11" s="4" t="s">
        <v>23</v>
      </c>
      <c r="E11" s="3"/>
      <c r="F11" s="5">
        <f>IF(D11="Offshore",INDEX('Calendar_Dont Use this'!$A$5:$A$424,MATCH(INDEX('Calendar_Dont Use this'!$J$5:$J$424,MATCH(IF(E11&lt;&gt;"",E11-1,G10),'Calendar_Dont Use this'!$A$5:$A$424,0))+1,'Calendar_Dont Use this'!$J$5:$J$424,0)),INDEX('Calendar_Dont Use this'!$A$5:$A$424,MATCH(INDEX('Calendar_Dont Use this'!$I$5:$I$424,MATCH(IF(E11&lt;&gt;"",E11-1,G10),'Calendar_Dont Use this'!$A$5:$A$424,0))+1,'Calendar_Dont Use this'!$I$5:$I$424,0)))</f>
        <v>46357</v>
      </c>
      <c r="G11" s="5">
        <f>IF(D11="Offshore",INDEX('Calendar_Dont Use this'!$A$5:$A$424,MATCH(INDEX('Calendar_Dont Use this'!$J$5:$J$424,MATCH(F11,'Calendar_Dont Use this'!$A$5:$A$424,0))+C11-1,'Calendar_Dont Use this'!$J$5:$J$424,0)),INDEX('Calendar_Dont Use this'!$A$5:$A$424,MATCH(INDEX('Calendar_Dont Use this'!$I$5:$I$424,MATCH(F11,'Calendar_Dont Use this'!$A$5:$A$424,0))+C11-1,'Calendar_Dont Use this'!$I$5:$I$424,0)))</f>
        <v>46364</v>
      </c>
      <c r="H11" s="19" t="s">
        <v>28</v>
      </c>
    </row>
    <row r="12" spans="1:8" ht="19.5" customHeight="1">
      <c r="A12" s="18">
        <v>10</v>
      </c>
      <c r="B12" s="6" t="s">
        <v>29</v>
      </c>
      <c r="C12" s="7">
        <v>5</v>
      </c>
      <c r="D12" s="7" t="s">
        <v>23</v>
      </c>
      <c r="E12" s="6"/>
      <c r="F12" s="8">
        <f>IF(D12="Offshore",INDEX('Calendar_Dont Use this'!$A$5:$A$424,MATCH(INDEX('Calendar_Dont Use this'!$J$5:$J$424,MATCH(IF(E12&lt;&gt;"",E12-1,G11),'Calendar_Dont Use this'!$A$5:$A$424,0))+1,'Calendar_Dont Use this'!$J$5:$J$424,0)),INDEX('Calendar_Dont Use this'!$A$5:$A$424,MATCH(INDEX('Calendar_Dont Use this'!$I$5:$I$424,MATCH(IF(E12&lt;&gt;"",E12-1,G11),'Calendar_Dont Use this'!$A$5:$A$424,0))+1,'Calendar_Dont Use this'!$I$5:$I$424,0)))</f>
        <v>46365</v>
      </c>
      <c r="G12" s="45">
        <f>IF(D12="Offshore",INDEX('Calendar_Dont Use this'!$A$5:$A$424,MATCH(INDEX('Calendar_Dont Use this'!$J$5:$J$424,MATCH(F12,'Calendar_Dont Use this'!$A$5:$A$424,0))+C12-1,'Calendar_Dont Use this'!$J$5:$J$424,0)),INDEX('Calendar_Dont Use this'!$A$5:$A$424,MATCH(INDEX('Calendar_Dont Use this'!$I$5:$I$424,MATCH(F12,'Calendar_Dont Use this'!$A$5:$A$424,0))+C12-1,'Calendar_Dont Use this'!$I$5:$I$424,0)))</f>
        <v>46370</v>
      </c>
      <c r="H12" s="20" t="s">
        <v>30</v>
      </c>
    </row>
    <row r="13" spans="1:8" ht="19.5" customHeight="1">
      <c r="A13" s="17">
        <v>11</v>
      </c>
      <c r="B13" s="3" t="s">
        <v>31</v>
      </c>
      <c r="C13" s="4">
        <v>30</v>
      </c>
      <c r="D13" s="4" t="s">
        <v>9</v>
      </c>
      <c r="E13" s="3"/>
      <c r="F13" s="5">
        <f>IF(D13="Offshore",INDEX('Calendar_Dont Use this'!$A$5:$A$424,MATCH(INDEX('Calendar_Dont Use this'!$J$5:$J$424,MATCH(IF(E13&lt;&gt;"",E13-1,G12),'Calendar_Dont Use this'!$A$5:$A$424,0))+1,'Calendar_Dont Use this'!$J$5:$J$424,0)),INDEX('Calendar_Dont Use this'!$A$5:$A$424,MATCH(INDEX('Calendar_Dont Use this'!$I$5:$I$424,MATCH(IF(E13&lt;&gt;"",E13-1,G12),'Calendar_Dont Use this'!$A$5:$A$424,0))+1,'Calendar_Dont Use this'!$I$5:$I$424,0)))</f>
        <v>46371</v>
      </c>
      <c r="G13" s="5">
        <f>IF(D13="Offshore",INDEX('Calendar_Dont Use this'!$A$5:$A$424,MATCH(INDEX('Calendar_Dont Use this'!$J$5:$J$424,MATCH(F13,'Calendar_Dont Use this'!$A$5:$A$424,0))+C13-1,'Calendar_Dont Use this'!$J$5:$J$424,0)),INDEX('Calendar_Dont Use this'!$A$5:$A$424,MATCH(INDEX('Calendar_Dont Use this'!$I$5:$I$424,MATCH(F13,'Calendar_Dont Use this'!$A$5:$A$424,0))+C13-1,'Calendar_Dont Use this'!$I$5:$I$424,0)))</f>
        <v>46413</v>
      </c>
      <c r="H13" s="19" t="s">
        <v>32</v>
      </c>
    </row>
    <row r="14" spans="1:8" ht="19.5" customHeight="1">
      <c r="A14" s="24">
        <v>12</v>
      </c>
      <c r="B14" s="25" t="s">
        <v>33</v>
      </c>
      <c r="C14" s="36" t="s">
        <v>34</v>
      </c>
      <c r="D14" s="25" t="s">
        <v>9</v>
      </c>
      <c r="E14" s="25"/>
      <c r="F14" s="25" t="s">
        <v>34</v>
      </c>
      <c r="G14" s="25" t="s">
        <v>34</v>
      </c>
      <c r="H14" s="26" t="s">
        <v>35</v>
      </c>
    </row>
    <row r="15" spans="1:8" ht="19.5" customHeight="1" thickBot="1"/>
    <row r="16" spans="1:8" ht="19.5" customHeight="1">
      <c r="B16" s="11" t="s">
        <v>36</v>
      </c>
      <c r="C16" s="12">
        <f>SUM(C3:C13)</f>
        <v>120</v>
      </c>
    </row>
    <row r="17" spans="2:3" ht="19.5" customHeight="1">
      <c r="B17" s="13" t="s">
        <v>37</v>
      </c>
      <c r="C17" s="14">
        <f>G12</f>
        <v>46370</v>
      </c>
    </row>
    <row r="18" spans="2:3" ht="19.5" customHeight="1">
      <c r="B18" s="13" t="s">
        <v>38</v>
      </c>
      <c r="C18" s="14">
        <f>G13</f>
        <v>46413</v>
      </c>
    </row>
    <row r="19" spans="2:3" ht="19.5" customHeight="1" thickBot="1">
      <c r="B19" s="15" t="s">
        <v>39</v>
      </c>
      <c r="C19" s="16">
        <f>G13-F3+1</f>
        <v>176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showGridLines="0" zoomScaleNormal="100" workbookViewId="0">
      <pane ySplit="2" topLeftCell="A3" activePane="bottomLeft" state="frozen"/>
      <selection pane="bottomLeft" activeCell="A3" sqref="A3"/>
    </sheetView>
  </sheetViews>
  <sheetFormatPr defaultColWidth="8.7109375" defaultRowHeight="12"/>
  <cols>
    <col min="1" max="1" width="6" style="1" customWidth="1"/>
    <col min="2" max="2" width="42" style="1" customWidth="1"/>
    <col min="3" max="3" width="9.42578125" style="1" bestFit="1" customWidth="1"/>
    <col min="4" max="4" width="58" style="1" customWidth="1"/>
    <col min="5" max="16384" width="8.7109375" style="1"/>
  </cols>
  <sheetData>
    <row r="1" spans="1:4">
      <c r="A1" s="46" t="s">
        <v>40</v>
      </c>
      <c r="B1" s="46"/>
      <c r="C1" s="46"/>
      <c r="D1" s="46"/>
    </row>
    <row r="2" spans="1:4" ht="12.95">
      <c r="A2" s="2" t="s">
        <v>41</v>
      </c>
      <c r="B2" s="2" t="s">
        <v>42</v>
      </c>
      <c r="C2" s="2" t="s">
        <v>43</v>
      </c>
      <c r="D2" s="2" t="s">
        <v>44</v>
      </c>
    </row>
    <row r="3" spans="1:4" ht="12.95">
      <c r="A3" s="4" t="s">
        <v>45</v>
      </c>
      <c r="B3" s="3" t="s">
        <v>46</v>
      </c>
      <c r="C3" s="9">
        <f>Timeline!G3</f>
        <v>46238</v>
      </c>
      <c r="D3" s="3" t="s">
        <v>47</v>
      </c>
    </row>
    <row r="4" spans="1:4" ht="12.95">
      <c r="A4" s="7" t="s">
        <v>48</v>
      </c>
      <c r="B4" s="6" t="s">
        <v>49</v>
      </c>
      <c r="C4" s="10">
        <f>Timeline!G5</f>
        <v>46273</v>
      </c>
      <c r="D4" s="6" t="s">
        <v>50</v>
      </c>
    </row>
    <row r="5" spans="1:4" ht="12.95">
      <c r="A5" s="4" t="s">
        <v>51</v>
      </c>
      <c r="B5" s="3" t="s">
        <v>52</v>
      </c>
      <c r="C5" s="9">
        <f>Timeline!G7</f>
        <v>46307</v>
      </c>
      <c r="D5" s="3" t="s">
        <v>53</v>
      </c>
    </row>
    <row r="6" spans="1:4" ht="12.95">
      <c r="A6" s="7" t="s">
        <v>54</v>
      </c>
      <c r="B6" s="6" t="s">
        <v>55</v>
      </c>
      <c r="C6" s="10">
        <f>Timeline!G8</f>
        <v>46338</v>
      </c>
      <c r="D6" s="6" t="s">
        <v>56</v>
      </c>
    </row>
    <row r="7" spans="1:4" ht="12.95">
      <c r="A7" s="4" t="s">
        <v>57</v>
      </c>
      <c r="B7" s="3" t="s">
        <v>58</v>
      </c>
      <c r="C7" s="9">
        <f>Timeline!G9</f>
        <v>46346</v>
      </c>
      <c r="D7" s="3" t="s">
        <v>59</v>
      </c>
    </row>
    <row r="8" spans="1:4" ht="12.95">
      <c r="A8" s="7" t="s">
        <v>60</v>
      </c>
      <c r="B8" s="6" t="s">
        <v>61</v>
      </c>
      <c r="C8" s="10">
        <f>Timeline!G10</f>
        <v>46356</v>
      </c>
      <c r="D8" s="6" t="s">
        <v>62</v>
      </c>
    </row>
    <row r="9" spans="1:4" ht="12.95">
      <c r="A9" s="4" t="s">
        <v>63</v>
      </c>
      <c r="B9" s="3" t="s">
        <v>64</v>
      </c>
      <c r="C9" s="9">
        <f>Timeline!G11</f>
        <v>46364</v>
      </c>
      <c r="D9" s="3" t="s">
        <v>65</v>
      </c>
    </row>
    <row r="10" spans="1:4" ht="12.95">
      <c r="A10" s="7" t="s">
        <v>66</v>
      </c>
      <c r="B10" s="6" t="s">
        <v>67</v>
      </c>
      <c r="C10" s="10">
        <f>Timeline!G12</f>
        <v>46370</v>
      </c>
      <c r="D10" s="6" t="s">
        <v>68</v>
      </c>
    </row>
    <row r="11" spans="1:4" ht="22.5" customHeight="1">
      <c r="A11" s="4" t="s">
        <v>69</v>
      </c>
      <c r="B11" s="3" t="s">
        <v>38</v>
      </c>
      <c r="C11" s="9">
        <f>Timeline!G13</f>
        <v>46413</v>
      </c>
      <c r="D11" s="3" t="s">
        <v>70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5"/>
  <sheetViews>
    <sheetView showGridLines="0" zoomScaleNormal="100" workbookViewId="0">
      <pane ySplit="2" topLeftCell="A20" activePane="bottomLeft" state="frozen"/>
      <selection pane="bottomLeft" activeCell="A76" sqref="A76"/>
    </sheetView>
  </sheetViews>
  <sheetFormatPr defaultColWidth="34.85546875" defaultRowHeight="12"/>
  <cols>
    <col min="1" max="1" width="7.85546875" style="1" customWidth="1"/>
    <col min="2" max="2" width="33.42578125" style="1" bestFit="1" customWidth="1"/>
    <col min="3" max="3" width="23.28515625" style="1" bestFit="1" customWidth="1"/>
    <col min="4" max="4" width="34.42578125" style="1" bestFit="1" customWidth="1"/>
    <col min="5" max="5" width="9.7109375" style="1" customWidth="1"/>
    <col min="6" max="6" width="9.42578125" style="1" bestFit="1" customWidth="1"/>
    <col min="7" max="7" width="7.7109375" style="1" bestFit="1" customWidth="1"/>
    <col min="8" max="8" width="17.28515625" style="1" bestFit="1" customWidth="1"/>
    <col min="9" max="16384" width="34.85546875" style="1"/>
  </cols>
  <sheetData>
    <row r="1" spans="1:8">
      <c r="A1" s="46" t="s">
        <v>71</v>
      </c>
      <c r="B1" s="46"/>
      <c r="C1" s="46"/>
      <c r="D1" s="46"/>
      <c r="E1" s="46"/>
      <c r="F1" s="46"/>
      <c r="G1" s="46"/>
      <c r="H1" s="46"/>
    </row>
    <row r="2" spans="1:8" ht="12.95">
      <c r="A2" s="21" t="s">
        <v>0</v>
      </c>
      <c r="B2" s="22" t="s">
        <v>1</v>
      </c>
      <c r="C2" s="22" t="s">
        <v>72</v>
      </c>
      <c r="D2" s="22" t="s">
        <v>73</v>
      </c>
      <c r="E2" s="22" t="s">
        <v>5</v>
      </c>
      <c r="F2" s="22" t="s">
        <v>6</v>
      </c>
      <c r="G2" s="22" t="s">
        <v>3</v>
      </c>
      <c r="H2" s="23" t="s">
        <v>74</v>
      </c>
    </row>
    <row r="3" spans="1:8" ht="12.95">
      <c r="A3" s="37" t="s">
        <v>75</v>
      </c>
      <c r="B3" s="3" t="s">
        <v>8</v>
      </c>
      <c r="C3" s="3" t="s">
        <v>76</v>
      </c>
      <c r="D3" s="3" t="s">
        <v>77</v>
      </c>
      <c r="E3" s="5">
        <f>INDEX(Timeline!$F$3:$F$13,MATCH($B3,Timeline!$B$3:$B$13,0))</f>
        <v>46238</v>
      </c>
      <c r="F3" s="5">
        <f>INDEX(Timeline!$G$3:$G$13,MATCH($B3,Timeline!$B$3:$B$13,0))</f>
        <v>46238</v>
      </c>
      <c r="G3" s="4" t="s">
        <v>9</v>
      </c>
      <c r="H3" s="19" t="s">
        <v>78</v>
      </c>
    </row>
    <row r="4" spans="1:8" ht="26.1">
      <c r="A4" s="38" t="s">
        <v>79</v>
      </c>
      <c r="B4" s="6" t="s">
        <v>8</v>
      </c>
      <c r="C4" s="6" t="s">
        <v>76</v>
      </c>
      <c r="D4" s="6" t="s">
        <v>80</v>
      </c>
      <c r="E4" s="8">
        <f>INDEX(Timeline!$F$3:$F$13,MATCH($B4,Timeline!$B$3:$B$13,0))</f>
        <v>46238</v>
      </c>
      <c r="F4" s="8">
        <f>INDEX(Timeline!$G$3:$G$13,MATCH($B4,Timeline!$B$3:$B$13,0))</f>
        <v>46238</v>
      </c>
      <c r="G4" s="7" t="s">
        <v>9</v>
      </c>
      <c r="H4" s="20" t="s">
        <v>78</v>
      </c>
    </row>
    <row r="5" spans="1:8" ht="12.95">
      <c r="A5" s="37" t="s">
        <v>81</v>
      </c>
      <c r="B5" s="3" t="s">
        <v>8</v>
      </c>
      <c r="C5" s="3" t="s">
        <v>76</v>
      </c>
      <c r="D5" s="3" t="s">
        <v>82</v>
      </c>
      <c r="E5" s="5">
        <f>INDEX(Timeline!$F$3:$F$13,MATCH($B5,Timeline!$B$3:$B$13,0))</f>
        <v>46238</v>
      </c>
      <c r="F5" s="5">
        <f>INDEX(Timeline!$G$3:$G$13,MATCH($B5,Timeline!$B$3:$B$13,0))</f>
        <v>46238</v>
      </c>
      <c r="G5" s="4" t="s">
        <v>9</v>
      </c>
      <c r="H5" s="19" t="s">
        <v>78</v>
      </c>
    </row>
    <row r="6" spans="1:8" ht="26.1">
      <c r="A6" s="38" t="s">
        <v>83</v>
      </c>
      <c r="B6" s="6" t="s">
        <v>11</v>
      </c>
      <c r="C6" s="6" t="s">
        <v>84</v>
      </c>
      <c r="D6" s="6" t="s">
        <v>85</v>
      </c>
      <c r="E6" s="8">
        <f>INDEX(Timeline!$F$3:$F$13,MATCH($B6,Timeline!$B$3:$B$13,0))</f>
        <v>46249</v>
      </c>
      <c r="F6" s="8">
        <f>INDEX(Timeline!$G$3:$G$13,MATCH($B6,Timeline!$B$3:$B$13,0))</f>
        <v>46262</v>
      </c>
      <c r="G6" s="7" t="s">
        <v>12</v>
      </c>
      <c r="H6" s="20" t="s">
        <v>78</v>
      </c>
    </row>
    <row r="7" spans="1:8" ht="12.95">
      <c r="A7" s="37" t="s">
        <v>86</v>
      </c>
      <c r="B7" s="3" t="s">
        <v>11</v>
      </c>
      <c r="C7" s="3" t="s">
        <v>84</v>
      </c>
      <c r="D7" s="3" t="s">
        <v>87</v>
      </c>
      <c r="E7" s="5">
        <f>INDEX(Timeline!$F$3:$F$13,MATCH($B7,Timeline!$B$3:$B$13,0))</f>
        <v>46249</v>
      </c>
      <c r="F7" s="5">
        <f>INDEX(Timeline!$G$3:$G$13,MATCH($B7,Timeline!$B$3:$B$13,0))</f>
        <v>46262</v>
      </c>
      <c r="G7" s="4" t="s">
        <v>12</v>
      </c>
      <c r="H7" s="19" t="s">
        <v>78</v>
      </c>
    </row>
    <row r="8" spans="1:8" ht="26.1">
      <c r="A8" s="38" t="s">
        <v>88</v>
      </c>
      <c r="B8" s="6" t="s">
        <v>11</v>
      </c>
      <c r="C8" s="6" t="s">
        <v>84</v>
      </c>
      <c r="D8" s="6" t="s">
        <v>89</v>
      </c>
      <c r="E8" s="8">
        <f>INDEX(Timeline!$F$3:$F$13,MATCH($B8,Timeline!$B$3:$B$13,0))</f>
        <v>46249</v>
      </c>
      <c r="F8" s="8">
        <f>INDEX(Timeline!$G$3:$G$13,MATCH($B8,Timeline!$B$3:$B$13,0))</f>
        <v>46262</v>
      </c>
      <c r="G8" s="7" t="s">
        <v>12</v>
      </c>
      <c r="H8" s="20" t="s">
        <v>78</v>
      </c>
    </row>
    <row r="9" spans="1:8" ht="12.95">
      <c r="A9" s="37" t="s">
        <v>90</v>
      </c>
      <c r="B9" s="3" t="s">
        <v>11</v>
      </c>
      <c r="C9" s="3" t="s">
        <v>91</v>
      </c>
      <c r="D9" s="3" t="s">
        <v>92</v>
      </c>
      <c r="E9" s="5">
        <f>INDEX(Timeline!$F$3:$F$13,MATCH($B9,Timeline!$B$3:$B$13,0))</f>
        <v>46249</v>
      </c>
      <c r="F9" s="5">
        <f>INDEX(Timeline!$G$3:$G$13,MATCH($B9,Timeline!$B$3:$B$13,0))</f>
        <v>46262</v>
      </c>
      <c r="G9" s="4" t="s">
        <v>12</v>
      </c>
      <c r="H9" s="19" t="s">
        <v>93</v>
      </c>
    </row>
    <row r="10" spans="1:8" ht="12.95">
      <c r="A10" s="38" t="s">
        <v>94</v>
      </c>
      <c r="B10" s="6" t="s">
        <v>11</v>
      </c>
      <c r="C10" s="6" t="s">
        <v>91</v>
      </c>
      <c r="D10" s="6" t="s">
        <v>95</v>
      </c>
      <c r="E10" s="8">
        <f>INDEX(Timeline!$F$3:$F$13,MATCH($B10,Timeline!$B$3:$B$13,0))</f>
        <v>46249</v>
      </c>
      <c r="F10" s="8">
        <f>INDEX(Timeline!$G$3:$G$13,MATCH($B10,Timeline!$B$3:$B$13,0))</f>
        <v>46262</v>
      </c>
      <c r="G10" s="7" t="s">
        <v>12</v>
      </c>
      <c r="H10" s="20" t="s">
        <v>93</v>
      </c>
    </row>
    <row r="11" spans="1:8" ht="12.95">
      <c r="A11" s="37" t="s">
        <v>96</v>
      </c>
      <c r="B11" s="3" t="s">
        <v>14</v>
      </c>
      <c r="C11" s="3" t="s">
        <v>97</v>
      </c>
      <c r="D11" s="3" t="s">
        <v>98</v>
      </c>
      <c r="E11" s="5">
        <f>INDEX(Timeline!$F$3:$F$13,MATCH($B11,Timeline!$B$3:$B$13,0))</f>
        <v>46265</v>
      </c>
      <c r="F11" s="5">
        <f>INDEX(Timeline!$G$3:$G$13,MATCH($B11,Timeline!$B$3:$B$13,0))</f>
        <v>46273</v>
      </c>
      <c r="G11" s="4" t="s">
        <v>9</v>
      </c>
      <c r="H11" s="19" t="s">
        <v>78</v>
      </c>
    </row>
    <row r="12" spans="1:8" ht="26.1">
      <c r="A12" s="38" t="s">
        <v>99</v>
      </c>
      <c r="B12" s="6" t="s">
        <v>14</v>
      </c>
      <c r="C12" s="6" t="s">
        <v>97</v>
      </c>
      <c r="D12" s="6" t="s">
        <v>100</v>
      </c>
      <c r="E12" s="8">
        <f>INDEX(Timeline!$F$3:$F$13,MATCH($B12,Timeline!$B$3:$B$13,0))</f>
        <v>46265</v>
      </c>
      <c r="F12" s="8">
        <f>INDEX(Timeline!$G$3:$G$13,MATCH($B12,Timeline!$B$3:$B$13,0))</f>
        <v>46273</v>
      </c>
      <c r="G12" s="7" t="s">
        <v>9</v>
      </c>
      <c r="H12" s="20" t="s">
        <v>78</v>
      </c>
    </row>
    <row r="13" spans="1:8" ht="12.95">
      <c r="A13" s="37" t="s">
        <v>101</v>
      </c>
      <c r="B13" s="3" t="s">
        <v>14</v>
      </c>
      <c r="C13" s="3" t="s">
        <v>97</v>
      </c>
      <c r="D13" s="3" t="s">
        <v>102</v>
      </c>
      <c r="E13" s="5">
        <f>INDEX(Timeline!$F$3:$F$13,MATCH($B13,Timeline!$B$3:$B$13,0))</f>
        <v>46265</v>
      </c>
      <c r="F13" s="5">
        <f>INDEX(Timeline!$G$3:$G$13,MATCH($B13,Timeline!$B$3:$B$13,0))</f>
        <v>46273</v>
      </c>
      <c r="G13" s="4" t="s">
        <v>9</v>
      </c>
      <c r="H13" s="19" t="s">
        <v>78</v>
      </c>
    </row>
    <row r="14" spans="1:8" ht="12.95">
      <c r="A14" s="38" t="s">
        <v>103</v>
      </c>
      <c r="B14" s="6" t="s">
        <v>16</v>
      </c>
      <c r="C14" s="6" t="s">
        <v>104</v>
      </c>
      <c r="D14" s="6" t="s">
        <v>105</v>
      </c>
      <c r="E14" s="8">
        <f>INDEX(Timeline!$F$3:$F$13,MATCH($B14,Timeline!$B$3:$B$13,0))</f>
        <v>46274</v>
      </c>
      <c r="F14" s="8">
        <f>INDEX(Timeline!$G$3:$G$13,MATCH($B14,Timeline!$B$3:$B$13,0))</f>
        <v>46302</v>
      </c>
      <c r="G14" s="7" t="s">
        <v>9</v>
      </c>
      <c r="H14" s="20" t="s">
        <v>93</v>
      </c>
    </row>
    <row r="15" spans="1:8" ht="12.95">
      <c r="A15" s="37" t="s">
        <v>106</v>
      </c>
      <c r="B15" s="3" t="s">
        <v>16</v>
      </c>
      <c r="C15" s="3" t="s">
        <v>104</v>
      </c>
      <c r="D15" s="3" t="s">
        <v>107</v>
      </c>
      <c r="E15" s="5">
        <f>INDEX(Timeline!$F$3:$F$13,MATCH($B15,Timeline!$B$3:$B$13,0))</f>
        <v>46274</v>
      </c>
      <c r="F15" s="5">
        <f>INDEX(Timeline!$G$3:$G$13,MATCH($B15,Timeline!$B$3:$B$13,0))</f>
        <v>46302</v>
      </c>
      <c r="G15" s="4" t="s">
        <v>9</v>
      </c>
      <c r="H15" s="19" t="s">
        <v>93</v>
      </c>
    </row>
    <row r="16" spans="1:8" ht="26.1">
      <c r="A16" s="38" t="s">
        <v>108</v>
      </c>
      <c r="B16" s="6" t="s">
        <v>16</v>
      </c>
      <c r="C16" s="6" t="s">
        <v>104</v>
      </c>
      <c r="D16" s="6" t="s">
        <v>109</v>
      </c>
      <c r="E16" s="8">
        <f>INDEX(Timeline!$F$3:$F$13,MATCH($B16,Timeline!$B$3:$B$13,0))</f>
        <v>46274</v>
      </c>
      <c r="F16" s="8">
        <f>INDEX(Timeline!$G$3:$G$13,MATCH($B16,Timeline!$B$3:$B$13,0))</f>
        <v>46302</v>
      </c>
      <c r="G16" s="7" t="s">
        <v>9</v>
      </c>
      <c r="H16" s="20" t="s">
        <v>93</v>
      </c>
    </row>
    <row r="17" spans="1:8" ht="12.95">
      <c r="A17" s="37" t="s">
        <v>110</v>
      </c>
      <c r="B17" s="3" t="s">
        <v>16</v>
      </c>
      <c r="C17" s="3" t="s">
        <v>104</v>
      </c>
      <c r="D17" s="3" t="s">
        <v>111</v>
      </c>
      <c r="E17" s="5">
        <f>INDEX(Timeline!$F$3:$F$13,MATCH($B17,Timeline!$B$3:$B$13,0))</f>
        <v>46274</v>
      </c>
      <c r="F17" s="5">
        <f>INDEX(Timeline!$G$3:$G$13,MATCH($B17,Timeline!$B$3:$B$13,0))</f>
        <v>46302</v>
      </c>
      <c r="G17" s="4" t="s">
        <v>9</v>
      </c>
      <c r="H17" s="19" t="s">
        <v>93</v>
      </c>
    </row>
    <row r="18" spans="1:8" ht="12.95">
      <c r="A18" s="38" t="s">
        <v>112</v>
      </c>
      <c r="B18" s="6" t="s">
        <v>16</v>
      </c>
      <c r="C18" s="6" t="s">
        <v>104</v>
      </c>
      <c r="D18" s="6" t="s">
        <v>113</v>
      </c>
      <c r="E18" s="8">
        <f>INDEX(Timeline!$F$3:$F$13,MATCH($B18,Timeline!$B$3:$B$13,0))</f>
        <v>46274</v>
      </c>
      <c r="F18" s="8">
        <f>INDEX(Timeline!$G$3:$G$13,MATCH($B18,Timeline!$B$3:$B$13,0))</f>
        <v>46302</v>
      </c>
      <c r="G18" s="7" t="s">
        <v>9</v>
      </c>
      <c r="H18" s="20" t="s">
        <v>93</v>
      </c>
    </row>
    <row r="19" spans="1:8" ht="12.95">
      <c r="A19" s="37" t="s">
        <v>114</v>
      </c>
      <c r="B19" s="3" t="s">
        <v>16</v>
      </c>
      <c r="C19" s="3" t="s">
        <v>104</v>
      </c>
      <c r="D19" s="3" t="s">
        <v>115</v>
      </c>
      <c r="E19" s="5">
        <f>INDEX(Timeline!$F$3:$F$13,MATCH($B19,Timeline!$B$3:$B$13,0))</f>
        <v>46274</v>
      </c>
      <c r="F19" s="5">
        <f>INDEX(Timeline!$G$3:$G$13,MATCH($B19,Timeline!$B$3:$B$13,0))</f>
        <v>46302</v>
      </c>
      <c r="G19" s="4" t="s">
        <v>9</v>
      </c>
      <c r="H19" s="19" t="s">
        <v>93</v>
      </c>
    </row>
    <row r="20" spans="1:8" ht="26.1">
      <c r="A20" s="38" t="s">
        <v>116</v>
      </c>
      <c r="B20" s="6" t="s">
        <v>16</v>
      </c>
      <c r="C20" s="6" t="s">
        <v>117</v>
      </c>
      <c r="D20" s="6" t="s">
        <v>118</v>
      </c>
      <c r="E20" s="8">
        <f>INDEX(Timeline!$F$3:$F$13,MATCH($B20,Timeline!$B$3:$B$13,0))</f>
        <v>46274</v>
      </c>
      <c r="F20" s="8">
        <f>INDEX(Timeline!$G$3:$G$13,MATCH($B20,Timeline!$B$3:$B$13,0))</f>
        <v>46302</v>
      </c>
      <c r="G20" s="7" t="s">
        <v>9</v>
      </c>
      <c r="H20" s="20" t="s">
        <v>93</v>
      </c>
    </row>
    <row r="21" spans="1:8" ht="12.95">
      <c r="A21" s="37" t="s">
        <v>119</v>
      </c>
      <c r="B21" s="3" t="s">
        <v>16</v>
      </c>
      <c r="C21" s="3" t="s">
        <v>117</v>
      </c>
      <c r="D21" s="3" t="s">
        <v>120</v>
      </c>
      <c r="E21" s="5">
        <f>INDEX(Timeline!$F$3:$F$13,MATCH($B21,Timeline!$B$3:$B$13,0))</f>
        <v>46274</v>
      </c>
      <c r="F21" s="5">
        <f>INDEX(Timeline!$G$3:$G$13,MATCH($B21,Timeline!$B$3:$B$13,0))</f>
        <v>46302</v>
      </c>
      <c r="G21" s="4" t="s">
        <v>9</v>
      </c>
      <c r="H21" s="19" t="s">
        <v>93</v>
      </c>
    </row>
    <row r="22" spans="1:8" ht="12.95">
      <c r="A22" s="38" t="s">
        <v>121</v>
      </c>
      <c r="B22" s="6" t="s">
        <v>16</v>
      </c>
      <c r="C22" s="6" t="s">
        <v>117</v>
      </c>
      <c r="D22" s="6" t="s">
        <v>122</v>
      </c>
      <c r="E22" s="8">
        <f>INDEX(Timeline!$F$3:$F$13,MATCH($B22,Timeline!$B$3:$B$13,0))</f>
        <v>46274</v>
      </c>
      <c r="F22" s="8">
        <f>INDEX(Timeline!$G$3:$G$13,MATCH($B22,Timeline!$B$3:$B$13,0))</f>
        <v>46302</v>
      </c>
      <c r="G22" s="7" t="s">
        <v>9</v>
      </c>
      <c r="H22" s="20" t="s">
        <v>93</v>
      </c>
    </row>
    <row r="23" spans="1:8" ht="12.95">
      <c r="A23" s="37" t="s">
        <v>123</v>
      </c>
      <c r="B23" s="3" t="s">
        <v>16</v>
      </c>
      <c r="C23" s="3" t="s">
        <v>124</v>
      </c>
      <c r="D23" s="3" t="s">
        <v>125</v>
      </c>
      <c r="E23" s="5">
        <f>INDEX(Timeline!$F$3:$F$13,MATCH($B23,Timeline!$B$3:$B$13,0))</f>
        <v>46274</v>
      </c>
      <c r="F23" s="5">
        <f>INDEX(Timeline!$G$3:$G$13,MATCH($B23,Timeline!$B$3:$B$13,0))</f>
        <v>46302</v>
      </c>
      <c r="G23" s="4" t="s">
        <v>9</v>
      </c>
      <c r="H23" s="19" t="s">
        <v>93</v>
      </c>
    </row>
    <row r="24" spans="1:8" ht="12.95">
      <c r="A24" s="38" t="s">
        <v>126</v>
      </c>
      <c r="B24" s="6" t="s">
        <v>16</v>
      </c>
      <c r="C24" s="6" t="s">
        <v>124</v>
      </c>
      <c r="D24" s="6" t="s">
        <v>127</v>
      </c>
      <c r="E24" s="8">
        <f>INDEX(Timeline!$F$3:$F$13,MATCH($B24,Timeline!$B$3:$B$13,0))</f>
        <v>46274</v>
      </c>
      <c r="F24" s="8">
        <f>INDEX(Timeline!$G$3:$G$13,MATCH($B24,Timeline!$B$3:$B$13,0))</f>
        <v>46302</v>
      </c>
      <c r="G24" s="7" t="s">
        <v>9</v>
      </c>
      <c r="H24" s="20" t="s">
        <v>93</v>
      </c>
    </row>
    <row r="25" spans="1:8" ht="12.95">
      <c r="A25" s="37" t="s">
        <v>128</v>
      </c>
      <c r="B25" s="3" t="s">
        <v>16</v>
      </c>
      <c r="C25" s="3" t="s">
        <v>124</v>
      </c>
      <c r="D25" s="3" t="s">
        <v>129</v>
      </c>
      <c r="E25" s="5">
        <f>INDEX(Timeline!$F$3:$F$13,MATCH($B25,Timeline!$B$3:$B$13,0))</f>
        <v>46274</v>
      </c>
      <c r="F25" s="5">
        <f>INDEX(Timeline!$G$3:$G$13,MATCH($B25,Timeline!$B$3:$B$13,0))</f>
        <v>46302</v>
      </c>
      <c r="G25" s="4" t="s">
        <v>9</v>
      </c>
      <c r="H25" s="19" t="s">
        <v>93</v>
      </c>
    </row>
    <row r="26" spans="1:8" ht="12.95">
      <c r="A26" s="38" t="s">
        <v>130</v>
      </c>
      <c r="B26" s="6" t="s">
        <v>16</v>
      </c>
      <c r="C26" s="6" t="s">
        <v>124</v>
      </c>
      <c r="D26" s="6" t="s">
        <v>131</v>
      </c>
      <c r="E26" s="8">
        <f>INDEX(Timeline!$F$3:$F$13,MATCH($B26,Timeline!$B$3:$B$13,0))</f>
        <v>46274</v>
      </c>
      <c r="F26" s="8">
        <f>INDEX(Timeline!$G$3:$G$13,MATCH($B26,Timeline!$B$3:$B$13,0))</f>
        <v>46302</v>
      </c>
      <c r="G26" s="7" t="s">
        <v>9</v>
      </c>
      <c r="H26" s="20" t="s">
        <v>93</v>
      </c>
    </row>
    <row r="27" spans="1:8" ht="12.95">
      <c r="A27" s="37" t="s">
        <v>132</v>
      </c>
      <c r="B27" s="3" t="s">
        <v>16</v>
      </c>
      <c r="C27" s="3" t="s">
        <v>124</v>
      </c>
      <c r="D27" s="3" t="s">
        <v>133</v>
      </c>
      <c r="E27" s="5">
        <f>INDEX(Timeline!$F$3:$F$13,MATCH($B27,Timeline!$B$3:$B$13,0))</f>
        <v>46274</v>
      </c>
      <c r="F27" s="5">
        <f>INDEX(Timeline!$G$3:$G$13,MATCH($B27,Timeline!$B$3:$B$13,0))</f>
        <v>46302</v>
      </c>
      <c r="G27" s="4" t="s">
        <v>9</v>
      </c>
      <c r="H27" s="19" t="s">
        <v>93</v>
      </c>
    </row>
    <row r="28" spans="1:8" ht="12.95">
      <c r="A28" s="38" t="s">
        <v>134</v>
      </c>
      <c r="B28" s="6" t="s">
        <v>16</v>
      </c>
      <c r="C28" s="6" t="s">
        <v>124</v>
      </c>
      <c r="D28" s="6" t="s">
        <v>135</v>
      </c>
      <c r="E28" s="8">
        <f>INDEX(Timeline!$F$3:$F$13,MATCH($B28,Timeline!$B$3:$B$13,0))</f>
        <v>46274</v>
      </c>
      <c r="F28" s="8">
        <f>INDEX(Timeline!$G$3:$G$13,MATCH($B28,Timeline!$B$3:$B$13,0))</f>
        <v>46302</v>
      </c>
      <c r="G28" s="7" t="s">
        <v>9</v>
      </c>
      <c r="H28" s="20" t="s">
        <v>93</v>
      </c>
    </row>
    <row r="29" spans="1:8" ht="12.95">
      <c r="A29" s="37" t="s">
        <v>136</v>
      </c>
      <c r="B29" s="3" t="s">
        <v>16</v>
      </c>
      <c r="C29" s="3" t="s">
        <v>137</v>
      </c>
      <c r="D29" s="3" t="s">
        <v>138</v>
      </c>
      <c r="E29" s="5">
        <f>INDEX(Timeline!$F$3:$F$13,MATCH($B29,Timeline!$B$3:$B$13,0))</f>
        <v>46274</v>
      </c>
      <c r="F29" s="5">
        <f>INDEX(Timeline!$G$3:$G$13,MATCH($B29,Timeline!$B$3:$B$13,0))</f>
        <v>46302</v>
      </c>
      <c r="G29" s="4" t="s">
        <v>9</v>
      </c>
      <c r="H29" s="19" t="s">
        <v>93</v>
      </c>
    </row>
    <row r="30" spans="1:8" ht="12.95">
      <c r="A30" s="38" t="s">
        <v>139</v>
      </c>
      <c r="B30" s="6" t="s">
        <v>16</v>
      </c>
      <c r="C30" s="6" t="s">
        <v>140</v>
      </c>
      <c r="D30" s="6" t="s">
        <v>141</v>
      </c>
      <c r="E30" s="8">
        <f>INDEX(Timeline!$F$3:$F$13,MATCH($B30,Timeline!$B$3:$B$13,0))</f>
        <v>46274</v>
      </c>
      <c r="F30" s="8">
        <f>INDEX(Timeline!$G$3:$G$13,MATCH($B30,Timeline!$B$3:$B$13,0))</f>
        <v>46302</v>
      </c>
      <c r="G30" s="7" t="s">
        <v>9</v>
      </c>
      <c r="H30" s="20" t="s">
        <v>93</v>
      </c>
    </row>
    <row r="31" spans="1:8" ht="12.95">
      <c r="A31" s="37" t="s">
        <v>142</v>
      </c>
      <c r="B31" s="3" t="s">
        <v>16</v>
      </c>
      <c r="C31" s="3" t="s">
        <v>140</v>
      </c>
      <c r="D31" s="3" t="s">
        <v>143</v>
      </c>
      <c r="E31" s="5">
        <f>INDEX(Timeline!$F$3:$F$13,MATCH($B31,Timeline!$B$3:$B$13,0))</f>
        <v>46274</v>
      </c>
      <c r="F31" s="5">
        <f>INDEX(Timeline!$G$3:$G$13,MATCH($B31,Timeline!$B$3:$B$13,0))</f>
        <v>46302</v>
      </c>
      <c r="G31" s="4" t="s">
        <v>9</v>
      </c>
      <c r="H31" s="19" t="s">
        <v>93</v>
      </c>
    </row>
    <row r="32" spans="1:8" ht="12.95">
      <c r="A32" s="38" t="s">
        <v>144</v>
      </c>
      <c r="B32" s="6" t="s">
        <v>16</v>
      </c>
      <c r="C32" s="6" t="s">
        <v>145</v>
      </c>
      <c r="D32" s="6" t="s">
        <v>146</v>
      </c>
      <c r="E32" s="8">
        <f>INDEX(Timeline!$F$3:$F$13,MATCH($B32,Timeline!$B$3:$B$13,0))</f>
        <v>46274</v>
      </c>
      <c r="F32" s="8">
        <f>INDEX(Timeline!$G$3:$G$13,MATCH($B32,Timeline!$B$3:$B$13,0))</f>
        <v>46302</v>
      </c>
      <c r="G32" s="7" t="s">
        <v>9</v>
      </c>
      <c r="H32" s="20" t="s">
        <v>93</v>
      </c>
    </row>
    <row r="33" spans="1:8" ht="12.95">
      <c r="A33" s="37" t="s">
        <v>147</v>
      </c>
      <c r="B33" s="3" t="s">
        <v>16</v>
      </c>
      <c r="C33" s="3" t="s">
        <v>145</v>
      </c>
      <c r="D33" s="3" t="s">
        <v>148</v>
      </c>
      <c r="E33" s="5">
        <f>INDEX(Timeline!$F$3:$F$13,MATCH($B33,Timeline!$B$3:$B$13,0))</f>
        <v>46274</v>
      </c>
      <c r="F33" s="5">
        <f>INDEX(Timeline!$G$3:$G$13,MATCH($B33,Timeline!$B$3:$B$13,0))</f>
        <v>46302</v>
      </c>
      <c r="G33" s="4" t="s">
        <v>9</v>
      </c>
      <c r="H33" s="19" t="s">
        <v>93</v>
      </c>
    </row>
    <row r="34" spans="1:8" ht="12.95">
      <c r="A34" s="38" t="s">
        <v>149</v>
      </c>
      <c r="B34" s="6" t="s">
        <v>16</v>
      </c>
      <c r="C34" s="6" t="s">
        <v>145</v>
      </c>
      <c r="D34" s="6" t="s">
        <v>150</v>
      </c>
      <c r="E34" s="8">
        <f>INDEX(Timeline!$F$3:$F$13,MATCH($B34,Timeline!$B$3:$B$13,0))</f>
        <v>46274</v>
      </c>
      <c r="F34" s="8">
        <f>INDEX(Timeline!$G$3:$G$13,MATCH($B34,Timeline!$B$3:$B$13,0))</f>
        <v>46302</v>
      </c>
      <c r="G34" s="7" t="s">
        <v>9</v>
      </c>
      <c r="H34" s="20" t="s">
        <v>93</v>
      </c>
    </row>
    <row r="35" spans="1:8" ht="12.95">
      <c r="A35" s="37" t="s">
        <v>151</v>
      </c>
      <c r="B35" s="3" t="s">
        <v>16</v>
      </c>
      <c r="C35" s="3" t="s">
        <v>145</v>
      </c>
      <c r="D35" s="3" t="s">
        <v>152</v>
      </c>
      <c r="E35" s="5">
        <f>INDEX(Timeline!$F$3:$F$13,MATCH($B35,Timeline!$B$3:$B$13,0))</f>
        <v>46274</v>
      </c>
      <c r="F35" s="5">
        <f>INDEX(Timeline!$G$3:$G$13,MATCH($B35,Timeline!$B$3:$B$13,0))</f>
        <v>46302</v>
      </c>
      <c r="G35" s="4" t="s">
        <v>9</v>
      </c>
      <c r="H35" s="19" t="s">
        <v>93</v>
      </c>
    </row>
    <row r="36" spans="1:8" ht="12.95">
      <c r="A36" s="38" t="s">
        <v>153</v>
      </c>
      <c r="B36" s="6" t="s">
        <v>16</v>
      </c>
      <c r="C36" s="6" t="s">
        <v>145</v>
      </c>
      <c r="D36" s="6" t="s">
        <v>154</v>
      </c>
      <c r="E36" s="8">
        <f>INDEX(Timeline!$F$3:$F$13,MATCH($B36,Timeline!$B$3:$B$13,0))</f>
        <v>46274</v>
      </c>
      <c r="F36" s="8">
        <f>INDEX(Timeline!$G$3:$G$13,MATCH($B36,Timeline!$B$3:$B$13,0))</f>
        <v>46302</v>
      </c>
      <c r="G36" s="7" t="s">
        <v>9</v>
      </c>
      <c r="H36" s="20" t="s">
        <v>93</v>
      </c>
    </row>
    <row r="37" spans="1:8" ht="12.95">
      <c r="A37" s="37" t="s">
        <v>155</v>
      </c>
      <c r="B37" s="3" t="s">
        <v>16</v>
      </c>
      <c r="C37" s="3" t="s">
        <v>145</v>
      </c>
      <c r="D37" s="3" t="s">
        <v>156</v>
      </c>
      <c r="E37" s="5">
        <f>INDEX(Timeline!$F$3:$F$13,MATCH($B37,Timeline!$B$3:$B$13,0))</f>
        <v>46274</v>
      </c>
      <c r="F37" s="5">
        <f>INDEX(Timeline!$G$3:$G$13,MATCH($B37,Timeline!$B$3:$B$13,0))</f>
        <v>46302</v>
      </c>
      <c r="G37" s="4" t="s">
        <v>9</v>
      </c>
      <c r="H37" s="19" t="s">
        <v>93</v>
      </c>
    </row>
    <row r="38" spans="1:8" ht="12.95">
      <c r="A38" s="38" t="s">
        <v>157</v>
      </c>
      <c r="B38" s="6" t="s">
        <v>16</v>
      </c>
      <c r="C38" s="6" t="s">
        <v>145</v>
      </c>
      <c r="D38" s="6" t="s">
        <v>158</v>
      </c>
      <c r="E38" s="8">
        <f>INDEX(Timeline!$F$3:$F$13,MATCH($B38,Timeline!$B$3:$B$13,0))</f>
        <v>46274</v>
      </c>
      <c r="F38" s="8">
        <f>INDEX(Timeline!$G$3:$G$13,MATCH($B38,Timeline!$B$3:$B$13,0))</f>
        <v>46302</v>
      </c>
      <c r="G38" s="7" t="s">
        <v>9</v>
      </c>
      <c r="H38" s="20" t="s">
        <v>93</v>
      </c>
    </row>
    <row r="39" spans="1:8" ht="12.95">
      <c r="A39" s="37" t="s">
        <v>159</v>
      </c>
      <c r="B39" s="3" t="s">
        <v>16</v>
      </c>
      <c r="C39" s="3" t="s">
        <v>160</v>
      </c>
      <c r="D39" s="3" t="s">
        <v>161</v>
      </c>
      <c r="E39" s="5">
        <f>INDEX(Timeline!$F$3:$F$13,MATCH($B39,Timeline!$B$3:$B$13,0))</f>
        <v>46274</v>
      </c>
      <c r="F39" s="5">
        <f>INDEX(Timeline!$G$3:$G$13,MATCH($B39,Timeline!$B$3:$B$13,0))</f>
        <v>46302</v>
      </c>
      <c r="G39" s="4" t="s">
        <v>9</v>
      </c>
      <c r="H39" s="19" t="s">
        <v>93</v>
      </c>
    </row>
    <row r="40" spans="1:8" ht="12.95">
      <c r="A40" s="38" t="s">
        <v>162</v>
      </c>
      <c r="B40" s="6" t="s">
        <v>16</v>
      </c>
      <c r="C40" s="6" t="s">
        <v>160</v>
      </c>
      <c r="D40" s="6" t="s">
        <v>163</v>
      </c>
      <c r="E40" s="8">
        <f>INDEX(Timeline!$F$3:$F$13,MATCH($B40,Timeline!$B$3:$B$13,0))</f>
        <v>46274</v>
      </c>
      <c r="F40" s="8">
        <f>INDEX(Timeline!$G$3:$G$13,MATCH($B40,Timeline!$B$3:$B$13,0))</f>
        <v>46302</v>
      </c>
      <c r="G40" s="7" t="s">
        <v>9</v>
      </c>
      <c r="H40" s="20" t="s">
        <v>93</v>
      </c>
    </row>
    <row r="41" spans="1:8" ht="12.95">
      <c r="A41" s="37" t="s">
        <v>164</v>
      </c>
      <c r="B41" s="3" t="s">
        <v>16</v>
      </c>
      <c r="C41" s="3" t="s">
        <v>160</v>
      </c>
      <c r="D41" s="3" t="s">
        <v>165</v>
      </c>
      <c r="E41" s="5">
        <f>INDEX(Timeline!$F$3:$F$13,MATCH($B41,Timeline!$B$3:$B$13,0))</f>
        <v>46274</v>
      </c>
      <c r="F41" s="5">
        <f>INDEX(Timeline!$G$3:$G$13,MATCH($B41,Timeline!$B$3:$B$13,0))</f>
        <v>46302</v>
      </c>
      <c r="G41" s="4" t="s">
        <v>9</v>
      </c>
      <c r="H41" s="19" t="s">
        <v>93</v>
      </c>
    </row>
    <row r="42" spans="1:8" ht="12.95">
      <c r="A42" s="38" t="s">
        <v>166</v>
      </c>
      <c r="B42" s="6" t="s">
        <v>16</v>
      </c>
      <c r="C42" s="6" t="s">
        <v>167</v>
      </c>
      <c r="D42" s="6" t="s">
        <v>168</v>
      </c>
      <c r="E42" s="8">
        <f>INDEX(Timeline!$F$3:$F$13,MATCH($B42,Timeline!$B$3:$B$13,0))</f>
        <v>46274</v>
      </c>
      <c r="F42" s="8">
        <f>INDEX(Timeline!$G$3:$G$13,MATCH($B42,Timeline!$B$3:$B$13,0))</f>
        <v>46302</v>
      </c>
      <c r="G42" s="7" t="s">
        <v>9</v>
      </c>
      <c r="H42" s="20" t="s">
        <v>93</v>
      </c>
    </row>
    <row r="43" spans="1:8" ht="12.95">
      <c r="A43" s="37" t="s">
        <v>169</v>
      </c>
      <c r="B43" s="3" t="s">
        <v>16</v>
      </c>
      <c r="C43" s="3" t="s">
        <v>167</v>
      </c>
      <c r="D43" s="3" t="s">
        <v>170</v>
      </c>
      <c r="E43" s="5">
        <f>INDEX(Timeline!$F$3:$F$13,MATCH($B43,Timeline!$B$3:$B$13,0))</f>
        <v>46274</v>
      </c>
      <c r="F43" s="5">
        <f>INDEX(Timeline!$G$3:$G$13,MATCH($B43,Timeline!$B$3:$B$13,0))</f>
        <v>46302</v>
      </c>
      <c r="G43" s="4" t="s">
        <v>9</v>
      </c>
      <c r="H43" s="19" t="s">
        <v>93</v>
      </c>
    </row>
    <row r="44" spans="1:8" ht="12.95">
      <c r="A44" s="38" t="s">
        <v>171</v>
      </c>
      <c r="B44" s="6" t="s">
        <v>18</v>
      </c>
      <c r="C44" s="6" t="s">
        <v>172</v>
      </c>
      <c r="D44" s="6" t="s">
        <v>173</v>
      </c>
      <c r="E44" s="8">
        <f>INDEX(Timeline!$F$3:$F$13,MATCH($B44,Timeline!$B$3:$B$13,0))</f>
        <v>46303</v>
      </c>
      <c r="F44" s="8">
        <f>INDEX(Timeline!$G$3:$G$13,MATCH($B44,Timeline!$B$3:$B$13,0))</f>
        <v>46307</v>
      </c>
      <c r="G44" s="7" t="s">
        <v>9</v>
      </c>
      <c r="H44" s="20" t="s">
        <v>93</v>
      </c>
    </row>
    <row r="45" spans="1:8" ht="26.1">
      <c r="A45" s="37" t="s">
        <v>174</v>
      </c>
      <c r="B45" s="3" t="s">
        <v>18</v>
      </c>
      <c r="C45" s="3" t="s">
        <v>172</v>
      </c>
      <c r="D45" s="3" t="s">
        <v>175</v>
      </c>
      <c r="E45" s="5">
        <f>INDEX(Timeline!$F$3:$F$13,MATCH($B45,Timeline!$B$3:$B$13,0))</f>
        <v>46303</v>
      </c>
      <c r="F45" s="5">
        <f>INDEX(Timeline!$G$3:$G$13,MATCH($B45,Timeline!$B$3:$B$13,0))</f>
        <v>46307</v>
      </c>
      <c r="G45" s="4" t="s">
        <v>9</v>
      </c>
      <c r="H45" s="19" t="s">
        <v>93</v>
      </c>
    </row>
    <row r="46" spans="1:8" ht="26.1">
      <c r="A46" s="38" t="s">
        <v>176</v>
      </c>
      <c r="B46" s="6" t="s">
        <v>18</v>
      </c>
      <c r="C46" s="6" t="s">
        <v>172</v>
      </c>
      <c r="D46" s="6" t="s">
        <v>177</v>
      </c>
      <c r="E46" s="8">
        <f>INDEX(Timeline!$F$3:$F$13,MATCH($B46,Timeline!$B$3:$B$13,0))</f>
        <v>46303</v>
      </c>
      <c r="F46" s="8">
        <f>INDEX(Timeline!$G$3:$G$13,MATCH($B46,Timeline!$B$3:$B$13,0))</f>
        <v>46307</v>
      </c>
      <c r="G46" s="7" t="s">
        <v>9</v>
      </c>
      <c r="H46" s="20" t="s">
        <v>93</v>
      </c>
    </row>
    <row r="47" spans="1:8" ht="26.1">
      <c r="A47" s="37" t="s">
        <v>178</v>
      </c>
      <c r="B47" s="3" t="s">
        <v>20</v>
      </c>
      <c r="C47" s="3" t="s">
        <v>179</v>
      </c>
      <c r="D47" s="3" t="s">
        <v>180</v>
      </c>
      <c r="E47" s="5">
        <f>INDEX(Timeline!$F$3:$F$13,MATCH($B47,Timeline!$B$3:$B$13,0))</f>
        <v>46308</v>
      </c>
      <c r="F47" s="5">
        <f>INDEX(Timeline!$G$3:$G$13,MATCH($B47,Timeline!$B$3:$B$13,0))</f>
        <v>46338</v>
      </c>
      <c r="G47" s="4" t="s">
        <v>9</v>
      </c>
      <c r="H47" s="19" t="s">
        <v>93</v>
      </c>
    </row>
    <row r="48" spans="1:8" ht="12.95">
      <c r="A48" s="38" t="s">
        <v>181</v>
      </c>
      <c r="B48" s="6" t="s">
        <v>20</v>
      </c>
      <c r="C48" s="6" t="s">
        <v>179</v>
      </c>
      <c r="D48" s="6" t="s">
        <v>182</v>
      </c>
      <c r="E48" s="8">
        <f>INDEX(Timeline!$F$3:$F$13,MATCH($B48,Timeline!$B$3:$B$13,0))</f>
        <v>46308</v>
      </c>
      <c r="F48" s="8">
        <f>INDEX(Timeline!$G$3:$G$13,MATCH($B48,Timeline!$B$3:$B$13,0))</f>
        <v>46338</v>
      </c>
      <c r="G48" s="7" t="s">
        <v>9</v>
      </c>
      <c r="H48" s="20" t="s">
        <v>93</v>
      </c>
    </row>
    <row r="49" spans="1:8" ht="12.95">
      <c r="A49" s="37" t="s">
        <v>183</v>
      </c>
      <c r="B49" s="3" t="s">
        <v>20</v>
      </c>
      <c r="C49" s="3" t="s">
        <v>179</v>
      </c>
      <c r="D49" s="3" t="s">
        <v>184</v>
      </c>
      <c r="E49" s="5">
        <f>INDEX(Timeline!$F$3:$F$13,MATCH($B49,Timeline!$B$3:$B$13,0))</f>
        <v>46308</v>
      </c>
      <c r="F49" s="5">
        <f>INDEX(Timeline!$G$3:$G$13,MATCH($B49,Timeline!$B$3:$B$13,0))</f>
        <v>46338</v>
      </c>
      <c r="G49" s="4" t="s">
        <v>9</v>
      </c>
      <c r="H49" s="19" t="s">
        <v>93</v>
      </c>
    </row>
    <row r="50" spans="1:8" ht="12.95">
      <c r="A50" s="38" t="s">
        <v>185</v>
      </c>
      <c r="B50" s="6" t="s">
        <v>20</v>
      </c>
      <c r="C50" s="6" t="s">
        <v>179</v>
      </c>
      <c r="D50" s="6" t="s">
        <v>186</v>
      </c>
      <c r="E50" s="8">
        <f>INDEX(Timeline!$F$3:$F$13,MATCH($B50,Timeline!$B$3:$B$13,0))</f>
        <v>46308</v>
      </c>
      <c r="F50" s="8">
        <f>INDEX(Timeline!$G$3:$G$13,MATCH($B50,Timeline!$B$3:$B$13,0))</f>
        <v>46338</v>
      </c>
      <c r="G50" s="7" t="s">
        <v>9</v>
      </c>
      <c r="H50" s="20" t="s">
        <v>93</v>
      </c>
    </row>
    <row r="51" spans="1:8" ht="26.1">
      <c r="A51" s="37" t="s">
        <v>187</v>
      </c>
      <c r="B51" s="3" t="s">
        <v>20</v>
      </c>
      <c r="C51" s="3" t="s">
        <v>179</v>
      </c>
      <c r="D51" s="3" t="s">
        <v>188</v>
      </c>
      <c r="E51" s="5">
        <f>INDEX(Timeline!$F$3:$F$13,MATCH($B51,Timeline!$B$3:$B$13,0))</f>
        <v>46308</v>
      </c>
      <c r="F51" s="5">
        <f>INDEX(Timeline!$G$3:$G$13,MATCH($B51,Timeline!$B$3:$B$13,0))</f>
        <v>46338</v>
      </c>
      <c r="G51" s="4" t="s">
        <v>9</v>
      </c>
      <c r="H51" s="19" t="s">
        <v>93</v>
      </c>
    </row>
    <row r="52" spans="1:8" ht="12.95">
      <c r="A52" s="38" t="s">
        <v>189</v>
      </c>
      <c r="B52" s="6" t="s">
        <v>22</v>
      </c>
      <c r="C52" s="6" t="s">
        <v>190</v>
      </c>
      <c r="D52" s="6" t="s">
        <v>191</v>
      </c>
      <c r="E52" s="8">
        <f>INDEX(Timeline!$F$3:$F$13,MATCH($B52,Timeline!$B$3:$B$13,0))</f>
        <v>46339</v>
      </c>
      <c r="F52" s="8">
        <f>INDEX(Timeline!$G$3:$G$13,MATCH($B52,Timeline!$B$3:$B$13,0))</f>
        <v>46346</v>
      </c>
      <c r="G52" s="7" t="s">
        <v>23</v>
      </c>
      <c r="H52" s="20" t="s">
        <v>93</v>
      </c>
    </row>
    <row r="53" spans="1:8" ht="12.95">
      <c r="A53" s="37" t="s">
        <v>192</v>
      </c>
      <c r="B53" s="3" t="s">
        <v>22</v>
      </c>
      <c r="C53" s="3" t="s">
        <v>190</v>
      </c>
      <c r="D53" s="3" t="s">
        <v>193</v>
      </c>
      <c r="E53" s="5">
        <f>INDEX(Timeline!$F$3:$F$13,MATCH($B53,Timeline!$B$3:$B$13,0))</f>
        <v>46339</v>
      </c>
      <c r="F53" s="5">
        <f>INDEX(Timeline!$G$3:$G$13,MATCH($B53,Timeline!$B$3:$B$13,0))</f>
        <v>46346</v>
      </c>
      <c r="G53" s="4" t="s">
        <v>23</v>
      </c>
      <c r="H53" s="19" t="s">
        <v>93</v>
      </c>
    </row>
    <row r="54" spans="1:8" ht="12.95">
      <c r="A54" s="38" t="s">
        <v>194</v>
      </c>
      <c r="B54" s="6" t="s">
        <v>22</v>
      </c>
      <c r="C54" s="6" t="s">
        <v>190</v>
      </c>
      <c r="D54" s="6" t="s">
        <v>195</v>
      </c>
      <c r="E54" s="8">
        <f>INDEX(Timeline!$F$3:$F$13,MATCH($B54,Timeline!$B$3:$B$13,0))</f>
        <v>46339</v>
      </c>
      <c r="F54" s="8">
        <f>INDEX(Timeline!$G$3:$G$13,MATCH($B54,Timeline!$B$3:$B$13,0))</f>
        <v>46346</v>
      </c>
      <c r="G54" s="7" t="s">
        <v>23</v>
      </c>
      <c r="H54" s="20" t="s">
        <v>93</v>
      </c>
    </row>
    <row r="55" spans="1:8" ht="12.95">
      <c r="A55" s="37" t="s">
        <v>196</v>
      </c>
      <c r="B55" s="3" t="s">
        <v>25</v>
      </c>
      <c r="C55" s="3" t="s">
        <v>197</v>
      </c>
      <c r="D55" s="3" t="s">
        <v>198</v>
      </c>
      <c r="E55" s="5">
        <f>INDEX(Timeline!$F$3:$F$13,MATCH($B55,Timeline!$B$3:$B$13,0))</f>
        <v>46347</v>
      </c>
      <c r="F55" s="5">
        <f>INDEX(Timeline!$G$3:$G$13,MATCH($B55,Timeline!$B$3:$B$13,0))</f>
        <v>46356</v>
      </c>
      <c r="G55" s="4" t="s">
        <v>23</v>
      </c>
      <c r="H55" s="19" t="s">
        <v>78</v>
      </c>
    </row>
    <row r="56" spans="1:8" ht="12.95">
      <c r="A56" s="38" t="s">
        <v>199</v>
      </c>
      <c r="B56" s="6" t="s">
        <v>25</v>
      </c>
      <c r="C56" s="6" t="s">
        <v>197</v>
      </c>
      <c r="D56" s="6" t="s">
        <v>200</v>
      </c>
      <c r="E56" s="8">
        <f>INDEX(Timeline!$F$3:$F$13,MATCH($B56,Timeline!$B$3:$B$13,0))</f>
        <v>46347</v>
      </c>
      <c r="F56" s="8">
        <f>INDEX(Timeline!$G$3:$G$13,MATCH($B56,Timeline!$B$3:$B$13,0))</f>
        <v>46356</v>
      </c>
      <c r="G56" s="7" t="s">
        <v>23</v>
      </c>
      <c r="H56" s="20" t="s">
        <v>78</v>
      </c>
    </row>
    <row r="57" spans="1:8" ht="12.95">
      <c r="A57" s="37" t="s">
        <v>201</v>
      </c>
      <c r="B57" s="3" t="s">
        <v>25</v>
      </c>
      <c r="C57" s="3" t="s">
        <v>197</v>
      </c>
      <c r="D57" s="3" t="s">
        <v>202</v>
      </c>
      <c r="E57" s="5">
        <f>INDEX(Timeline!$F$3:$F$13,MATCH($B57,Timeline!$B$3:$B$13,0))</f>
        <v>46347</v>
      </c>
      <c r="F57" s="5">
        <f>INDEX(Timeline!$G$3:$G$13,MATCH($B57,Timeline!$B$3:$B$13,0))</f>
        <v>46356</v>
      </c>
      <c r="G57" s="4" t="s">
        <v>23</v>
      </c>
      <c r="H57" s="19" t="s">
        <v>78</v>
      </c>
    </row>
    <row r="58" spans="1:8" ht="12.95">
      <c r="A58" s="38" t="s">
        <v>203</v>
      </c>
      <c r="B58" s="6" t="s">
        <v>25</v>
      </c>
      <c r="C58" s="6" t="s">
        <v>197</v>
      </c>
      <c r="D58" s="6" t="s">
        <v>204</v>
      </c>
      <c r="E58" s="8">
        <f>INDEX(Timeline!$F$3:$F$13,MATCH($B58,Timeline!$B$3:$B$13,0))</f>
        <v>46347</v>
      </c>
      <c r="F58" s="8">
        <f>INDEX(Timeline!$G$3:$G$13,MATCH($B58,Timeline!$B$3:$B$13,0))</f>
        <v>46356</v>
      </c>
      <c r="G58" s="7" t="s">
        <v>23</v>
      </c>
      <c r="H58" s="20" t="s">
        <v>78</v>
      </c>
    </row>
    <row r="59" spans="1:8" ht="26.1">
      <c r="A59" s="37" t="s">
        <v>205</v>
      </c>
      <c r="B59" s="3" t="s">
        <v>27</v>
      </c>
      <c r="C59" s="3" t="s">
        <v>206</v>
      </c>
      <c r="D59" s="3" t="s">
        <v>207</v>
      </c>
      <c r="E59" s="5">
        <f>INDEX(Timeline!$F$3:$F$13,MATCH($B59,Timeline!$B$3:$B$13,0))</f>
        <v>46357</v>
      </c>
      <c r="F59" s="5">
        <f>INDEX(Timeline!$G$3:$G$13,MATCH($B59,Timeline!$B$3:$B$13,0))</f>
        <v>46364</v>
      </c>
      <c r="G59" s="4" t="s">
        <v>23</v>
      </c>
      <c r="H59" s="19" t="s">
        <v>78</v>
      </c>
    </row>
    <row r="60" spans="1:8" ht="26.1">
      <c r="A60" s="38" t="s">
        <v>208</v>
      </c>
      <c r="B60" s="6" t="s">
        <v>27</v>
      </c>
      <c r="C60" s="6" t="s">
        <v>206</v>
      </c>
      <c r="D60" s="6" t="s">
        <v>209</v>
      </c>
      <c r="E60" s="8">
        <f>INDEX(Timeline!$F$3:$F$13,MATCH($B60,Timeline!$B$3:$B$13,0))</f>
        <v>46357</v>
      </c>
      <c r="F60" s="8">
        <f>INDEX(Timeline!$G$3:$G$13,MATCH($B60,Timeline!$B$3:$B$13,0))</f>
        <v>46364</v>
      </c>
      <c r="G60" s="7" t="s">
        <v>23</v>
      </c>
      <c r="H60" s="20" t="s">
        <v>78</v>
      </c>
    </row>
    <row r="61" spans="1:8" ht="12.95">
      <c r="A61" s="37" t="s">
        <v>210</v>
      </c>
      <c r="B61" s="3" t="s">
        <v>27</v>
      </c>
      <c r="C61" s="3" t="s">
        <v>206</v>
      </c>
      <c r="D61" s="3" t="s">
        <v>211</v>
      </c>
      <c r="E61" s="5">
        <f>INDEX(Timeline!$F$3:$F$13,MATCH($B61,Timeline!$B$3:$B$13,0))</f>
        <v>46357</v>
      </c>
      <c r="F61" s="5">
        <f>INDEX(Timeline!$G$3:$G$13,MATCH($B61,Timeline!$B$3:$B$13,0))</f>
        <v>46364</v>
      </c>
      <c r="G61" s="4" t="s">
        <v>23</v>
      </c>
      <c r="H61" s="19" t="s">
        <v>78</v>
      </c>
    </row>
    <row r="62" spans="1:8" ht="12.95">
      <c r="A62" s="38" t="s">
        <v>212</v>
      </c>
      <c r="B62" s="6" t="s">
        <v>29</v>
      </c>
      <c r="C62" s="6" t="s">
        <v>67</v>
      </c>
      <c r="D62" s="6" t="s">
        <v>213</v>
      </c>
      <c r="E62" s="8">
        <f>INDEX(Timeline!$F$3:$F$13,MATCH($B62,Timeline!$B$3:$B$13,0))</f>
        <v>46365</v>
      </c>
      <c r="F62" s="8">
        <f>INDEX(Timeline!$G$3:$G$13,MATCH($B62,Timeline!$B$3:$B$13,0))</f>
        <v>46370</v>
      </c>
      <c r="G62" s="7" t="s">
        <v>23</v>
      </c>
      <c r="H62" s="20" t="s">
        <v>78</v>
      </c>
    </row>
    <row r="63" spans="1:8" ht="12.95">
      <c r="A63" s="37" t="s">
        <v>214</v>
      </c>
      <c r="B63" s="3" t="s">
        <v>29</v>
      </c>
      <c r="C63" s="3" t="s">
        <v>67</v>
      </c>
      <c r="D63" s="3" t="s">
        <v>215</v>
      </c>
      <c r="E63" s="5">
        <f>INDEX(Timeline!$F$3:$F$13,MATCH($B63,Timeline!$B$3:$B$13,0))</f>
        <v>46365</v>
      </c>
      <c r="F63" s="5">
        <f>INDEX(Timeline!$G$3:$G$13,MATCH($B63,Timeline!$B$3:$B$13,0))</f>
        <v>46370</v>
      </c>
      <c r="G63" s="4" t="s">
        <v>23</v>
      </c>
      <c r="H63" s="19" t="s">
        <v>78</v>
      </c>
    </row>
    <row r="64" spans="1:8" ht="12.95">
      <c r="A64" s="38" t="s">
        <v>216</v>
      </c>
      <c r="B64" s="6" t="s">
        <v>29</v>
      </c>
      <c r="C64" s="6" t="s">
        <v>67</v>
      </c>
      <c r="D64" s="6" t="s">
        <v>217</v>
      </c>
      <c r="E64" s="8">
        <f>INDEX(Timeline!$F$3:$F$13,MATCH($B64,Timeline!$B$3:$B$13,0))</f>
        <v>46365</v>
      </c>
      <c r="F64" s="8">
        <f>INDEX(Timeline!$G$3:$G$13,MATCH($B64,Timeline!$B$3:$B$13,0))</f>
        <v>46370</v>
      </c>
      <c r="G64" s="7" t="s">
        <v>23</v>
      </c>
      <c r="H64" s="20" t="s">
        <v>78</v>
      </c>
    </row>
    <row r="65" spans="1:8" ht="12.95">
      <c r="A65" s="37" t="s">
        <v>218</v>
      </c>
      <c r="B65" s="3" t="s">
        <v>31</v>
      </c>
      <c r="C65" s="3" t="s">
        <v>219</v>
      </c>
      <c r="D65" s="3" t="s">
        <v>220</v>
      </c>
      <c r="E65" s="5">
        <f>INDEX(Timeline!$F$3:$F$13,MATCH($B65,Timeline!$B$3:$B$13,0))</f>
        <v>46371</v>
      </c>
      <c r="F65" s="5">
        <f>INDEX(Timeline!$G$3:$G$13,MATCH($B65,Timeline!$B$3:$B$13,0))</f>
        <v>46413</v>
      </c>
      <c r="G65" s="4" t="s">
        <v>9</v>
      </c>
      <c r="H65" s="19" t="s">
        <v>93</v>
      </c>
    </row>
    <row r="66" spans="1:8" ht="12.95">
      <c r="A66" s="38" t="s">
        <v>221</v>
      </c>
      <c r="B66" s="6" t="s">
        <v>31</v>
      </c>
      <c r="C66" s="6" t="s">
        <v>219</v>
      </c>
      <c r="D66" s="6" t="s">
        <v>222</v>
      </c>
      <c r="E66" s="8">
        <f>INDEX(Timeline!$F$3:$F$13,MATCH($B66,Timeline!$B$3:$B$13,0))</f>
        <v>46371</v>
      </c>
      <c r="F66" s="8">
        <f>INDEX(Timeline!$G$3:$G$13,MATCH($B66,Timeline!$B$3:$B$13,0))</f>
        <v>46413</v>
      </c>
      <c r="G66" s="7" t="s">
        <v>9</v>
      </c>
      <c r="H66" s="20" t="s">
        <v>93</v>
      </c>
    </row>
    <row r="67" spans="1:8" ht="12.95">
      <c r="A67" s="37" t="s">
        <v>223</v>
      </c>
      <c r="B67" s="3" t="s">
        <v>31</v>
      </c>
      <c r="C67" s="3" t="s">
        <v>219</v>
      </c>
      <c r="D67" s="3" t="s">
        <v>224</v>
      </c>
      <c r="E67" s="5">
        <f>INDEX(Timeline!$F$3:$F$13,MATCH($B67,Timeline!$B$3:$B$13,0))</f>
        <v>46371</v>
      </c>
      <c r="F67" s="5">
        <f>INDEX(Timeline!$G$3:$G$13,MATCH($B67,Timeline!$B$3:$B$13,0))</f>
        <v>46413</v>
      </c>
      <c r="G67" s="4" t="s">
        <v>9</v>
      </c>
      <c r="H67" s="19" t="s">
        <v>93</v>
      </c>
    </row>
    <row r="68" spans="1:8" ht="12.95">
      <c r="A68" s="39" t="s">
        <v>225</v>
      </c>
      <c r="B68" s="25" t="s">
        <v>31</v>
      </c>
      <c r="C68" s="25" t="s">
        <v>219</v>
      </c>
      <c r="D68" s="25" t="s">
        <v>226</v>
      </c>
      <c r="E68" s="40">
        <f>INDEX(Timeline!$F$3:$F$13,MATCH($B68,Timeline!$B$3:$B$13,0))</f>
        <v>46371</v>
      </c>
      <c r="F68" s="40">
        <f>INDEX(Timeline!$G$3:$G$13,MATCH($B68,Timeline!$B$3:$B$13,0))</f>
        <v>46413</v>
      </c>
      <c r="G68" s="41" t="s">
        <v>9</v>
      </c>
      <c r="H68" s="26" t="s">
        <v>93</v>
      </c>
    </row>
    <row r="70" spans="1:8">
      <c r="A70" s="35" t="s">
        <v>227</v>
      </c>
      <c r="B70" s="46" t="s">
        <v>228</v>
      </c>
      <c r="C70" s="46"/>
      <c r="D70" s="46"/>
      <c r="E70" s="46"/>
      <c r="F70" s="46"/>
      <c r="G70" s="46"/>
      <c r="H70" s="46"/>
    </row>
    <row r="71" spans="1:8" ht="12.95">
      <c r="A71" s="4" t="s">
        <v>229</v>
      </c>
      <c r="B71" s="3" t="s">
        <v>33</v>
      </c>
      <c r="C71" s="3" t="s">
        <v>230</v>
      </c>
      <c r="D71" s="3" t="s">
        <v>231</v>
      </c>
      <c r="E71" s="3" t="s">
        <v>34</v>
      </c>
      <c r="F71" s="3" t="s">
        <v>34</v>
      </c>
      <c r="G71" s="4" t="s">
        <v>9</v>
      </c>
      <c r="H71" s="3" t="s">
        <v>93</v>
      </c>
    </row>
    <row r="72" spans="1:8" ht="26.1">
      <c r="A72" s="7" t="s">
        <v>232</v>
      </c>
      <c r="B72" s="6" t="s">
        <v>33</v>
      </c>
      <c r="C72" s="6" t="s">
        <v>233</v>
      </c>
      <c r="D72" s="6" t="s">
        <v>234</v>
      </c>
      <c r="E72" s="6" t="s">
        <v>34</v>
      </c>
      <c r="F72" s="6" t="s">
        <v>34</v>
      </c>
      <c r="G72" s="7" t="s">
        <v>9</v>
      </c>
      <c r="H72" s="6" t="s">
        <v>93</v>
      </c>
    </row>
    <row r="73" spans="1:8" ht="12.95">
      <c r="A73" s="4" t="s">
        <v>235</v>
      </c>
      <c r="B73" s="3" t="s">
        <v>33</v>
      </c>
      <c r="C73" s="3" t="s">
        <v>236</v>
      </c>
      <c r="D73" s="3" t="s">
        <v>237</v>
      </c>
      <c r="E73" s="3" t="s">
        <v>34</v>
      </c>
      <c r="F73" s="3" t="s">
        <v>34</v>
      </c>
      <c r="G73" s="4" t="s">
        <v>9</v>
      </c>
      <c r="H73" s="3" t="s">
        <v>93</v>
      </c>
    </row>
    <row r="74" spans="1:8" ht="12.95">
      <c r="A74" s="7" t="s">
        <v>238</v>
      </c>
      <c r="B74" s="6" t="s">
        <v>33</v>
      </c>
      <c r="C74" s="6" t="s">
        <v>236</v>
      </c>
      <c r="D74" s="6" t="s">
        <v>239</v>
      </c>
      <c r="E74" s="6" t="s">
        <v>34</v>
      </c>
      <c r="F74" s="6" t="s">
        <v>34</v>
      </c>
      <c r="G74" s="7" t="s">
        <v>9</v>
      </c>
      <c r="H74" s="6" t="s">
        <v>93</v>
      </c>
    </row>
    <row r="75" spans="1:8" ht="12.95">
      <c r="A75" s="4" t="s">
        <v>240</v>
      </c>
      <c r="B75" s="3" t="s">
        <v>33</v>
      </c>
      <c r="C75" s="3" t="s">
        <v>236</v>
      </c>
      <c r="D75" s="3" t="s">
        <v>241</v>
      </c>
      <c r="E75" s="3" t="s">
        <v>34</v>
      </c>
      <c r="F75" s="3" t="s">
        <v>34</v>
      </c>
      <c r="G75" s="4" t="s">
        <v>9</v>
      </c>
      <c r="H75" s="3" t="s">
        <v>93</v>
      </c>
    </row>
  </sheetData>
  <mergeCells count="2">
    <mergeCell ref="A1:H1"/>
    <mergeCell ref="B70:H70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9"/>
  <sheetViews>
    <sheetView showGridLines="0" zoomScaleNormal="100" workbookViewId="0">
      <pane ySplit="5" topLeftCell="A6" activePane="bottomLeft" state="frozen"/>
      <selection pane="bottomLeft" activeCell="B2" sqref="B2"/>
    </sheetView>
  </sheetViews>
  <sheetFormatPr defaultColWidth="8.7109375" defaultRowHeight="12"/>
  <cols>
    <col min="1" max="1" width="16" style="1" customWidth="1"/>
    <col min="2" max="2" width="45" style="1" customWidth="1"/>
    <col min="3" max="16384" width="8.7109375" style="1"/>
  </cols>
  <sheetData>
    <row r="1" spans="1:2">
      <c r="A1" s="46" t="s">
        <v>242</v>
      </c>
      <c r="B1" s="46"/>
    </row>
    <row r="3" spans="1:2" ht="12.95">
      <c r="A3" s="2" t="s">
        <v>243</v>
      </c>
      <c r="B3" s="2" t="s">
        <v>244</v>
      </c>
    </row>
    <row r="4" spans="1:2">
      <c r="A4" s="42">
        <v>46244</v>
      </c>
      <c r="B4" s="43" t="s">
        <v>245</v>
      </c>
    </row>
    <row r="5" spans="1:2">
      <c r="A5" s="42">
        <v>46245</v>
      </c>
      <c r="B5" s="43" t="s">
        <v>246</v>
      </c>
    </row>
    <row r="6" spans="1:2">
      <c r="A6" s="44">
        <v>46378</v>
      </c>
      <c r="B6" s="43" t="s">
        <v>247</v>
      </c>
    </row>
    <row r="7" spans="1:2">
      <c r="A7" s="44">
        <v>46381</v>
      </c>
      <c r="B7" s="43" t="s">
        <v>248</v>
      </c>
    </row>
    <row r="8" spans="1:2">
      <c r="A8" s="44">
        <v>46382</v>
      </c>
      <c r="B8" s="43" t="s">
        <v>249</v>
      </c>
    </row>
    <row r="9" spans="1:2">
      <c r="A9" s="44"/>
      <c r="B9" s="43"/>
    </row>
    <row r="10" spans="1:2">
      <c r="A10" s="44"/>
      <c r="B10" s="43"/>
    </row>
    <row r="11" spans="1:2">
      <c r="A11" s="44"/>
      <c r="B11" s="43"/>
    </row>
    <row r="12" spans="1:2">
      <c r="A12" s="44"/>
      <c r="B12" s="43"/>
    </row>
    <row r="13" spans="1:2">
      <c r="A13" s="44"/>
      <c r="B13" s="43"/>
    </row>
    <row r="14" spans="1:2">
      <c r="A14" s="44"/>
      <c r="B14" s="43"/>
    </row>
    <row r="15" spans="1:2">
      <c r="A15" s="44"/>
      <c r="B15" s="43"/>
    </row>
    <row r="16" spans="1:2">
      <c r="A16" s="44"/>
      <c r="B16" s="43"/>
    </row>
    <row r="17" spans="1:2">
      <c r="A17" s="44"/>
      <c r="B17" s="43"/>
    </row>
    <row r="18" spans="1:2">
      <c r="A18" s="44"/>
      <c r="B18" s="43"/>
    </row>
    <row r="19" spans="1:2">
      <c r="A19" s="44"/>
      <c r="B19" s="43"/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9"/>
  <sheetViews>
    <sheetView showGridLines="0" zoomScaleNormal="100" workbookViewId="0">
      <pane ySplit="3" topLeftCell="A4" activePane="bottomLeft" state="frozen"/>
      <selection pane="bottomLeft" activeCell="G34" sqref="G34"/>
    </sheetView>
  </sheetViews>
  <sheetFormatPr defaultColWidth="8.7109375" defaultRowHeight="12"/>
  <cols>
    <col min="1" max="1" width="16" style="1" customWidth="1"/>
    <col min="2" max="2" width="45" style="1" customWidth="1"/>
    <col min="3" max="16384" width="8.7109375" style="1"/>
  </cols>
  <sheetData>
    <row r="1" spans="1:2">
      <c r="A1" s="46" t="s">
        <v>250</v>
      </c>
      <c r="B1" s="46"/>
    </row>
    <row r="2" spans="1:2" ht="12.95">
      <c r="A2" s="2" t="s">
        <v>243</v>
      </c>
      <c r="B2" s="2" t="s">
        <v>244</v>
      </c>
    </row>
    <row r="3" spans="1:2">
      <c r="A3" s="42">
        <v>46262</v>
      </c>
      <c r="B3" s="43" t="s">
        <v>251</v>
      </c>
    </row>
    <row r="4" spans="1:2">
      <c r="A4" s="42">
        <v>46297</v>
      </c>
      <c r="B4" s="43" t="s">
        <v>252</v>
      </c>
    </row>
    <row r="5" spans="1:2">
      <c r="A5" s="42">
        <v>46315</v>
      </c>
      <c r="B5" s="43" t="s">
        <v>253</v>
      </c>
    </row>
    <row r="6" spans="1:2">
      <c r="A6" s="42">
        <v>46335</v>
      </c>
      <c r="B6" s="43" t="s">
        <v>254</v>
      </c>
    </row>
    <row r="7" spans="1:2">
      <c r="A7" s="42">
        <v>46337</v>
      </c>
      <c r="B7" s="43" t="s">
        <v>255</v>
      </c>
    </row>
    <row r="8" spans="1:2">
      <c r="A8" s="42">
        <v>46350</v>
      </c>
      <c r="B8" s="43" t="s">
        <v>256</v>
      </c>
    </row>
    <row r="9" spans="1:2">
      <c r="A9" s="42">
        <v>46381</v>
      </c>
      <c r="B9" s="43" t="s">
        <v>257</v>
      </c>
    </row>
    <row r="10" spans="1:2">
      <c r="A10" s="44"/>
      <c r="B10" s="43"/>
    </row>
    <row r="11" spans="1:2">
      <c r="A11" s="44"/>
      <c r="B11" s="43"/>
    </row>
    <row r="12" spans="1:2">
      <c r="A12" s="44"/>
      <c r="B12" s="43"/>
    </row>
    <row r="13" spans="1:2">
      <c r="A13" s="44"/>
      <c r="B13" s="43"/>
    </row>
    <row r="14" spans="1:2">
      <c r="A14" s="44"/>
      <c r="B14" s="43"/>
    </row>
    <row r="15" spans="1:2">
      <c r="A15" s="44"/>
      <c r="B15" s="43"/>
    </row>
    <row r="16" spans="1:2">
      <c r="A16" s="44"/>
      <c r="B16" s="43"/>
    </row>
    <row r="17" spans="1:2">
      <c r="A17" s="44"/>
      <c r="B17" s="43"/>
    </row>
    <row r="18" spans="1:2">
      <c r="A18" s="44"/>
      <c r="B18" s="43"/>
    </row>
    <row r="19" spans="1:2">
      <c r="A19" s="44"/>
      <c r="B19" s="43"/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6"/>
  <sheetViews>
    <sheetView showGridLines="0" zoomScaleNormal="100" workbookViewId="0">
      <selection activeCell="C12" sqref="C12"/>
    </sheetView>
  </sheetViews>
  <sheetFormatPr defaultColWidth="8.7109375" defaultRowHeight="12"/>
  <cols>
    <col min="1" max="1" width="3" style="28" customWidth="1"/>
    <col min="2" max="2" width="108" style="28" customWidth="1"/>
    <col min="3" max="16384" width="8.7109375" style="28"/>
  </cols>
  <sheetData>
    <row r="2" spans="2:2" ht="15">
      <c r="B2" s="27" t="s">
        <v>258</v>
      </c>
    </row>
    <row r="3" spans="2:2">
      <c r="B3" s="29" t="s">
        <v>259</v>
      </c>
    </row>
    <row r="5" spans="2:2">
      <c r="B5" s="30" t="s">
        <v>260</v>
      </c>
    </row>
    <row r="6" spans="2:2" ht="12.95">
      <c r="B6" s="31" t="s">
        <v>261</v>
      </c>
    </row>
    <row r="7" spans="2:2" ht="12.95">
      <c r="B7" s="31" t="s">
        <v>262</v>
      </c>
    </row>
    <row r="8" spans="2:2" ht="12.95">
      <c r="B8" s="31" t="s">
        <v>263</v>
      </c>
    </row>
    <row r="9" spans="2:2" ht="12.95">
      <c r="B9" s="31" t="s">
        <v>264</v>
      </c>
    </row>
    <row r="11" spans="2:2">
      <c r="B11" s="30" t="s">
        <v>265</v>
      </c>
    </row>
    <row r="12" spans="2:2" ht="12.95">
      <c r="B12" s="31" t="s">
        <v>266</v>
      </c>
    </row>
    <row r="13" spans="2:2" ht="12.95">
      <c r="B13" s="31" t="s">
        <v>267</v>
      </c>
    </row>
    <row r="14" spans="2:2" ht="12.95">
      <c r="B14" s="31" t="s">
        <v>268</v>
      </c>
    </row>
    <row r="15" spans="2:2" ht="12.95">
      <c r="B15" s="31" t="s">
        <v>269</v>
      </c>
    </row>
    <row r="17" spans="2:2">
      <c r="B17" s="30" t="s">
        <v>270</v>
      </c>
    </row>
    <row r="18" spans="2:2" ht="12.95">
      <c r="B18" s="31" t="s">
        <v>271</v>
      </c>
    </row>
    <row r="19" spans="2:2" ht="12.95">
      <c r="B19" s="31" t="s">
        <v>272</v>
      </c>
    </row>
    <row r="20" spans="2:2" ht="12.95">
      <c r="B20" s="31" t="s">
        <v>273</v>
      </c>
    </row>
    <row r="21" spans="2:2" ht="12.95">
      <c r="B21" s="31" t="s">
        <v>274</v>
      </c>
    </row>
    <row r="22" spans="2:2" ht="12.95">
      <c r="B22" s="31" t="s">
        <v>275</v>
      </c>
    </row>
    <row r="23" spans="2:2" ht="12.95">
      <c r="B23" s="31" t="s">
        <v>276</v>
      </c>
    </row>
    <row r="25" spans="2:2">
      <c r="B25" s="30" t="s">
        <v>277</v>
      </c>
    </row>
    <row r="26" spans="2:2" ht="26.1">
      <c r="B26" s="31" t="s">
        <v>278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</sheetPr>
  <dimension ref="A1:J424"/>
  <sheetViews>
    <sheetView showGridLines="0" zoomScaleNormal="100" workbookViewId="0">
      <pane ySplit="4" topLeftCell="A393" activePane="bottomLeft" state="frozen"/>
      <selection pane="bottomLeft" activeCell="E411" sqref="E411"/>
    </sheetView>
  </sheetViews>
  <sheetFormatPr defaultColWidth="32.85546875" defaultRowHeight="12"/>
  <cols>
    <col min="1" max="1" width="9.7109375" style="1" bestFit="1" customWidth="1"/>
    <col min="2" max="2" width="3.85546875" style="1" bestFit="1" customWidth="1"/>
    <col min="3" max="3" width="9.140625" style="1" bestFit="1" customWidth="1"/>
    <col min="4" max="4" width="8.140625" style="1" bestFit="1" customWidth="1"/>
    <col min="5" max="5" width="12.85546875" style="1" customWidth="1"/>
    <col min="6" max="6" width="14.28515625" style="1" customWidth="1"/>
    <col min="7" max="7" width="19.140625" style="1" customWidth="1"/>
    <col min="8" max="8" width="17.42578125" style="1" customWidth="1"/>
    <col min="9" max="9" width="16.28515625" style="1" customWidth="1"/>
    <col min="10" max="10" width="16.42578125" style="1" customWidth="1"/>
    <col min="11" max="16384" width="32.85546875" style="1"/>
  </cols>
  <sheetData>
    <row r="1" spans="1:10">
      <c r="A1" s="46" t="s">
        <v>279</v>
      </c>
      <c r="B1" s="46"/>
      <c r="C1" s="46"/>
      <c r="D1" s="46"/>
      <c r="E1" s="46"/>
      <c r="F1" s="46"/>
      <c r="G1" s="46"/>
      <c r="H1" s="46"/>
      <c r="I1" s="46"/>
      <c r="J1" s="46"/>
    </row>
    <row r="2" spans="1:10">
      <c r="A2" s="47" t="s">
        <v>280</v>
      </c>
      <c r="B2" s="47"/>
      <c r="C2" s="47"/>
      <c r="D2" s="47"/>
      <c r="E2" s="47"/>
      <c r="F2" s="47"/>
      <c r="G2" s="47"/>
      <c r="H2" s="47"/>
      <c r="I2" s="47"/>
      <c r="J2" s="47"/>
    </row>
    <row r="4" spans="1:10" ht="26.1">
      <c r="A4" s="34" t="s">
        <v>243</v>
      </c>
      <c r="B4" s="34" t="s">
        <v>281</v>
      </c>
      <c r="C4" s="34" t="s">
        <v>282</v>
      </c>
      <c r="D4" s="34" t="s">
        <v>283</v>
      </c>
      <c r="E4" s="34" t="s">
        <v>284</v>
      </c>
      <c r="F4" s="34" t="s">
        <v>285</v>
      </c>
      <c r="G4" s="34" t="s">
        <v>286</v>
      </c>
      <c r="H4" s="34" t="s">
        <v>287</v>
      </c>
      <c r="I4" s="34" t="s">
        <v>288</v>
      </c>
      <c r="J4" s="34" t="s">
        <v>289</v>
      </c>
    </row>
    <row r="5" spans="1:10">
      <c r="A5" s="32">
        <v>46218</v>
      </c>
      <c r="B5" s="33" t="str">
        <f t="shared" ref="B5:B68" si="0">TEXT(A5,"ddd")</f>
        <v>Wed</v>
      </c>
      <c r="C5" s="33">
        <f t="shared" ref="C5:C68" si="1">IF(WEEKDAY(A5,2)=6,1,0)</f>
        <v>0</v>
      </c>
      <c r="D5" s="33">
        <f t="shared" ref="D5:D68" si="2">IF(WEEKDAY(A5,2)=7,1,0)</f>
        <v>0</v>
      </c>
      <c r="E5" s="33">
        <f>IF(COUNTIF(holidays!$A:$A,A5)&gt;0,1,0)</f>
        <v>0</v>
      </c>
      <c r="F5" s="33">
        <f>IF(COUNTIF('Prudence Holidays'!$A:$A,A5)&gt;0,1,0)</f>
        <v>0</v>
      </c>
      <c r="G5" s="33">
        <f t="shared" ref="G5:G68" si="3">IF(OR(D5=1,E5=1),0,1)</f>
        <v>1</v>
      </c>
      <c r="H5" s="33">
        <f t="shared" ref="H5:H68" si="4">IF(OR(C5=1,D5=1,F5=1),0,1)</f>
        <v>1</v>
      </c>
      <c r="I5" s="33">
        <f>G5</f>
        <v>1</v>
      </c>
      <c r="J5" s="33">
        <f>H5</f>
        <v>1</v>
      </c>
    </row>
    <row r="6" spans="1:10">
      <c r="A6" s="32">
        <f t="shared" ref="A6:A69" si="5">A5+1</f>
        <v>46219</v>
      </c>
      <c r="B6" s="33" t="str">
        <f t="shared" si="0"/>
        <v>Thu</v>
      </c>
      <c r="C6" s="33">
        <f t="shared" si="1"/>
        <v>0</v>
      </c>
      <c r="D6" s="33">
        <f t="shared" si="2"/>
        <v>0</v>
      </c>
      <c r="E6" s="33">
        <f>IF(COUNTIF(holidays!$A:$A,A6)&gt;0,1,0)</f>
        <v>0</v>
      </c>
      <c r="F6" s="33">
        <f>IF(COUNTIF('Prudence Holidays'!$A:$A,A6)&gt;0,1,0)</f>
        <v>0</v>
      </c>
      <c r="G6" s="33">
        <f t="shared" si="3"/>
        <v>1</v>
      </c>
      <c r="H6" s="33">
        <f t="shared" si="4"/>
        <v>1</v>
      </c>
      <c r="I6" s="33">
        <f t="shared" ref="I6:I69" si="6">I5+G6</f>
        <v>2</v>
      </c>
      <c r="J6" s="33">
        <f t="shared" ref="J6:J69" si="7">J5+H6</f>
        <v>2</v>
      </c>
    </row>
    <row r="7" spans="1:10">
      <c r="A7" s="32">
        <f t="shared" si="5"/>
        <v>46220</v>
      </c>
      <c r="B7" s="33" t="str">
        <f t="shared" si="0"/>
        <v>Fri</v>
      </c>
      <c r="C7" s="33">
        <f t="shared" si="1"/>
        <v>0</v>
      </c>
      <c r="D7" s="33">
        <f t="shared" si="2"/>
        <v>0</v>
      </c>
      <c r="E7" s="33">
        <f>IF(COUNTIF(holidays!$A:$A,A7)&gt;0,1,0)</f>
        <v>0</v>
      </c>
      <c r="F7" s="33">
        <f>IF(COUNTIF('Prudence Holidays'!$A:$A,A7)&gt;0,1,0)</f>
        <v>0</v>
      </c>
      <c r="G7" s="33">
        <f t="shared" si="3"/>
        <v>1</v>
      </c>
      <c r="H7" s="33">
        <f t="shared" si="4"/>
        <v>1</v>
      </c>
      <c r="I7" s="33">
        <f t="shared" si="6"/>
        <v>3</v>
      </c>
      <c r="J7" s="33">
        <f t="shared" si="7"/>
        <v>3</v>
      </c>
    </row>
    <row r="8" spans="1:10">
      <c r="A8" s="32">
        <f t="shared" si="5"/>
        <v>46221</v>
      </c>
      <c r="B8" s="33" t="str">
        <f t="shared" si="0"/>
        <v>Sat</v>
      </c>
      <c r="C8" s="33">
        <f t="shared" si="1"/>
        <v>1</v>
      </c>
      <c r="D8" s="33">
        <f t="shared" si="2"/>
        <v>0</v>
      </c>
      <c r="E8" s="33">
        <f>IF(COUNTIF(holidays!$A:$A,A8)&gt;0,1,0)</f>
        <v>0</v>
      </c>
      <c r="F8" s="33">
        <f>IF(COUNTIF('Prudence Holidays'!$A:$A,A8)&gt;0,1,0)</f>
        <v>0</v>
      </c>
      <c r="G8" s="33">
        <f t="shared" si="3"/>
        <v>1</v>
      </c>
      <c r="H8" s="33">
        <f t="shared" si="4"/>
        <v>0</v>
      </c>
      <c r="I8" s="33">
        <f t="shared" si="6"/>
        <v>4</v>
      </c>
      <c r="J8" s="33">
        <f t="shared" si="7"/>
        <v>3</v>
      </c>
    </row>
    <row r="9" spans="1:10">
      <c r="A9" s="32">
        <f t="shared" si="5"/>
        <v>46222</v>
      </c>
      <c r="B9" s="33" t="str">
        <f t="shared" si="0"/>
        <v>Sun</v>
      </c>
      <c r="C9" s="33">
        <f t="shared" si="1"/>
        <v>0</v>
      </c>
      <c r="D9" s="33">
        <f t="shared" si="2"/>
        <v>1</v>
      </c>
      <c r="E9" s="33">
        <f>IF(COUNTIF(holidays!$A:$A,A9)&gt;0,1,0)</f>
        <v>0</v>
      </c>
      <c r="F9" s="33">
        <f>IF(COUNTIF('Prudence Holidays'!$A:$A,A9)&gt;0,1,0)</f>
        <v>0</v>
      </c>
      <c r="G9" s="33">
        <f t="shared" si="3"/>
        <v>0</v>
      </c>
      <c r="H9" s="33">
        <f t="shared" si="4"/>
        <v>0</v>
      </c>
      <c r="I9" s="33">
        <f t="shared" si="6"/>
        <v>4</v>
      </c>
      <c r="J9" s="33">
        <f t="shared" si="7"/>
        <v>3</v>
      </c>
    </row>
    <row r="10" spans="1:10">
      <c r="A10" s="32">
        <f t="shared" si="5"/>
        <v>46223</v>
      </c>
      <c r="B10" s="33" t="str">
        <f t="shared" si="0"/>
        <v>Mon</v>
      </c>
      <c r="C10" s="33">
        <f t="shared" si="1"/>
        <v>0</v>
      </c>
      <c r="D10" s="33">
        <f t="shared" si="2"/>
        <v>0</v>
      </c>
      <c r="E10" s="33">
        <f>IF(COUNTIF(holidays!$A:$A,A10)&gt;0,1,0)</f>
        <v>0</v>
      </c>
      <c r="F10" s="33">
        <f>IF(COUNTIF('Prudence Holidays'!$A:$A,A10)&gt;0,1,0)</f>
        <v>0</v>
      </c>
      <c r="G10" s="33">
        <f t="shared" si="3"/>
        <v>1</v>
      </c>
      <c r="H10" s="33">
        <f t="shared" si="4"/>
        <v>1</v>
      </c>
      <c r="I10" s="33">
        <f t="shared" si="6"/>
        <v>5</v>
      </c>
      <c r="J10" s="33">
        <f t="shared" si="7"/>
        <v>4</v>
      </c>
    </row>
    <row r="11" spans="1:10">
      <c r="A11" s="32">
        <f t="shared" si="5"/>
        <v>46224</v>
      </c>
      <c r="B11" s="33" t="str">
        <f t="shared" si="0"/>
        <v>Tue</v>
      </c>
      <c r="C11" s="33">
        <f t="shared" si="1"/>
        <v>0</v>
      </c>
      <c r="D11" s="33">
        <f t="shared" si="2"/>
        <v>0</v>
      </c>
      <c r="E11" s="33">
        <f>IF(COUNTIF(holidays!$A:$A,A11)&gt;0,1,0)</f>
        <v>0</v>
      </c>
      <c r="F11" s="33">
        <f>IF(COUNTIF('Prudence Holidays'!$A:$A,A11)&gt;0,1,0)</f>
        <v>0</v>
      </c>
      <c r="G11" s="33">
        <f t="shared" si="3"/>
        <v>1</v>
      </c>
      <c r="H11" s="33">
        <f t="shared" si="4"/>
        <v>1</v>
      </c>
      <c r="I11" s="33">
        <f t="shared" si="6"/>
        <v>6</v>
      </c>
      <c r="J11" s="33">
        <f t="shared" si="7"/>
        <v>5</v>
      </c>
    </row>
    <row r="12" spans="1:10">
      <c r="A12" s="32">
        <f t="shared" si="5"/>
        <v>46225</v>
      </c>
      <c r="B12" s="33" t="str">
        <f t="shared" si="0"/>
        <v>Wed</v>
      </c>
      <c r="C12" s="33">
        <f t="shared" si="1"/>
        <v>0</v>
      </c>
      <c r="D12" s="33">
        <f t="shared" si="2"/>
        <v>0</v>
      </c>
      <c r="E12" s="33">
        <f>IF(COUNTIF(holidays!$A:$A,A12)&gt;0,1,0)</f>
        <v>0</v>
      </c>
      <c r="F12" s="33">
        <f>IF(COUNTIF('Prudence Holidays'!$A:$A,A12)&gt;0,1,0)</f>
        <v>0</v>
      </c>
      <c r="G12" s="33">
        <f t="shared" si="3"/>
        <v>1</v>
      </c>
      <c r="H12" s="33">
        <f t="shared" si="4"/>
        <v>1</v>
      </c>
      <c r="I12" s="33">
        <f t="shared" si="6"/>
        <v>7</v>
      </c>
      <c r="J12" s="33">
        <f t="shared" si="7"/>
        <v>6</v>
      </c>
    </row>
    <row r="13" spans="1:10">
      <c r="A13" s="32">
        <f t="shared" si="5"/>
        <v>46226</v>
      </c>
      <c r="B13" s="33" t="str">
        <f t="shared" si="0"/>
        <v>Thu</v>
      </c>
      <c r="C13" s="33">
        <f t="shared" si="1"/>
        <v>0</v>
      </c>
      <c r="D13" s="33">
        <f t="shared" si="2"/>
        <v>0</v>
      </c>
      <c r="E13" s="33">
        <f>IF(COUNTIF(holidays!$A:$A,A13)&gt;0,1,0)</f>
        <v>0</v>
      </c>
      <c r="F13" s="33">
        <f>IF(COUNTIF('Prudence Holidays'!$A:$A,A13)&gt;0,1,0)</f>
        <v>0</v>
      </c>
      <c r="G13" s="33">
        <f t="shared" si="3"/>
        <v>1</v>
      </c>
      <c r="H13" s="33">
        <f t="shared" si="4"/>
        <v>1</v>
      </c>
      <c r="I13" s="33">
        <f t="shared" si="6"/>
        <v>8</v>
      </c>
      <c r="J13" s="33">
        <f t="shared" si="7"/>
        <v>7</v>
      </c>
    </row>
    <row r="14" spans="1:10">
      <c r="A14" s="32">
        <f t="shared" si="5"/>
        <v>46227</v>
      </c>
      <c r="B14" s="33" t="str">
        <f t="shared" si="0"/>
        <v>Fri</v>
      </c>
      <c r="C14" s="33">
        <f t="shared" si="1"/>
        <v>0</v>
      </c>
      <c r="D14" s="33">
        <f t="shared" si="2"/>
        <v>0</v>
      </c>
      <c r="E14" s="33">
        <f>IF(COUNTIF(holidays!$A:$A,A14)&gt;0,1,0)</f>
        <v>0</v>
      </c>
      <c r="F14" s="33">
        <f>IF(COUNTIF('Prudence Holidays'!$A:$A,A14)&gt;0,1,0)</f>
        <v>0</v>
      </c>
      <c r="G14" s="33">
        <f t="shared" si="3"/>
        <v>1</v>
      </c>
      <c r="H14" s="33">
        <f t="shared" si="4"/>
        <v>1</v>
      </c>
      <c r="I14" s="33">
        <f t="shared" si="6"/>
        <v>9</v>
      </c>
      <c r="J14" s="33">
        <f t="shared" si="7"/>
        <v>8</v>
      </c>
    </row>
    <row r="15" spans="1:10">
      <c r="A15" s="32">
        <f t="shared" si="5"/>
        <v>46228</v>
      </c>
      <c r="B15" s="33" t="str">
        <f t="shared" si="0"/>
        <v>Sat</v>
      </c>
      <c r="C15" s="33">
        <f t="shared" si="1"/>
        <v>1</v>
      </c>
      <c r="D15" s="33">
        <f t="shared" si="2"/>
        <v>0</v>
      </c>
      <c r="E15" s="33">
        <f>IF(COUNTIF(holidays!$A:$A,A15)&gt;0,1,0)</f>
        <v>0</v>
      </c>
      <c r="F15" s="33">
        <f>IF(COUNTIF('Prudence Holidays'!$A:$A,A15)&gt;0,1,0)</f>
        <v>0</v>
      </c>
      <c r="G15" s="33">
        <f t="shared" si="3"/>
        <v>1</v>
      </c>
      <c r="H15" s="33">
        <f t="shared" si="4"/>
        <v>0</v>
      </c>
      <c r="I15" s="33">
        <f t="shared" si="6"/>
        <v>10</v>
      </c>
      <c r="J15" s="33">
        <f t="shared" si="7"/>
        <v>8</v>
      </c>
    </row>
    <row r="16" spans="1:10">
      <c r="A16" s="32">
        <f t="shared" si="5"/>
        <v>46229</v>
      </c>
      <c r="B16" s="33" t="str">
        <f t="shared" si="0"/>
        <v>Sun</v>
      </c>
      <c r="C16" s="33">
        <f t="shared" si="1"/>
        <v>0</v>
      </c>
      <c r="D16" s="33">
        <f t="shared" si="2"/>
        <v>1</v>
      </c>
      <c r="E16" s="33">
        <f>IF(COUNTIF(holidays!$A:$A,A16)&gt;0,1,0)</f>
        <v>0</v>
      </c>
      <c r="F16" s="33">
        <f>IF(COUNTIF('Prudence Holidays'!$A:$A,A16)&gt;0,1,0)</f>
        <v>0</v>
      </c>
      <c r="G16" s="33">
        <f t="shared" si="3"/>
        <v>0</v>
      </c>
      <c r="H16" s="33">
        <f t="shared" si="4"/>
        <v>0</v>
      </c>
      <c r="I16" s="33">
        <f t="shared" si="6"/>
        <v>10</v>
      </c>
      <c r="J16" s="33">
        <f t="shared" si="7"/>
        <v>8</v>
      </c>
    </row>
    <row r="17" spans="1:10">
      <c r="A17" s="32">
        <f t="shared" si="5"/>
        <v>46230</v>
      </c>
      <c r="B17" s="33" t="str">
        <f t="shared" si="0"/>
        <v>Mon</v>
      </c>
      <c r="C17" s="33">
        <f t="shared" si="1"/>
        <v>0</v>
      </c>
      <c r="D17" s="33">
        <f t="shared" si="2"/>
        <v>0</v>
      </c>
      <c r="E17" s="33">
        <f>IF(COUNTIF(holidays!$A:$A,A17)&gt;0,1,0)</f>
        <v>0</v>
      </c>
      <c r="F17" s="33">
        <f>IF(COUNTIF('Prudence Holidays'!$A:$A,A17)&gt;0,1,0)</f>
        <v>0</v>
      </c>
      <c r="G17" s="33">
        <f t="shared" si="3"/>
        <v>1</v>
      </c>
      <c r="H17" s="33">
        <f t="shared" si="4"/>
        <v>1</v>
      </c>
      <c r="I17" s="33">
        <f t="shared" si="6"/>
        <v>11</v>
      </c>
      <c r="J17" s="33">
        <f t="shared" si="7"/>
        <v>9</v>
      </c>
    </row>
    <row r="18" spans="1:10">
      <c r="A18" s="32">
        <f t="shared" si="5"/>
        <v>46231</v>
      </c>
      <c r="B18" s="33" t="str">
        <f t="shared" si="0"/>
        <v>Tue</v>
      </c>
      <c r="C18" s="33">
        <f t="shared" si="1"/>
        <v>0</v>
      </c>
      <c r="D18" s="33">
        <f t="shared" si="2"/>
        <v>0</v>
      </c>
      <c r="E18" s="33">
        <f>IF(COUNTIF(holidays!$A:$A,A18)&gt;0,1,0)</f>
        <v>0</v>
      </c>
      <c r="F18" s="33">
        <f>IF(COUNTIF('Prudence Holidays'!$A:$A,A18)&gt;0,1,0)</f>
        <v>0</v>
      </c>
      <c r="G18" s="33">
        <f t="shared" si="3"/>
        <v>1</v>
      </c>
      <c r="H18" s="33">
        <f t="shared" si="4"/>
        <v>1</v>
      </c>
      <c r="I18" s="33">
        <f t="shared" si="6"/>
        <v>12</v>
      </c>
      <c r="J18" s="33">
        <f t="shared" si="7"/>
        <v>10</v>
      </c>
    </row>
    <row r="19" spans="1:10">
      <c r="A19" s="32">
        <f t="shared" si="5"/>
        <v>46232</v>
      </c>
      <c r="B19" s="33" t="str">
        <f t="shared" si="0"/>
        <v>Wed</v>
      </c>
      <c r="C19" s="33">
        <f t="shared" si="1"/>
        <v>0</v>
      </c>
      <c r="D19" s="33">
        <f t="shared" si="2"/>
        <v>0</v>
      </c>
      <c r="E19" s="33">
        <f>IF(COUNTIF(holidays!$A:$A,A19)&gt;0,1,0)</f>
        <v>0</v>
      </c>
      <c r="F19" s="33">
        <f>IF(COUNTIF('Prudence Holidays'!$A:$A,A19)&gt;0,1,0)</f>
        <v>0</v>
      </c>
      <c r="G19" s="33">
        <f t="shared" si="3"/>
        <v>1</v>
      </c>
      <c r="H19" s="33">
        <f t="shared" si="4"/>
        <v>1</v>
      </c>
      <c r="I19" s="33">
        <f t="shared" si="6"/>
        <v>13</v>
      </c>
      <c r="J19" s="33">
        <f t="shared" si="7"/>
        <v>11</v>
      </c>
    </row>
    <row r="20" spans="1:10">
      <c r="A20" s="32">
        <f t="shared" si="5"/>
        <v>46233</v>
      </c>
      <c r="B20" s="33" t="str">
        <f t="shared" si="0"/>
        <v>Thu</v>
      </c>
      <c r="C20" s="33">
        <f t="shared" si="1"/>
        <v>0</v>
      </c>
      <c r="D20" s="33">
        <f t="shared" si="2"/>
        <v>0</v>
      </c>
      <c r="E20" s="33">
        <f>IF(COUNTIF(holidays!$A:$A,A20)&gt;0,1,0)</f>
        <v>0</v>
      </c>
      <c r="F20" s="33">
        <f>IF(COUNTIF('Prudence Holidays'!$A:$A,A20)&gt;0,1,0)</f>
        <v>0</v>
      </c>
      <c r="G20" s="33">
        <f t="shared" si="3"/>
        <v>1</v>
      </c>
      <c r="H20" s="33">
        <f t="shared" si="4"/>
        <v>1</v>
      </c>
      <c r="I20" s="33">
        <f t="shared" si="6"/>
        <v>14</v>
      </c>
      <c r="J20" s="33">
        <f t="shared" si="7"/>
        <v>12</v>
      </c>
    </row>
    <row r="21" spans="1:10">
      <c r="A21" s="32">
        <f t="shared" si="5"/>
        <v>46234</v>
      </c>
      <c r="B21" s="33" t="str">
        <f t="shared" si="0"/>
        <v>Fri</v>
      </c>
      <c r="C21" s="33">
        <f t="shared" si="1"/>
        <v>0</v>
      </c>
      <c r="D21" s="33">
        <f t="shared" si="2"/>
        <v>0</v>
      </c>
      <c r="E21" s="33">
        <f>IF(COUNTIF(holidays!$A:$A,A21)&gt;0,1,0)</f>
        <v>0</v>
      </c>
      <c r="F21" s="33">
        <f>IF(COUNTIF('Prudence Holidays'!$A:$A,A21)&gt;0,1,0)</f>
        <v>0</v>
      </c>
      <c r="G21" s="33">
        <f t="shared" si="3"/>
        <v>1</v>
      </c>
      <c r="H21" s="33">
        <f t="shared" si="4"/>
        <v>1</v>
      </c>
      <c r="I21" s="33">
        <f t="shared" si="6"/>
        <v>15</v>
      </c>
      <c r="J21" s="33">
        <f t="shared" si="7"/>
        <v>13</v>
      </c>
    </row>
    <row r="22" spans="1:10">
      <c r="A22" s="32">
        <f t="shared" si="5"/>
        <v>46235</v>
      </c>
      <c r="B22" s="33" t="str">
        <f t="shared" si="0"/>
        <v>Sat</v>
      </c>
      <c r="C22" s="33">
        <f t="shared" si="1"/>
        <v>1</v>
      </c>
      <c r="D22" s="33">
        <f t="shared" si="2"/>
        <v>0</v>
      </c>
      <c r="E22" s="33">
        <f>IF(COUNTIF(holidays!$A:$A,A22)&gt;0,1,0)</f>
        <v>0</v>
      </c>
      <c r="F22" s="33">
        <f>IF(COUNTIF('Prudence Holidays'!$A:$A,A22)&gt;0,1,0)</f>
        <v>0</v>
      </c>
      <c r="G22" s="33">
        <f t="shared" si="3"/>
        <v>1</v>
      </c>
      <c r="H22" s="33">
        <f t="shared" si="4"/>
        <v>0</v>
      </c>
      <c r="I22" s="33">
        <f t="shared" si="6"/>
        <v>16</v>
      </c>
      <c r="J22" s="33">
        <f t="shared" si="7"/>
        <v>13</v>
      </c>
    </row>
    <row r="23" spans="1:10">
      <c r="A23" s="32">
        <f t="shared" si="5"/>
        <v>46236</v>
      </c>
      <c r="B23" s="33" t="str">
        <f t="shared" si="0"/>
        <v>Sun</v>
      </c>
      <c r="C23" s="33">
        <f t="shared" si="1"/>
        <v>0</v>
      </c>
      <c r="D23" s="33">
        <f t="shared" si="2"/>
        <v>1</v>
      </c>
      <c r="E23" s="33">
        <f>IF(COUNTIF(holidays!$A:$A,A23)&gt;0,1,0)</f>
        <v>0</v>
      </c>
      <c r="F23" s="33">
        <f>IF(COUNTIF('Prudence Holidays'!$A:$A,A23)&gt;0,1,0)</f>
        <v>0</v>
      </c>
      <c r="G23" s="33">
        <f t="shared" si="3"/>
        <v>0</v>
      </c>
      <c r="H23" s="33">
        <f t="shared" si="4"/>
        <v>0</v>
      </c>
      <c r="I23" s="33">
        <f t="shared" si="6"/>
        <v>16</v>
      </c>
      <c r="J23" s="33">
        <f t="shared" si="7"/>
        <v>13</v>
      </c>
    </row>
    <row r="24" spans="1:10">
      <c r="A24" s="32">
        <f t="shared" si="5"/>
        <v>46237</v>
      </c>
      <c r="B24" s="33" t="str">
        <f t="shared" si="0"/>
        <v>Mon</v>
      </c>
      <c r="C24" s="33">
        <f t="shared" si="1"/>
        <v>0</v>
      </c>
      <c r="D24" s="33">
        <f t="shared" si="2"/>
        <v>0</v>
      </c>
      <c r="E24" s="33">
        <f>IF(COUNTIF(holidays!$A:$A,A24)&gt;0,1,0)</f>
        <v>0</v>
      </c>
      <c r="F24" s="33">
        <f>IF(COUNTIF('Prudence Holidays'!$A:$A,A24)&gt;0,1,0)</f>
        <v>0</v>
      </c>
      <c r="G24" s="33">
        <f t="shared" si="3"/>
        <v>1</v>
      </c>
      <c r="H24" s="33">
        <f t="shared" si="4"/>
        <v>1</v>
      </c>
      <c r="I24" s="33">
        <f t="shared" si="6"/>
        <v>17</v>
      </c>
      <c r="J24" s="33">
        <f t="shared" si="7"/>
        <v>14</v>
      </c>
    </row>
    <row r="25" spans="1:10">
      <c r="A25" s="32">
        <f t="shared" si="5"/>
        <v>46238</v>
      </c>
      <c r="B25" s="33" t="str">
        <f t="shared" si="0"/>
        <v>Tue</v>
      </c>
      <c r="C25" s="33">
        <f t="shared" si="1"/>
        <v>0</v>
      </c>
      <c r="D25" s="33">
        <f t="shared" si="2"/>
        <v>0</v>
      </c>
      <c r="E25" s="33">
        <f>IF(COUNTIF(holidays!$A:$A,A25)&gt;0,1,0)</f>
        <v>0</v>
      </c>
      <c r="F25" s="33">
        <f>IF(COUNTIF('Prudence Holidays'!$A:$A,A25)&gt;0,1,0)</f>
        <v>0</v>
      </c>
      <c r="G25" s="33">
        <f t="shared" si="3"/>
        <v>1</v>
      </c>
      <c r="H25" s="33">
        <f t="shared" si="4"/>
        <v>1</v>
      </c>
      <c r="I25" s="33">
        <f t="shared" si="6"/>
        <v>18</v>
      </c>
      <c r="J25" s="33">
        <f t="shared" si="7"/>
        <v>15</v>
      </c>
    </row>
    <row r="26" spans="1:10">
      <c r="A26" s="32">
        <f t="shared" si="5"/>
        <v>46239</v>
      </c>
      <c r="B26" s="33" t="str">
        <f t="shared" si="0"/>
        <v>Wed</v>
      </c>
      <c r="C26" s="33">
        <f t="shared" si="1"/>
        <v>0</v>
      </c>
      <c r="D26" s="33">
        <f t="shared" si="2"/>
        <v>0</v>
      </c>
      <c r="E26" s="33">
        <f>IF(COUNTIF(holidays!$A:$A,A26)&gt;0,1,0)</f>
        <v>0</v>
      </c>
      <c r="F26" s="33">
        <f>IF(COUNTIF('Prudence Holidays'!$A:$A,A26)&gt;0,1,0)</f>
        <v>0</v>
      </c>
      <c r="G26" s="33">
        <f t="shared" si="3"/>
        <v>1</v>
      </c>
      <c r="H26" s="33">
        <f t="shared" si="4"/>
        <v>1</v>
      </c>
      <c r="I26" s="33">
        <f t="shared" si="6"/>
        <v>19</v>
      </c>
      <c r="J26" s="33">
        <f t="shared" si="7"/>
        <v>16</v>
      </c>
    </row>
    <row r="27" spans="1:10">
      <c r="A27" s="32">
        <f t="shared" si="5"/>
        <v>46240</v>
      </c>
      <c r="B27" s="33" t="str">
        <f t="shared" si="0"/>
        <v>Thu</v>
      </c>
      <c r="C27" s="33">
        <f t="shared" si="1"/>
        <v>0</v>
      </c>
      <c r="D27" s="33">
        <f t="shared" si="2"/>
        <v>0</v>
      </c>
      <c r="E27" s="33">
        <f>IF(COUNTIF(holidays!$A:$A,A27)&gt;0,1,0)</f>
        <v>0</v>
      </c>
      <c r="F27" s="33">
        <f>IF(COUNTIF('Prudence Holidays'!$A:$A,A27)&gt;0,1,0)</f>
        <v>0</v>
      </c>
      <c r="G27" s="33">
        <f t="shared" si="3"/>
        <v>1</v>
      </c>
      <c r="H27" s="33">
        <f t="shared" si="4"/>
        <v>1</v>
      </c>
      <c r="I27" s="33">
        <f t="shared" si="6"/>
        <v>20</v>
      </c>
      <c r="J27" s="33">
        <f t="shared" si="7"/>
        <v>17</v>
      </c>
    </row>
    <row r="28" spans="1:10">
      <c r="A28" s="32">
        <f t="shared" si="5"/>
        <v>46241</v>
      </c>
      <c r="B28" s="33" t="str">
        <f t="shared" si="0"/>
        <v>Fri</v>
      </c>
      <c r="C28" s="33">
        <f t="shared" si="1"/>
        <v>0</v>
      </c>
      <c r="D28" s="33">
        <f t="shared" si="2"/>
        <v>0</v>
      </c>
      <c r="E28" s="33">
        <f>IF(COUNTIF(holidays!$A:$A,A28)&gt;0,1,0)</f>
        <v>0</v>
      </c>
      <c r="F28" s="33">
        <f>IF(COUNTIF('Prudence Holidays'!$A:$A,A28)&gt;0,1,0)</f>
        <v>0</v>
      </c>
      <c r="G28" s="33">
        <f t="shared" si="3"/>
        <v>1</v>
      </c>
      <c r="H28" s="33">
        <f t="shared" si="4"/>
        <v>1</v>
      </c>
      <c r="I28" s="33">
        <f t="shared" si="6"/>
        <v>21</v>
      </c>
      <c r="J28" s="33">
        <f t="shared" si="7"/>
        <v>18</v>
      </c>
    </row>
    <row r="29" spans="1:10">
      <c r="A29" s="32">
        <f t="shared" si="5"/>
        <v>46242</v>
      </c>
      <c r="B29" s="33" t="str">
        <f t="shared" si="0"/>
        <v>Sat</v>
      </c>
      <c r="C29" s="33">
        <f t="shared" si="1"/>
        <v>1</v>
      </c>
      <c r="D29" s="33">
        <f t="shared" si="2"/>
        <v>0</v>
      </c>
      <c r="E29" s="33">
        <f>IF(COUNTIF(holidays!$A:$A,A29)&gt;0,1,0)</f>
        <v>0</v>
      </c>
      <c r="F29" s="33">
        <f>IF(COUNTIF('Prudence Holidays'!$A:$A,A29)&gt;0,1,0)</f>
        <v>0</v>
      </c>
      <c r="G29" s="33">
        <f t="shared" si="3"/>
        <v>1</v>
      </c>
      <c r="H29" s="33">
        <f t="shared" si="4"/>
        <v>0</v>
      </c>
      <c r="I29" s="33">
        <f t="shared" si="6"/>
        <v>22</v>
      </c>
      <c r="J29" s="33">
        <f t="shared" si="7"/>
        <v>18</v>
      </c>
    </row>
    <row r="30" spans="1:10">
      <c r="A30" s="32">
        <f t="shared" si="5"/>
        <v>46243</v>
      </c>
      <c r="B30" s="33" t="str">
        <f t="shared" si="0"/>
        <v>Sun</v>
      </c>
      <c r="C30" s="33">
        <f t="shared" si="1"/>
        <v>0</v>
      </c>
      <c r="D30" s="33">
        <f t="shared" si="2"/>
        <v>1</v>
      </c>
      <c r="E30" s="33">
        <f>IF(COUNTIF(holidays!$A:$A,A30)&gt;0,1,0)</f>
        <v>0</v>
      </c>
      <c r="F30" s="33">
        <f>IF(COUNTIF('Prudence Holidays'!$A:$A,A30)&gt;0,1,0)</f>
        <v>0</v>
      </c>
      <c r="G30" s="33">
        <f t="shared" si="3"/>
        <v>0</v>
      </c>
      <c r="H30" s="33">
        <f t="shared" si="4"/>
        <v>0</v>
      </c>
      <c r="I30" s="33">
        <f t="shared" si="6"/>
        <v>22</v>
      </c>
      <c r="J30" s="33">
        <f t="shared" si="7"/>
        <v>18</v>
      </c>
    </row>
    <row r="31" spans="1:10">
      <c r="A31" s="32">
        <f t="shared" si="5"/>
        <v>46244</v>
      </c>
      <c r="B31" s="33" t="str">
        <f t="shared" si="0"/>
        <v>Mon</v>
      </c>
      <c r="C31" s="33">
        <f t="shared" si="1"/>
        <v>0</v>
      </c>
      <c r="D31" s="33">
        <f t="shared" si="2"/>
        <v>0</v>
      </c>
      <c r="E31" s="33">
        <f>IF(COUNTIF(holidays!$A:$A,A31)&gt;0,1,0)</f>
        <v>1</v>
      </c>
      <c r="F31" s="33">
        <f>IF(COUNTIF('Prudence Holidays'!$A:$A,A31)&gt;0,1,0)</f>
        <v>0</v>
      </c>
      <c r="G31" s="33">
        <f t="shared" si="3"/>
        <v>0</v>
      </c>
      <c r="H31" s="33">
        <f t="shared" si="4"/>
        <v>1</v>
      </c>
      <c r="I31" s="33">
        <f t="shared" si="6"/>
        <v>22</v>
      </c>
      <c r="J31" s="33">
        <f t="shared" si="7"/>
        <v>19</v>
      </c>
    </row>
    <row r="32" spans="1:10">
      <c r="A32" s="32">
        <f t="shared" si="5"/>
        <v>46245</v>
      </c>
      <c r="B32" s="33" t="str">
        <f t="shared" si="0"/>
        <v>Tue</v>
      </c>
      <c r="C32" s="33">
        <f t="shared" si="1"/>
        <v>0</v>
      </c>
      <c r="D32" s="33">
        <f t="shared" si="2"/>
        <v>0</v>
      </c>
      <c r="E32" s="33">
        <f>IF(COUNTIF(holidays!$A:$A,A32)&gt;0,1,0)</f>
        <v>1</v>
      </c>
      <c r="F32" s="33">
        <f>IF(COUNTIF('Prudence Holidays'!$A:$A,A32)&gt;0,1,0)</f>
        <v>0</v>
      </c>
      <c r="G32" s="33">
        <f t="shared" si="3"/>
        <v>0</v>
      </c>
      <c r="H32" s="33">
        <f t="shared" si="4"/>
        <v>1</v>
      </c>
      <c r="I32" s="33">
        <f t="shared" si="6"/>
        <v>22</v>
      </c>
      <c r="J32" s="33">
        <f t="shared" si="7"/>
        <v>20</v>
      </c>
    </row>
    <row r="33" spans="1:10">
      <c r="A33" s="32">
        <f t="shared" si="5"/>
        <v>46246</v>
      </c>
      <c r="B33" s="33" t="str">
        <f t="shared" si="0"/>
        <v>Wed</v>
      </c>
      <c r="C33" s="33">
        <f t="shared" si="1"/>
        <v>0</v>
      </c>
      <c r="D33" s="33">
        <f t="shared" si="2"/>
        <v>0</v>
      </c>
      <c r="E33" s="33">
        <f>IF(COUNTIF(holidays!$A:$A,A33)&gt;0,1,0)</f>
        <v>0</v>
      </c>
      <c r="F33" s="33">
        <f>IF(COUNTIF('Prudence Holidays'!$A:$A,A33)&gt;0,1,0)</f>
        <v>0</v>
      </c>
      <c r="G33" s="33">
        <f t="shared" si="3"/>
        <v>1</v>
      </c>
      <c r="H33" s="33">
        <f t="shared" si="4"/>
        <v>1</v>
      </c>
      <c r="I33" s="33">
        <f t="shared" si="6"/>
        <v>23</v>
      </c>
      <c r="J33" s="33">
        <f t="shared" si="7"/>
        <v>21</v>
      </c>
    </row>
    <row r="34" spans="1:10">
      <c r="A34" s="32">
        <f t="shared" si="5"/>
        <v>46247</v>
      </c>
      <c r="B34" s="33" t="str">
        <f t="shared" si="0"/>
        <v>Thu</v>
      </c>
      <c r="C34" s="33">
        <f t="shared" si="1"/>
        <v>0</v>
      </c>
      <c r="D34" s="33">
        <f t="shared" si="2"/>
        <v>0</v>
      </c>
      <c r="E34" s="33">
        <f>IF(COUNTIF(holidays!$A:$A,A34)&gt;0,1,0)</f>
        <v>0</v>
      </c>
      <c r="F34" s="33">
        <f>IF(COUNTIF('Prudence Holidays'!$A:$A,A34)&gt;0,1,0)</f>
        <v>0</v>
      </c>
      <c r="G34" s="33">
        <f t="shared" si="3"/>
        <v>1</v>
      </c>
      <c r="H34" s="33">
        <f t="shared" si="4"/>
        <v>1</v>
      </c>
      <c r="I34" s="33">
        <f t="shared" si="6"/>
        <v>24</v>
      </c>
      <c r="J34" s="33">
        <f t="shared" si="7"/>
        <v>22</v>
      </c>
    </row>
    <row r="35" spans="1:10">
      <c r="A35" s="32">
        <f t="shared" si="5"/>
        <v>46248</v>
      </c>
      <c r="B35" s="33" t="str">
        <f t="shared" si="0"/>
        <v>Fri</v>
      </c>
      <c r="C35" s="33">
        <f t="shared" si="1"/>
        <v>0</v>
      </c>
      <c r="D35" s="33">
        <f t="shared" si="2"/>
        <v>0</v>
      </c>
      <c r="E35" s="33">
        <f>IF(COUNTIF(holidays!$A:$A,A35)&gt;0,1,0)</f>
        <v>0</v>
      </c>
      <c r="F35" s="33">
        <f>IF(COUNTIF('Prudence Holidays'!$A:$A,A35)&gt;0,1,0)</f>
        <v>0</v>
      </c>
      <c r="G35" s="33">
        <f t="shared" si="3"/>
        <v>1</v>
      </c>
      <c r="H35" s="33">
        <f t="shared" si="4"/>
        <v>1</v>
      </c>
      <c r="I35" s="33">
        <f t="shared" si="6"/>
        <v>25</v>
      </c>
      <c r="J35" s="33">
        <f t="shared" si="7"/>
        <v>23</v>
      </c>
    </row>
    <row r="36" spans="1:10">
      <c r="A36" s="32">
        <f t="shared" si="5"/>
        <v>46249</v>
      </c>
      <c r="B36" s="33" t="str">
        <f t="shared" si="0"/>
        <v>Sat</v>
      </c>
      <c r="C36" s="33">
        <f t="shared" si="1"/>
        <v>1</v>
      </c>
      <c r="D36" s="33">
        <f t="shared" si="2"/>
        <v>0</v>
      </c>
      <c r="E36" s="33">
        <f>IF(COUNTIF(holidays!$A:$A,A36)&gt;0,1,0)</f>
        <v>0</v>
      </c>
      <c r="F36" s="33">
        <f>IF(COUNTIF('Prudence Holidays'!$A:$A,A36)&gt;0,1,0)</f>
        <v>0</v>
      </c>
      <c r="G36" s="33">
        <f t="shared" si="3"/>
        <v>1</v>
      </c>
      <c r="H36" s="33">
        <f t="shared" si="4"/>
        <v>0</v>
      </c>
      <c r="I36" s="33">
        <f t="shared" si="6"/>
        <v>26</v>
      </c>
      <c r="J36" s="33">
        <f t="shared" si="7"/>
        <v>23</v>
      </c>
    </row>
    <row r="37" spans="1:10">
      <c r="A37" s="32">
        <f t="shared" si="5"/>
        <v>46250</v>
      </c>
      <c r="B37" s="33" t="str">
        <f t="shared" si="0"/>
        <v>Sun</v>
      </c>
      <c r="C37" s="33">
        <f t="shared" si="1"/>
        <v>0</v>
      </c>
      <c r="D37" s="33">
        <f t="shared" si="2"/>
        <v>1</v>
      </c>
      <c r="E37" s="33">
        <f>IF(COUNTIF(holidays!$A:$A,A37)&gt;0,1,0)</f>
        <v>0</v>
      </c>
      <c r="F37" s="33">
        <f>IF(COUNTIF('Prudence Holidays'!$A:$A,A37)&gt;0,1,0)</f>
        <v>0</v>
      </c>
      <c r="G37" s="33">
        <f t="shared" si="3"/>
        <v>0</v>
      </c>
      <c r="H37" s="33">
        <f t="shared" si="4"/>
        <v>0</v>
      </c>
      <c r="I37" s="33">
        <f t="shared" si="6"/>
        <v>26</v>
      </c>
      <c r="J37" s="33">
        <f t="shared" si="7"/>
        <v>23</v>
      </c>
    </row>
    <row r="38" spans="1:10">
      <c r="A38" s="32">
        <f t="shared" si="5"/>
        <v>46251</v>
      </c>
      <c r="B38" s="33" t="str">
        <f t="shared" si="0"/>
        <v>Mon</v>
      </c>
      <c r="C38" s="33">
        <f t="shared" si="1"/>
        <v>0</v>
      </c>
      <c r="D38" s="33">
        <f t="shared" si="2"/>
        <v>0</v>
      </c>
      <c r="E38" s="33">
        <f>IF(COUNTIF(holidays!$A:$A,A38)&gt;0,1,0)</f>
        <v>0</v>
      </c>
      <c r="F38" s="33">
        <f>IF(COUNTIF('Prudence Holidays'!$A:$A,A38)&gt;0,1,0)</f>
        <v>0</v>
      </c>
      <c r="G38" s="33">
        <f t="shared" si="3"/>
        <v>1</v>
      </c>
      <c r="H38" s="33">
        <f t="shared" si="4"/>
        <v>1</v>
      </c>
      <c r="I38" s="33">
        <f t="shared" si="6"/>
        <v>27</v>
      </c>
      <c r="J38" s="33">
        <f t="shared" si="7"/>
        <v>24</v>
      </c>
    </row>
    <row r="39" spans="1:10">
      <c r="A39" s="32">
        <f t="shared" si="5"/>
        <v>46252</v>
      </c>
      <c r="B39" s="33" t="str">
        <f t="shared" si="0"/>
        <v>Tue</v>
      </c>
      <c r="C39" s="33">
        <f t="shared" si="1"/>
        <v>0</v>
      </c>
      <c r="D39" s="33">
        <f t="shared" si="2"/>
        <v>0</v>
      </c>
      <c r="E39" s="33">
        <f>IF(COUNTIF(holidays!$A:$A,A39)&gt;0,1,0)</f>
        <v>0</v>
      </c>
      <c r="F39" s="33">
        <f>IF(COUNTIF('Prudence Holidays'!$A:$A,A39)&gt;0,1,0)</f>
        <v>0</v>
      </c>
      <c r="G39" s="33">
        <f t="shared" si="3"/>
        <v>1</v>
      </c>
      <c r="H39" s="33">
        <f t="shared" si="4"/>
        <v>1</v>
      </c>
      <c r="I39" s="33">
        <f t="shared" si="6"/>
        <v>28</v>
      </c>
      <c r="J39" s="33">
        <f t="shared" si="7"/>
        <v>25</v>
      </c>
    </row>
    <row r="40" spans="1:10">
      <c r="A40" s="32">
        <f t="shared" si="5"/>
        <v>46253</v>
      </c>
      <c r="B40" s="33" t="str">
        <f t="shared" si="0"/>
        <v>Wed</v>
      </c>
      <c r="C40" s="33">
        <f t="shared" si="1"/>
        <v>0</v>
      </c>
      <c r="D40" s="33">
        <f t="shared" si="2"/>
        <v>0</v>
      </c>
      <c r="E40" s="33">
        <f>IF(COUNTIF(holidays!$A:$A,A40)&gt;0,1,0)</f>
        <v>0</v>
      </c>
      <c r="F40" s="33">
        <f>IF(COUNTIF('Prudence Holidays'!$A:$A,A40)&gt;0,1,0)</f>
        <v>0</v>
      </c>
      <c r="G40" s="33">
        <f t="shared" si="3"/>
        <v>1</v>
      </c>
      <c r="H40" s="33">
        <f t="shared" si="4"/>
        <v>1</v>
      </c>
      <c r="I40" s="33">
        <f t="shared" si="6"/>
        <v>29</v>
      </c>
      <c r="J40" s="33">
        <f t="shared" si="7"/>
        <v>26</v>
      </c>
    </row>
    <row r="41" spans="1:10">
      <c r="A41" s="32">
        <f t="shared" si="5"/>
        <v>46254</v>
      </c>
      <c r="B41" s="33" t="str">
        <f t="shared" si="0"/>
        <v>Thu</v>
      </c>
      <c r="C41" s="33">
        <f t="shared" si="1"/>
        <v>0</v>
      </c>
      <c r="D41" s="33">
        <f t="shared" si="2"/>
        <v>0</v>
      </c>
      <c r="E41" s="33">
        <f>IF(COUNTIF(holidays!$A:$A,A41)&gt;0,1,0)</f>
        <v>0</v>
      </c>
      <c r="F41" s="33">
        <f>IF(COUNTIF('Prudence Holidays'!$A:$A,A41)&gt;0,1,0)</f>
        <v>0</v>
      </c>
      <c r="G41" s="33">
        <f t="shared" si="3"/>
        <v>1</v>
      </c>
      <c r="H41" s="33">
        <f t="shared" si="4"/>
        <v>1</v>
      </c>
      <c r="I41" s="33">
        <f t="shared" si="6"/>
        <v>30</v>
      </c>
      <c r="J41" s="33">
        <f t="shared" si="7"/>
        <v>27</v>
      </c>
    </row>
    <row r="42" spans="1:10">
      <c r="A42" s="32">
        <f t="shared" si="5"/>
        <v>46255</v>
      </c>
      <c r="B42" s="33" t="str">
        <f t="shared" si="0"/>
        <v>Fri</v>
      </c>
      <c r="C42" s="33">
        <f t="shared" si="1"/>
        <v>0</v>
      </c>
      <c r="D42" s="33">
        <f t="shared" si="2"/>
        <v>0</v>
      </c>
      <c r="E42" s="33">
        <f>IF(COUNTIF(holidays!$A:$A,A42)&gt;0,1,0)</f>
        <v>0</v>
      </c>
      <c r="F42" s="33">
        <f>IF(COUNTIF('Prudence Holidays'!$A:$A,A42)&gt;0,1,0)</f>
        <v>0</v>
      </c>
      <c r="G42" s="33">
        <f t="shared" si="3"/>
        <v>1</v>
      </c>
      <c r="H42" s="33">
        <f t="shared" si="4"/>
        <v>1</v>
      </c>
      <c r="I42" s="33">
        <f t="shared" si="6"/>
        <v>31</v>
      </c>
      <c r="J42" s="33">
        <f t="shared" si="7"/>
        <v>28</v>
      </c>
    </row>
    <row r="43" spans="1:10">
      <c r="A43" s="32">
        <f t="shared" si="5"/>
        <v>46256</v>
      </c>
      <c r="B43" s="33" t="str">
        <f t="shared" si="0"/>
        <v>Sat</v>
      </c>
      <c r="C43" s="33">
        <f t="shared" si="1"/>
        <v>1</v>
      </c>
      <c r="D43" s="33">
        <f t="shared" si="2"/>
        <v>0</v>
      </c>
      <c r="E43" s="33">
        <f>IF(COUNTIF(holidays!$A:$A,A43)&gt;0,1,0)</f>
        <v>0</v>
      </c>
      <c r="F43" s="33">
        <f>IF(COUNTIF('Prudence Holidays'!$A:$A,A43)&gt;0,1,0)</f>
        <v>0</v>
      </c>
      <c r="G43" s="33">
        <f t="shared" si="3"/>
        <v>1</v>
      </c>
      <c r="H43" s="33">
        <f t="shared" si="4"/>
        <v>0</v>
      </c>
      <c r="I43" s="33">
        <f t="shared" si="6"/>
        <v>32</v>
      </c>
      <c r="J43" s="33">
        <f t="shared" si="7"/>
        <v>28</v>
      </c>
    </row>
    <row r="44" spans="1:10">
      <c r="A44" s="32">
        <f t="shared" si="5"/>
        <v>46257</v>
      </c>
      <c r="B44" s="33" t="str">
        <f t="shared" si="0"/>
        <v>Sun</v>
      </c>
      <c r="C44" s="33">
        <f t="shared" si="1"/>
        <v>0</v>
      </c>
      <c r="D44" s="33">
        <f t="shared" si="2"/>
        <v>1</v>
      </c>
      <c r="E44" s="33">
        <f>IF(COUNTIF(holidays!$A:$A,A44)&gt;0,1,0)</f>
        <v>0</v>
      </c>
      <c r="F44" s="33">
        <f>IF(COUNTIF('Prudence Holidays'!$A:$A,A44)&gt;0,1,0)</f>
        <v>0</v>
      </c>
      <c r="G44" s="33">
        <f t="shared" si="3"/>
        <v>0</v>
      </c>
      <c r="H44" s="33">
        <f t="shared" si="4"/>
        <v>0</v>
      </c>
      <c r="I44" s="33">
        <f t="shared" si="6"/>
        <v>32</v>
      </c>
      <c r="J44" s="33">
        <f t="shared" si="7"/>
        <v>28</v>
      </c>
    </row>
    <row r="45" spans="1:10">
      <c r="A45" s="32">
        <f t="shared" si="5"/>
        <v>46258</v>
      </c>
      <c r="B45" s="33" t="str">
        <f t="shared" si="0"/>
        <v>Mon</v>
      </c>
      <c r="C45" s="33">
        <f t="shared" si="1"/>
        <v>0</v>
      </c>
      <c r="D45" s="33">
        <f t="shared" si="2"/>
        <v>0</v>
      </c>
      <c r="E45" s="33">
        <f>IF(COUNTIF(holidays!$A:$A,A45)&gt;0,1,0)</f>
        <v>0</v>
      </c>
      <c r="F45" s="33">
        <f>IF(COUNTIF('Prudence Holidays'!$A:$A,A45)&gt;0,1,0)</f>
        <v>0</v>
      </c>
      <c r="G45" s="33">
        <f t="shared" si="3"/>
        <v>1</v>
      </c>
      <c r="H45" s="33">
        <f t="shared" si="4"/>
        <v>1</v>
      </c>
      <c r="I45" s="33">
        <f t="shared" si="6"/>
        <v>33</v>
      </c>
      <c r="J45" s="33">
        <f t="shared" si="7"/>
        <v>29</v>
      </c>
    </row>
    <row r="46" spans="1:10">
      <c r="A46" s="32">
        <f t="shared" si="5"/>
        <v>46259</v>
      </c>
      <c r="B46" s="33" t="str">
        <f t="shared" si="0"/>
        <v>Tue</v>
      </c>
      <c r="C46" s="33">
        <f t="shared" si="1"/>
        <v>0</v>
      </c>
      <c r="D46" s="33">
        <f t="shared" si="2"/>
        <v>0</v>
      </c>
      <c r="E46" s="33">
        <f>IF(COUNTIF(holidays!$A:$A,A46)&gt;0,1,0)</f>
        <v>0</v>
      </c>
      <c r="F46" s="33">
        <f>IF(COUNTIF('Prudence Holidays'!$A:$A,A46)&gt;0,1,0)</f>
        <v>0</v>
      </c>
      <c r="G46" s="33">
        <f t="shared" si="3"/>
        <v>1</v>
      </c>
      <c r="H46" s="33">
        <f t="shared" si="4"/>
        <v>1</v>
      </c>
      <c r="I46" s="33">
        <f t="shared" si="6"/>
        <v>34</v>
      </c>
      <c r="J46" s="33">
        <f t="shared" si="7"/>
        <v>30</v>
      </c>
    </row>
    <row r="47" spans="1:10">
      <c r="A47" s="32">
        <f t="shared" si="5"/>
        <v>46260</v>
      </c>
      <c r="B47" s="33" t="str">
        <f t="shared" si="0"/>
        <v>Wed</v>
      </c>
      <c r="C47" s="33">
        <f t="shared" si="1"/>
        <v>0</v>
      </c>
      <c r="D47" s="33">
        <f t="shared" si="2"/>
        <v>0</v>
      </c>
      <c r="E47" s="33">
        <f>IF(COUNTIF(holidays!$A:$A,A47)&gt;0,1,0)</f>
        <v>0</v>
      </c>
      <c r="F47" s="33">
        <f>IF(COUNTIF('Prudence Holidays'!$A:$A,A47)&gt;0,1,0)</f>
        <v>0</v>
      </c>
      <c r="G47" s="33">
        <f t="shared" si="3"/>
        <v>1</v>
      </c>
      <c r="H47" s="33">
        <f t="shared" si="4"/>
        <v>1</v>
      </c>
      <c r="I47" s="33">
        <f t="shared" si="6"/>
        <v>35</v>
      </c>
      <c r="J47" s="33">
        <f t="shared" si="7"/>
        <v>31</v>
      </c>
    </row>
    <row r="48" spans="1:10">
      <c r="A48" s="32">
        <f t="shared" si="5"/>
        <v>46261</v>
      </c>
      <c r="B48" s="33" t="str">
        <f t="shared" si="0"/>
        <v>Thu</v>
      </c>
      <c r="C48" s="33">
        <f t="shared" si="1"/>
        <v>0</v>
      </c>
      <c r="D48" s="33">
        <f t="shared" si="2"/>
        <v>0</v>
      </c>
      <c r="E48" s="33">
        <f>IF(COUNTIF(holidays!$A:$A,A48)&gt;0,1,0)</f>
        <v>0</v>
      </c>
      <c r="F48" s="33">
        <f>IF(COUNTIF('Prudence Holidays'!$A:$A,A48)&gt;0,1,0)</f>
        <v>0</v>
      </c>
      <c r="G48" s="33">
        <f t="shared" si="3"/>
        <v>1</v>
      </c>
      <c r="H48" s="33">
        <f t="shared" si="4"/>
        <v>1</v>
      </c>
      <c r="I48" s="33">
        <f t="shared" si="6"/>
        <v>36</v>
      </c>
      <c r="J48" s="33">
        <f t="shared" si="7"/>
        <v>32</v>
      </c>
    </row>
    <row r="49" spans="1:10">
      <c r="A49" s="32">
        <f t="shared" si="5"/>
        <v>46262</v>
      </c>
      <c r="B49" s="33" t="str">
        <f t="shared" si="0"/>
        <v>Fri</v>
      </c>
      <c r="C49" s="33">
        <f t="shared" si="1"/>
        <v>0</v>
      </c>
      <c r="D49" s="33">
        <f t="shared" si="2"/>
        <v>0</v>
      </c>
      <c r="E49" s="33">
        <f>IF(COUNTIF(holidays!$A:$A,A49)&gt;0,1,0)</f>
        <v>0</v>
      </c>
      <c r="F49" s="33">
        <f>IF(COUNTIF('Prudence Holidays'!$A:$A,A49)&gt;0,1,0)</f>
        <v>1</v>
      </c>
      <c r="G49" s="33">
        <f t="shared" si="3"/>
        <v>1</v>
      </c>
      <c r="H49" s="33">
        <f t="shared" si="4"/>
        <v>0</v>
      </c>
      <c r="I49" s="33">
        <f t="shared" si="6"/>
        <v>37</v>
      </c>
      <c r="J49" s="33">
        <f t="shared" si="7"/>
        <v>32</v>
      </c>
    </row>
    <row r="50" spans="1:10">
      <c r="A50" s="32">
        <f t="shared" si="5"/>
        <v>46263</v>
      </c>
      <c r="B50" s="33" t="str">
        <f t="shared" si="0"/>
        <v>Sat</v>
      </c>
      <c r="C50" s="33">
        <f t="shared" si="1"/>
        <v>1</v>
      </c>
      <c r="D50" s="33">
        <f t="shared" si="2"/>
        <v>0</v>
      </c>
      <c r="E50" s="33">
        <f>IF(COUNTIF(holidays!$A:$A,A50)&gt;0,1,0)</f>
        <v>0</v>
      </c>
      <c r="F50" s="33">
        <f>IF(COUNTIF('Prudence Holidays'!$A:$A,A50)&gt;0,1,0)</f>
        <v>0</v>
      </c>
      <c r="G50" s="33">
        <f t="shared" si="3"/>
        <v>1</v>
      </c>
      <c r="H50" s="33">
        <f t="shared" si="4"/>
        <v>0</v>
      </c>
      <c r="I50" s="33">
        <f t="shared" si="6"/>
        <v>38</v>
      </c>
      <c r="J50" s="33">
        <f t="shared" si="7"/>
        <v>32</v>
      </c>
    </row>
    <row r="51" spans="1:10">
      <c r="A51" s="32">
        <f t="shared" si="5"/>
        <v>46264</v>
      </c>
      <c r="B51" s="33" t="str">
        <f t="shared" si="0"/>
        <v>Sun</v>
      </c>
      <c r="C51" s="33">
        <f t="shared" si="1"/>
        <v>0</v>
      </c>
      <c r="D51" s="33">
        <f t="shared" si="2"/>
        <v>1</v>
      </c>
      <c r="E51" s="33">
        <f>IF(COUNTIF(holidays!$A:$A,A51)&gt;0,1,0)</f>
        <v>0</v>
      </c>
      <c r="F51" s="33">
        <f>IF(COUNTIF('Prudence Holidays'!$A:$A,A51)&gt;0,1,0)</f>
        <v>0</v>
      </c>
      <c r="G51" s="33">
        <f t="shared" si="3"/>
        <v>0</v>
      </c>
      <c r="H51" s="33">
        <f t="shared" si="4"/>
        <v>0</v>
      </c>
      <c r="I51" s="33">
        <f t="shared" si="6"/>
        <v>38</v>
      </c>
      <c r="J51" s="33">
        <f t="shared" si="7"/>
        <v>32</v>
      </c>
    </row>
    <row r="52" spans="1:10">
      <c r="A52" s="32">
        <f t="shared" si="5"/>
        <v>46265</v>
      </c>
      <c r="B52" s="33" t="str">
        <f t="shared" si="0"/>
        <v>Mon</v>
      </c>
      <c r="C52" s="33">
        <f t="shared" si="1"/>
        <v>0</v>
      </c>
      <c r="D52" s="33">
        <f t="shared" si="2"/>
        <v>0</v>
      </c>
      <c r="E52" s="33">
        <f>IF(COUNTIF(holidays!$A:$A,A52)&gt;0,1,0)</f>
        <v>0</v>
      </c>
      <c r="F52" s="33">
        <f>IF(COUNTIF('Prudence Holidays'!$A:$A,A52)&gt;0,1,0)</f>
        <v>0</v>
      </c>
      <c r="G52" s="33">
        <f t="shared" si="3"/>
        <v>1</v>
      </c>
      <c r="H52" s="33">
        <f t="shared" si="4"/>
        <v>1</v>
      </c>
      <c r="I52" s="33">
        <f t="shared" si="6"/>
        <v>39</v>
      </c>
      <c r="J52" s="33">
        <f t="shared" si="7"/>
        <v>33</v>
      </c>
    </row>
    <row r="53" spans="1:10">
      <c r="A53" s="32">
        <f t="shared" si="5"/>
        <v>46266</v>
      </c>
      <c r="B53" s="33" t="str">
        <f t="shared" si="0"/>
        <v>Tue</v>
      </c>
      <c r="C53" s="33">
        <f t="shared" si="1"/>
        <v>0</v>
      </c>
      <c r="D53" s="33">
        <f t="shared" si="2"/>
        <v>0</v>
      </c>
      <c r="E53" s="33">
        <f>IF(COUNTIF(holidays!$A:$A,A53)&gt;0,1,0)</f>
        <v>0</v>
      </c>
      <c r="F53" s="33">
        <f>IF(COUNTIF('Prudence Holidays'!$A:$A,A53)&gt;0,1,0)</f>
        <v>0</v>
      </c>
      <c r="G53" s="33">
        <f t="shared" si="3"/>
        <v>1</v>
      </c>
      <c r="H53" s="33">
        <f t="shared" si="4"/>
        <v>1</v>
      </c>
      <c r="I53" s="33">
        <f t="shared" si="6"/>
        <v>40</v>
      </c>
      <c r="J53" s="33">
        <f t="shared" si="7"/>
        <v>34</v>
      </c>
    </row>
    <row r="54" spans="1:10">
      <c r="A54" s="32">
        <f t="shared" si="5"/>
        <v>46267</v>
      </c>
      <c r="B54" s="33" t="str">
        <f t="shared" si="0"/>
        <v>Wed</v>
      </c>
      <c r="C54" s="33">
        <f t="shared" si="1"/>
        <v>0</v>
      </c>
      <c r="D54" s="33">
        <f t="shared" si="2"/>
        <v>0</v>
      </c>
      <c r="E54" s="33">
        <f>IF(COUNTIF(holidays!$A:$A,A54)&gt;0,1,0)</f>
        <v>0</v>
      </c>
      <c r="F54" s="33">
        <f>IF(COUNTIF('Prudence Holidays'!$A:$A,A54)&gt;0,1,0)</f>
        <v>0</v>
      </c>
      <c r="G54" s="33">
        <f t="shared" si="3"/>
        <v>1</v>
      </c>
      <c r="H54" s="33">
        <f t="shared" si="4"/>
        <v>1</v>
      </c>
      <c r="I54" s="33">
        <f t="shared" si="6"/>
        <v>41</v>
      </c>
      <c r="J54" s="33">
        <f t="shared" si="7"/>
        <v>35</v>
      </c>
    </row>
    <row r="55" spans="1:10">
      <c r="A55" s="32">
        <f t="shared" si="5"/>
        <v>46268</v>
      </c>
      <c r="B55" s="33" t="str">
        <f t="shared" si="0"/>
        <v>Thu</v>
      </c>
      <c r="C55" s="33">
        <f t="shared" si="1"/>
        <v>0</v>
      </c>
      <c r="D55" s="33">
        <f t="shared" si="2"/>
        <v>0</v>
      </c>
      <c r="E55" s="33">
        <f>IF(COUNTIF(holidays!$A:$A,A55)&gt;0,1,0)</f>
        <v>0</v>
      </c>
      <c r="F55" s="33">
        <f>IF(COUNTIF('Prudence Holidays'!$A:$A,A55)&gt;0,1,0)</f>
        <v>0</v>
      </c>
      <c r="G55" s="33">
        <f t="shared" si="3"/>
        <v>1</v>
      </c>
      <c r="H55" s="33">
        <f t="shared" si="4"/>
        <v>1</v>
      </c>
      <c r="I55" s="33">
        <f t="shared" si="6"/>
        <v>42</v>
      </c>
      <c r="J55" s="33">
        <f t="shared" si="7"/>
        <v>36</v>
      </c>
    </row>
    <row r="56" spans="1:10">
      <c r="A56" s="32">
        <f t="shared" si="5"/>
        <v>46269</v>
      </c>
      <c r="B56" s="33" t="str">
        <f t="shared" si="0"/>
        <v>Fri</v>
      </c>
      <c r="C56" s="33">
        <f t="shared" si="1"/>
        <v>0</v>
      </c>
      <c r="D56" s="33">
        <f t="shared" si="2"/>
        <v>0</v>
      </c>
      <c r="E56" s="33">
        <f>IF(COUNTIF(holidays!$A:$A,A56)&gt;0,1,0)</f>
        <v>0</v>
      </c>
      <c r="F56" s="33">
        <f>IF(COUNTIF('Prudence Holidays'!$A:$A,A56)&gt;0,1,0)</f>
        <v>0</v>
      </c>
      <c r="G56" s="33">
        <f t="shared" si="3"/>
        <v>1</v>
      </c>
      <c r="H56" s="33">
        <f t="shared" si="4"/>
        <v>1</v>
      </c>
      <c r="I56" s="33">
        <f t="shared" si="6"/>
        <v>43</v>
      </c>
      <c r="J56" s="33">
        <f t="shared" si="7"/>
        <v>37</v>
      </c>
    </row>
    <row r="57" spans="1:10">
      <c r="A57" s="32">
        <f t="shared" si="5"/>
        <v>46270</v>
      </c>
      <c r="B57" s="33" t="str">
        <f t="shared" si="0"/>
        <v>Sat</v>
      </c>
      <c r="C57" s="33">
        <f t="shared" si="1"/>
        <v>1</v>
      </c>
      <c r="D57" s="33">
        <f t="shared" si="2"/>
        <v>0</v>
      </c>
      <c r="E57" s="33">
        <f>IF(COUNTIF(holidays!$A:$A,A57)&gt;0,1,0)</f>
        <v>0</v>
      </c>
      <c r="F57" s="33">
        <f>IF(COUNTIF('Prudence Holidays'!$A:$A,A57)&gt;0,1,0)</f>
        <v>0</v>
      </c>
      <c r="G57" s="33">
        <f t="shared" si="3"/>
        <v>1</v>
      </c>
      <c r="H57" s="33">
        <f t="shared" si="4"/>
        <v>0</v>
      </c>
      <c r="I57" s="33">
        <f t="shared" si="6"/>
        <v>44</v>
      </c>
      <c r="J57" s="33">
        <f t="shared" si="7"/>
        <v>37</v>
      </c>
    </row>
    <row r="58" spans="1:10">
      <c r="A58" s="32">
        <f t="shared" si="5"/>
        <v>46271</v>
      </c>
      <c r="B58" s="33" t="str">
        <f t="shared" si="0"/>
        <v>Sun</v>
      </c>
      <c r="C58" s="33">
        <f t="shared" si="1"/>
        <v>0</v>
      </c>
      <c r="D58" s="33">
        <f t="shared" si="2"/>
        <v>1</v>
      </c>
      <c r="E58" s="33">
        <f>IF(COUNTIF(holidays!$A:$A,A58)&gt;0,1,0)</f>
        <v>0</v>
      </c>
      <c r="F58" s="33">
        <f>IF(COUNTIF('Prudence Holidays'!$A:$A,A58)&gt;0,1,0)</f>
        <v>0</v>
      </c>
      <c r="G58" s="33">
        <f t="shared" si="3"/>
        <v>0</v>
      </c>
      <c r="H58" s="33">
        <f t="shared" si="4"/>
        <v>0</v>
      </c>
      <c r="I58" s="33">
        <f t="shared" si="6"/>
        <v>44</v>
      </c>
      <c r="J58" s="33">
        <f t="shared" si="7"/>
        <v>37</v>
      </c>
    </row>
    <row r="59" spans="1:10">
      <c r="A59" s="32">
        <f t="shared" si="5"/>
        <v>46272</v>
      </c>
      <c r="B59" s="33" t="str">
        <f t="shared" si="0"/>
        <v>Mon</v>
      </c>
      <c r="C59" s="33">
        <f t="shared" si="1"/>
        <v>0</v>
      </c>
      <c r="D59" s="33">
        <f t="shared" si="2"/>
        <v>0</v>
      </c>
      <c r="E59" s="33">
        <f>IF(COUNTIF(holidays!$A:$A,A59)&gt;0,1,0)</f>
        <v>0</v>
      </c>
      <c r="F59" s="33">
        <f>IF(COUNTIF('Prudence Holidays'!$A:$A,A59)&gt;0,1,0)</f>
        <v>0</v>
      </c>
      <c r="G59" s="33">
        <f t="shared" si="3"/>
        <v>1</v>
      </c>
      <c r="H59" s="33">
        <f t="shared" si="4"/>
        <v>1</v>
      </c>
      <c r="I59" s="33">
        <f t="shared" si="6"/>
        <v>45</v>
      </c>
      <c r="J59" s="33">
        <f t="shared" si="7"/>
        <v>38</v>
      </c>
    </row>
    <row r="60" spans="1:10">
      <c r="A60" s="32">
        <f t="shared" si="5"/>
        <v>46273</v>
      </c>
      <c r="B60" s="33" t="str">
        <f t="shared" si="0"/>
        <v>Tue</v>
      </c>
      <c r="C60" s="33">
        <f t="shared" si="1"/>
        <v>0</v>
      </c>
      <c r="D60" s="33">
        <f t="shared" si="2"/>
        <v>0</v>
      </c>
      <c r="E60" s="33">
        <f>IF(COUNTIF(holidays!$A:$A,A60)&gt;0,1,0)</f>
        <v>0</v>
      </c>
      <c r="F60" s="33">
        <f>IF(COUNTIF('Prudence Holidays'!$A:$A,A60)&gt;0,1,0)</f>
        <v>0</v>
      </c>
      <c r="G60" s="33">
        <f t="shared" si="3"/>
        <v>1</v>
      </c>
      <c r="H60" s="33">
        <f t="shared" si="4"/>
        <v>1</v>
      </c>
      <c r="I60" s="33">
        <f t="shared" si="6"/>
        <v>46</v>
      </c>
      <c r="J60" s="33">
        <f t="shared" si="7"/>
        <v>39</v>
      </c>
    </row>
    <row r="61" spans="1:10">
      <c r="A61" s="32">
        <f t="shared" si="5"/>
        <v>46274</v>
      </c>
      <c r="B61" s="33" t="str">
        <f t="shared" si="0"/>
        <v>Wed</v>
      </c>
      <c r="C61" s="33">
        <f t="shared" si="1"/>
        <v>0</v>
      </c>
      <c r="D61" s="33">
        <f t="shared" si="2"/>
        <v>0</v>
      </c>
      <c r="E61" s="33">
        <f>IF(COUNTIF(holidays!$A:$A,A61)&gt;0,1,0)</f>
        <v>0</v>
      </c>
      <c r="F61" s="33">
        <f>IF(COUNTIF('Prudence Holidays'!$A:$A,A61)&gt;0,1,0)</f>
        <v>0</v>
      </c>
      <c r="G61" s="33">
        <f t="shared" si="3"/>
        <v>1</v>
      </c>
      <c r="H61" s="33">
        <f t="shared" si="4"/>
        <v>1</v>
      </c>
      <c r="I61" s="33">
        <f t="shared" si="6"/>
        <v>47</v>
      </c>
      <c r="J61" s="33">
        <f t="shared" si="7"/>
        <v>40</v>
      </c>
    </row>
    <row r="62" spans="1:10">
      <c r="A62" s="32">
        <f t="shared" si="5"/>
        <v>46275</v>
      </c>
      <c r="B62" s="33" t="str">
        <f t="shared" si="0"/>
        <v>Thu</v>
      </c>
      <c r="C62" s="33">
        <f t="shared" si="1"/>
        <v>0</v>
      </c>
      <c r="D62" s="33">
        <f t="shared" si="2"/>
        <v>0</v>
      </c>
      <c r="E62" s="33">
        <f>IF(COUNTIF(holidays!$A:$A,A62)&gt;0,1,0)</f>
        <v>0</v>
      </c>
      <c r="F62" s="33">
        <f>IF(COUNTIF('Prudence Holidays'!$A:$A,A62)&gt;0,1,0)</f>
        <v>0</v>
      </c>
      <c r="G62" s="33">
        <f t="shared" si="3"/>
        <v>1</v>
      </c>
      <c r="H62" s="33">
        <f t="shared" si="4"/>
        <v>1</v>
      </c>
      <c r="I62" s="33">
        <f t="shared" si="6"/>
        <v>48</v>
      </c>
      <c r="J62" s="33">
        <f t="shared" si="7"/>
        <v>41</v>
      </c>
    </row>
    <row r="63" spans="1:10">
      <c r="A63" s="32">
        <f t="shared" si="5"/>
        <v>46276</v>
      </c>
      <c r="B63" s="33" t="str">
        <f t="shared" si="0"/>
        <v>Fri</v>
      </c>
      <c r="C63" s="33">
        <f t="shared" si="1"/>
        <v>0</v>
      </c>
      <c r="D63" s="33">
        <f t="shared" si="2"/>
        <v>0</v>
      </c>
      <c r="E63" s="33">
        <f>IF(COUNTIF(holidays!$A:$A,A63)&gt;0,1,0)</f>
        <v>0</v>
      </c>
      <c r="F63" s="33">
        <f>IF(COUNTIF('Prudence Holidays'!$A:$A,A63)&gt;0,1,0)</f>
        <v>0</v>
      </c>
      <c r="G63" s="33">
        <f t="shared" si="3"/>
        <v>1</v>
      </c>
      <c r="H63" s="33">
        <f t="shared" si="4"/>
        <v>1</v>
      </c>
      <c r="I63" s="33">
        <f t="shared" si="6"/>
        <v>49</v>
      </c>
      <c r="J63" s="33">
        <f t="shared" si="7"/>
        <v>42</v>
      </c>
    </row>
    <row r="64" spans="1:10">
      <c r="A64" s="32">
        <f t="shared" si="5"/>
        <v>46277</v>
      </c>
      <c r="B64" s="33" t="str">
        <f t="shared" si="0"/>
        <v>Sat</v>
      </c>
      <c r="C64" s="33">
        <f t="shared" si="1"/>
        <v>1</v>
      </c>
      <c r="D64" s="33">
        <f t="shared" si="2"/>
        <v>0</v>
      </c>
      <c r="E64" s="33">
        <f>IF(COUNTIF(holidays!$A:$A,A64)&gt;0,1,0)</f>
        <v>0</v>
      </c>
      <c r="F64" s="33">
        <f>IF(COUNTIF('Prudence Holidays'!$A:$A,A64)&gt;0,1,0)</f>
        <v>0</v>
      </c>
      <c r="G64" s="33">
        <f t="shared" si="3"/>
        <v>1</v>
      </c>
      <c r="H64" s="33">
        <f t="shared" si="4"/>
        <v>0</v>
      </c>
      <c r="I64" s="33">
        <f t="shared" si="6"/>
        <v>50</v>
      </c>
      <c r="J64" s="33">
        <f t="shared" si="7"/>
        <v>42</v>
      </c>
    </row>
    <row r="65" spans="1:10">
      <c r="A65" s="32">
        <f t="shared" si="5"/>
        <v>46278</v>
      </c>
      <c r="B65" s="33" t="str">
        <f t="shared" si="0"/>
        <v>Sun</v>
      </c>
      <c r="C65" s="33">
        <f t="shared" si="1"/>
        <v>0</v>
      </c>
      <c r="D65" s="33">
        <f t="shared" si="2"/>
        <v>1</v>
      </c>
      <c r="E65" s="33">
        <f>IF(COUNTIF(holidays!$A:$A,A65)&gt;0,1,0)</f>
        <v>0</v>
      </c>
      <c r="F65" s="33">
        <f>IF(COUNTIF('Prudence Holidays'!$A:$A,A65)&gt;0,1,0)</f>
        <v>0</v>
      </c>
      <c r="G65" s="33">
        <f t="shared" si="3"/>
        <v>0</v>
      </c>
      <c r="H65" s="33">
        <f t="shared" si="4"/>
        <v>0</v>
      </c>
      <c r="I65" s="33">
        <f t="shared" si="6"/>
        <v>50</v>
      </c>
      <c r="J65" s="33">
        <f t="shared" si="7"/>
        <v>42</v>
      </c>
    </row>
    <row r="66" spans="1:10">
      <c r="A66" s="32">
        <f t="shared" si="5"/>
        <v>46279</v>
      </c>
      <c r="B66" s="33" t="str">
        <f t="shared" si="0"/>
        <v>Mon</v>
      </c>
      <c r="C66" s="33">
        <f t="shared" si="1"/>
        <v>0</v>
      </c>
      <c r="D66" s="33">
        <f t="shared" si="2"/>
        <v>0</v>
      </c>
      <c r="E66" s="33">
        <f>IF(COUNTIF(holidays!$A:$A,A66)&gt;0,1,0)</f>
        <v>0</v>
      </c>
      <c r="F66" s="33">
        <f>IF(COUNTIF('Prudence Holidays'!$A:$A,A66)&gt;0,1,0)</f>
        <v>0</v>
      </c>
      <c r="G66" s="33">
        <f t="shared" si="3"/>
        <v>1</v>
      </c>
      <c r="H66" s="33">
        <f t="shared" si="4"/>
        <v>1</v>
      </c>
      <c r="I66" s="33">
        <f t="shared" si="6"/>
        <v>51</v>
      </c>
      <c r="J66" s="33">
        <f t="shared" si="7"/>
        <v>43</v>
      </c>
    </row>
    <row r="67" spans="1:10">
      <c r="A67" s="32">
        <f t="shared" si="5"/>
        <v>46280</v>
      </c>
      <c r="B67" s="33" t="str">
        <f t="shared" si="0"/>
        <v>Tue</v>
      </c>
      <c r="C67" s="33">
        <f t="shared" si="1"/>
        <v>0</v>
      </c>
      <c r="D67" s="33">
        <f t="shared" si="2"/>
        <v>0</v>
      </c>
      <c r="E67" s="33">
        <f>IF(COUNTIF(holidays!$A:$A,A67)&gt;0,1,0)</f>
        <v>0</v>
      </c>
      <c r="F67" s="33">
        <f>IF(COUNTIF('Prudence Holidays'!$A:$A,A67)&gt;0,1,0)</f>
        <v>0</v>
      </c>
      <c r="G67" s="33">
        <f t="shared" si="3"/>
        <v>1</v>
      </c>
      <c r="H67" s="33">
        <f t="shared" si="4"/>
        <v>1</v>
      </c>
      <c r="I67" s="33">
        <f t="shared" si="6"/>
        <v>52</v>
      </c>
      <c r="J67" s="33">
        <f t="shared" si="7"/>
        <v>44</v>
      </c>
    </row>
    <row r="68" spans="1:10">
      <c r="A68" s="32">
        <f t="shared" si="5"/>
        <v>46281</v>
      </c>
      <c r="B68" s="33" t="str">
        <f t="shared" si="0"/>
        <v>Wed</v>
      </c>
      <c r="C68" s="33">
        <f t="shared" si="1"/>
        <v>0</v>
      </c>
      <c r="D68" s="33">
        <f t="shared" si="2"/>
        <v>0</v>
      </c>
      <c r="E68" s="33">
        <f>IF(COUNTIF(holidays!$A:$A,A68)&gt;0,1,0)</f>
        <v>0</v>
      </c>
      <c r="F68" s="33">
        <f>IF(COUNTIF('Prudence Holidays'!$A:$A,A68)&gt;0,1,0)</f>
        <v>0</v>
      </c>
      <c r="G68" s="33">
        <f t="shared" si="3"/>
        <v>1</v>
      </c>
      <c r="H68" s="33">
        <f t="shared" si="4"/>
        <v>1</v>
      </c>
      <c r="I68" s="33">
        <f t="shared" si="6"/>
        <v>53</v>
      </c>
      <c r="J68" s="33">
        <f t="shared" si="7"/>
        <v>45</v>
      </c>
    </row>
    <row r="69" spans="1:10">
      <c r="A69" s="32">
        <f t="shared" si="5"/>
        <v>46282</v>
      </c>
      <c r="B69" s="33" t="str">
        <f t="shared" ref="B69:B132" si="8">TEXT(A69,"ddd")</f>
        <v>Thu</v>
      </c>
      <c r="C69" s="33">
        <f t="shared" ref="C69:C132" si="9">IF(WEEKDAY(A69,2)=6,1,0)</f>
        <v>0</v>
      </c>
      <c r="D69" s="33">
        <f t="shared" ref="D69:D132" si="10">IF(WEEKDAY(A69,2)=7,1,0)</f>
        <v>0</v>
      </c>
      <c r="E69" s="33">
        <f>IF(COUNTIF(holidays!$A:$A,A69)&gt;0,1,0)</f>
        <v>0</v>
      </c>
      <c r="F69" s="33">
        <f>IF(COUNTIF('Prudence Holidays'!$A:$A,A69)&gt;0,1,0)</f>
        <v>0</v>
      </c>
      <c r="G69" s="33">
        <f t="shared" ref="G69:G132" si="11">IF(OR(D69=1,E69=1),0,1)</f>
        <v>1</v>
      </c>
      <c r="H69" s="33">
        <f t="shared" ref="H69:H132" si="12">IF(OR(C69=1,D69=1,F69=1),0,1)</f>
        <v>1</v>
      </c>
      <c r="I69" s="33">
        <f t="shared" si="6"/>
        <v>54</v>
      </c>
      <c r="J69" s="33">
        <f t="shared" si="7"/>
        <v>46</v>
      </c>
    </row>
    <row r="70" spans="1:10">
      <c r="A70" s="32">
        <f t="shared" ref="A70:A133" si="13">A69+1</f>
        <v>46283</v>
      </c>
      <c r="B70" s="33" t="str">
        <f t="shared" si="8"/>
        <v>Fri</v>
      </c>
      <c r="C70" s="33">
        <f t="shared" si="9"/>
        <v>0</v>
      </c>
      <c r="D70" s="33">
        <f t="shared" si="10"/>
        <v>0</v>
      </c>
      <c r="E70" s="33">
        <f>IF(COUNTIF(holidays!$A:$A,A70)&gt;0,1,0)</f>
        <v>0</v>
      </c>
      <c r="F70" s="33">
        <f>IF(COUNTIF('Prudence Holidays'!$A:$A,A70)&gt;0,1,0)</f>
        <v>0</v>
      </c>
      <c r="G70" s="33">
        <f t="shared" si="11"/>
        <v>1</v>
      </c>
      <c r="H70" s="33">
        <f t="shared" si="12"/>
        <v>1</v>
      </c>
      <c r="I70" s="33">
        <f t="shared" ref="I70:I133" si="14">I69+G70</f>
        <v>55</v>
      </c>
      <c r="J70" s="33">
        <f t="shared" ref="J70:J133" si="15">J69+H70</f>
        <v>47</v>
      </c>
    </row>
    <row r="71" spans="1:10">
      <c r="A71" s="32">
        <f t="shared" si="13"/>
        <v>46284</v>
      </c>
      <c r="B71" s="33" t="str">
        <f t="shared" si="8"/>
        <v>Sat</v>
      </c>
      <c r="C71" s="33">
        <f t="shared" si="9"/>
        <v>1</v>
      </c>
      <c r="D71" s="33">
        <f t="shared" si="10"/>
        <v>0</v>
      </c>
      <c r="E71" s="33">
        <f>IF(COUNTIF(holidays!$A:$A,A71)&gt;0,1,0)</f>
        <v>0</v>
      </c>
      <c r="F71" s="33">
        <f>IF(COUNTIF('Prudence Holidays'!$A:$A,A71)&gt;0,1,0)</f>
        <v>0</v>
      </c>
      <c r="G71" s="33">
        <f t="shared" si="11"/>
        <v>1</v>
      </c>
      <c r="H71" s="33">
        <f t="shared" si="12"/>
        <v>0</v>
      </c>
      <c r="I71" s="33">
        <f t="shared" si="14"/>
        <v>56</v>
      </c>
      <c r="J71" s="33">
        <f t="shared" si="15"/>
        <v>47</v>
      </c>
    </row>
    <row r="72" spans="1:10">
      <c r="A72" s="32">
        <f t="shared" si="13"/>
        <v>46285</v>
      </c>
      <c r="B72" s="33" t="str">
        <f t="shared" si="8"/>
        <v>Sun</v>
      </c>
      <c r="C72" s="33">
        <f t="shared" si="9"/>
        <v>0</v>
      </c>
      <c r="D72" s="33">
        <f t="shared" si="10"/>
        <v>1</v>
      </c>
      <c r="E72" s="33">
        <f>IF(COUNTIF(holidays!$A:$A,A72)&gt;0,1,0)</f>
        <v>0</v>
      </c>
      <c r="F72" s="33">
        <f>IF(COUNTIF('Prudence Holidays'!$A:$A,A72)&gt;0,1,0)</f>
        <v>0</v>
      </c>
      <c r="G72" s="33">
        <f t="shared" si="11"/>
        <v>0</v>
      </c>
      <c r="H72" s="33">
        <f t="shared" si="12"/>
        <v>0</v>
      </c>
      <c r="I72" s="33">
        <f t="shared" si="14"/>
        <v>56</v>
      </c>
      <c r="J72" s="33">
        <f t="shared" si="15"/>
        <v>47</v>
      </c>
    </row>
    <row r="73" spans="1:10">
      <c r="A73" s="32">
        <f t="shared" si="13"/>
        <v>46286</v>
      </c>
      <c r="B73" s="33" t="str">
        <f t="shared" si="8"/>
        <v>Mon</v>
      </c>
      <c r="C73" s="33">
        <f t="shared" si="9"/>
        <v>0</v>
      </c>
      <c r="D73" s="33">
        <f t="shared" si="10"/>
        <v>0</v>
      </c>
      <c r="E73" s="33">
        <f>IF(COUNTIF(holidays!$A:$A,A73)&gt;0,1,0)</f>
        <v>0</v>
      </c>
      <c r="F73" s="33">
        <f>IF(COUNTIF('Prudence Holidays'!$A:$A,A73)&gt;0,1,0)</f>
        <v>0</v>
      </c>
      <c r="G73" s="33">
        <f t="shared" si="11"/>
        <v>1</v>
      </c>
      <c r="H73" s="33">
        <f t="shared" si="12"/>
        <v>1</v>
      </c>
      <c r="I73" s="33">
        <f t="shared" si="14"/>
        <v>57</v>
      </c>
      <c r="J73" s="33">
        <f t="shared" si="15"/>
        <v>48</v>
      </c>
    </row>
    <row r="74" spans="1:10">
      <c r="A74" s="32">
        <f t="shared" si="13"/>
        <v>46287</v>
      </c>
      <c r="B74" s="33" t="str">
        <f t="shared" si="8"/>
        <v>Tue</v>
      </c>
      <c r="C74" s="33">
        <f t="shared" si="9"/>
        <v>0</v>
      </c>
      <c r="D74" s="33">
        <f t="shared" si="10"/>
        <v>0</v>
      </c>
      <c r="E74" s="33">
        <f>IF(COUNTIF(holidays!$A:$A,A74)&gt;0,1,0)</f>
        <v>0</v>
      </c>
      <c r="F74" s="33">
        <f>IF(COUNTIF('Prudence Holidays'!$A:$A,A74)&gt;0,1,0)</f>
        <v>0</v>
      </c>
      <c r="G74" s="33">
        <f t="shared" si="11"/>
        <v>1</v>
      </c>
      <c r="H74" s="33">
        <f t="shared" si="12"/>
        <v>1</v>
      </c>
      <c r="I74" s="33">
        <f t="shared" si="14"/>
        <v>58</v>
      </c>
      <c r="J74" s="33">
        <f t="shared" si="15"/>
        <v>49</v>
      </c>
    </row>
    <row r="75" spans="1:10">
      <c r="A75" s="32">
        <f t="shared" si="13"/>
        <v>46288</v>
      </c>
      <c r="B75" s="33" t="str">
        <f t="shared" si="8"/>
        <v>Wed</v>
      </c>
      <c r="C75" s="33">
        <f t="shared" si="9"/>
        <v>0</v>
      </c>
      <c r="D75" s="33">
        <f t="shared" si="10"/>
        <v>0</v>
      </c>
      <c r="E75" s="33">
        <f>IF(COUNTIF(holidays!$A:$A,A75)&gt;0,1,0)</f>
        <v>0</v>
      </c>
      <c r="F75" s="33">
        <f>IF(COUNTIF('Prudence Holidays'!$A:$A,A75)&gt;0,1,0)</f>
        <v>0</v>
      </c>
      <c r="G75" s="33">
        <f t="shared" si="11"/>
        <v>1</v>
      </c>
      <c r="H75" s="33">
        <f t="shared" si="12"/>
        <v>1</v>
      </c>
      <c r="I75" s="33">
        <f t="shared" si="14"/>
        <v>59</v>
      </c>
      <c r="J75" s="33">
        <f t="shared" si="15"/>
        <v>50</v>
      </c>
    </row>
    <row r="76" spans="1:10">
      <c r="A76" s="32">
        <f t="shared" si="13"/>
        <v>46289</v>
      </c>
      <c r="B76" s="33" t="str">
        <f t="shared" si="8"/>
        <v>Thu</v>
      </c>
      <c r="C76" s="33">
        <f t="shared" si="9"/>
        <v>0</v>
      </c>
      <c r="D76" s="33">
        <f t="shared" si="10"/>
        <v>0</v>
      </c>
      <c r="E76" s="33">
        <f>IF(COUNTIF(holidays!$A:$A,A76)&gt;0,1,0)</f>
        <v>0</v>
      </c>
      <c r="F76" s="33">
        <f>IF(COUNTIF('Prudence Holidays'!$A:$A,A76)&gt;0,1,0)</f>
        <v>0</v>
      </c>
      <c r="G76" s="33">
        <f t="shared" si="11"/>
        <v>1</v>
      </c>
      <c r="H76" s="33">
        <f t="shared" si="12"/>
        <v>1</v>
      </c>
      <c r="I76" s="33">
        <f t="shared" si="14"/>
        <v>60</v>
      </c>
      <c r="J76" s="33">
        <f t="shared" si="15"/>
        <v>51</v>
      </c>
    </row>
    <row r="77" spans="1:10">
      <c r="A77" s="32">
        <f t="shared" si="13"/>
        <v>46290</v>
      </c>
      <c r="B77" s="33" t="str">
        <f t="shared" si="8"/>
        <v>Fri</v>
      </c>
      <c r="C77" s="33">
        <f t="shared" si="9"/>
        <v>0</v>
      </c>
      <c r="D77" s="33">
        <f t="shared" si="10"/>
        <v>0</v>
      </c>
      <c r="E77" s="33">
        <f>IF(COUNTIF(holidays!$A:$A,A77)&gt;0,1,0)</f>
        <v>0</v>
      </c>
      <c r="F77" s="33">
        <f>IF(COUNTIF('Prudence Holidays'!$A:$A,A77)&gt;0,1,0)</f>
        <v>0</v>
      </c>
      <c r="G77" s="33">
        <f t="shared" si="11"/>
        <v>1</v>
      </c>
      <c r="H77" s="33">
        <f t="shared" si="12"/>
        <v>1</v>
      </c>
      <c r="I77" s="33">
        <f t="shared" si="14"/>
        <v>61</v>
      </c>
      <c r="J77" s="33">
        <f t="shared" si="15"/>
        <v>52</v>
      </c>
    </row>
    <row r="78" spans="1:10">
      <c r="A78" s="32">
        <f t="shared" si="13"/>
        <v>46291</v>
      </c>
      <c r="B78" s="33" t="str">
        <f t="shared" si="8"/>
        <v>Sat</v>
      </c>
      <c r="C78" s="33">
        <f t="shared" si="9"/>
        <v>1</v>
      </c>
      <c r="D78" s="33">
        <f t="shared" si="10"/>
        <v>0</v>
      </c>
      <c r="E78" s="33">
        <f>IF(COUNTIF(holidays!$A:$A,A78)&gt;0,1,0)</f>
        <v>0</v>
      </c>
      <c r="F78" s="33">
        <f>IF(COUNTIF('Prudence Holidays'!$A:$A,A78)&gt;0,1,0)</f>
        <v>0</v>
      </c>
      <c r="G78" s="33">
        <f t="shared" si="11"/>
        <v>1</v>
      </c>
      <c r="H78" s="33">
        <f t="shared" si="12"/>
        <v>0</v>
      </c>
      <c r="I78" s="33">
        <f t="shared" si="14"/>
        <v>62</v>
      </c>
      <c r="J78" s="33">
        <f t="shared" si="15"/>
        <v>52</v>
      </c>
    </row>
    <row r="79" spans="1:10">
      <c r="A79" s="32">
        <f t="shared" si="13"/>
        <v>46292</v>
      </c>
      <c r="B79" s="33" t="str">
        <f t="shared" si="8"/>
        <v>Sun</v>
      </c>
      <c r="C79" s="33">
        <f t="shared" si="9"/>
        <v>0</v>
      </c>
      <c r="D79" s="33">
        <f t="shared" si="10"/>
        <v>1</v>
      </c>
      <c r="E79" s="33">
        <f>IF(COUNTIF(holidays!$A:$A,A79)&gt;0,1,0)</f>
        <v>0</v>
      </c>
      <c r="F79" s="33">
        <f>IF(COUNTIF('Prudence Holidays'!$A:$A,A79)&gt;0,1,0)</f>
        <v>0</v>
      </c>
      <c r="G79" s="33">
        <f t="shared" si="11"/>
        <v>0</v>
      </c>
      <c r="H79" s="33">
        <f t="shared" si="12"/>
        <v>0</v>
      </c>
      <c r="I79" s="33">
        <f t="shared" si="14"/>
        <v>62</v>
      </c>
      <c r="J79" s="33">
        <f t="shared" si="15"/>
        <v>52</v>
      </c>
    </row>
    <row r="80" spans="1:10">
      <c r="A80" s="32">
        <f t="shared" si="13"/>
        <v>46293</v>
      </c>
      <c r="B80" s="33" t="str">
        <f t="shared" si="8"/>
        <v>Mon</v>
      </c>
      <c r="C80" s="33">
        <f t="shared" si="9"/>
        <v>0</v>
      </c>
      <c r="D80" s="33">
        <f t="shared" si="10"/>
        <v>0</v>
      </c>
      <c r="E80" s="33">
        <f>IF(COUNTIF(holidays!$A:$A,A80)&gt;0,1,0)</f>
        <v>0</v>
      </c>
      <c r="F80" s="33">
        <f>IF(COUNTIF('Prudence Holidays'!$A:$A,A80)&gt;0,1,0)</f>
        <v>0</v>
      </c>
      <c r="G80" s="33">
        <f t="shared" si="11"/>
        <v>1</v>
      </c>
      <c r="H80" s="33">
        <f t="shared" si="12"/>
        <v>1</v>
      </c>
      <c r="I80" s="33">
        <f t="shared" si="14"/>
        <v>63</v>
      </c>
      <c r="J80" s="33">
        <f t="shared" si="15"/>
        <v>53</v>
      </c>
    </row>
    <row r="81" spans="1:10">
      <c r="A81" s="32">
        <f t="shared" si="13"/>
        <v>46294</v>
      </c>
      <c r="B81" s="33" t="str">
        <f t="shared" si="8"/>
        <v>Tue</v>
      </c>
      <c r="C81" s="33">
        <f t="shared" si="9"/>
        <v>0</v>
      </c>
      <c r="D81" s="33">
        <f t="shared" si="10"/>
        <v>0</v>
      </c>
      <c r="E81" s="33">
        <f>IF(COUNTIF(holidays!$A:$A,A81)&gt;0,1,0)</f>
        <v>0</v>
      </c>
      <c r="F81" s="33">
        <f>IF(COUNTIF('Prudence Holidays'!$A:$A,A81)&gt;0,1,0)</f>
        <v>0</v>
      </c>
      <c r="G81" s="33">
        <f t="shared" si="11"/>
        <v>1</v>
      </c>
      <c r="H81" s="33">
        <f t="shared" si="12"/>
        <v>1</v>
      </c>
      <c r="I81" s="33">
        <f t="shared" si="14"/>
        <v>64</v>
      </c>
      <c r="J81" s="33">
        <f t="shared" si="15"/>
        <v>54</v>
      </c>
    </row>
    <row r="82" spans="1:10">
      <c r="A82" s="32">
        <f t="shared" si="13"/>
        <v>46295</v>
      </c>
      <c r="B82" s="33" t="str">
        <f t="shared" si="8"/>
        <v>Wed</v>
      </c>
      <c r="C82" s="33">
        <f t="shared" si="9"/>
        <v>0</v>
      </c>
      <c r="D82" s="33">
        <f t="shared" si="10"/>
        <v>0</v>
      </c>
      <c r="E82" s="33">
        <f>IF(COUNTIF(holidays!$A:$A,A82)&gt;0,1,0)</f>
        <v>0</v>
      </c>
      <c r="F82" s="33">
        <f>IF(COUNTIF('Prudence Holidays'!$A:$A,A82)&gt;0,1,0)</f>
        <v>0</v>
      </c>
      <c r="G82" s="33">
        <f t="shared" si="11"/>
        <v>1</v>
      </c>
      <c r="H82" s="33">
        <f t="shared" si="12"/>
        <v>1</v>
      </c>
      <c r="I82" s="33">
        <f t="shared" si="14"/>
        <v>65</v>
      </c>
      <c r="J82" s="33">
        <f t="shared" si="15"/>
        <v>55</v>
      </c>
    </row>
    <row r="83" spans="1:10">
      <c r="A83" s="32">
        <f t="shared" si="13"/>
        <v>46296</v>
      </c>
      <c r="B83" s="33" t="str">
        <f t="shared" si="8"/>
        <v>Thu</v>
      </c>
      <c r="C83" s="33">
        <f t="shared" si="9"/>
        <v>0</v>
      </c>
      <c r="D83" s="33">
        <f t="shared" si="10"/>
        <v>0</v>
      </c>
      <c r="E83" s="33">
        <f>IF(COUNTIF(holidays!$A:$A,A83)&gt;0,1,0)</f>
        <v>0</v>
      </c>
      <c r="F83" s="33">
        <f>IF(COUNTIF('Prudence Holidays'!$A:$A,A83)&gt;0,1,0)</f>
        <v>0</v>
      </c>
      <c r="G83" s="33">
        <f t="shared" si="11"/>
        <v>1</v>
      </c>
      <c r="H83" s="33">
        <f t="shared" si="12"/>
        <v>1</v>
      </c>
      <c r="I83" s="33">
        <f t="shared" si="14"/>
        <v>66</v>
      </c>
      <c r="J83" s="33">
        <f t="shared" si="15"/>
        <v>56</v>
      </c>
    </row>
    <row r="84" spans="1:10">
      <c r="A84" s="32">
        <f t="shared" si="13"/>
        <v>46297</v>
      </c>
      <c r="B84" s="33" t="str">
        <f t="shared" si="8"/>
        <v>Fri</v>
      </c>
      <c r="C84" s="33">
        <f t="shared" si="9"/>
        <v>0</v>
      </c>
      <c r="D84" s="33">
        <f t="shared" si="10"/>
        <v>0</v>
      </c>
      <c r="E84" s="33">
        <f>IF(COUNTIF(holidays!$A:$A,A84)&gt;0,1,0)</f>
        <v>0</v>
      </c>
      <c r="F84" s="33">
        <f>IF(COUNTIF('Prudence Holidays'!$A:$A,A84)&gt;0,1,0)</f>
        <v>1</v>
      </c>
      <c r="G84" s="33">
        <f t="shared" si="11"/>
        <v>1</v>
      </c>
      <c r="H84" s="33">
        <f t="shared" si="12"/>
        <v>0</v>
      </c>
      <c r="I84" s="33">
        <f t="shared" si="14"/>
        <v>67</v>
      </c>
      <c r="J84" s="33">
        <f t="shared" si="15"/>
        <v>56</v>
      </c>
    </row>
    <row r="85" spans="1:10">
      <c r="A85" s="32">
        <f t="shared" si="13"/>
        <v>46298</v>
      </c>
      <c r="B85" s="33" t="str">
        <f t="shared" si="8"/>
        <v>Sat</v>
      </c>
      <c r="C85" s="33">
        <f t="shared" si="9"/>
        <v>1</v>
      </c>
      <c r="D85" s="33">
        <f t="shared" si="10"/>
        <v>0</v>
      </c>
      <c r="E85" s="33">
        <f>IF(COUNTIF(holidays!$A:$A,A85)&gt;0,1,0)</f>
        <v>0</v>
      </c>
      <c r="F85" s="33">
        <f>IF(COUNTIF('Prudence Holidays'!$A:$A,A85)&gt;0,1,0)</f>
        <v>0</v>
      </c>
      <c r="G85" s="33">
        <f t="shared" si="11"/>
        <v>1</v>
      </c>
      <c r="H85" s="33">
        <f t="shared" si="12"/>
        <v>0</v>
      </c>
      <c r="I85" s="33">
        <f t="shared" si="14"/>
        <v>68</v>
      </c>
      <c r="J85" s="33">
        <f t="shared" si="15"/>
        <v>56</v>
      </c>
    </row>
    <row r="86" spans="1:10">
      <c r="A86" s="32">
        <f t="shared" si="13"/>
        <v>46299</v>
      </c>
      <c r="B86" s="33" t="str">
        <f t="shared" si="8"/>
        <v>Sun</v>
      </c>
      <c r="C86" s="33">
        <f t="shared" si="9"/>
        <v>0</v>
      </c>
      <c r="D86" s="33">
        <f t="shared" si="10"/>
        <v>1</v>
      </c>
      <c r="E86" s="33">
        <f>IF(COUNTIF(holidays!$A:$A,A86)&gt;0,1,0)</f>
        <v>0</v>
      </c>
      <c r="F86" s="33">
        <f>IF(COUNTIF('Prudence Holidays'!$A:$A,A86)&gt;0,1,0)</f>
        <v>0</v>
      </c>
      <c r="G86" s="33">
        <f t="shared" si="11"/>
        <v>0</v>
      </c>
      <c r="H86" s="33">
        <f t="shared" si="12"/>
        <v>0</v>
      </c>
      <c r="I86" s="33">
        <f t="shared" si="14"/>
        <v>68</v>
      </c>
      <c r="J86" s="33">
        <f t="shared" si="15"/>
        <v>56</v>
      </c>
    </row>
    <row r="87" spans="1:10">
      <c r="A87" s="32">
        <f t="shared" si="13"/>
        <v>46300</v>
      </c>
      <c r="B87" s="33" t="str">
        <f t="shared" si="8"/>
        <v>Mon</v>
      </c>
      <c r="C87" s="33">
        <f t="shared" si="9"/>
        <v>0</v>
      </c>
      <c r="D87" s="33">
        <f t="shared" si="10"/>
        <v>0</v>
      </c>
      <c r="E87" s="33">
        <f>IF(COUNTIF(holidays!$A:$A,A87)&gt;0,1,0)</f>
        <v>0</v>
      </c>
      <c r="F87" s="33">
        <f>IF(COUNTIF('Prudence Holidays'!$A:$A,A87)&gt;0,1,0)</f>
        <v>0</v>
      </c>
      <c r="G87" s="33">
        <f t="shared" si="11"/>
        <v>1</v>
      </c>
      <c r="H87" s="33">
        <f t="shared" si="12"/>
        <v>1</v>
      </c>
      <c r="I87" s="33">
        <f t="shared" si="14"/>
        <v>69</v>
      </c>
      <c r="J87" s="33">
        <f t="shared" si="15"/>
        <v>57</v>
      </c>
    </row>
    <row r="88" spans="1:10">
      <c r="A88" s="32">
        <f t="shared" si="13"/>
        <v>46301</v>
      </c>
      <c r="B88" s="33" t="str">
        <f t="shared" si="8"/>
        <v>Tue</v>
      </c>
      <c r="C88" s="33">
        <f t="shared" si="9"/>
        <v>0</v>
      </c>
      <c r="D88" s="33">
        <f t="shared" si="10"/>
        <v>0</v>
      </c>
      <c r="E88" s="33">
        <f>IF(COUNTIF(holidays!$A:$A,A88)&gt;0,1,0)</f>
        <v>0</v>
      </c>
      <c r="F88" s="33">
        <f>IF(COUNTIF('Prudence Holidays'!$A:$A,A88)&gt;0,1,0)</f>
        <v>0</v>
      </c>
      <c r="G88" s="33">
        <f t="shared" si="11"/>
        <v>1</v>
      </c>
      <c r="H88" s="33">
        <f t="shared" si="12"/>
        <v>1</v>
      </c>
      <c r="I88" s="33">
        <f t="shared" si="14"/>
        <v>70</v>
      </c>
      <c r="J88" s="33">
        <f t="shared" si="15"/>
        <v>58</v>
      </c>
    </row>
    <row r="89" spans="1:10">
      <c r="A89" s="32">
        <f t="shared" si="13"/>
        <v>46302</v>
      </c>
      <c r="B89" s="33" t="str">
        <f t="shared" si="8"/>
        <v>Wed</v>
      </c>
      <c r="C89" s="33">
        <f t="shared" si="9"/>
        <v>0</v>
      </c>
      <c r="D89" s="33">
        <f t="shared" si="10"/>
        <v>0</v>
      </c>
      <c r="E89" s="33">
        <f>IF(COUNTIF(holidays!$A:$A,A89)&gt;0,1,0)</f>
        <v>0</v>
      </c>
      <c r="F89" s="33">
        <f>IF(COUNTIF('Prudence Holidays'!$A:$A,A89)&gt;0,1,0)</f>
        <v>0</v>
      </c>
      <c r="G89" s="33">
        <f t="shared" si="11"/>
        <v>1</v>
      </c>
      <c r="H89" s="33">
        <f t="shared" si="12"/>
        <v>1</v>
      </c>
      <c r="I89" s="33">
        <f t="shared" si="14"/>
        <v>71</v>
      </c>
      <c r="J89" s="33">
        <f t="shared" si="15"/>
        <v>59</v>
      </c>
    </row>
    <row r="90" spans="1:10">
      <c r="A90" s="32">
        <f t="shared" si="13"/>
        <v>46303</v>
      </c>
      <c r="B90" s="33" t="str">
        <f t="shared" si="8"/>
        <v>Thu</v>
      </c>
      <c r="C90" s="33">
        <f t="shared" si="9"/>
        <v>0</v>
      </c>
      <c r="D90" s="33">
        <f t="shared" si="10"/>
        <v>0</v>
      </c>
      <c r="E90" s="33">
        <f>IF(COUNTIF(holidays!$A:$A,A90)&gt;0,1,0)</f>
        <v>0</v>
      </c>
      <c r="F90" s="33">
        <f>IF(COUNTIF('Prudence Holidays'!$A:$A,A90)&gt;0,1,0)</f>
        <v>0</v>
      </c>
      <c r="G90" s="33">
        <f t="shared" si="11"/>
        <v>1</v>
      </c>
      <c r="H90" s="33">
        <f t="shared" si="12"/>
        <v>1</v>
      </c>
      <c r="I90" s="33">
        <f t="shared" si="14"/>
        <v>72</v>
      </c>
      <c r="J90" s="33">
        <f t="shared" si="15"/>
        <v>60</v>
      </c>
    </row>
    <row r="91" spans="1:10">
      <c r="A91" s="32">
        <f t="shared" si="13"/>
        <v>46304</v>
      </c>
      <c r="B91" s="33" t="str">
        <f t="shared" si="8"/>
        <v>Fri</v>
      </c>
      <c r="C91" s="33">
        <f t="shared" si="9"/>
        <v>0</v>
      </c>
      <c r="D91" s="33">
        <f t="shared" si="10"/>
        <v>0</v>
      </c>
      <c r="E91" s="33">
        <f>IF(COUNTIF(holidays!$A:$A,A91)&gt;0,1,0)</f>
        <v>0</v>
      </c>
      <c r="F91" s="33">
        <f>IF(COUNTIF('Prudence Holidays'!$A:$A,A91)&gt;0,1,0)</f>
        <v>0</v>
      </c>
      <c r="G91" s="33">
        <f t="shared" si="11"/>
        <v>1</v>
      </c>
      <c r="H91" s="33">
        <f t="shared" si="12"/>
        <v>1</v>
      </c>
      <c r="I91" s="33">
        <f t="shared" si="14"/>
        <v>73</v>
      </c>
      <c r="J91" s="33">
        <f t="shared" si="15"/>
        <v>61</v>
      </c>
    </row>
    <row r="92" spans="1:10">
      <c r="A92" s="32">
        <f t="shared" si="13"/>
        <v>46305</v>
      </c>
      <c r="B92" s="33" t="str">
        <f t="shared" si="8"/>
        <v>Sat</v>
      </c>
      <c r="C92" s="33">
        <f t="shared" si="9"/>
        <v>1</v>
      </c>
      <c r="D92" s="33">
        <f t="shared" si="10"/>
        <v>0</v>
      </c>
      <c r="E92" s="33">
        <f>IF(COUNTIF(holidays!$A:$A,A92)&gt;0,1,0)</f>
        <v>0</v>
      </c>
      <c r="F92" s="33">
        <f>IF(COUNTIF('Prudence Holidays'!$A:$A,A92)&gt;0,1,0)</f>
        <v>0</v>
      </c>
      <c r="G92" s="33">
        <f t="shared" si="11"/>
        <v>1</v>
      </c>
      <c r="H92" s="33">
        <f t="shared" si="12"/>
        <v>0</v>
      </c>
      <c r="I92" s="33">
        <f t="shared" si="14"/>
        <v>74</v>
      </c>
      <c r="J92" s="33">
        <f t="shared" si="15"/>
        <v>61</v>
      </c>
    </row>
    <row r="93" spans="1:10">
      <c r="A93" s="32">
        <f t="shared" si="13"/>
        <v>46306</v>
      </c>
      <c r="B93" s="33" t="str">
        <f t="shared" si="8"/>
        <v>Sun</v>
      </c>
      <c r="C93" s="33">
        <f t="shared" si="9"/>
        <v>0</v>
      </c>
      <c r="D93" s="33">
        <f t="shared" si="10"/>
        <v>1</v>
      </c>
      <c r="E93" s="33">
        <f>IF(COUNTIF(holidays!$A:$A,A93)&gt;0,1,0)</f>
        <v>0</v>
      </c>
      <c r="F93" s="33">
        <f>IF(COUNTIF('Prudence Holidays'!$A:$A,A93)&gt;0,1,0)</f>
        <v>0</v>
      </c>
      <c r="G93" s="33">
        <f t="shared" si="11"/>
        <v>0</v>
      </c>
      <c r="H93" s="33">
        <f t="shared" si="12"/>
        <v>0</v>
      </c>
      <c r="I93" s="33">
        <f t="shared" si="14"/>
        <v>74</v>
      </c>
      <c r="J93" s="33">
        <f t="shared" si="15"/>
        <v>61</v>
      </c>
    </row>
    <row r="94" spans="1:10">
      <c r="A94" s="32">
        <f t="shared" si="13"/>
        <v>46307</v>
      </c>
      <c r="B94" s="33" t="str">
        <f t="shared" si="8"/>
        <v>Mon</v>
      </c>
      <c r="C94" s="33">
        <f t="shared" si="9"/>
        <v>0</v>
      </c>
      <c r="D94" s="33">
        <f t="shared" si="10"/>
        <v>0</v>
      </c>
      <c r="E94" s="33">
        <f>IF(COUNTIF(holidays!$A:$A,A94)&gt;0,1,0)</f>
        <v>0</v>
      </c>
      <c r="F94" s="33">
        <f>IF(COUNTIF('Prudence Holidays'!$A:$A,A94)&gt;0,1,0)</f>
        <v>0</v>
      </c>
      <c r="G94" s="33">
        <f t="shared" si="11"/>
        <v>1</v>
      </c>
      <c r="H94" s="33">
        <f t="shared" si="12"/>
        <v>1</v>
      </c>
      <c r="I94" s="33">
        <f t="shared" si="14"/>
        <v>75</v>
      </c>
      <c r="J94" s="33">
        <f t="shared" si="15"/>
        <v>62</v>
      </c>
    </row>
    <row r="95" spans="1:10">
      <c r="A95" s="32">
        <f t="shared" si="13"/>
        <v>46308</v>
      </c>
      <c r="B95" s="33" t="str">
        <f t="shared" si="8"/>
        <v>Tue</v>
      </c>
      <c r="C95" s="33">
        <f t="shared" si="9"/>
        <v>0</v>
      </c>
      <c r="D95" s="33">
        <f t="shared" si="10"/>
        <v>0</v>
      </c>
      <c r="E95" s="33">
        <f>IF(COUNTIF(holidays!$A:$A,A95)&gt;0,1,0)</f>
        <v>0</v>
      </c>
      <c r="F95" s="33">
        <f>IF(COUNTIF('Prudence Holidays'!$A:$A,A95)&gt;0,1,0)</f>
        <v>0</v>
      </c>
      <c r="G95" s="33">
        <f t="shared" si="11"/>
        <v>1</v>
      </c>
      <c r="H95" s="33">
        <f t="shared" si="12"/>
        <v>1</v>
      </c>
      <c r="I95" s="33">
        <f t="shared" si="14"/>
        <v>76</v>
      </c>
      <c r="J95" s="33">
        <f t="shared" si="15"/>
        <v>63</v>
      </c>
    </row>
    <row r="96" spans="1:10">
      <c r="A96" s="32">
        <f t="shared" si="13"/>
        <v>46309</v>
      </c>
      <c r="B96" s="33" t="str">
        <f t="shared" si="8"/>
        <v>Wed</v>
      </c>
      <c r="C96" s="33">
        <f t="shared" si="9"/>
        <v>0</v>
      </c>
      <c r="D96" s="33">
        <f t="shared" si="10"/>
        <v>0</v>
      </c>
      <c r="E96" s="33">
        <f>IF(COUNTIF(holidays!$A:$A,A96)&gt;0,1,0)</f>
        <v>0</v>
      </c>
      <c r="F96" s="33">
        <f>IF(COUNTIF('Prudence Holidays'!$A:$A,A96)&gt;0,1,0)</f>
        <v>0</v>
      </c>
      <c r="G96" s="33">
        <f t="shared" si="11"/>
        <v>1</v>
      </c>
      <c r="H96" s="33">
        <f t="shared" si="12"/>
        <v>1</v>
      </c>
      <c r="I96" s="33">
        <f t="shared" si="14"/>
        <v>77</v>
      </c>
      <c r="J96" s="33">
        <f t="shared" si="15"/>
        <v>64</v>
      </c>
    </row>
    <row r="97" spans="1:10">
      <c r="A97" s="32">
        <f t="shared" si="13"/>
        <v>46310</v>
      </c>
      <c r="B97" s="33" t="str">
        <f t="shared" si="8"/>
        <v>Thu</v>
      </c>
      <c r="C97" s="33">
        <f t="shared" si="9"/>
        <v>0</v>
      </c>
      <c r="D97" s="33">
        <f t="shared" si="10"/>
        <v>0</v>
      </c>
      <c r="E97" s="33">
        <f>IF(COUNTIF(holidays!$A:$A,A97)&gt;0,1,0)</f>
        <v>0</v>
      </c>
      <c r="F97" s="33">
        <f>IF(COUNTIF('Prudence Holidays'!$A:$A,A97)&gt;0,1,0)</f>
        <v>0</v>
      </c>
      <c r="G97" s="33">
        <f t="shared" si="11"/>
        <v>1</v>
      </c>
      <c r="H97" s="33">
        <f t="shared" si="12"/>
        <v>1</v>
      </c>
      <c r="I97" s="33">
        <f t="shared" si="14"/>
        <v>78</v>
      </c>
      <c r="J97" s="33">
        <f t="shared" si="15"/>
        <v>65</v>
      </c>
    </row>
    <row r="98" spans="1:10">
      <c r="A98" s="32">
        <f t="shared" si="13"/>
        <v>46311</v>
      </c>
      <c r="B98" s="33" t="str">
        <f t="shared" si="8"/>
        <v>Fri</v>
      </c>
      <c r="C98" s="33">
        <f t="shared" si="9"/>
        <v>0</v>
      </c>
      <c r="D98" s="33">
        <f t="shared" si="10"/>
        <v>0</v>
      </c>
      <c r="E98" s="33">
        <f>IF(COUNTIF(holidays!$A:$A,A98)&gt;0,1,0)</f>
        <v>0</v>
      </c>
      <c r="F98" s="33">
        <f>IF(COUNTIF('Prudence Holidays'!$A:$A,A98)&gt;0,1,0)</f>
        <v>0</v>
      </c>
      <c r="G98" s="33">
        <f t="shared" si="11"/>
        <v>1</v>
      </c>
      <c r="H98" s="33">
        <f t="shared" si="12"/>
        <v>1</v>
      </c>
      <c r="I98" s="33">
        <f t="shared" si="14"/>
        <v>79</v>
      </c>
      <c r="J98" s="33">
        <f t="shared" si="15"/>
        <v>66</v>
      </c>
    </row>
    <row r="99" spans="1:10">
      <c r="A99" s="32">
        <f t="shared" si="13"/>
        <v>46312</v>
      </c>
      <c r="B99" s="33" t="str">
        <f t="shared" si="8"/>
        <v>Sat</v>
      </c>
      <c r="C99" s="33">
        <f t="shared" si="9"/>
        <v>1</v>
      </c>
      <c r="D99" s="33">
        <f t="shared" si="10"/>
        <v>0</v>
      </c>
      <c r="E99" s="33">
        <f>IF(COUNTIF(holidays!$A:$A,A99)&gt;0,1,0)</f>
        <v>0</v>
      </c>
      <c r="F99" s="33">
        <f>IF(COUNTIF('Prudence Holidays'!$A:$A,A99)&gt;0,1,0)</f>
        <v>0</v>
      </c>
      <c r="G99" s="33">
        <f t="shared" si="11"/>
        <v>1</v>
      </c>
      <c r="H99" s="33">
        <f t="shared" si="12"/>
        <v>0</v>
      </c>
      <c r="I99" s="33">
        <f t="shared" si="14"/>
        <v>80</v>
      </c>
      <c r="J99" s="33">
        <f t="shared" si="15"/>
        <v>66</v>
      </c>
    </row>
    <row r="100" spans="1:10">
      <c r="A100" s="32">
        <f t="shared" si="13"/>
        <v>46313</v>
      </c>
      <c r="B100" s="33" t="str">
        <f t="shared" si="8"/>
        <v>Sun</v>
      </c>
      <c r="C100" s="33">
        <f t="shared" si="9"/>
        <v>0</v>
      </c>
      <c r="D100" s="33">
        <f t="shared" si="10"/>
        <v>1</v>
      </c>
      <c r="E100" s="33">
        <f>IF(COUNTIF(holidays!$A:$A,A100)&gt;0,1,0)</f>
        <v>0</v>
      </c>
      <c r="F100" s="33">
        <f>IF(COUNTIF('Prudence Holidays'!$A:$A,A100)&gt;0,1,0)</f>
        <v>0</v>
      </c>
      <c r="G100" s="33">
        <f t="shared" si="11"/>
        <v>0</v>
      </c>
      <c r="H100" s="33">
        <f t="shared" si="12"/>
        <v>0</v>
      </c>
      <c r="I100" s="33">
        <f t="shared" si="14"/>
        <v>80</v>
      </c>
      <c r="J100" s="33">
        <f t="shared" si="15"/>
        <v>66</v>
      </c>
    </row>
    <row r="101" spans="1:10">
      <c r="A101" s="32">
        <f t="shared" si="13"/>
        <v>46314</v>
      </c>
      <c r="B101" s="33" t="str">
        <f t="shared" si="8"/>
        <v>Mon</v>
      </c>
      <c r="C101" s="33">
        <f t="shared" si="9"/>
        <v>0</v>
      </c>
      <c r="D101" s="33">
        <f t="shared" si="10"/>
        <v>0</v>
      </c>
      <c r="E101" s="33">
        <f>IF(COUNTIF(holidays!$A:$A,A101)&gt;0,1,0)</f>
        <v>0</v>
      </c>
      <c r="F101" s="33">
        <f>IF(COUNTIF('Prudence Holidays'!$A:$A,A101)&gt;0,1,0)</f>
        <v>0</v>
      </c>
      <c r="G101" s="33">
        <f t="shared" si="11"/>
        <v>1</v>
      </c>
      <c r="H101" s="33">
        <f t="shared" si="12"/>
        <v>1</v>
      </c>
      <c r="I101" s="33">
        <f t="shared" si="14"/>
        <v>81</v>
      </c>
      <c r="J101" s="33">
        <f t="shared" si="15"/>
        <v>67</v>
      </c>
    </row>
    <row r="102" spans="1:10">
      <c r="A102" s="32">
        <f t="shared" si="13"/>
        <v>46315</v>
      </c>
      <c r="B102" s="33" t="str">
        <f t="shared" si="8"/>
        <v>Tue</v>
      </c>
      <c r="C102" s="33">
        <f t="shared" si="9"/>
        <v>0</v>
      </c>
      <c r="D102" s="33">
        <f t="shared" si="10"/>
        <v>0</v>
      </c>
      <c r="E102" s="33">
        <f>IF(COUNTIF(holidays!$A:$A,A102)&gt;0,1,0)</f>
        <v>0</v>
      </c>
      <c r="F102" s="33">
        <f>IF(COUNTIF('Prudence Holidays'!$A:$A,A102)&gt;0,1,0)</f>
        <v>1</v>
      </c>
      <c r="G102" s="33">
        <f t="shared" si="11"/>
        <v>1</v>
      </c>
      <c r="H102" s="33">
        <f t="shared" si="12"/>
        <v>0</v>
      </c>
      <c r="I102" s="33">
        <f t="shared" si="14"/>
        <v>82</v>
      </c>
      <c r="J102" s="33">
        <f t="shared" si="15"/>
        <v>67</v>
      </c>
    </row>
    <row r="103" spans="1:10">
      <c r="A103" s="32">
        <f t="shared" si="13"/>
        <v>46316</v>
      </c>
      <c r="B103" s="33" t="str">
        <f t="shared" si="8"/>
        <v>Wed</v>
      </c>
      <c r="C103" s="33">
        <f t="shared" si="9"/>
        <v>0</v>
      </c>
      <c r="D103" s="33">
        <f t="shared" si="10"/>
        <v>0</v>
      </c>
      <c r="E103" s="33">
        <f>IF(COUNTIF(holidays!$A:$A,A103)&gt;0,1,0)</f>
        <v>0</v>
      </c>
      <c r="F103" s="33">
        <f>IF(COUNTIF('Prudence Holidays'!$A:$A,A103)&gt;0,1,0)</f>
        <v>0</v>
      </c>
      <c r="G103" s="33">
        <f t="shared" si="11"/>
        <v>1</v>
      </c>
      <c r="H103" s="33">
        <f t="shared" si="12"/>
        <v>1</v>
      </c>
      <c r="I103" s="33">
        <f t="shared" si="14"/>
        <v>83</v>
      </c>
      <c r="J103" s="33">
        <f t="shared" si="15"/>
        <v>68</v>
      </c>
    </row>
    <row r="104" spans="1:10">
      <c r="A104" s="32">
        <f t="shared" si="13"/>
        <v>46317</v>
      </c>
      <c r="B104" s="33" t="str">
        <f t="shared" si="8"/>
        <v>Thu</v>
      </c>
      <c r="C104" s="33">
        <f t="shared" si="9"/>
        <v>0</v>
      </c>
      <c r="D104" s="33">
        <f t="shared" si="10"/>
        <v>0</v>
      </c>
      <c r="E104" s="33">
        <f>IF(COUNTIF(holidays!$A:$A,A104)&gt;0,1,0)</f>
        <v>0</v>
      </c>
      <c r="F104" s="33">
        <f>IF(COUNTIF('Prudence Holidays'!$A:$A,A104)&gt;0,1,0)</f>
        <v>0</v>
      </c>
      <c r="G104" s="33">
        <f t="shared" si="11"/>
        <v>1</v>
      </c>
      <c r="H104" s="33">
        <f t="shared" si="12"/>
        <v>1</v>
      </c>
      <c r="I104" s="33">
        <f t="shared" si="14"/>
        <v>84</v>
      </c>
      <c r="J104" s="33">
        <f t="shared" si="15"/>
        <v>69</v>
      </c>
    </row>
    <row r="105" spans="1:10">
      <c r="A105" s="32">
        <f t="shared" si="13"/>
        <v>46318</v>
      </c>
      <c r="B105" s="33" t="str">
        <f t="shared" si="8"/>
        <v>Fri</v>
      </c>
      <c r="C105" s="33">
        <f t="shared" si="9"/>
        <v>0</v>
      </c>
      <c r="D105" s="33">
        <f t="shared" si="10"/>
        <v>0</v>
      </c>
      <c r="E105" s="33">
        <f>IF(COUNTIF(holidays!$A:$A,A105)&gt;0,1,0)</f>
        <v>0</v>
      </c>
      <c r="F105" s="33">
        <f>IF(COUNTIF('Prudence Holidays'!$A:$A,A105)&gt;0,1,0)</f>
        <v>0</v>
      </c>
      <c r="G105" s="33">
        <f t="shared" si="11"/>
        <v>1</v>
      </c>
      <c r="H105" s="33">
        <f t="shared" si="12"/>
        <v>1</v>
      </c>
      <c r="I105" s="33">
        <f t="shared" si="14"/>
        <v>85</v>
      </c>
      <c r="J105" s="33">
        <f t="shared" si="15"/>
        <v>70</v>
      </c>
    </row>
    <row r="106" spans="1:10">
      <c r="A106" s="32">
        <f t="shared" si="13"/>
        <v>46319</v>
      </c>
      <c r="B106" s="33" t="str">
        <f t="shared" si="8"/>
        <v>Sat</v>
      </c>
      <c r="C106" s="33">
        <f t="shared" si="9"/>
        <v>1</v>
      </c>
      <c r="D106" s="33">
        <f t="shared" si="10"/>
        <v>0</v>
      </c>
      <c r="E106" s="33">
        <f>IF(COUNTIF(holidays!$A:$A,A106)&gt;0,1,0)</f>
        <v>0</v>
      </c>
      <c r="F106" s="33">
        <f>IF(COUNTIF('Prudence Holidays'!$A:$A,A106)&gt;0,1,0)</f>
        <v>0</v>
      </c>
      <c r="G106" s="33">
        <f t="shared" si="11"/>
        <v>1</v>
      </c>
      <c r="H106" s="33">
        <f t="shared" si="12"/>
        <v>0</v>
      </c>
      <c r="I106" s="33">
        <f t="shared" si="14"/>
        <v>86</v>
      </c>
      <c r="J106" s="33">
        <f t="shared" si="15"/>
        <v>70</v>
      </c>
    </row>
    <row r="107" spans="1:10">
      <c r="A107" s="32">
        <f t="shared" si="13"/>
        <v>46320</v>
      </c>
      <c r="B107" s="33" t="str">
        <f t="shared" si="8"/>
        <v>Sun</v>
      </c>
      <c r="C107" s="33">
        <f t="shared" si="9"/>
        <v>0</v>
      </c>
      <c r="D107" s="33">
        <f t="shared" si="10"/>
        <v>1</v>
      </c>
      <c r="E107" s="33">
        <f>IF(COUNTIF(holidays!$A:$A,A107)&gt;0,1,0)</f>
        <v>0</v>
      </c>
      <c r="F107" s="33">
        <f>IF(COUNTIF('Prudence Holidays'!$A:$A,A107)&gt;0,1,0)</f>
        <v>0</v>
      </c>
      <c r="G107" s="33">
        <f t="shared" si="11"/>
        <v>0</v>
      </c>
      <c r="H107" s="33">
        <f t="shared" si="12"/>
        <v>0</v>
      </c>
      <c r="I107" s="33">
        <f t="shared" si="14"/>
        <v>86</v>
      </c>
      <c r="J107" s="33">
        <f t="shared" si="15"/>
        <v>70</v>
      </c>
    </row>
    <row r="108" spans="1:10">
      <c r="A108" s="32">
        <f t="shared" si="13"/>
        <v>46321</v>
      </c>
      <c r="B108" s="33" t="str">
        <f t="shared" si="8"/>
        <v>Mon</v>
      </c>
      <c r="C108" s="33">
        <f t="shared" si="9"/>
        <v>0</v>
      </c>
      <c r="D108" s="33">
        <f t="shared" si="10"/>
        <v>0</v>
      </c>
      <c r="E108" s="33">
        <f>IF(COUNTIF(holidays!$A:$A,A108)&gt;0,1,0)</f>
        <v>0</v>
      </c>
      <c r="F108" s="33">
        <f>IF(COUNTIF('Prudence Holidays'!$A:$A,A108)&gt;0,1,0)</f>
        <v>0</v>
      </c>
      <c r="G108" s="33">
        <f t="shared" si="11"/>
        <v>1</v>
      </c>
      <c r="H108" s="33">
        <f t="shared" si="12"/>
        <v>1</v>
      </c>
      <c r="I108" s="33">
        <f t="shared" si="14"/>
        <v>87</v>
      </c>
      <c r="J108" s="33">
        <f t="shared" si="15"/>
        <v>71</v>
      </c>
    </row>
    <row r="109" spans="1:10">
      <c r="A109" s="32">
        <f t="shared" si="13"/>
        <v>46322</v>
      </c>
      <c r="B109" s="33" t="str">
        <f t="shared" si="8"/>
        <v>Tue</v>
      </c>
      <c r="C109" s="33">
        <f t="shared" si="9"/>
        <v>0</v>
      </c>
      <c r="D109" s="33">
        <f t="shared" si="10"/>
        <v>0</v>
      </c>
      <c r="E109" s="33">
        <f>IF(COUNTIF(holidays!$A:$A,A109)&gt;0,1,0)</f>
        <v>0</v>
      </c>
      <c r="F109" s="33">
        <f>IF(COUNTIF('Prudence Holidays'!$A:$A,A109)&gt;0,1,0)</f>
        <v>0</v>
      </c>
      <c r="G109" s="33">
        <f t="shared" si="11"/>
        <v>1</v>
      </c>
      <c r="H109" s="33">
        <f t="shared" si="12"/>
        <v>1</v>
      </c>
      <c r="I109" s="33">
        <f t="shared" si="14"/>
        <v>88</v>
      </c>
      <c r="J109" s="33">
        <f t="shared" si="15"/>
        <v>72</v>
      </c>
    </row>
    <row r="110" spans="1:10">
      <c r="A110" s="32">
        <f t="shared" si="13"/>
        <v>46323</v>
      </c>
      <c r="B110" s="33" t="str">
        <f t="shared" si="8"/>
        <v>Wed</v>
      </c>
      <c r="C110" s="33">
        <f t="shared" si="9"/>
        <v>0</v>
      </c>
      <c r="D110" s="33">
        <f t="shared" si="10"/>
        <v>0</v>
      </c>
      <c r="E110" s="33">
        <f>IF(COUNTIF(holidays!$A:$A,A110)&gt;0,1,0)</f>
        <v>0</v>
      </c>
      <c r="F110" s="33">
        <f>IF(COUNTIF('Prudence Holidays'!$A:$A,A110)&gt;0,1,0)</f>
        <v>0</v>
      </c>
      <c r="G110" s="33">
        <f t="shared" si="11"/>
        <v>1</v>
      </c>
      <c r="H110" s="33">
        <f t="shared" si="12"/>
        <v>1</v>
      </c>
      <c r="I110" s="33">
        <f t="shared" si="14"/>
        <v>89</v>
      </c>
      <c r="J110" s="33">
        <f t="shared" si="15"/>
        <v>73</v>
      </c>
    </row>
    <row r="111" spans="1:10">
      <c r="A111" s="32">
        <f t="shared" si="13"/>
        <v>46324</v>
      </c>
      <c r="B111" s="33" t="str">
        <f t="shared" si="8"/>
        <v>Thu</v>
      </c>
      <c r="C111" s="33">
        <f t="shared" si="9"/>
        <v>0</v>
      </c>
      <c r="D111" s="33">
        <f t="shared" si="10"/>
        <v>0</v>
      </c>
      <c r="E111" s="33">
        <f>IF(COUNTIF(holidays!$A:$A,A111)&gt;0,1,0)</f>
        <v>0</v>
      </c>
      <c r="F111" s="33">
        <f>IF(COUNTIF('Prudence Holidays'!$A:$A,A111)&gt;0,1,0)</f>
        <v>0</v>
      </c>
      <c r="G111" s="33">
        <f t="shared" si="11"/>
        <v>1</v>
      </c>
      <c r="H111" s="33">
        <f t="shared" si="12"/>
        <v>1</v>
      </c>
      <c r="I111" s="33">
        <f t="shared" si="14"/>
        <v>90</v>
      </c>
      <c r="J111" s="33">
        <f t="shared" si="15"/>
        <v>74</v>
      </c>
    </row>
    <row r="112" spans="1:10">
      <c r="A112" s="32">
        <f t="shared" si="13"/>
        <v>46325</v>
      </c>
      <c r="B112" s="33" t="str">
        <f t="shared" si="8"/>
        <v>Fri</v>
      </c>
      <c r="C112" s="33">
        <f t="shared" si="9"/>
        <v>0</v>
      </c>
      <c r="D112" s="33">
        <f t="shared" si="10"/>
        <v>0</v>
      </c>
      <c r="E112" s="33">
        <f>IF(COUNTIF(holidays!$A:$A,A112)&gt;0,1,0)</f>
        <v>0</v>
      </c>
      <c r="F112" s="33">
        <f>IF(COUNTIF('Prudence Holidays'!$A:$A,A112)&gt;0,1,0)</f>
        <v>0</v>
      </c>
      <c r="G112" s="33">
        <f t="shared" si="11"/>
        <v>1</v>
      </c>
      <c r="H112" s="33">
        <f t="shared" si="12"/>
        <v>1</v>
      </c>
      <c r="I112" s="33">
        <f t="shared" si="14"/>
        <v>91</v>
      </c>
      <c r="J112" s="33">
        <f t="shared" si="15"/>
        <v>75</v>
      </c>
    </row>
    <row r="113" spans="1:10">
      <c r="A113" s="32">
        <f t="shared" si="13"/>
        <v>46326</v>
      </c>
      <c r="B113" s="33" t="str">
        <f t="shared" si="8"/>
        <v>Sat</v>
      </c>
      <c r="C113" s="33">
        <f t="shared" si="9"/>
        <v>1</v>
      </c>
      <c r="D113" s="33">
        <f t="shared" si="10"/>
        <v>0</v>
      </c>
      <c r="E113" s="33">
        <f>IF(COUNTIF(holidays!$A:$A,A113)&gt;0,1,0)</f>
        <v>0</v>
      </c>
      <c r="F113" s="33">
        <f>IF(COUNTIF('Prudence Holidays'!$A:$A,A113)&gt;0,1,0)</f>
        <v>0</v>
      </c>
      <c r="G113" s="33">
        <f t="shared" si="11"/>
        <v>1</v>
      </c>
      <c r="H113" s="33">
        <f t="shared" si="12"/>
        <v>0</v>
      </c>
      <c r="I113" s="33">
        <f t="shared" si="14"/>
        <v>92</v>
      </c>
      <c r="J113" s="33">
        <f t="shared" si="15"/>
        <v>75</v>
      </c>
    </row>
    <row r="114" spans="1:10">
      <c r="A114" s="32">
        <f t="shared" si="13"/>
        <v>46327</v>
      </c>
      <c r="B114" s="33" t="str">
        <f t="shared" si="8"/>
        <v>Sun</v>
      </c>
      <c r="C114" s="33">
        <f t="shared" si="9"/>
        <v>0</v>
      </c>
      <c r="D114" s="33">
        <f t="shared" si="10"/>
        <v>1</v>
      </c>
      <c r="E114" s="33">
        <f>IF(COUNTIF(holidays!$A:$A,A114)&gt;0,1,0)</f>
        <v>0</v>
      </c>
      <c r="F114" s="33">
        <f>IF(COUNTIF('Prudence Holidays'!$A:$A,A114)&gt;0,1,0)</f>
        <v>0</v>
      </c>
      <c r="G114" s="33">
        <f t="shared" si="11"/>
        <v>0</v>
      </c>
      <c r="H114" s="33">
        <f t="shared" si="12"/>
        <v>0</v>
      </c>
      <c r="I114" s="33">
        <f t="shared" si="14"/>
        <v>92</v>
      </c>
      <c r="J114" s="33">
        <f t="shared" si="15"/>
        <v>75</v>
      </c>
    </row>
    <row r="115" spans="1:10">
      <c r="A115" s="32">
        <f t="shared" si="13"/>
        <v>46328</v>
      </c>
      <c r="B115" s="33" t="str">
        <f t="shared" si="8"/>
        <v>Mon</v>
      </c>
      <c r="C115" s="33">
        <f t="shared" si="9"/>
        <v>0</v>
      </c>
      <c r="D115" s="33">
        <f t="shared" si="10"/>
        <v>0</v>
      </c>
      <c r="E115" s="33">
        <f>IF(COUNTIF(holidays!$A:$A,A115)&gt;0,1,0)</f>
        <v>0</v>
      </c>
      <c r="F115" s="33">
        <f>IF(COUNTIF('Prudence Holidays'!$A:$A,A115)&gt;0,1,0)</f>
        <v>0</v>
      </c>
      <c r="G115" s="33">
        <f t="shared" si="11"/>
        <v>1</v>
      </c>
      <c r="H115" s="33">
        <f t="shared" si="12"/>
        <v>1</v>
      </c>
      <c r="I115" s="33">
        <f t="shared" si="14"/>
        <v>93</v>
      </c>
      <c r="J115" s="33">
        <f t="shared" si="15"/>
        <v>76</v>
      </c>
    </row>
    <row r="116" spans="1:10">
      <c r="A116" s="32">
        <f t="shared" si="13"/>
        <v>46329</v>
      </c>
      <c r="B116" s="33" t="str">
        <f t="shared" si="8"/>
        <v>Tue</v>
      </c>
      <c r="C116" s="33">
        <f t="shared" si="9"/>
        <v>0</v>
      </c>
      <c r="D116" s="33">
        <f t="shared" si="10"/>
        <v>0</v>
      </c>
      <c r="E116" s="33">
        <f>IF(COUNTIF(holidays!$A:$A,A116)&gt;0,1,0)</f>
        <v>0</v>
      </c>
      <c r="F116" s="33">
        <f>IF(COUNTIF('Prudence Holidays'!$A:$A,A116)&gt;0,1,0)</f>
        <v>0</v>
      </c>
      <c r="G116" s="33">
        <f t="shared" si="11"/>
        <v>1</v>
      </c>
      <c r="H116" s="33">
        <f t="shared" si="12"/>
        <v>1</v>
      </c>
      <c r="I116" s="33">
        <f t="shared" si="14"/>
        <v>94</v>
      </c>
      <c r="J116" s="33">
        <f t="shared" si="15"/>
        <v>77</v>
      </c>
    </row>
    <row r="117" spans="1:10">
      <c r="A117" s="32">
        <f t="shared" si="13"/>
        <v>46330</v>
      </c>
      <c r="B117" s="33" t="str">
        <f t="shared" si="8"/>
        <v>Wed</v>
      </c>
      <c r="C117" s="33">
        <f t="shared" si="9"/>
        <v>0</v>
      </c>
      <c r="D117" s="33">
        <f t="shared" si="10"/>
        <v>0</v>
      </c>
      <c r="E117" s="33">
        <f>IF(COUNTIF(holidays!$A:$A,A117)&gt;0,1,0)</f>
        <v>0</v>
      </c>
      <c r="F117" s="33">
        <f>IF(COUNTIF('Prudence Holidays'!$A:$A,A117)&gt;0,1,0)</f>
        <v>0</v>
      </c>
      <c r="G117" s="33">
        <f t="shared" si="11"/>
        <v>1</v>
      </c>
      <c r="H117" s="33">
        <f t="shared" si="12"/>
        <v>1</v>
      </c>
      <c r="I117" s="33">
        <f t="shared" si="14"/>
        <v>95</v>
      </c>
      <c r="J117" s="33">
        <f t="shared" si="15"/>
        <v>78</v>
      </c>
    </row>
    <row r="118" spans="1:10">
      <c r="A118" s="32">
        <f t="shared" si="13"/>
        <v>46331</v>
      </c>
      <c r="B118" s="33" t="str">
        <f t="shared" si="8"/>
        <v>Thu</v>
      </c>
      <c r="C118" s="33">
        <f t="shared" si="9"/>
        <v>0</v>
      </c>
      <c r="D118" s="33">
        <f t="shared" si="10"/>
        <v>0</v>
      </c>
      <c r="E118" s="33">
        <f>IF(COUNTIF(holidays!$A:$A,A118)&gt;0,1,0)</f>
        <v>0</v>
      </c>
      <c r="F118" s="33">
        <f>IF(COUNTIF('Prudence Holidays'!$A:$A,A118)&gt;0,1,0)</f>
        <v>0</v>
      </c>
      <c r="G118" s="33">
        <f t="shared" si="11"/>
        <v>1</v>
      </c>
      <c r="H118" s="33">
        <f t="shared" si="12"/>
        <v>1</v>
      </c>
      <c r="I118" s="33">
        <f t="shared" si="14"/>
        <v>96</v>
      </c>
      <c r="J118" s="33">
        <f t="shared" si="15"/>
        <v>79</v>
      </c>
    </row>
    <row r="119" spans="1:10">
      <c r="A119" s="32">
        <f t="shared" si="13"/>
        <v>46332</v>
      </c>
      <c r="B119" s="33" t="str">
        <f t="shared" si="8"/>
        <v>Fri</v>
      </c>
      <c r="C119" s="33">
        <f t="shared" si="9"/>
        <v>0</v>
      </c>
      <c r="D119" s="33">
        <f t="shared" si="10"/>
        <v>0</v>
      </c>
      <c r="E119" s="33">
        <f>IF(COUNTIF(holidays!$A:$A,A119)&gt;0,1,0)</f>
        <v>0</v>
      </c>
      <c r="F119" s="33">
        <f>IF(COUNTIF('Prudence Holidays'!$A:$A,A119)&gt;0,1,0)</f>
        <v>0</v>
      </c>
      <c r="G119" s="33">
        <f t="shared" si="11"/>
        <v>1</v>
      </c>
      <c r="H119" s="33">
        <f t="shared" si="12"/>
        <v>1</v>
      </c>
      <c r="I119" s="33">
        <f t="shared" si="14"/>
        <v>97</v>
      </c>
      <c r="J119" s="33">
        <f t="shared" si="15"/>
        <v>80</v>
      </c>
    </row>
    <row r="120" spans="1:10">
      <c r="A120" s="32">
        <f t="shared" si="13"/>
        <v>46333</v>
      </c>
      <c r="B120" s="33" t="str">
        <f t="shared" si="8"/>
        <v>Sat</v>
      </c>
      <c r="C120" s="33">
        <f t="shared" si="9"/>
        <v>1</v>
      </c>
      <c r="D120" s="33">
        <f t="shared" si="10"/>
        <v>0</v>
      </c>
      <c r="E120" s="33">
        <f>IF(COUNTIF(holidays!$A:$A,A120)&gt;0,1,0)</f>
        <v>0</v>
      </c>
      <c r="F120" s="33">
        <f>IF(COUNTIF('Prudence Holidays'!$A:$A,A120)&gt;0,1,0)</f>
        <v>0</v>
      </c>
      <c r="G120" s="33">
        <f t="shared" si="11"/>
        <v>1</v>
      </c>
      <c r="H120" s="33">
        <f t="shared" si="12"/>
        <v>0</v>
      </c>
      <c r="I120" s="33">
        <f t="shared" si="14"/>
        <v>98</v>
      </c>
      <c r="J120" s="33">
        <f t="shared" si="15"/>
        <v>80</v>
      </c>
    </row>
    <row r="121" spans="1:10">
      <c r="A121" s="32">
        <f t="shared" si="13"/>
        <v>46334</v>
      </c>
      <c r="B121" s="33" t="str">
        <f t="shared" si="8"/>
        <v>Sun</v>
      </c>
      <c r="C121" s="33">
        <f t="shared" si="9"/>
        <v>0</v>
      </c>
      <c r="D121" s="33">
        <f t="shared" si="10"/>
        <v>1</v>
      </c>
      <c r="E121" s="33">
        <f>IF(COUNTIF(holidays!$A:$A,A121)&gt;0,1,0)</f>
        <v>0</v>
      </c>
      <c r="F121" s="33">
        <f>IF(COUNTIF('Prudence Holidays'!$A:$A,A121)&gt;0,1,0)</f>
        <v>0</v>
      </c>
      <c r="G121" s="33">
        <f t="shared" si="11"/>
        <v>0</v>
      </c>
      <c r="H121" s="33">
        <f t="shared" si="12"/>
        <v>0</v>
      </c>
      <c r="I121" s="33">
        <f t="shared" si="14"/>
        <v>98</v>
      </c>
      <c r="J121" s="33">
        <f t="shared" si="15"/>
        <v>80</v>
      </c>
    </row>
    <row r="122" spans="1:10">
      <c r="A122" s="32">
        <f t="shared" si="13"/>
        <v>46335</v>
      </c>
      <c r="B122" s="33" t="str">
        <f t="shared" si="8"/>
        <v>Mon</v>
      </c>
      <c r="C122" s="33">
        <f t="shared" si="9"/>
        <v>0</v>
      </c>
      <c r="D122" s="33">
        <f t="shared" si="10"/>
        <v>0</v>
      </c>
      <c r="E122" s="33">
        <f>IF(COUNTIF(holidays!$A:$A,A122)&gt;0,1,0)</f>
        <v>0</v>
      </c>
      <c r="F122" s="33">
        <f>IF(COUNTIF('Prudence Holidays'!$A:$A,A122)&gt;0,1,0)</f>
        <v>1</v>
      </c>
      <c r="G122" s="33">
        <f t="shared" si="11"/>
        <v>1</v>
      </c>
      <c r="H122" s="33">
        <f t="shared" si="12"/>
        <v>0</v>
      </c>
      <c r="I122" s="33">
        <f t="shared" si="14"/>
        <v>99</v>
      </c>
      <c r="J122" s="33">
        <f t="shared" si="15"/>
        <v>80</v>
      </c>
    </row>
    <row r="123" spans="1:10">
      <c r="A123" s="32">
        <f t="shared" si="13"/>
        <v>46336</v>
      </c>
      <c r="B123" s="33" t="str">
        <f t="shared" si="8"/>
        <v>Tue</v>
      </c>
      <c r="C123" s="33">
        <f t="shared" si="9"/>
        <v>0</v>
      </c>
      <c r="D123" s="33">
        <f t="shared" si="10"/>
        <v>0</v>
      </c>
      <c r="E123" s="33">
        <f>IF(COUNTIF(holidays!$A:$A,A123)&gt;0,1,0)</f>
        <v>0</v>
      </c>
      <c r="F123" s="33">
        <f>IF(COUNTIF('Prudence Holidays'!$A:$A,A123)&gt;0,1,0)</f>
        <v>0</v>
      </c>
      <c r="G123" s="33">
        <f t="shared" si="11"/>
        <v>1</v>
      </c>
      <c r="H123" s="33">
        <f t="shared" si="12"/>
        <v>1</v>
      </c>
      <c r="I123" s="33">
        <f t="shared" si="14"/>
        <v>100</v>
      </c>
      <c r="J123" s="33">
        <f t="shared" si="15"/>
        <v>81</v>
      </c>
    </row>
    <row r="124" spans="1:10">
      <c r="A124" s="32">
        <f t="shared" si="13"/>
        <v>46337</v>
      </c>
      <c r="B124" s="33" t="str">
        <f t="shared" si="8"/>
        <v>Wed</v>
      </c>
      <c r="C124" s="33">
        <f t="shared" si="9"/>
        <v>0</v>
      </c>
      <c r="D124" s="33">
        <f t="shared" si="10"/>
        <v>0</v>
      </c>
      <c r="E124" s="33">
        <f>IF(COUNTIF(holidays!$A:$A,A124)&gt;0,1,0)</f>
        <v>0</v>
      </c>
      <c r="F124" s="33">
        <f>IF(COUNTIF('Prudence Holidays'!$A:$A,A124)&gt;0,1,0)</f>
        <v>1</v>
      </c>
      <c r="G124" s="33">
        <f t="shared" si="11"/>
        <v>1</v>
      </c>
      <c r="H124" s="33">
        <f t="shared" si="12"/>
        <v>0</v>
      </c>
      <c r="I124" s="33">
        <f t="shared" si="14"/>
        <v>101</v>
      </c>
      <c r="J124" s="33">
        <f t="shared" si="15"/>
        <v>81</v>
      </c>
    </row>
    <row r="125" spans="1:10">
      <c r="A125" s="32">
        <f t="shared" si="13"/>
        <v>46338</v>
      </c>
      <c r="B125" s="33" t="str">
        <f t="shared" si="8"/>
        <v>Thu</v>
      </c>
      <c r="C125" s="33">
        <f t="shared" si="9"/>
        <v>0</v>
      </c>
      <c r="D125" s="33">
        <f t="shared" si="10"/>
        <v>0</v>
      </c>
      <c r="E125" s="33">
        <f>IF(COUNTIF(holidays!$A:$A,A125)&gt;0,1,0)</f>
        <v>0</v>
      </c>
      <c r="F125" s="33">
        <f>IF(COUNTIF('Prudence Holidays'!$A:$A,A125)&gt;0,1,0)</f>
        <v>0</v>
      </c>
      <c r="G125" s="33">
        <f t="shared" si="11"/>
        <v>1</v>
      </c>
      <c r="H125" s="33">
        <f t="shared" si="12"/>
        <v>1</v>
      </c>
      <c r="I125" s="33">
        <f t="shared" si="14"/>
        <v>102</v>
      </c>
      <c r="J125" s="33">
        <f t="shared" si="15"/>
        <v>82</v>
      </c>
    </row>
    <row r="126" spans="1:10">
      <c r="A126" s="32">
        <f t="shared" si="13"/>
        <v>46339</v>
      </c>
      <c r="B126" s="33" t="str">
        <f t="shared" si="8"/>
        <v>Fri</v>
      </c>
      <c r="C126" s="33">
        <f t="shared" si="9"/>
        <v>0</v>
      </c>
      <c r="D126" s="33">
        <f t="shared" si="10"/>
        <v>0</v>
      </c>
      <c r="E126" s="33">
        <f>IF(COUNTIF(holidays!$A:$A,A126)&gt;0,1,0)</f>
        <v>0</v>
      </c>
      <c r="F126" s="33">
        <f>IF(COUNTIF('Prudence Holidays'!$A:$A,A126)&gt;0,1,0)</f>
        <v>0</v>
      </c>
      <c r="G126" s="33">
        <f t="shared" si="11"/>
        <v>1</v>
      </c>
      <c r="H126" s="33">
        <f t="shared" si="12"/>
        <v>1</v>
      </c>
      <c r="I126" s="33">
        <f t="shared" si="14"/>
        <v>103</v>
      </c>
      <c r="J126" s="33">
        <f t="shared" si="15"/>
        <v>83</v>
      </c>
    </row>
    <row r="127" spans="1:10">
      <c r="A127" s="32">
        <f t="shared" si="13"/>
        <v>46340</v>
      </c>
      <c r="B127" s="33" t="str">
        <f t="shared" si="8"/>
        <v>Sat</v>
      </c>
      <c r="C127" s="33">
        <f t="shared" si="9"/>
        <v>1</v>
      </c>
      <c r="D127" s="33">
        <f t="shared" si="10"/>
        <v>0</v>
      </c>
      <c r="E127" s="33">
        <f>IF(COUNTIF(holidays!$A:$A,A127)&gt;0,1,0)</f>
        <v>0</v>
      </c>
      <c r="F127" s="33">
        <f>IF(COUNTIF('Prudence Holidays'!$A:$A,A127)&gt;0,1,0)</f>
        <v>0</v>
      </c>
      <c r="G127" s="33">
        <f t="shared" si="11"/>
        <v>1</v>
      </c>
      <c r="H127" s="33">
        <f t="shared" si="12"/>
        <v>0</v>
      </c>
      <c r="I127" s="33">
        <f t="shared" si="14"/>
        <v>104</v>
      </c>
      <c r="J127" s="33">
        <f t="shared" si="15"/>
        <v>83</v>
      </c>
    </row>
    <row r="128" spans="1:10">
      <c r="A128" s="32">
        <f t="shared" si="13"/>
        <v>46341</v>
      </c>
      <c r="B128" s="33" t="str">
        <f t="shared" si="8"/>
        <v>Sun</v>
      </c>
      <c r="C128" s="33">
        <f t="shared" si="9"/>
        <v>0</v>
      </c>
      <c r="D128" s="33">
        <f t="shared" si="10"/>
        <v>1</v>
      </c>
      <c r="E128" s="33">
        <f>IF(COUNTIF(holidays!$A:$A,A128)&gt;0,1,0)</f>
        <v>0</v>
      </c>
      <c r="F128" s="33">
        <f>IF(COUNTIF('Prudence Holidays'!$A:$A,A128)&gt;0,1,0)</f>
        <v>0</v>
      </c>
      <c r="G128" s="33">
        <f t="shared" si="11"/>
        <v>0</v>
      </c>
      <c r="H128" s="33">
        <f t="shared" si="12"/>
        <v>0</v>
      </c>
      <c r="I128" s="33">
        <f t="shared" si="14"/>
        <v>104</v>
      </c>
      <c r="J128" s="33">
        <f t="shared" si="15"/>
        <v>83</v>
      </c>
    </row>
    <row r="129" spans="1:10">
      <c r="A129" s="32">
        <f t="shared" si="13"/>
        <v>46342</v>
      </c>
      <c r="B129" s="33" t="str">
        <f t="shared" si="8"/>
        <v>Mon</v>
      </c>
      <c r="C129" s="33">
        <f t="shared" si="9"/>
        <v>0</v>
      </c>
      <c r="D129" s="33">
        <f t="shared" si="10"/>
        <v>0</v>
      </c>
      <c r="E129" s="33">
        <f>IF(COUNTIF(holidays!$A:$A,A129)&gt;0,1,0)</f>
        <v>0</v>
      </c>
      <c r="F129" s="33">
        <f>IF(COUNTIF('Prudence Holidays'!$A:$A,A129)&gt;0,1,0)</f>
        <v>0</v>
      </c>
      <c r="G129" s="33">
        <f t="shared" si="11"/>
        <v>1</v>
      </c>
      <c r="H129" s="33">
        <f t="shared" si="12"/>
        <v>1</v>
      </c>
      <c r="I129" s="33">
        <f t="shared" si="14"/>
        <v>105</v>
      </c>
      <c r="J129" s="33">
        <f t="shared" si="15"/>
        <v>84</v>
      </c>
    </row>
    <row r="130" spans="1:10">
      <c r="A130" s="32">
        <f t="shared" si="13"/>
        <v>46343</v>
      </c>
      <c r="B130" s="33" t="str">
        <f t="shared" si="8"/>
        <v>Tue</v>
      </c>
      <c r="C130" s="33">
        <f t="shared" si="9"/>
        <v>0</v>
      </c>
      <c r="D130" s="33">
        <f t="shared" si="10"/>
        <v>0</v>
      </c>
      <c r="E130" s="33">
        <f>IF(COUNTIF(holidays!$A:$A,A130)&gt;0,1,0)</f>
        <v>0</v>
      </c>
      <c r="F130" s="33">
        <f>IF(COUNTIF('Prudence Holidays'!$A:$A,A130)&gt;0,1,0)</f>
        <v>0</v>
      </c>
      <c r="G130" s="33">
        <f t="shared" si="11"/>
        <v>1</v>
      </c>
      <c r="H130" s="33">
        <f t="shared" si="12"/>
        <v>1</v>
      </c>
      <c r="I130" s="33">
        <f t="shared" si="14"/>
        <v>106</v>
      </c>
      <c r="J130" s="33">
        <f t="shared" si="15"/>
        <v>85</v>
      </c>
    </row>
    <row r="131" spans="1:10">
      <c r="A131" s="32">
        <f t="shared" si="13"/>
        <v>46344</v>
      </c>
      <c r="B131" s="33" t="str">
        <f t="shared" si="8"/>
        <v>Wed</v>
      </c>
      <c r="C131" s="33">
        <f t="shared" si="9"/>
        <v>0</v>
      </c>
      <c r="D131" s="33">
        <f t="shared" si="10"/>
        <v>0</v>
      </c>
      <c r="E131" s="33">
        <f>IF(COUNTIF(holidays!$A:$A,A131)&gt;0,1,0)</f>
        <v>0</v>
      </c>
      <c r="F131" s="33">
        <f>IF(COUNTIF('Prudence Holidays'!$A:$A,A131)&gt;0,1,0)</f>
        <v>0</v>
      </c>
      <c r="G131" s="33">
        <f t="shared" si="11"/>
        <v>1</v>
      </c>
      <c r="H131" s="33">
        <f t="shared" si="12"/>
        <v>1</v>
      </c>
      <c r="I131" s="33">
        <f t="shared" si="14"/>
        <v>107</v>
      </c>
      <c r="J131" s="33">
        <f t="shared" si="15"/>
        <v>86</v>
      </c>
    </row>
    <row r="132" spans="1:10">
      <c r="A132" s="32">
        <f t="shared" si="13"/>
        <v>46345</v>
      </c>
      <c r="B132" s="33" t="str">
        <f t="shared" si="8"/>
        <v>Thu</v>
      </c>
      <c r="C132" s="33">
        <f t="shared" si="9"/>
        <v>0</v>
      </c>
      <c r="D132" s="33">
        <f t="shared" si="10"/>
        <v>0</v>
      </c>
      <c r="E132" s="33">
        <f>IF(COUNTIF(holidays!$A:$A,A132)&gt;0,1,0)</f>
        <v>0</v>
      </c>
      <c r="F132" s="33">
        <f>IF(COUNTIF('Prudence Holidays'!$A:$A,A132)&gt;0,1,0)</f>
        <v>0</v>
      </c>
      <c r="G132" s="33">
        <f t="shared" si="11"/>
        <v>1</v>
      </c>
      <c r="H132" s="33">
        <f t="shared" si="12"/>
        <v>1</v>
      </c>
      <c r="I132" s="33">
        <f t="shared" si="14"/>
        <v>108</v>
      </c>
      <c r="J132" s="33">
        <f t="shared" si="15"/>
        <v>87</v>
      </c>
    </row>
    <row r="133" spans="1:10">
      <c r="A133" s="32">
        <f t="shared" si="13"/>
        <v>46346</v>
      </c>
      <c r="B133" s="33" t="str">
        <f t="shared" ref="B133:B196" si="16">TEXT(A133,"ddd")</f>
        <v>Fri</v>
      </c>
      <c r="C133" s="33">
        <f t="shared" ref="C133:C196" si="17">IF(WEEKDAY(A133,2)=6,1,0)</f>
        <v>0</v>
      </c>
      <c r="D133" s="33">
        <f t="shared" ref="D133:D196" si="18">IF(WEEKDAY(A133,2)=7,1,0)</f>
        <v>0</v>
      </c>
      <c r="E133" s="33">
        <f>IF(COUNTIF(holidays!$A:$A,A133)&gt;0,1,0)</f>
        <v>0</v>
      </c>
      <c r="F133" s="33">
        <f>IF(COUNTIF('Prudence Holidays'!$A:$A,A133)&gt;0,1,0)</f>
        <v>0</v>
      </c>
      <c r="G133" s="33">
        <f t="shared" ref="G133:G196" si="19">IF(OR(D133=1,E133=1),0,1)</f>
        <v>1</v>
      </c>
      <c r="H133" s="33">
        <f t="shared" ref="H133:H196" si="20">IF(OR(C133=1,D133=1,F133=1),0,1)</f>
        <v>1</v>
      </c>
      <c r="I133" s="33">
        <f t="shared" si="14"/>
        <v>109</v>
      </c>
      <c r="J133" s="33">
        <f t="shared" si="15"/>
        <v>88</v>
      </c>
    </row>
    <row r="134" spans="1:10">
      <c r="A134" s="32">
        <f t="shared" ref="A134:A197" si="21">A133+1</f>
        <v>46347</v>
      </c>
      <c r="B134" s="33" t="str">
        <f t="shared" si="16"/>
        <v>Sat</v>
      </c>
      <c r="C134" s="33">
        <f t="shared" si="17"/>
        <v>1</v>
      </c>
      <c r="D134" s="33">
        <f t="shared" si="18"/>
        <v>0</v>
      </c>
      <c r="E134" s="33">
        <f>IF(COUNTIF(holidays!$A:$A,A134)&gt;0,1,0)</f>
        <v>0</v>
      </c>
      <c r="F134" s="33">
        <f>IF(COUNTIF('Prudence Holidays'!$A:$A,A134)&gt;0,1,0)</f>
        <v>0</v>
      </c>
      <c r="G134" s="33">
        <f t="shared" si="19"/>
        <v>1</v>
      </c>
      <c r="H134" s="33">
        <f t="shared" si="20"/>
        <v>0</v>
      </c>
      <c r="I134" s="33">
        <f t="shared" ref="I134:I197" si="22">I133+G134</f>
        <v>110</v>
      </c>
      <c r="J134" s="33">
        <f t="shared" ref="J134:J197" si="23">J133+H134</f>
        <v>88</v>
      </c>
    </row>
    <row r="135" spans="1:10">
      <c r="A135" s="32">
        <f t="shared" si="21"/>
        <v>46348</v>
      </c>
      <c r="B135" s="33" t="str">
        <f t="shared" si="16"/>
        <v>Sun</v>
      </c>
      <c r="C135" s="33">
        <f t="shared" si="17"/>
        <v>0</v>
      </c>
      <c r="D135" s="33">
        <f t="shared" si="18"/>
        <v>1</v>
      </c>
      <c r="E135" s="33">
        <f>IF(COUNTIF(holidays!$A:$A,A135)&gt;0,1,0)</f>
        <v>0</v>
      </c>
      <c r="F135" s="33">
        <f>IF(COUNTIF('Prudence Holidays'!$A:$A,A135)&gt;0,1,0)</f>
        <v>0</v>
      </c>
      <c r="G135" s="33">
        <f t="shared" si="19"/>
        <v>0</v>
      </c>
      <c r="H135" s="33">
        <f t="shared" si="20"/>
        <v>0</v>
      </c>
      <c r="I135" s="33">
        <f t="shared" si="22"/>
        <v>110</v>
      </c>
      <c r="J135" s="33">
        <f t="shared" si="23"/>
        <v>88</v>
      </c>
    </row>
    <row r="136" spans="1:10">
      <c r="A136" s="32">
        <f t="shared" si="21"/>
        <v>46349</v>
      </c>
      <c r="B136" s="33" t="str">
        <f t="shared" si="16"/>
        <v>Mon</v>
      </c>
      <c r="C136" s="33">
        <f t="shared" si="17"/>
        <v>0</v>
      </c>
      <c r="D136" s="33">
        <f t="shared" si="18"/>
        <v>0</v>
      </c>
      <c r="E136" s="33">
        <f>IF(COUNTIF(holidays!$A:$A,A136)&gt;0,1,0)</f>
        <v>0</v>
      </c>
      <c r="F136" s="33">
        <f>IF(COUNTIF('Prudence Holidays'!$A:$A,A136)&gt;0,1,0)</f>
        <v>0</v>
      </c>
      <c r="G136" s="33">
        <f t="shared" si="19"/>
        <v>1</v>
      </c>
      <c r="H136" s="33">
        <f t="shared" si="20"/>
        <v>1</v>
      </c>
      <c r="I136" s="33">
        <f t="shared" si="22"/>
        <v>111</v>
      </c>
      <c r="J136" s="33">
        <f t="shared" si="23"/>
        <v>89</v>
      </c>
    </row>
    <row r="137" spans="1:10">
      <c r="A137" s="32">
        <f t="shared" si="21"/>
        <v>46350</v>
      </c>
      <c r="B137" s="33" t="str">
        <f t="shared" si="16"/>
        <v>Tue</v>
      </c>
      <c r="C137" s="33">
        <f t="shared" si="17"/>
        <v>0</v>
      </c>
      <c r="D137" s="33">
        <f t="shared" si="18"/>
        <v>0</v>
      </c>
      <c r="E137" s="33">
        <f>IF(COUNTIF(holidays!$A:$A,A137)&gt;0,1,0)</f>
        <v>0</v>
      </c>
      <c r="F137" s="33">
        <f>IF(COUNTIF('Prudence Holidays'!$A:$A,A137)&gt;0,1,0)</f>
        <v>1</v>
      </c>
      <c r="G137" s="33">
        <f t="shared" si="19"/>
        <v>1</v>
      </c>
      <c r="H137" s="33">
        <f t="shared" si="20"/>
        <v>0</v>
      </c>
      <c r="I137" s="33">
        <f t="shared" si="22"/>
        <v>112</v>
      </c>
      <c r="J137" s="33">
        <f t="shared" si="23"/>
        <v>89</v>
      </c>
    </row>
    <row r="138" spans="1:10">
      <c r="A138" s="32">
        <f t="shared" si="21"/>
        <v>46351</v>
      </c>
      <c r="B138" s="33" t="str">
        <f t="shared" si="16"/>
        <v>Wed</v>
      </c>
      <c r="C138" s="33">
        <f t="shared" si="17"/>
        <v>0</v>
      </c>
      <c r="D138" s="33">
        <f t="shared" si="18"/>
        <v>0</v>
      </c>
      <c r="E138" s="33">
        <f>IF(COUNTIF(holidays!$A:$A,A138)&gt;0,1,0)</f>
        <v>0</v>
      </c>
      <c r="F138" s="33">
        <f>IF(COUNTIF('Prudence Holidays'!$A:$A,A138)&gt;0,1,0)</f>
        <v>0</v>
      </c>
      <c r="G138" s="33">
        <f t="shared" si="19"/>
        <v>1</v>
      </c>
      <c r="H138" s="33">
        <f t="shared" si="20"/>
        <v>1</v>
      </c>
      <c r="I138" s="33">
        <f t="shared" si="22"/>
        <v>113</v>
      </c>
      <c r="J138" s="33">
        <f t="shared" si="23"/>
        <v>90</v>
      </c>
    </row>
    <row r="139" spans="1:10">
      <c r="A139" s="32">
        <f t="shared" si="21"/>
        <v>46352</v>
      </c>
      <c r="B139" s="33" t="str">
        <f t="shared" si="16"/>
        <v>Thu</v>
      </c>
      <c r="C139" s="33">
        <f t="shared" si="17"/>
        <v>0</v>
      </c>
      <c r="D139" s="33">
        <f t="shared" si="18"/>
        <v>0</v>
      </c>
      <c r="E139" s="33">
        <f>IF(COUNTIF(holidays!$A:$A,A139)&gt;0,1,0)</f>
        <v>0</v>
      </c>
      <c r="F139" s="33">
        <f>IF(COUNTIF('Prudence Holidays'!$A:$A,A139)&gt;0,1,0)</f>
        <v>0</v>
      </c>
      <c r="G139" s="33">
        <f t="shared" si="19"/>
        <v>1</v>
      </c>
      <c r="H139" s="33">
        <f t="shared" si="20"/>
        <v>1</v>
      </c>
      <c r="I139" s="33">
        <f t="shared" si="22"/>
        <v>114</v>
      </c>
      <c r="J139" s="33">
        <f t="shared" si="23"/>
        <v>91</v>
      </c>
    </row>
    <row r="140" spans="1:10">
      <c r="A140" s="32">
        <f t="shared" si="21"/>
        <v>46353</v>
      </c>
      <c r="B140" s="33" t="str">
        <f t="shared" si="16"/>
        <v>Fri</v>
      </c>
      <c r="C140" s="33">
        <f t="shared" si="17"/>
        <v>0</v>
      </c>
      <c r="D140" s="33">
        <f t="shared" si="18"/>
        <v>0</v>
      </c>
      <c r="E140" s="33">
        <f>IF(COUNTIF(holidays!$A:$A,A140)&gt;0,1,0)</f>
        <v>0</v>
      </c>
      <c r="F140" s="33">
        <f>IF(COUNTIF('Prudence Holidays'!$A:$A,A140)&gt;0,1,0)</f>
        <v>0</v>
      </c>
      <c r="G140" s="33">
        <f t="shared" si="19"/>
        <v>1</v>
      </c>
      <c r="H140" s="33">
        <f t="shared" si="20"/>
        <v>1</v>
      </c>
      <c r="I140" s="33">
        <f t="shared" si="22"/>
        <v>115</v>
      </c>
      <c r="J140" s="33">
        <f t="shared" si="23"/>
        <v>92</v>
      </c>
    </row>
    <row r="141" spans="1:10">
      <c r="A141" s="32">
        <f t="shared" si="21"/>
        <v>46354</v>
      </c>
      <c r="B141" s="33" t="str">
        <f t="shared" si="16"/>
        <v>Sat</v>
      </c>
      <c r="C141" s="33">
        <f t="shared" si="17"/>
        <v>1</v>
      </c>
      <c r="D141" s="33">
        <f t="shared" si="18"/>
        <v>0</v>
      </c>
      <c r="E141" s="33">
        <f>IF(COUNTIF(holidays!$A:$A,A141)&gt;0,1,0)</f>
        <v>0</v>
      </c>
      <c r="F141" s="33">
        <f>IF(COUNTIF('Prudence Holidays'!$A:$A,A141)&gt;0,1,0)</f>
        <v>0</v>
      </c>
      <c r="G141" s="33">
        <f t="shared" si="19"/>
        <v>1</v>
      </c>
      <c r="H141" s="33">
        <f t="shared" si="20"/>
        <v>0</v>
      </c>
      <c r="I141" s="33">
        <f t="shared" si="22"/>
        <v>116</v>
      </c>
      <c r="J141" s="33">
        <f t="shared" si="23"/>
        <v>92</v>
      </c>
    </row>
    <row r="142" spans="1:10">
      <c r="A142" s="32">
        <f t="shared" si="21"/>
        <v>46355</v>
      </c>
      <c r="B142" s="33" t="str">
        <f t="shared" si="16"/>
        <v>Sun</v>
      </c>
      <c r="C142" s="33">
        <f t="shared" si="17"/>
        <v>0</v>
      </c>
      <c r="D142" s="33">
        <f t="shared" si="18"/>
        <v>1</v>
      </c>
      <c r="E142" s="33">
        <f>IF(COUNTIF(holidays!$A:$A,A142)&gt;0,1,0)</f>
        <v>0</v>
      </c>
      <c r="F142" s="33">
        <f>IF(COUNTIF('Prudence Holidays'!$A:$A,A142)&gt;0,1,0)</f>
        <v>0</v>
      </c>
      <c r="G142" s="33">
        <f t="shared" si="19"/>
        <v>0</v>
      </c>
      <c r="H142" s="33">
        <f t="shared" si="20"/>
        <v>0</v>
      </c>
      <c r="I142" s="33">
        <f t="shared" si="22"/>
        <v>116</v>
      </c>
      <c r="J142" s="33">
        <f t="shared" si="23"/>
        <v>92</v>
      </c>
    </row>
    <row r="143" spans="1:10">
      <c r="A143" s="32">
        <f t="shared" si="21"/>
        <v>46356</v>
      </c>
      <c r="B143" s="33" t="str">
        <f t="shared" si="16"/>
        <v>Mon</v>
      </c>
      <c r="C143" s="33">
        <f t="shared" si="17"/>
        <v>0</v>
      </c>
      <c r="D143" s="33">
        <f t="shared" si="18"/>
        <v>0</v>
      </c>
      <c r="E143" s="33">
        <f>IF(COUNTIF(holidays!$A:$A,A143)&gt;0,1,0)</f>
        <v>0</v>
      </c>
      <c r="F143" s="33">
        <f>IF(COUNTIF('Prudence Holidays'!$A:$A,A143)&gt;0,1,0)</f>
        <v>0</v>
      </c>
      <c r="G143" s="33">
        <f t="shared" si="19"/>
        <v>1</v>
      </c>
      <c r="H143" s="33">
        <f t="shared" si="20"/>
        <v>1</v>
      </c>
      <c r="I143" s="33">
        <f t="shared" si="22"/>
        <v>117</v>
      </c>
      <c r="J143" s="33">
        <f t="shared" si="23"/>
        <v>93</v>
      </c>
    </row>
    <row r="144" spans="1:10">
      <c r="A144" s="32">
        <f t="shared" si="21"/>
        <v>46357</v>
      </c>
      <c r="B144" s="33" t="str">
        <f t="shared" si="16"/>
        <v>Tue</v>
      </c>
      <c r="C144" s="33">
        <f t="shared" si="17"/>
        <v>0</v>
      </c>
      <c r="D144" s="33">
        <f t="shared" si="18"/>
        <v>0</v>
      </c>
      <c r="E144" s="33">
        <f>IF(COUNTIF(holidays!$A:$A,A144)&gt;0,1,0)</f>
        <v>0</v>
      </c>
      <c r="F144" s="33">
        <f>IF(COUNTIF('Prudence Holidays'!$A:$A,A144)&gt;0,1,0)</f>
        <v>0</v>
      </c>
      <c r="G144" s="33">
        <f t="shared" si="19"/>
        <v>1</v>
      </c>
      <c r="H144" s="33">
        <f t="shared" si="20"/>
        <v>1</v>
      </c>
      <c r="I144" s="33">
        <f t="shared" si="22"/>
        <v>118</v>
      </c>
      <c r="J144" s="33">
        <f t="shared" si="23"/>
        <v>94</v>
      </c>
    </row>
    <row r="145" spans="1:10">
      <c r="A145" s="32">
        <f t="shared" si="21"/>
        <v>46358</v>
      </c>
      <c r="B145" s="33" t="str">
        <f t="shared" si="16"/>
        <v>Wed</v>
      </c>
      <c r="C145" s="33">
        <f t="shared" si="17"/>
        <v>0</v>
      </c>
      <c r="D145" s="33">
        <f t="shared" si="18"/>
        <v>0</v>
      </c>
      <c r="E145" s="33">
        <f>IF(COUNTIF(holidays!$A:$A,A145)&gt;0,1,0)</f>
        <v>0</v>
      </c>
      <c r="F145" s="33">
        <f>IF(COUNTIF('Prudence Holidays'!$A:$A,A145)&gt;0,1,0)</f>
        <v>0</v>
      </c>
      <c r="G145" s="33">
        <f t="shared" si="19"/>
        <v>1</v>
      </c>
      <c r="H145" s="33">
        <f t="shared" si="20"/>
        <v>1</v>
      </c>
      <c r="I145" s="33">
        <f t="shared" si="22"/>
        <v>119</v>
      </c>
      <c r="J145" s="33">
        <f t="shared" si="23"/>
        <v>95</v>
      </c>
    </row>
    <row r="146" spans="1:10">
      <c r="A146" s="32">
        <f t="shared" si="21"/>
        <v>46359</v>
      </c>
      <c r="B146" s="33" t="str">
        <f t="shared" si="16"/>
        <v>Thu</v>
      </c>
      <c r="C146" s="33">
        <f t="shared" si="17"/>
        <v>0</v>
      </c>
      <c r="D146" s="33">
        <f t="shared" si="18"/>
        <v>0</v>
      </c>
      <c r="E146" s="33">
        <f>IF(COUNTIF(holidays!$A:$A,A146)&gt;0,1,0)</f>
        <v>0</v>
      </c>
      <c r="F146" s="33">
        <f>IF(COUNTIF('Prudence Holidays'!$A:$A,A146)&gt;0,1,0)</f>
        <v>0</v>
      </c>
      <c r="G146" s="33">
        <f t="shared" si="19"/>
        <v>1</v>
      </c>
      <c r="H146" s="33">
        <f t="shared" si="20"/>
        <v>1</v>
      </c>
      <c r="I146" s="33">
        <f t="shared" si="22"/>
        <v>120</v>
      </c>
      <c r="J146" s="33">
        <f t="shared" si="23"/>
        <v>96</v>
      </c>
    </row>
    <row r="147" spans="1:10">
      <c r="A147" s="32">
        <f t="shared" si="21"/>
        <v>46360</v>
      </c>
      <c r="B147" s="33" t="str">
        <f t="shared" si="16"/>
        <v>Fri</v>
      </c>
      <c r="C147" s="33">
        <f t="shared" si="17"/>
        <v>0</v>
      </c>
      <c r="D147" s="33">
        <f t="shared" si="18"/>
        <v>0</v>
      </c>
      <c r="E147" s="33">
        <f>IF(COUNTIF(holidays!$A:$A,A147)&gt;0,1,0)</f>
        <v>0</v>
      </c>
      <c r="F147" s="33">
        <f>IF(COUNTIF('Prudence Holidays'!$A:$A,A147)&gt;0,1,0)</f>
        <v>0</v>
      </c>
      <c r="G147" s="33">
        <f t="shared" si="19"/>
        <v>1</v>
      </c>
      <c r="H147" s="33">
        <f t="shared" si="20"/>
        <v>1</v>
      </c>
      <c r="I147" s="33">
        <f t="shared" si="22"/>
        <v>121</v>
      </c>
      <c r="J147" s="33">
        <f t="shared" si="23"/>
        <v>97</v>
      </c>
    </row>
    <row r="148" spans="1:10">
      <c r="A148" s="32">
        <f t="shared" si="21"/>
        <v>46361</v>
      </c>
      <c r="B148" s="33" t="str">
        <f t="shared" si="16"/>
        <v>Sat</v>
      </c>
      <c r="C148" s="33">
        <f t="shared" si="17"/>
        <v>1</v>
      </c>
      <c r="D148" s="33">
        <f t="shared" si="18"/>
        <v>0</v>
      </c>
      <c r="E148" s="33">
        <f>IF(COUNTIF(holidays!$A:$A,A148)&gt;0,1,0)</f>
        <v>0</v>
      </c>
      <c r="F148" s="33">
        <f>IF(COUNTIF('Prudence Holidays'!$A:$A,A148)&gt;0,1,0)</f>
        <v>0</v>
      </c>
      <c r="G148" s="33">
        <f t="shared" si="19"/>
        <v>1</v>
      </c>
      <c r="H148" s="33">
        <f t="shared" si="20"/>
        <v>0</v>
      </c>
      <c r="I148" s="33">
        <f t="shared" si="22"/>
        <v>122</v>
      </c>
      <c r="J148" s="33">
        <f t="shared" si="23"/>
        <v>97</v>
      </c>
    </row>
    <row r="149" spans="1:10">
      <c r="A149" s="32">
        <f t="shared" si="21"/>
        <v>46362</v>
      </c>
      <c r="B149" s="33" t="str">
        <f t="shared" si="16"/>
        <v>Sun</v>
      </c>
      <c r="C149" s="33">
        <f t="shared" si="17"/>
        <v>0</v>
      </c>
      <c r="D149" s="33">
        <f t="shared" si="18"/>
        <v>1</v>
      </c>
      <c r="E149" s="33">
        <f>IF(COUNTIF(holidays!$A:$A,A149)&gt;0,1,0)</f>
        <v>0</v>
      </c>
      <c r="F149" s="33">
        <f>IF(COUNTIF('Prudence Holidays'!$A:$A,A149)&gt;0,1,0)</f>
        <v>0</v>
      </c>
      <c r="G149" s="33">
        <f t="shared" si="19"/>
        <v>0</v>
      </c>
      <c r="H149" s="33">
        <f t="shared" si="20"/>
        <v>0</v>
      </c>
      <c r="I149" s="33">
        <f t="shared" si="22"/>
        <v>122</v>
      </c>
      <c r="J149" s="33">
        <f t="shared" si="23"/>
        <v>97</v>
      </c>
    </row>
    <row r="150" spans="1:10">
      <c r="A150" s="32">
        <f t="shared" si="21"/>
        <v>46363</v>
      </c>
      <c r="B150" s="33" t="str">
        <f t="shared" si="16"/>
        <v>Mon</v>
      </c>
      <c r="C150" s="33">
        <f t="shared" si="17"/>
        <v>0</v>
      </c>
      <c r="D150" s="33">
        <f t="shared" si="18"/>
        <v>0</v>
      </c>
      <c r="E150" s="33">
        <f>IF(COUNTIF(holidays!$A:$A,A150)&gt;0,1,0)</f>
        <v>0</v>
      </c>
      <c r="F150" s="33">
        <f>IF(COUNTIF('Prudence Holidays'!$A:$A,A150)&gt;0,1,0)</f>
        <v>0</v>
      </c>
      <c r="G150" s="33">
        <f t="shared" si="19"/>
        <v>1</v>
      </c>
      <c r="H150" s="33">
        <f t="shared" si="20"/>
        <v>1</v>
      </c>
      <c r="I150" s="33">
        <f t="shared" si="22"/>
        <v>123</v>
      </c>
      <c r="J150" s="33">
        <f t="shared" si="23"/>
        <v>98</v>
      </c>
    </row>
    <row r="151" spans="1:10">
      <c r="A151" s="32">
        <f t="shared" si="21"/>
        <v>46364</v>
      </c>
      <c r="B151" s="33" t="str">
        <f t="shared" si="16"/>
        <v>Tue</v>
      </c>
      <c r="C151" s="33">
        <f t="shared" si="17"/>
        <v>0</v>
      </c>
      <c r="D151" s="33">
        <f t="shared" si="18"/>
        <v>0</v>
      </c>
      <c r="E151" s="33">
        <f>IF(COUNTIF(holidays!$A:$A,A151)&gt;0,1,0)</f>
        <v>0</v>
      </c>
      <c r="F151" s="33">
        <f>IF(COUNTIF('Prudence Holidays'!$A:$A,A151)&gt;0,1,0)</f>
        <v>0</v>
      </c>
      <c r="G151" s="33">
        <f t="shared" si="19"/>
        <v>1</v>
      </c>
      <c r="H151" s="33">
        <f t="shared" si="20"/>
        <v>1</v>
      </c>
      <c r="I151" s="33">
        <f t="shared" si="22"/>
        <v>124</v>
      </c>
      <c r="J151" s="33">
        <f t="shared" si="23"/>
        <v>99</v>
      </c>
    </row>
    <row r="152" spans="1:10">
      <c r="A152" s="32">
        <f t="shared" si="21"/>
        <v>46365</v>
      </c>
      <c r="B152" s="33" t="str">
        <f t="shared" si="16"/>
        <v>Wed</v>
      </c>
      <c r="C152" s="33">
        <f t="shared" si="17"/>
        <v>0</v>
      </c>
      <c r="D152" s="33">
        <f t="shared" si="18"/>
        <v>0</v>
      </c>
      <c r="E152" s="33">
        <f>IF(COUNTIF(holidays!$A:$A,A152)&gt;0,1,0)</f>
        <v>0</v>
      </c>
      <c r="F152" s="33">
        <f>IF(COUNTIF('Prudence Holidays'!$A:$A,A152)&gt;0,1,0)</f>
        <v>0</v>
      </c>
      <c r="G152" s="33">
        <f t="shared" si="19"/>
        <v>1</v>
      </c>
      <c r="H152" s="33">
        <f t="shared" si="20"/>
        <v>1</v>
      </c>
      <c r="I152" s="33">
        <f t="shared" si="22"/>
        <v>125</v>
      </c>
      <c r="J152" s="33">
        <f t="shared" si="23"/>
        <v>100</v>
      </c>
    </row>
    <row r="153" spans="1:10">
      <c r="A153" s="32">
        <f t="shared" si="21"/>
        <v>46366</v>
      </c>
      <c r="B153" s="33" t="str">
        <f t="shared" si="16"/>
        <v>Thu</v>
      </c>
      <c r="C153" s="33">
        <f t="shared" si="17"/>
        <v>0</v>
      </c>
      <c r="D153" s="33">
        <f t="shared" si="18"/>
        <v>0</v>
      </c>
      <c r="E153" s="33">
        <f>IF(COUNTIF(holidays!$A:$A,A153)&gt;0,1,0)</f>
        <v>0</v>
      </c>
      <c r="F153" s="33">
        <f>IF(COUNTIF('Prudence Holidays'!$A:$A,A153)&gt;0,1,0)</f>
        <v>0</v>
      </c>
      <c r="G153" s="33">
        <f t="shared" si="19"/>
        <v>1</v>
      </c>
      <c r="H153" s="33">
        <f t="shared" si="20"/>
        <v>1</v>
      </c>
      <c r="I153" s="33">
        <f t="shared" si="22"/>
        <v>126</v>
      </c>
      <c r="J153" s="33">
        <f t="shared" si="23"/>
        <v>101</v>
      </c>
    </row>
    <row r="154" spans="1:10">
      <c r="A154" s="32">
        <f t="shared" si="21"/>
        <v>46367</v>
      </c>
      <c r="B154" s="33" t="str">
        <f t="shared" si="16"/>
        <v>Fri</v>
      </c>
      <c r="C154" s="33">
        <f t="shared" si="17"/>
        <v>0</v>
      </c>
      <c r="D154" s="33">
        <f t="shared" si="18"/>
        <v>0</v>
      </c>
      <c r="E154" s="33">
        <f>IF(COUNTIF(holidays!$A:$A,A154)&gt;0,1,0)</f>
        <v>0</v>
      </c>
      <c r="F154" s="33">
        <f>IF(COUNTIF('Prudence Holidays'!$A:$A,A154)&gt;0,1,0)</f>
        <v>0</v>
      </c>
      <c r="G154" s="33">
        <f t="shared" si="19"/>
        <v>1</v>
      </c>
      <c r="H154" s="33">
        <f t="shared" si="20"/>
        <v>1</v>
      </c>
      <c r="I154" s="33">
        <f t="shared" si="22"/>
        <v>127</v>
      </c>
      <c r="J154" s="33">
        <f t="shared" si="23"/>
        <v>102</v>
      </c>
    </row>
    <row r="155" spans="1:10">
      <c r="A155" s="32">
        <f t="shared" si="21"/>
        <v>46368</v>
      </c>
      <c r="B155" s="33" t="str">
        <f t="shared" si="16"/>
        <v>Sat</v>
      </c>
      <c r="C155" s="33">
        <f t="shared" si="17"/>
        <v>1</v>
      </c>
      <c r="D155" s="33">
        <f t="shared" si="18"/>
        <v>0</v>
      </c>
      <c r="E155" s="33">
        <f>IF(COUNTIF(holidays!$A:$A,A155)&gt;0,1,0)</f>
        <v>0</v>
      </c>
      <c r="F155" s="33">
        <f>IF(COUNTIF('Prudence Holidays'!$A:$A,A155)&gt;0,1,0)</f>
        <v>0</v>
      </c>
      <c r="G155" s="33">
        <f t="shared" si="19"/>
        <v>1</v>
      </c>
      <c r="H155" s="33">
        <f t="shared" si="20"/>
        <v>0</v>
      </c>
      <c r="I155" s="33">
        <f t="shared" si="22"/>
        <v>128</v>
      </c>
      <c r="J155" s="33">
        <f t="shared" si="23"/>
        <v>102</v>
      </c>
    </row>
    <row r="156" spans="1:10">
      <c r="A156" s="32">
        <f t="shared" si="21"/>
        <v>46369</v>
      </c>
      <c r="B156" s="33" t="str">
        <f t="shared" si="16"/>
        <v>Sun</v>
      </c>
      <c r="C156" s="33">
        <f t="shared" si="17"/>
        <v>0</v>
      </c>
      <c r="D156" s="33">
        <f t="shared" si="18"/>
        <v>1</v>
      </c>
      <c r="E156" s="33">
        <f>IF(COUNTIF(holidays!$A:$A,A156)&gt;0,1,0)</f>
        <v>0</v>
      </c>
      <c r="F156" s="33">
        <f>IF(COUNTIF('Prudence Holidays'!$A:$A,A156)&gt;0,1,0)</f>
        <v>0</v>
      </c>
      <c r="G156" s="33">
        <f t="shared" si="19"/>
        <v>0</v>
      </c>
      <c r="H156" s="33">
        <f t="shared" si="20"/>
        <v>0</v>
      </c>
      <c r="I156" s="33">
        <f t="shared" si="22"/>
        <v>128</v>
      </c>
      <c r="J156" s="33">
        <f t="shared" si="23"/>
        <v>102</v>
      </c>
    </row>
    <row r="157" spans="1:10">
      <c r="A157" s="32">
        <f t="shared" si="21"/>
        <v>46370</v>
      </c>
      <c r="B157" s="33" t="str">
        <f t="shared" si="16"/>
        <v>Mon</v>
      </c>
      <c r="C157" s="33">
        <f t="shared" si="17"/>
        <v>0</v>
      </c>
      <c r="D157" s="33">
        <f t="shared" si="18"/>
        <v>0</v>
      </c>
      <c r="E157" s="33">
        <f>IF(COUNTIF(holidays!$A:$A,A157)&gt;0,1,0)</f>
        <v>0</v>
      </c>
      <c r="F157" s="33">
        <f>IF(COUNTIF('Prudence Holidays'!$A:$A,A157)&gt;0,1,0)</f>
        <v>0</v>
      </c>
      <c r="G157" s="33">
        <f t="shared" si="19"/>
        <v>1</v>
      </c>
      <c r="H157" s="33">
        <f t="shared" si="20"/>
        <v>1</v>
      </c>
      <c r="I157" s="33">
        <f t="shared" si="22"/>
        <v>129</v>
      </c>
      <c r="J157" s="33">
        <f t="shared" si="23"/>
        <v>103</v>
      </c>
    </row>
    <row r="158" spans="1:10">
      <c r="A158" s="32">
        <f t="shared" si="21"/>
        <v>46371</v>
      </c>
      <c r="B158" s="33" t="str">
        <f t="shared" si="16"/>
        <v>Tue</v>
      </c>
      <c r="C158" s="33">
        <f t="shared" si="17"/>
        <v>0</v>
      </c>
      <c r="D158" s="33">
        <f t="shared" si="18"/>
        <v>0</v>
      </c>
      <c r="E158" s="33">
        <f>IF(COUNTIF(holidays!$A:$A,A158)&gt;0,1,0)</f>
        <v>0</v>
      </c>
      <c r="F158" s="33">
        <f>IF(COUNTIF('Prudence Holidays'!$A:$A,A158)&gt;0,1,0)</f>
        <v>0</v>
      </c>
      <c r="G158" s="33">
        <f t="shared" si="19"/>
        <v>1</v>
      </c>
      <c r="H158" s="33">
        <f t="shared" si="20"/>
        <v>1</v>
      </c>
      <c r="I158" s="33">
        <f t="shared" si="22"/>
        <v>130</v>
      </c>
      <c r="J158" s="33">
        <f t="shared" si="23"/>
        <v>104</v>
      </c>
    </row>
    <row r="159" spans="1:10">
      <c r="A159" s="32">
        <f t="shared" si="21"/>
        <v>46372</v>
      </c>
      <c r="B159" s="33" t="str">
        <f t="shared" si="16"/>
        <v>Wed</v>
      </c>
      <c r="C159" s="33">
        <f t="shared" si="17"/>
        <v>0</v>
      </c>
      <c r="D159" s="33">
        <f t="shared" si="18"/>
        <v>0</v>
      </c>
      <c r="E159" s="33">
        <f>IF(COUNTIF(holidays!$A:$A,A159)&gt;0,1,0)</f>
        <v>0</v>
      </c>
      <c r="F159" s="33">
        <f>IF(COUNTIF('Prudence Holidays'!$A:$A,A159)&gt;0,1,0)</f>
        <v>0</v>
      </c>
      <c r="G159" s="33">
        <f t="shared" si="19"/>
        <v>1</v>
      </c>
      <c r="H159" s="33">
        <f t="shared" si="20"/>
        <v>1</v>
      </c>
      <c r="I159" s="33">
        <f t="shared" si="22"/>
        <v>131</v>
      </c>
      <c r="J159" s="33">
        <f t="shared" si="23"/>
        <v>105</v>
      </c>
    </row>
    <row r="160" spans="1:10">
      <c r="A160" s="32">
        <f t="shared" si="21"/>
        <v>46373</v>
      </c>
      <c r="B160" s="33" t="str">
        <f t="shared" si="16"/>
        <v>Thu</v>
      </c>
      <c r="C160" s="33">
        <f t="shared" si="17"/>
        <v>0</v>
      </c>
      <c r="D160" s="33">
        <f t="shared" si="18"/>
        <v>0</v>
      </c>
      <c r="E160" s="33">
        <f>IF(COUNTIF(holidays!$A:$A,A160)&gt;0,1,0)</f>
        <v>0</v>
      </c>
      <c r="F160" s="33">
        <f>IF(COUNTIF('Prudence Holidays'!$A:$A,A160)&gt;0,1,0)</f>
        <v>0</v>
      </c>
      <c r="G160" s="33">
        <f t="shared" si="19"/>
        <v>1</v>
      </c>
      <c r="H160" s="33">
        <f t="shared" si="20"/>
        <v>1</v>
      </c>
      <c r="I160" s="33">
        <f t="shared" si="22"/>
        <v>132</v>
      </c>
      <c r="J160" s="33">
        <f t="shared" si="23"/>
        <v>106</v>
      </c>
    </row>
    <row r="161" spans="1:10">
      <c r="A161" s="32">
        <f t="shared" si="21"/>
        <v>46374</v>
      </c>
      <c r="B161" s="33" t="str">
        <f t="shared" si="16"/>
        <v>Fri</v>
      </c>
      <c r="C161" s="33">
        <f t="shared" si="17"/>
        <v>0</v>
      </c>
      <c r="D161" s="33">
        <f t="shared" si="18"/>
        <v>0</v>
      </c>
      <c r="E161" s="33">
        <f>IF(COUNTIF(holidays!$A:$A,A161)&gt;0,1,0)</f>
        <v>0</v>
      </c>
      <c r="F161" s="33">
        <f>IF(COUNTIF('Prudence Holidays'!$A:$A,A161)&gt;0,1,0)</f>
        <v>0</v>
      </c>
      <c r="G161" s="33">
        <f t="shared" si="19"/>
        <v>1</v>
      </c>
      <c r="H161" s="33">
        <f t="shared" si="20"/>
        <v>1</v>
      </c>
      <c r="I161" s="33">
        <f t="shared" si="22"/>
        <v>133</v>
      </c>
      <c r="J161" s="33">
        <f t="shared" si="23"/>
        <v>107</v>
      </c>
    </row>
    <row r="162" spans="1:10">
      <c r="A162" s="32">
        <f t="shared" si="21"/>
        <v>46375</v>
      </c>
      <c r="B162" s="33" t="str">
        <f t="shared" si="16"/>
        <v>Sat</v>
      </c>
      <c r="C162" s="33">
        <f t="shared" si="17"/>
        <v>1</v>
      </c>
      <c r="D162" s="33">
        <f t="shared" si="18"/>
        <v>0</v>
      </c>
      <c r="E162" s="33">
        <f>IF(COUNTIF(holidays!$A:$A,A162)&gt;0,1,0)</f>
        <v>0</v>
      </c>
      <c r="F162" s="33">
        <f>IF(COUNTIF('Prudence Holidays'!$A:$A,A162)&gt;0,1,0)</f>
        <v>0</v>
      </c>
      <c r="G162" s="33">
        <f t="shared" si="19"/>
        <v>1</v>
      </c>
      <c r="H162" s="33">
        <f t="shared" si="20"/>
        <v>0</v>
      </c>
      <c r="I162" s="33">
        <f t="shared" si="22"/>
        <v>134</v>
      </c>
      <c r="J162" s="33">
        <f t="shared" si="23"/>
        <v>107</v>
      </c>
    </row>
    <row r="163" spans="1:10">
      <c r="A163" s="32">
        <f t="shared" si="21"/>
        <v>46376</v>
      </c>
      <c r="B163" s="33" t="str">
        <f t="shared" si="16"/>
        <v>Sun</v>
      </c>
      <c r="C163" s="33">
        <f t="shared" si="17"/>
        <v>0</v>
      </c>
      <c r="D163" s="33">
        <f t="shared" si="18"/>
        <v>1</v>
      </c>
      <c r="E163" s="33">
        <f>IF(COUNTIF(holidays!$A:$A,A163)&gt;0,1,0)</f>
        <v>0</v>
      </c>
      <c r="F163" s="33">
        <f>IF(COUNTIF('Prudence Holidays'!$A:$A,A163)&gt;0,1,0)</f>
        <v>0</v>
      </c>
      <c r="G163" s="33">
        <f t="shared" si="19"/>
        <v>0</v>
      </c>
      <c r="H163" s="33">
        <f t="shared" si="20"/>
        <v>0</v>
      </c>
      <c r="I163" s="33">
        <f t="shared" si="22"/>
        <v>134</v>
      </c>
      <c r="J163" s="33">
        <f t="shared" si="23"/>
        <v>107</v>
      </c>
    </row>
    <row r="164" spans="1:10">
      <c r="A164" s="32">
        <f t="shared" si="21"/>
        <v>46377</v>
      </c>
      <c r="B164" s="33" t="str">
        <f t="shared" si="16"/>
        <v>Mon</v>
      </c>
      <c r="C164" s="33">
        <f t="shared" si="17"/>
        <v>0</v>
      </c>
      <c r="D164" s="33">
        <f t="shared" si="18"/>
        <v>0</v>
      </c>
      <c r="E164" s="33">
        <f>IF(COUNTIF(holidays!$A:$A,A164)&gt;0,1,0)</f>
        <v>0</v>
      </c>
      <c r="F164" s="33">
        <f>IF(COUNTIF('Prudence Holidays'!$A:$A,A164)&gt;0,1,0)</f>
        <v>0</v>
      </c>
      <c r="G164" s="33">
        <f t="shared" si="19"/>
        <v>1</v>
      </c>
      <c r="H164" s="33">
        <f t="shared" si="20"/>
        <v>1</v>
      </c>
      <c r="I164" s="33">
        <f t="shared" si="22"/>
        <v>135</v>
      </c>
      <c r="J164" s="33">
        <f t="shared" si="23"/>
        <v>108</v>
      </c>
    </row>
    <row r="165" spans="1:10">
      <c r="A165" s="32">
        <f t="shared" si="21"/>
        <v>46378</v>
      </c>
      <c r="B165" s="33" t="str">
        <f t="shared" si="16"/>
        <v>Tue</v>
      </c>
      <c r="C165" s="33">
        <f t="shared" si="17"/>
        <v>0</v>
      </c>
      <c r="D165" s="33">
        <f t="shared" si="18"/>
        <v>0</v>
      </c>
      <c r="E165" s="33">
        <f>IF(COUNTIF(holidays!$A:$A,A165)&gt;0,1,0)</f>
        <v>1</v>
      </c>
      <c r="F165" s="33">
        <f>IF(COUNTIF('Prudence Holidays'!$A:$A,A165)&gt;0,1,0)</f>
        <v>0</v>
      </c>
      <c r="G165" s="33">
        <f t="shared" si="19"/>
        <v>0</v>
      </c>
      <c r="H165" s="33">
        <f t="shared" si="20"/>
        <v>1</v>
      </c>
      <c r="I165" s="33">
        <f t="shared" si="22"/>
        <v>135</v>
      </c>
      <c r="J165" s="33">
        <f t="shared" si="23"/>
        <v>109</v>
      </c>
    </row>
    <row r="166" spans="1:10">
      <c r="A166" s="32">
        <f t="shared" si="21"/>
        <v>46379</v>
      </c>
      <c r="B166" s="33" t="str">
        <f t="shared" si="16"/>
        <v>Wed</v>
      </c>
      <c r="C166" s="33">
        <f t="shared" si="17"/>
        <v>0</v>
      </c>
      <c r="D166" s="33">
        <f t="shared" si="18"/>
        <v>0</v>
      </c>
      <c r="E166" s="33">
        <f>IF(COUNTIF(holidays!$A:$A,A166)&gt;0,1,0)</f>
        <v>0</v>
      </c>
      <c r="F166" s="33">
        <f>IF(COUNTIF('Prudence Holidays'!$A:$A,A166)&gt;0,1,0)</f>
        <v>0</v>
      </c>
      <c r="G166" s="33">
        <f t="shared" si="19"/>
        <v>1</v>
      </c>
      <c r="H166" s="33">
        <f t="shared" si="20"/>
        <v>1</v>
      </c>
      <c r="I166" s="33">
        <f t="shared" si="22"/>
        <v>136</v>
      </c>
      <c r="J166" s="33">
        <f t="shared" si="23"/>
        <v>110</v>
      </c>
    </row>
    <row r="167" spans="1:10">
      <c r="A167" s="32">
        <f t="shared" si="21"/>
        <v>46380</v>
      </c>
      <c r="B167" s="33" t="str">
        <f t="shared" si="16"/>
        <v>Thu</v>
      </c>
      <c r="C167" s="33">
        <f t="shared" si="17"/>
        <v>0</v>
      </c>
      <c r="D167" s="33">
        <f t="shared" si="18"/>
        <v>0</v>
      </c>
      <c r="E167" s="33">
        <f>IF(COUNTIF(holidays!$A:$A,A167)&gt;0,1,0)</f>
        <v>0</v>
      </c>
      <c r="F167" s="33">
        <f>IF(COUNTIF('Prudence Holidays'!$A:$A,A167)&gt;0,1,0)</f>
        <v>0</v>
      </c>
      <c r="G167" s="33">
        <f t="shared" si="19"/>
        <v>1</v>
      </c>
      <c r="H167" s="33">
        <f t="shared" si="20"/>
        <v>1</v>
      </c>
      <c r="I167" s="33">
        <f t="shared" si="22"/>
        <v>137</v>
      </c>
      <c r="J167" s="33">
        <f t="shared" si="23"/>
        <v>111</v>
      </c>
    </row>
    <row r="168" spans="1:10">
      <c r="A168" s="32">
        <f t="shared" si="21"/>
        <v>46381</v>
      </c>
      <c r="B168" s="33" t="str">
        <f t="shared" si="16"/>
        <v>Fri</v>
      </c>
      <c r="C168" s="33">
        <f t="shared" si="17"/>
        <v>0</v>
      </c>
      <c r="D168" s="33">
        <f t="shared" si="18"/>
        <v>0</v>
      </c>
      <c r="E168" s="33">
        <f>IF(COUNTIF(holidays!$A:$A,A168)&gt;0,1,0)</f>
        <v>1</v>
      </c>
      <c r="F168" s="33">
        <f>IF(COUNTIF('Prudence Holidays'!$A:$A,A168)&gt;0,1,0)</f>
        <v>1</v>
      </c>
      <c r="G168" s="33">
        <f t="shared" si="19"/>
        <v>0</v>
      </c>
      <c r="H168" s="33">
        <f t="shared" si="20"/>
        <v>0</v>
      </c>
      <c r="I168" s="33">
        <f t="shared" si="22"/>
        <v>137</v>
      </c>
      <c r="J168" s="33">
        <f t="shared" si="23"/>
        <v>111</v>
      </c>
    </row>
    <row r="169" spans="1:10">
      <c r="A169" s="32">
        <f t="shared" si="21"/>
        <v>46382</v>
      </c>
      <c r="B169" s="33" t="str">
        <f t="shared" si="16"/>
        <v>Sat</v>
      </c>
      <c r="C169" s="33">
        <f t="shared" si="17"/>
        <v>1</v>
      </c>
      <c r="D169" s="33">
        <f t="shared" si="18"/>
        <v>0</v>
      </c>
      <c r="E169" s="33">
        <f>IF(COUNTIF(holidays!$A:$A,A169)&gt;0,1,0)</f>
        <v>1</v>
      </c>
      <c r="F169" s="33">
        <f>IF(COUNTIF('Prudence Holidays'!$A:$A,A169)&gt;0,1,0)</f>
        <v>0</v>
      </c>
      <c r="G169" s="33">
        <f t="shared" si="19"/>
        <v>0</v>
      </c>
      <c r="H169" s="33">
        <f t="shared" si="20"/>
        <v>0</v>
      </c>
      <c r="I169" s="33">
        <f t="shared" si="22"/>
        <v>137</v>
      </c>
      <c r="J169" s="33">
        <f t="shared" si="23"/>
        <v>111</v>
      </c>
    </row>
    <row r="170" spans="1:10">
      <c r="A170" s="32">
        <f t="shared" si="21"/>
        <v>46383</v>
      </c>
      <c r="B170" s="33" t="str">
        <f t="shared" si="16"/>
        <v>Sun</v>
      </c>
      <c r="C170" s="33">
        <f t="shared" si="17"/>
        <v>0</v>
      </c>
      <c r="D170" s="33">
        <f t="shared" si="18"/>
        <v>1</v>
      </c>
      <c r="E170" s="33">
        <f>IF(COUNTIF(holidays!$A:$A,A170)&gt;0,1,0)</f>
        <v>0</v>
      </c>
      <c r="F170" s="33">
        <f>IF(COUNTIF('Prudence Holidays'!$A:$A,A170)&gt;0,1,0)</f>
        <v>0</v>
      </c>
      <c r="G170" s="33">
        <f t="shared" si="19"/>
        <v>0</v>
      </c>
      <c r="H170" s="33">
        <f t="shared" si="20"/>
        <v>0</v>
      </c>
      <c r="I170" s="33">
        <f t="shared" si="22"/>
        <v>137</v>
      </c>
      <c r="J170" s="33">
        <f t="shared" si="23"/>
        <v>111</v>
      </c>
    </row>
    <row r="171" spans="1:10">
      <c r="A171" s="32">
        <f t="shared" si="21"/>
        <v>46384</v>
      </c>
      <c r="B171" s="33" t="str">
        <f t="shared" si="16"/>
        <v>Mon</v>
      </c>
      <c r="C171" s="33">
        <f t="shared" si="17"/>
        <v>0</v>
      </c>
      <c r="D171" s="33">
        <f t="shared" si="18"/>
        <v>0</v>
      </c>
      <c r="E171" s="33">
        <f>IF(COUNTIF(holidays!$A:$A,A171)&gt;0,1,0)</f>
        <v>0</v>
      </c>
      <c r="F171" s="33">
        <f>IF(COUNTIF('Prudence Holidays'!$A:$A,A171)&gt;0,1,0)</f>
        <v>0</v>
      </c>
      <c r="G171" s="33">
        <f t="shared" si="19"/>
        <v>1</v>
      </c>
      <c r="H171" s="33">
        <f t="shared" si="20"/>
        <v>1</v>
      </c>
      <c r="I171" s="33">
        <f t="shared" si="22"/>
        <v>138</v>
      </c>
      <c r="J171" s="33">
        <f t="shared" si="23"/>
        <v>112</v>
      </c>
    </row>
    <row r="172" spans="1:10">
      <c r="A172" s="32">
        <f t="shared" si="21"/>
        <v>46385</v>
      </c>
      <c r="B172" s="33" t="str">
        <f t="shared" si="16"/>
        <v>Tue</v>
      </c>
      <c r="C172" s="33">
        <f t="shared" si="17"/>
        <v>0</v>
      </c>
      <c r="D172" s="33">
        <f t="shared" si="18"/>
        <v>0</v>
      </c>
      <c r="E172" s="33">
        <f>IF(COUNTIF(holidays!$A:$A,A172)&gt;0,1,0)</f>
        <v>0</v>
      </c>
      <c r="F172" s="33">
        <f>IF(COUNTIF('Prudence Holidays'!$A:$A,A172)&gt;0,1,0)</f>
        <v>0</v>
      </c>
      <c r="G172" s="33">
        <f t="shared" si="19"/>
        <v>1</v>
      </c>
      <c r="H172" s="33">
        <f t="shared" si="20"/>
        <v>1</v>
      </c>
      <c r="I172" s="33">
        <f t="shared" si="22"/>
        <v>139</v>
      </c>
      <c r="J172" s="33">
        <f t="shared" si="23"/>
        <v>113</v>
      </c>
    </row>
    <row r="173" spans="1:10">
      <c r="A173" s="32">
        <f t="shared" si="21"/>
        <v>46386</v>
      </c>
      <c r="B173" s="33" t="str">
        <f t="shared" si="16"/>
        <v>Wed</v>
      </c>
      <c r="C173" s="33">
        <f t="shared" si="17"/>
        <v>0</v>
      </c>
      <c r="D173" s="33">
        <f t="shared" si="18"/>
        <v>0</v>
      </c>
      <c r="E173" s="33">
        <f>IF(COUNTIF(holidays!$A:$A,A173)&gt;0,1,0)</f>
        <v>0</v>
      </c>
      <c r="F173" s="33">
        <f>IF(COUNTIF('Prudence Holidays'!$A:$A,A173)&gt;0,1,0)</f>
        <v>0</v>
      </c>
      <c r="G173" s="33">
        <f t="shared" si="19"/>
        <v>1</v>
      </c>
      <c r="H173" s="33">
        <f t="shared" si="20"/>
        <v>1</v>
      </c>
      <c r="I173" s="33">
        <f t="shared" si="22"/>
        <v>140</v>
      </c>
      <c r="J173" s="33">
        <f t="shared" si="23"/>
        <v>114</v>
      </c>
    </row>
    <row r="174" spans="1:10">
      <c r="A174" s="32">
        <f t="shared" si="21"/>
        <v>46387</v>
      </c>
      <c r="B174" s="33" t="str">
        <f t="shared" si="16"/>
        <v>Thu</v>
      </c>
      <c r="C174" s="33">
        <f t="shared" si="17"/>
        <v>0</v>
      </c>
      <c r="D174" s="33">
        <f t="shared" si="18"/>
        <v>0</v>
      </c>
      <c r="E174" s="33">
        <f>IF(COUNTIF(holidays!$A:$A,A174)&gt;0,1,0)</f>
        <v>0</v>
      </c>
      <c r="F174" s="33">
        <f>IF(COUNTIF('Prudence Holidays'!$A:$A,A174)&gt;0,1,0)</f>
        <v>0</v>
      </c>
      <c r="G174" s="33">
        <f t="shared" si="19"/>
        <v>1</v>
      </c>
      <c r="H174" s="33">
        <f t="shared" si="20"/>
        <v>1</v>
      </c>
      <c r="I174" s="33">
        <f t="shared" si="22"/>
        <v>141</v>
      </c>
      <c r="J174" s="33">
        <f t="shared" si="23"/>
        <v>115</v>
      </c>
    </row>
    <row r="175" spans="1:10">
      <c r="A175" s="32">
        <f t="shared" si="21"/>
        <v>46388</v>
      </c>
      <c r="B175" s="33" t="str">
        <f t="shared" si="16"/>
        <v>Fri</v>
      </c>
      <c r="C175" s="33">
        <f t="shared" si="17"/>
        <v>0</v>
      </c>
      <c r="D175" s="33">
        <f t="shared" si="18"/>
        <v>0</v>
      </c>
      <c r="E175" s="33">
        <f>IF(COUNTIF(holidays!$A:$A,A175)&gt;0,1,0)</f>
        <v>0</v>
      </c>
      <c r="F175" s="33">
        <f>IF(COUNTIF('Prudence Holidays'!$A:$A,A175)&gt;0,1,0)</f>
        <v>0</v>
      </c>
      <c r="G175" s="33">
        <f t="shared" si="19"/>
        <v>1</v>
      </c>
      <c r="H175" s="33">
        <f t="shared" si="20"/>
        <v>1</v>
      </c>
      <c r="I175" s="33">
        <f t="shared" si="22"/>
        <v>142</v>
      </c>
      <c r="J175" s="33">
        <f t="shared" si="23"/>
        <v>116</v>
      </c>
    </row>
    <row r="176" spans="1:10">
      <c r="A176" s="32">
        <f t="shared" si="21"/>
        <v>46389</v>
      </c>
      <c r="B176" s="33" t="str">
        <f t="shared" si="16"/>
        <v>Sat</v>
      </c>
      <c r="C176" s="33">
        <f t="shared" si="17"/>
        <v>1</v>
      </c>
      <c r="D176" s="33">
        <f t="shared" si="18"/>
        <v>0</v>
      </c>
      <c r="E176" s="33">
        <f>IF(COUNTIF(holidays!$A:$A,A176)&gt;0,1,0)</f>
        <v>0</v>
      </c>
      <c r="F176" s="33">
        <f>IF(COUNTIF('Prudence Holidays'!$A:$A,A176)&gt;0,1,0)</f>
        <v>0</v>
      </c>
      <c r="G176" s="33">
        <f t="shared" si="19"/>
        <v>1</v>
      </c>
      <c r="H176" s="33">
        <f t="shared" si="20"/>
        <v>0</v>
      </c>
      <c r="I176" s="33">
        <f t="shared" si="22"/>
        <v>143</v>
      </c>
      <c r="J176" s="33">
        <f t="shared" si="23"/>
        <v>116</v>
      </c>
    </row>
    <row r="177" spans="1:10">
      <c r="A177" s="32">
        <f t="shared" si="21"/>
        <v>46390</v>
      </c>
      <c r="B177" s="33" t="str">
        <f t="shared" si="16"/>
        <v>Sun</v>
      </c>
      <c r="C177" s="33">
        <f t="shared" si="17"/>
        <v>0</v>
      </c>
      <c r="D177" s="33">
        <f t="shared" si="18"/>
        <v>1</v>
      </c>
      <c r="E177" s="33">
        <f>IF(COUNTIF(holidays!$A:$A,A177)&gt;0,1,0)</f>
        <v>0</v>
      </c>
      <c r="F177" s="33">
        <f>IF(COUNTIF('Prudence Holidays'!$A:$A,A177)&gt;0,1,0)</f>
        <v>0</v>
      </c>
      <c r="G177" s="33">
        <f t="shared" si="19"/>
        <v>0</v>
      </c>
      <c r="H177" s="33">
        <f t="shared" si="20"/>
        <v>0</v>
      </c>
      <c r="I177" s="33">
        <f t="shared" si="22"/>
        <v>143</v>
      </c>
      <c r="J177" s="33">
        <f t="shared" si="23"/>
        <v>116</v>
      </c>
    </row>
    <row r="178" spans="1:10">
      <c r="A178" s="32">
        <f t="shared" si="21"/>
        <v>46391</v>
      </c>
      <c r="B178" s="33" t="str">
        <f t="shared" si="16"/>
        <v>Mon</v>
      </c>
      <c r="C178" s="33">
        <f t="shared" si="17"/>
        <v>0</v>
      </c>
      <c r="D178" s="33">
        <f t="shared" si="18"/>
        <v>0</v>
      </c>
      <c r="E178" s="33">
        <f>IF(COUNTIF(holidays!$A:$A,A178)&gt;0,1,0)</f>
        <v>0</v>
      </c>
      <c r="F178" s="33">
        <f>IF(COUNTIF('Prudence Holidays'!$A:$A,A178)&gt;0,1,0)</f>
        <v>0</v>
      </c>
      <c r="G178" s="33">
        <f t="shared" si="19"/>
        <v>1</v>
      </c>
      <c r="H178" s="33">
        <f t="shared" si="20"/>
        <v>1</v>
      </c>
      <c r="I178" s="33">
        <f t="shared" si="22"/>
        <v>144</v>
      </c>
      <c r="J178" s="33">
        <f t="shared" si="23"/>
        <v>117</v>
      </c>
    </row>
    <row r="179" spans="1:10">
      <c r="A179" s="32">
        <f t="shared" si="21"/>
        <v>46392</v>
      </c>
      <c r="B179" s="33" t="str">
        <f t="shared" si="16"/>
        <v>Tue</v>
      </c>
      <c r="C179" s="33">
        <f t="shared" si="17"/>
        <v>0</v>
      </c>
      <c r="D179" s="33">
        <f t="shared" si="18"/>
        <v>0</v>
      </c>
      <c r="E179" s="33">
        <f>IF(COUNTIF(holidays!$A:$A,A179)&gt;0,1,0)</f>
        <v>0</v>
      </c>
      <c r="F179" s="33">
        <f>IF(COUNTIF('Prudence Holidays'!$A:$A,A179)&gt;0,1,0)</f>
        <v>0</v>
      </c>
      <c r="G179" s="33">
        <f t="shared" si="19"/>
        <v>1</v>
      </c>
      <c r="H179" s="33">
        <f t="shared" si="20"/>
        <v>1</v>
      </c>
      <c r="I179" s="33">
        <f t="shared" si="22"/>
        <v>145</v>
      </c>
      <c r="J179" s="33">
        <f t="shared" si="23"/>
        <v>118</v>
      </c>
    </row>
    <row r="180" spans="1:10">
      <c r="A180" s="32">
        <f t="shared" si="21"/>
        <v>46393</v>
      </c>
      <c r="B180" s="33" t="str">
        <f t="shared" si="16"/>
        <v>Wed</v>
      </c>
      <c r="C180" s="33">
        <f t="shared" si="17"/>
        <v>0</v>
      </c>
      <c r="D180" s="33">
        <f t="shared" si="18"/>
        <v>0</v>
      </c>
      <c r="E180" s="33">
        <f>IF(COUNTIF(holidays!$A:$A,A180)&gt;0,1,0)</f>
        <v>0</v>
      </c>
      <c r="F180" s="33">
        <f>IF(COUNTIF('Prudence Holidays'!$A:$A,A180)&gt;0,1,0)</f>
        <v>0</v>
      </c>
      <c r="G180" s="33">
        <f t="shared" si="19"/>
        <v>1</v>
      </c>
      <c r="H180" s="33">
        <f t="shared" si="20"/>
        <v>1</v>
      </c>
      <c r="I180" s="33">
        <f t="shared" si="22"/>
        <v>146</v>
      </c>
      <c r="J180" s="33">
        <f t="shared" si="23"/>
        <v>119</v>
      </c>
    </row>
    <row r="181" spans="1:10">
      <c r="A181" s="32">
        <f t="shared" si="21"/>
        <v>46394</v>
      </c>
      <c r="B181" s="33" t="str">
        <f t="shared" si="16"/>
        <v>Thu</v>
      </c>
      <c r="C181" s="33">
        <f t="shared" si="17"/>
        <v>0</v>
      </c>
      <c r="D181" s="33">
        <f t="shared" si="18"/>
        <v>0</v>
      </c>
      <c r="E181" s="33">
        <f>IF(COUNTIF(holidays!$A:$A,A181)&gt;0,1,0)</f>
        <v>0</v>
      </c>
      <c r="F181" s="33">
        <f>IF(COUNTIF('Prudence Holidays'!$A:$A,A181)&gt;0,1,0)</f>
        <v>0</v>
      </c>
      <c r="G181" s="33">
        <f t="shared" si="19"/>
        <v>1</v>
      </c>
      <c r="H181" s="33">
        <f t="shared" si="20"/>
        <v>1</v>
      </c>
      <c r="I181" s="33">
        <f t="shared" si="22"/>
        <v>147</v>
      </c>
      <c r="J181" s="33">
        <f t="shared" si="23"/>
        <v>120</v>
      </c>
    </row>
    <row r="182" spans="1:10">
      <c r="A182" s="32">
        <f t="shared" si="21"/>
        <v>46395</v>
      </c>
      <c r="B182" s="33" t="str">
        <f t="shared" si="16"/>
        <v>Fri</v>
      </c>
      <c r="C182" s="33">
        <f t="shared" si="17"/>
        <v>0</v>
      </c>
      <c r="D182" s="33">
        <f t="shared" si="18"/>
        <v>0</v>
      </c>
      <c r="E182" s="33">
        <f>IF(COUNTIF(holidays!$A:$A,A182)&gt;0,1,0)</f>
        <v>0</v>
      </c>
      <c r="F182" s="33">
        <f>IF(COUNTIF('Prudence Holidays'!$A:$A,A182)&gt;0,1,0)</f>
        <v>0</v>
      </c>
      <c r="G182" s="33">
        <f t="shared" si="19"/>
        <v>1</v>
      </c>
      <c r="H182" s="33">
        <f t="shared" si="20"/>
        <v>1</v>
      </c>
      <c r="I182" s="33">
        <f t="shared" si="22"/>
        <v>148</v>
      </c>
      <c r="J182" s="33">
        <f t="shared" si="23"/>
        <v>121</v>
      </c>
    </row>
    <row r="183" spans="1:10">
      <c r="A183" s="32">
        <f t="shared" si="21"/>
        <v>46396</v>
      </c>
      <c r="B183" s="33" t="str">
        <f t="shared" si="16"/>
        <v>Sat</v>
      </c>
      <c r="C183" s="33">
        <f t="shared" si="17"/>
        <v>1</v>
      </c>
      <c r="D183" s="33">
        <f t="shared" si="18"/>
        <v>0</v>
      </c>
      <c r="E183" s="33">
        <f>IF(COUNTIF(holidays!$A:$A,A183)&gt;0,1,0)</f>
        <v>0</v>
      </c>
      <c r="F183" s="33">
        <f>IF(COUNTIF('Prudence Holidays'!$A:$A,A183)&gt;0,1,0)</f>
        <v>0</v>
      </c>
      <c r="G183" s="33">
        <f t="shared" si="19"/>
        <v>1</v>
      </c>
      <c r="H183" s="33">
        <f t="shared" si="20"/>
        <v>0</v>
      </c>
      <c r="I183" s="33">
        <f t="shared" si="22"/>
        <v>149</v>
      </c>
      <c r="J183" s="33">
        <f t="shared" si="23"/>
        <v>121</v>
      </c>
    </row>
    <row r="184" spans="1:10">
      <c r="A184" s="32">
        <f t="shared" si="21"/>
        <v>46397</v>
      </c>
      <c r="B184" s="33" t="str">
        <f t="shared" si="16"/>
        <v>Sun</v>
      </c>
      <c r="C184" s="33">
        <f t="shared" si="17"/>
        <v>0</v>
      </c>
      <c r="D184" s="33">
        <f t="shared" si="18"/>
        <v>1</v>
      </c>
      <c r="E184" s="33">
        <f>IF(COUNTIF(holidays!$A:$A,A184)&gt;0,1,0)</f>
        <v>0</v>
      </c>
      <c r="F184" s="33">
        <f>IF(COUNTIF('Prudence Holidays'!$A:$A,A184)&gt;0,1,0)</f>
        <v>0</v>
      </c>
      <c r="G184" s="33">
        <f t="shared" si="19"/>
        <v>0</v>
      </c>
      <c r="H184" s="33">
        <f t="shared" si="20"/>
        <v>0</v>
      </c>
      <c r="I184" s="33">
        <f t="shared" si="22"/>
        <v>149</v>
      </c>
      <c r="J184" s="33">
        <f t="shared" si="23"/>
        <v>121</v>
      </c>
    </row>
    <row r="185" spans="1:10">
      <c r="A185" s="32">
        <f t="shared" si="21"/>
        <v>46398</v>
      </c>
      <c r="B185" s="33" t="str">
        <f t="shared" si="16"/>
        <v>Mon</v>
      </c>
      <c r="C185" s="33">
        <f t="shared" si="17"/>
        <v>0</v>
      </c>
      <c r="D185" s="33">
        <f t="shared" si="18"/>
        <v>0</v>
      </c>
      <c r="E185" s="33">
        <f>IF(COUNTIF(holidays!$A:$A,A185)&gt;0,1,0)</f>
        <v>0</v>
      </c>
      <c r="F185" s="33">
        <f>IF(COUNTIF('Prudence Holidays'!$A:$A,A185)&gt;0,1,0)</f>
        <v>0</v>
      </c>
      <c r="G185" s="33">
        <f t="shared" si="19"/>
        <v>1</v>
      </c>
      <c r="H185" s="33">
        <f t="shared" si="20"/>
        <v>1</v>
      </c>
      <c r="I185" s="33">
        <f t="shared" si="22"/>
        <v>150</v>
      </c>
      <c r="J185" s="33">
        <f t="shared" si="23"/>
        <v>122</v>
      </c>
    </row>
    <row r="186" spans="1:10">
      <c r="A186" s="32">
        <f t="shared" si="21"/>
        <v>46399</v>
      </c>
      <c r="B186" s="33" t="str">
        <f t="shared" si="16"/>
        <v>Tue</v>
      </c>
      <c r="C186" s="33">
        <f t="shared" si="17"/>
        <v>0</v>
      </c>
      <c r="D186" s="33">
        <f t="shared" si="18"/>
        <v>0</v>
      </c>
      <c r="E186" s="33">
        <f>IF(COUNTIF(holidays!$A:$A,A186)&gt;0,1,0)</f>
        <v>0</v>
      </c>
      <c r="F186" s="33">
        <f>IF(COUNTIF('Prudence Holidays'!$A:$A,A186)&gt;0,1,0)</f>
        <v>0</v>
      </c>
      <c r="G186" s="33">
        <f t="shared" si="19"/>
        <v>1</v>
      </c>
      <c r="H186" s="33">
        <f t="shared" si="20"/>
        <v>1</v>
      </c>
      <c r="I186" s="33">
        <f t="shared" si="22"/>
        <v>151</v>
      </c>
      <c r="J186" s="33">
        <f t="shared" si="23"/>
        <v>123</v>
      </c>
    </row>
    <row r="187" spans="1:10">
      <c r="A187" s="32">
        <f t="shared" si="21"/>
        <v>46400</v>
      </c>
      <c r="B187" s="33" t="str">
        <f t="shared" si="16"/>
        <v>Wed</v>
      </c>
      <c r="C187" s="33">
        <f t="shared" si="17"/>
        <v>0</v>
      </c>
      <c r="D187" s="33">
        <f t="shared" si="18"/>
        <v>0</v>
      </c>
      <c r="E187" s="33">
        <f>IF(COUNTIF(holidays!$A:$A,A187)&gt;0,1,0)</f>
        <v>0</v>
      </c>
      <c r="F187" s="33">
        <f>IF(COUNTIF('Prudence Holidays'!$A:$A,A187)&gt;0,1,0)</f>
        <v>0</v>
      </c>
      <c r="G187" s="33">
        <f t="shared" si="19"/>
        <v>1</v>
      </c>
      <c r="H187" s="33">
        <f t="shared" si="20"/>
        <v>1</v>
      </c>
      <c r="I187" s="33">
        <f t="shared" si="22"/>
        <v>152</v>
      </c>
      <c r="J187" s="33">
        <f t="shared" si="23"/>
        <v>124</v>
      </c>
    </row>
    <row r="188" spans="1:10">
      <c r="A188" s="32">
        <f t="shared" si="21"/>
        <v>46401</v>
      </c>
      <c r="B188" s="33" t="str">
        <f t="shared" si="16"/>
        <v>Thu</v>
      </c>
      <c r="C188" s="33">
        <f t="shared" si="17"/>
        <v>0</v>
      </c>
      <c r="D188" s="33">
        <f t="shared" si="18"/>
        <v>0</v>
      </c>
      <c r="E188" s="33">
        <f>IF(COUNTIF(holidays!$A:$A,A188)&gt;0,1,0)</f>
        <v>0</v>
      </c>
      <c r="F188" s="33">
        <f>IF(COUNTIF('Prudence Holidays'!$A:$A,A188)&gt;0,1,0)</f>
        <v>0</v>
      </c>
      <c r="G188" s="33">
        <f t="shared" si="19"/>
        <v>1</v>
      </c>
      <c r="H188" s="33">
        <f t="shared" si="20"/>
        <v>1</v>
      </c>
      <c r="I188" s="33">
        <f t="shared" si="22"/>
        <v>153</v>
      </c>
      <c r="J188" s="33">
        <f t="shared" si="23"/>
        <v>125</v>
      </c>
    </row>
    <row r="189" spans="1:10">
      <c r="A189" s="32">
        <f t="shared" si="21"/>
        <v>46402</v>
      </c>
      <c r="B189" s="33" t="str">
        <f t="shared" si="16"/>
        <v>Fri</v>
      </c>
      <c r="C189" s="33">
        <f t="shared" si="17"/>
        <v>0</v>
      </c>
      <c r="D189" s="33">
        <f t="shared" si="18"/>
        <v>0</v>
      </c>
      <c r="E189" s="33">
        <f>IF(COUNTIF(holidays!$A:$A,A189)&gt;0,1,0)</f>
        <v>0</v>
      </c>
      <c r="F189" s="33">
        <f>IF(COUNTIF('Prudence Holidays'!$A:$A,A189)&gt;0,1,0)</f>
        <v>0</v>
      </c>
      <c r="G189" s="33">
        <f t="shared" si="19"/>
        <v>1</v>
      </c>
      <c r="H189" s="33">
        <f t="shared" si="20"/>
        <v>1</v>
      </c>
      <c r="I189" s="33">
        <f t="shared" si="22"/>
        <v>154</v>
      </c>
      <c r="J189" s="33">
        <f t="shared" si="23"/>
        <v>126</v>
      </c>
    </row>
    <row r="190" spans="1:10">
      <c r="A190" s="32">
        <f t="shared" si="21"/>
        <v>46403</v>
      </c>
      <c r="B190" s="33" t="str">
        <f t="shared" si="16"/>
        <v>Sat</v>
      </c>
      <c r="C190" s="33">
        <f t="shared" si="17"/>
        <v>1</v>
      </c>
      <c r="D190" s="33">
        <f t="shared" si="18"/>
        <v>0</v>
      </c>
      <c r="E190" s="33">
        <f>IF(COUNTIF(holidays!$A:$A,A190)&gt;0,1,0)</f>
        <v>0</v>
      </c>
      <c r="F190" s="33">
        <f>IF(COUNTIF('Prudence Holidays'!$A:$A,A190)&gt;0,1,0)</f>
        <v>0</v>
      </c>
      <c r="G190" s="33">
        <f t="shared" si="19"/>
        <v>1</v>
      </c>
      <c r="H190" s="33">
        <f t="shared" si="20"/>
        <v>0</v>
      </c>
      <c r="I190" s="33">
        <f t="shared" si="22"/>
        <v>155</v>
      </c>
      <c r="J190" s="33">
        <f t="shared" si="23"/>
        <v>126</v>
      </c>
    </row>
    <row r="191" spans="1:10">
      <c r="A191" s="32">
        <f t="shared" si="21"/>
        <v>46404</v>
      </c>
      <c r="B191" s="33" t="str">
        <f t="shared" si="16"/>
        <v>Sun</v>
      </c>
      <c r="C191" s="33">
        <f t="shared" si="17"/>
        <v>0</v>
      </c>
      <c r="D191" s="33">
        <f t="shared" si="18"/>
        <v>1</v>
      </c>
      <c r="E191" s="33">
        <f>IF(COUNTIF(holidays!$A:$A,A191)&gt;0,1,0)</f>
        <v>0</v>
      </c>
      <c r="F191" s="33">
        <f>IF(COUNTIF('Prudence Holidays'!$A:$A,A191)&gt;0,1,0)</f>
        <v>0</v>
      </c>
      <c r="G191" s="33">
        <f t="shared" si="19"/>
        <v>0</v>
      </c>
      <c r="H191" s="33">
        <f t="shared" si="20"/>
        <v>0</v>
      </c>
      <c r="I191" s="33">
        <f t="shared" si="22"/>
        <v>155</v>
      </c>
      <c r="J191" s="33">
        <f t="shared" si="23"/>
        <v>126</v>
      </c>
    </row>
    <row r="192" spans="1:10">
      <c r="A192" s="32">
        <f t="shared" si="21"/>
        <v>46405</v>
      </c>
      <c r="B192" s="33" t="str">
        <f t="shared" si="16"/>
        <v>Mon</v>
      </c>
      <c r="C192" s="33">
        <f t="shared" si="17"/>
        <v>0</v>
      </c>
      <c r="D192" s="33">
        <f t="shared" si="18"/>
        <v>0</v>
      </c>
      <c r="E192" s="33">
        <f>IF(COUNTIF(holidays!$A:$A,A192)&gt;0,1,0)</f>
        <v>0</v>
      </c>
      <c r="F192" s="33">
        <f>IF(COUNTIF('Prudence Holidays'!$A:$A,A192)&gt;0,1,0)</f>
        <v>0</v>
      </c>
      <c r="G192" s="33">
        <f t="shared" si="19"/>
        <v>1</v>
      </c>
      <c r="H192" s="33">
        <f t="shared" si="20"/>
        <v>1</v>
      </c>
      <c r="I192" s="33">
        <f t="shared" si="22"/>
        <v>156</v>
      </c>
      <c r="J192" s="33">
        <f t="shared" si="23"/>
        <v>127</v>
      </c>
    </row>
    <row r="193" spans="1:10">
      <c r="A193" s="32">
        <f t="shared" si="21"/>
        <v>46406</v>
      </c>
      <c r="B193" s="33" t="str">
        <f t="shared" si="16"/>
        <v>Tue</v>
      </c>
      <c r="C193" s="33">
        <f t="shared" si="17"/>
        <v>0</v>
      </c>
      <c r="D193" s="33">
        <f t="shared" si="18"/>
        <v>0</v>
      </c>
      <c r="E193" s="33">
        <f>IF(COUNTIF(holidays!$A:$A,A193)&gt;0,1,0)</f>
        <v>0</v>
      </c>
      <c r="F193" s="33">
        <f>IF(COUNTIF('Prudence Holidays'!$A:$A,A193)&gt;0,1,0)</f>
        <v>0</v>
      </c>
      <c r="G193" s="33">
        <f t="shared" si="19"/>
        <v>1</v>
      </c>
      <c r="H193" s="33">
        <f t="shared" si="20"/>
        <v>1</v>
      </c>
      <c r="I193" s="33">
        <f t="shared" si="22"/>
        <v>157</v>
      </c>
      <c r="J193" s="33">
        <f t="shared" si="23"/>
        <v>128</v>
      </c>
    </row>
    <row r="194" spans="1:10">
      <c r="A194" s="32">
        <f t="shared" si="21"/>
        <v>46407</v>
      </c>
      <c r="B194" s="33" t="str">
        <f t="shared" si="16"/>
        <v>Wed</v>
      </c>
      <c r="C194" s="33">
        <f t="shared" si="17"/>
        <v>0</v>
      </c>
      <c r="D194" s="33">
        <f t="shared" si="18"/>
        <v>0</v>
      </c>
      <c r="E194" s="33">
        <f>IF(COUNTIF(holidays!$A:$A,A194)&gt;0,1,0)</f>
        <v>0</v>
      </c>
      <c r="F194" s="33">
        <f>IF(COUNTIF('Prudence Holidays'!$A:$A,A194)&gt;0,1,0)</f>
        <v>0</v>
      </c>
      <c r="G194" s="33">
        <f t="shared" si="19"/>
        <v>1</v>
      </c>
      <c r="H194" s="33">
        <f t="shared" si="20"/>
        <v>1</v>
      </c>
      <c r="I194" s="33">
        <f t="shared" si="22"/>
        <v>158</v>
      </c>
      <c r="J194" s="33">
        <f t="shared" si="23"/>
        <v>129</v>
      </c>
    </row>
    <row r="195" spans="1:10">
      <c r="A195" s="32">
        <f t="shared" si="21"/>
        <v>46408</v>
      </c>
      <c r="B195" s="33" t="str">
        <f t="shared" si="16"/>
        <v>Thu</v>
      </c>
      <c r="C195" s="33">
        <f t="shared" si="17"/>
        <v>0</v>
      </c>
      <c r="D195" s="33">
        <f t="shared" si="18"/>
        <v>0</v>
      </c>
      <c r="E195" s="33">
        <f>IF(COUNTIF(holidays!$A:$A,A195)&gt;0,1,0)</f>
        <v>0</v>
      </c>
      <c r="F195" s="33">
        <f>IF(COUNTIF('Prudence Holidays'!$A:$A,A195)&gt;0,1,0)</f>
        <v>0</v>
      </c>
      <c r="G195" s="33">
        <f t="shared" si="19"/>
        <v>1</v>
      </c>
      <c r="H195" s="33">
        <f t="shared" si="20"/>
        <v>1</v>
      </c>
      <c r="I195" s="33">
        <f t="shared" si="22"/>
        <v>159</v>
      </c>
      <c r="J195" s="33">
        <f t="shared" si="23"/>
        <v>130</v>
      </c>
    </row>
    <row r="196" spans="1:10">
      <c r="A196" s="32">
        <f t="shared" si="21"/>
        <v>46409</v>
      </c>
      <c r="B196" s="33" t="str">
        <f t="shared" si="16"/>
        <v>Fri</v>
      </c>
      <c r="C196" s="33">
        <f t="shared" si="17"/>
        <v>0</v>
      </c>
      <c r="D196" s="33">
        <f t="shared" si="18"/>
        <v>0</v>
      </c>
      <c r="E196" s="33">
        <f>IF(COUNTIF(holidays!$A:$A,A196)&gt;0,1,0)</f>
        <v>0</v>
      </c>
      <c r="F196" s="33">
        <f>IF(COUNTIF('Prudence Holidays'!$A:$A,A196)&gt;0,1,0)</f>
        <v>0</v>
      </c>
      <c r="G196" s="33">
        <f t="shared" si="19"/>
        <v>1</v>
      </c>
      <c r="H196" s="33">
        <f t="shared" si="20"/>
        <v>1</v>
      </c>
      <c r="I196" s="33">
        <f t="shared" si="22"/>
        <v>160</v>
      </c>
      <c r="J196" s="33">
        <f t="shared" si="23"/>
        <v>131</v>
      </c>
    </row>
    <row r="197" spans="1:10">
      <c r="A197" s="32">
        <f t="shared" si="21"/>
        <v>46410</v>
      </c>
      <c r="B197" s="33" t="str">
        <f t="shared" ref="B197:B260" si="24">TEXT(A197,"ddd")</f>
        <v>Sat</v>
      </c>
      <c r="C197" s="33">
        <f t="shared" ref="C197:C260" si="25">IF(WEEKDAY(A197,2)=6,1,0)</f>
        <v>1</v>
      </c>
      <c r="D197" s="33">
        <f t="shared" ref="D197:D260" si="26">IF(WEEKDAY(A197,2)=7,1,0)</f>
        <v>0</v>
      </c>
      <c r="E197" s="33">
        <f>IF(COUNTIF(holidays!$A:$A,A197)&gt;0,1,0)</f>
        <v>0</v>
      </c>
      <c r="F197" s="33">
        <f>IF(COUNTIF('Prudence Holidays'!$A:$A,A197)&gt;0,1,0)</f>
        <v>0</v>
      </c>
      <c r="G197" s="33">
        <f t="shared" ref="G197:G260" si="27">IF(OR(D197=1,E197=1),0,1)</f>
        <v>1</v>
      </c>
      <c r="H197" s="33">
        <f t="shared" ref="H197:H260" si="28">IF(OR(C197=1,D197=1,F197=1),0,1)</f>
        <v>0</v>
      </c>
      <c r="I197" s="33">
        <f t="shared" si="22"/>
        <v>161</v>
      </c>
      <c r="J197" s="33">
        <f t="shared" si="23"/>
        <v>131</v>
      </c>
    </row>
    <row r="198" spans="1:10">
      <c r="A198" s="32">
        <f t="shared" ref="A198:A261" si="29">A197+1</f>
        <v>46411</v>
      </c>
      <c r="B198" s="33" t="str">
        <f t="shared" si="24"/>
        <v>Sun</v>
      </c>
      <c r="C198" s="33">
        <f t="shared" si="25"/>
        <v>0</v>
      </c>
      <c r="D198" s="33">
        <f t="shared" si="26"/>
        <v>1</v>
      </c>
      <c r="E198" s="33">
        <f>IF(COUNTIF(holidays!$A:$A,A198)&gt;0,1,0)</f>
        <v>0</v>
      </c>
      <c r="F198" s="33">
        <f>IF(COUNTIF('Prudence Holidays'!$A:$A,A198)&gt;0,1,0)</f>
        <v>0</v>
      </c>
      <c r="G198" s="33">
        <f t="shared" si="27"/>
        <v>0</v>
      </c>
      <c r="H198" s="33">
        <f t="shared" si="28"/>
        <v>0</v>
      </c>
      <c r="I198" s="33">
        <f t="shared" ref="I198:I261" si="30">I197+G198</f>
        <v>161</v>
      </c>
      <c r="J198" s="33">
        <f t="shared" ref="J198:J261" si="31">J197+H198</f>
        <v>131</v>
      </c>
    </row>
    <row r="199" spans="1:10">
      <c r="A199" s="32">
        <f t="shared" si="29"/>
        <v>46412</v>
      </c>
      <c r="B199" s="33" t="str">
        <f t="shared" si="24"/>
        <v>Mon</v>
      </c>
      <c r="C199" s="33">
        <f t="shared" si="25"/>
        <v>0</v>
      </c>
      <c r="D199" s="33">
        <f t="shared" si="26"/>
        <v>0</v>
      </c>
      <c r="E199" s="33">
        <f>IF(COUNTIF(holidays!$A:$A,A199)&gt;0,1,0)</f>
        <v>0</v>
      </c>
      <c r="F199" s="33">
        <f>IF(COUNTIF('Prudence Holidays'!$A:$A,A199)&gt;0,1,0)</f>
        <v>0</v>
      </c>
      <c r="G199" s="33">
        <f t="shared" si="27"/>
        <v>1</v>
      </c>
      <c r="H199" s="33">
        <f t="shared" si="28"/>
        <v>1</v>
      </c>
      <c r="I199" s="33">
        <f t="shared" si="30"/>
        <v>162</v>
      </c>
      <c r="J199" s="33">
        <f t="shared" si="31"/>
        <v>132</v>
      </c>
    </row>
    <row r="200" spans="1:10">
      <c r="A200" s="32">
        <f t="shared" si="29"/>
        <v>46413</v>
      </c>
      <c r="B200" s="33" t="str">
        <f t="shared" si="24"/>
        <v>Tue</v>
      </c>
      <c r="C200" s="33">
        <f t="shared" si="25"/>
        <v>0</v>
      </c>
      <c r="D200" s="33">
        <f t="shared" si="26"/>
        <v>0</v>
      </c>
      <c r="E200" s="33">
        <f>IF(COUNTIF(holidays!$A:$A,A200)&gt;0,1,0)</f>
        <v>0</v>
      </c>
      <c r="F200" s="33">
        <f>IF(COUNTIF('Prudence Holidays'!$A:$A,A200)&gt;0,1,0)</f>
        <v>0</v>
      </c>
      <c r="G200" s="33">
        <f t="shared" si="27"/>
        <v>1</v>
      </c>
      <c r="H200" s="33">
        <f t="shared" si="28"/>
        <v>1</v>
      </c>
      <c r="I200" s="33">
        <f t="shared" si="30"/>
        <v>163</v>
      </c>
      <c r="J200" s="33">
        <f t="shared" si="31"/>
        <v>133</v>
      </c>
    </row>
    <row r="201" spans="1:10">
      <c r="A201" s="32">
        <f t="shared" si="29"/>
        <v>46414</v>
      </c>
      <c r="B201" s="33" t="str">
        <f t="shared" si="24"/>
        <v>Wed</v>
      </c>
      <c r="C201" s="33">
        <f t="shared" si="25"/>
        <v>0</v>
      </c>
      <c r="D201" s="33">
        <f t="shared" si="26"/>
        <v>0</v>
      </c>
      <c r="E201" s="33">
        <f>IF(COUNTIF(holidays!$A:$A,A201)&gt;0,1,0)</f>
        <v>0</v>
      </c>
      <c r="F201" s="33">
        <f>IF(COUNTIF('Prudence Holidays'!$A:$A,A201)&gt;0,1,0)</f>
        <v>0</v>
      </c>
      <c r="G201" s="33">
        <f t="shared" si="27"/>
        <v>1</v>
      </c>
      <c r="H201" s="33">
        <f t="shared" si="28"/>
        <v>1</v>
      </c>
      <c r="I201" s="33">
        <f t="shared" si="30"/>
        <v>164</v>
      </c>
      <c r="J201" s="33">
        <f t="shared" si="31"/>
        <v>134</v>
      </c>
    </row>
    <row r="202" spans="1:10">
      <c r="A202" s="32">
        <f t="shared" si="29"/>
        <v>46415</v>
      </c>
      <c r="B202" s="33" t="str">
        <f t="shared" si="24"/>
        <v>Thu</v>
      </c>
      <c r="C202" s="33">
        <f t="shared" si="25"/>
        <v>0</v>
      </c>
      <c r="D202" s="33">
        <f t="shared" si="26"/>
        <v>0</v>
      </c>
      <c r="E202" s="33">
        <f>IF(COUNTIF(holidays!$A:$A,A202)&gt;0,1,0)</f>
        <v>0</v>
      </c>
      <c r="F202" s="33">
        <f>IF(COUNTIF('Prudence Holidays'!$A:$A,A202)&gt;0,1,0)</f>
        <v>0</v>
      </c>
      <c r="G202" s="33">
        <f t="shared" si="27"/>
        <v>1</v>
      </c>
      <c r="H202" s="33">
        <f t="shared" si="28"/>
        <v>1</v>
      </c>
      <c r="I202" s="33">
        <f t="shared" si="30"/>
        <v>165</v>
      </c>
      <c r="J202" s="33">
        <f t="shared" si="31"/>
        <v>135</v>
      </c>
    </row>
    <row r="203" spans="1:10">
      <c r="A203" s="32">
        <f t="shared" si="29"/>
        <v>46416</v>
      </c>
      <c r="B203" s="33" t="str">
        <f t="shared" si="24"/>
        <v>Fri</v>
      </c>
      <c r="C203" s="33">
        <f t="shared" si="25"/>
        <v>0</v>
      </c>
      <c r="D203" s="33">
        <f t="shared" si="26"/>
        <v>0</v>
      </c>
      <c r="E203" s="33">
        <f>IF(COUNTIF(holidays!$A:$A,A203)&gt;0,1,0)</f>
        <v>0</v>
      </c>
      <c r="F203" s="33">
        <f>IF(COUNTIF('Prudence Holidays'!$A:$A,A203)&gt;0,1,0)</f>
        <v>0</v>
      </c>
      <c r="G203" s="33">
        <f t="shared" si="27"/>
        <v>1</v>
      </c>
      <c r="H203" s="33">
        <f t="shared" si="28"/>
        <v>1</v>
      </c>
      <c r="I203" s="33">
        <f t="shared" si="30"/>
        <v>166</v>
      </c>
      <c r="J203" s="33">
        <f t="shared" si="31"/>
        <v>136</v>
      </c>
    </row>
    <row r="204" spans="1:10">
      <c r="A204" s="32">
        <f t="shared" si="29"/>
        <v>46417</v>
      </c>
      <c r="B204" s="33" t="str">
        <f t="shared" si="24"/>
        <v>Sat</v>
      </c>
      <c r="C204" s="33">
        <f t="shared" si="25"/>
        <v>1</v>
      </c>
      <c r="D204" s="33">
        <f t="shared" si="26"/>
        <v>0</v>
      </c>
      <c r="E204" s="33">
        <f>IF(COUNTIF(holidays!$A:$A,A204)&gt;0,1,0)</f>
        <v>0</v>
      </c>
      <c r="F204" s="33">
        <f>IF(COUNTIF('Prudence Holidays'!$A:$A,A204)&gt;0,1,0)</f>
        <v>0</v>
      </c>
      <c r="G204" s="33">
        <f t="shared" si="27"/>
        <v>1</v>
      </c>
      <c r="H204" s="33">
        <f t="shared" si="28"/>
        <v>0</v>
      </c>
      <c r="I204" s="33">
        <f t="shared" si="30"/>
        <v>167</v>
      </c>
      <c r="J204" s="33">
        <f t="shared" si="31"/>
        <v>136</v>
      </c>
    </row>
    <row r="205" spans="1:10">
      <c r="A205" s="32">
        <f t="shared" si="29"/>
        <v>46418</v>
      </c>
      <c r="B205" s="33" t="str">
        <f t="shared" si="24"/>
        <v>Sun</v>
      </c>
      <c r="C205" s="33">
        <f t="shared" si="25"/>
        <v>0</v>
      </c>
      <c r="D205" s="33">
        <f t="shared" si="26"/>
        <v>1</v>
      </c>
      <c r="E205" s="33">
        <f>IF(COUNTIF(holidays!$A:$A,A205)&gt;0,1,0)</f>
        <v>0</v>
      </c>
      <c r="F205" s="33">
        <f>IF(COUNTIF('Prudence Holidays'!$A:$A,A205)&gt;0,1,0)</f>
        <v>0</v>
      </c>
      <c r="G205" s="33">
        <f t="shared" si="27"/>
        <v>0</v>
      </c>
      <c r="H205" s="33">
        <f t="shared" si="28"/>
        <v>0</v>
      </c>
      <c r="I205" s="33">
        <f t="shared" si="30"/>
        <v>167</v>
      </c>
      <c r="J205" s="33">
        <f t="shared" si="31"/>
        <v>136</v>
      </c>
    </row>
    <row r="206" spans="1:10">
      <c r="A206" s="32">
        <f t="shared" si="29"/>
        <v>46419</v>
      </c>
      <c r="B206" s="33" t="str">
        <f t="shared" si="24"/>
        <v>Mon</v>
      </c>
      <c r="C206" s="33">
        <f t="shared" si="25"/>
        <v>0</v>
      </c>
      <c r="D206" s="33">
        <f t="shared" si="26"/>
        <v>0</v>
      </c>
      <c r="E206" s="33">
        <f>IF(COUNTIF(holidays!$A:$A,A206)&gt;0,1,0)</f>
        <v>0</v>
      </c>
      <c r="F206" s="33">
        <f>IF(COUNTIF('Prudence Holidays'!$A:$A,A206)&gt;0,1,0)</f>
        <v>0</v>
      </c>
      <c r="G206" s="33">
        <f t="shared" si="27"/>
        <v>1</v>
      </c>
      <c r="H206" s="33">
        <f t="shared" si="28"/>
        <v>1</v>
      </c>
      <c r="I206" s="33">
        <f t="shared" si="30"/>
        <v>168</v>
      </c>
      <c r="J206" s="33">
        <f t="shared" si="31"/>
        <v>137</v>
      </c>
    </row>
    <row r="207" spans="1:10">
      <c r="A207" s="32">
        <f t="shared" si="29"/>
        <v>46420</v>
      </c>
      <c r="B207" s="33" t="str">
        <f t="shared" si="24"/>
        <v>Tue</v>
      </c>
      <c r="C207" s="33">
        <f t="shared" si="25"/>
        <v>0</v>
      </c>
      <c r="D207" s="33">
        <f t="shared" si="26"/>
        <v>0</v>
      </c>
      <c r="E207" s="33">
        <f>IF(COUNTIF(holidays!$A:$A,A207)&gt;0,1,0)</f>
        <v>0</v>
      </c>
      <c r="F207" s="33">
        <f>IF(COUNTIF('Prudence Holidays'!$A:$A,A207)&gt;0,1,0)</f>
        <v>0</v>
      </c>
      <c r="G207" s="33">
        <f t="shared" si="27"/>
        <v>1</v>
      </c>
      <c r="H207" s="33">
        <f t="shared" si="28"/>
        <v>1</v>
      </c>
      <c r="I207" s="33">
        <f t="shared" si="30"/>
        <v>169</v>
      </c>
      <c r="J207" s="33">
        <f t="shared" si="31"/>
        <v>138</v>
      </c>
    </row>
    <row r="208" spans="1:10">
      <c r="A208" s="32">
        <f t="shared" si="29"/>
        <v>46421</v>
      </c>
      <c r="B208" s="33" t="str">
        <f t="shared" si="24"/>
        <v>Wed</v>
      </c>
      <c r="C208" s="33">
        <f t="shared" si="25"/>
        <v>0</v>
      </c>
      <c r="D208" s="33">
        <f t="shared" si="26"/>
        <v>0</v>
      </c>
      <c r="E208" s="33">
        <f>IF(COUNTIF(holidays!$A:$A,A208)&gt;0,1,0)</f>
        <v>0</v>
      </c>
      <c r="F208" s="33">
        <f>IF(COUNTIF('Prudence Holidays'!$A:$A,A208)&gt;0,1,0)</f>
        <v>0</v>
      </c>
      <c r="G208" s="33">
        <f t="shared" si="27"/>
        <v>1</v>
      </c>
      <c r="H208" s="33">
        <f t="shared" si="28"/>
        <v>1</v>
      </c>
      <c r="I208" s="33">
        <f t="shared" si="30"/>
        <v>170</v>
      </c>
      <c r="J208" s="33">
        <f t="shared" si="31"/>
        <v>139</v>
      </c>
    </row>
    <row r="209" spans="1:10">
      <c r="A209" s="32">
        <f t="shared" si="29"/>
        <v>46422</v>
      </c>
      <c r="B209" s="33" t="str">
        <f t="shared" si="24"/>
        <v>Thu</v>
      </c>
      <c r="C209" s="33">
        <f t="shared" si="25"/>
        <v>0</v>
      </c>
      <c r="D209" s="33">
        <f t="shared" si="26"/>
        <v>0</v>
      </c>
      <c r="E209" s="33">
        <f>IF(COUNTIF(holidays!$A:$A,A209)&gt;0,1,0)</f>
        <v>0</v>
      </c>
      <c r="F209" s="33">
        <f>IF(COUNTIF('Prudence Holidays'!$A:$A,A209)&gt;0,1,0)</f>
        <v>0</v>
      </c>
      <c r="G209" s="33">
        <f t="shared" si="27"/>
        <v>1</v>
      </c>
      <c r="H209" s="33">
        <f t="shared" si="28"/>
        <v>1</v>
      </c>
      <c r="I209" s="33">
        <f t="shared" si="30"/>
        <v>171</v>
      </c>
      <c r="J209" s="33">
        <f t="shared" si="31"/>
        <v>140</v>
      </c>
    </row>
    <row r="210" spans="1:10">
      <c r="A210" s="32">
        <f t="shared" si="29"/>
        <v>46423</v>
      </c>
      <c r="B210" s="33" t="str">
        <f t="shared" si="24"/>
        <v>Fri</v>
      </c>
      <c r="C210" s="33">
        <f t="shared" si="25"/>
        <v>0</v>
      </c>
      <c r="D210" s="33">
        <f t="shared" si="26"/>
        <v>0</v>
      </c>
      <c r="E210" s="33">
        <f>IF(COUNTIF(holidays!$A:$A,A210)&gt;0,1,0)</f>
        <v>0</v>
      </c>
      <c r="F210" s="33">
        <f>IF(COUNTIF('Prudence Holidays'!$A:$A,A210)&gt;0,1,0)</f>
        <v>0</v>
      </c>
      <c r="G210" s="33">
        <f t="shared" si="27"/>
        <v>1</v>
      </c>
      <c r="H210" s="33">
        <f t="shared" si="28"/>
        <v>1</v>
      </c>
      <c r="I210" s="33">
        <f t="shared" si="30"/>
        <v>172</v>
      </c>
      <c r="J210" s="33">
        <f t="shared" si="31"/>
        <v>141</v>
      </c>
    </row>
    <row r="211" spans="1:10">
      <c r="A211" s="32">
        <f t="shared" si="29"/>
        <v>46424</v>
      </c>
      <c r="B211" s="33" t="str">
        <f t="shared" si="24"/>
        <v>Sat</v>
      </c>
      <c r="C211" s="33">
        <f t="shared" si="25"/>
        <v>1</v>
      </c>
      <c r="D211" s="33">
        <f t="shared" si="26"/>
        <v>0</v>
      </c>
      <c r="E211" s="33">
        <f>IF(COUNTIF(holidays!$A:$A,A211)&gt;0,1,0)</f>
        <v>0</v>
      </c>
      <c r="F211" s="33">
        <f>IF(COUNTIF('Prudence Holidays'!$A:$A,A211)&gt;0,1,0)</f>
        <v>0</v>
      </c>
      <c r="G211" s="33">
        <f t="shared" si="27"/>
        <v>1</v>
      </c>
      <c r="H211" s="33">
        <f t="shared" si="28"/>
        <v>0</v>
      </c>
      <c r="I211" s="33">
        <f t="shared" si="30"/>
        <v>173</v>
      </c>
      <c r="J211" s="33">
        <f t="shared" si="31"/>
        <v>141</v>
      </c>
    </row>
    <row r="212" spans="1:10">
      <c r="A212" s="32">
        <f t="shared" si="29"/>
        <v>46425</v>
      </c>
      <c r="B212" s="33" t="str">
        <f t="shared" si="24"/>
        <v>Sun</v>
      </c>
      <c r="C212" s="33">
        <f t="shared" si="25"/>
        <v>0</v>
      </c>
      <c r="D212" s="33">
        <f t="shared" si="26"/>
        <v>1</v>
      </c>
      <c r="E212" s="33">
        <f>IF(COUNTIF(holidays!$A:$A,A212)&gt;0,1,0)</f>
        <v>0</v>
      </c>
      <c r="F212" s="33">
        <f>IF(COUNTIF('Prudence Holidays'!$A:$A,A212)&gt;0,1,0)</f>
        <v>0</v>
      </c>
      <c r="G212" s="33">
        <f t="shared" si="27"/>
        <v>0</v>
      </c>
      <c r="H212" s="33">
        <f t="shared" si="28"/>
        <v>0</v>
      </c>
      <c r="I212" s="33">
        <f t="shared" si="30"/>
        <v>173</v>
      </c>
      <c r="J212" s="33">
        <f t="shared" si="31"/>
        <v>141</v>
      </c>
    </row>
    <row r="213" spans="1:10">
      <c r="A213" s="32">
        <f t="shared" si="29"/>
        <v>46426</v>
      </c>
      <c r="B213" s="33" t="str">
        <f t="shared" si="24"/>
        <v>Mon</v>
      </c>
      <c r="C213" s="33">
        <f t="shared" si="25"/>
        <v>0</v>
      </c>
      <c r="D213" s="33">
        <f t="shared" si="26"/>
        <v>0</v>
      </c>
      <c r="E213" s="33">
        <f>IF(COUNTIF(holidays!$A:$A,A213)&gt;0,1,0)</f>
        <v>0</v>
      </c>
      <c r="F213" s="33">
        <f>IF(COUNTIF('Prudence Holidays'!$A:$A,A213)&gt;0,1,0)</f>
        <v>0</v>
      </c>
      <c r="G213" s="33">
        <f t="shared" si="27"/>
        <v>1</v>
      </c>
      <c r="H213" s="33">
        <f t="shared" si="28"/>
        <v>1</v>
      </c>
      <c r="I213" s="33">
        <f t="shared" si="30"/>
        <v>174</v>
      </c>
      <c r="J213" s="33">
        <f t="shared" si="31"/>
        <v>142</v>
      </c>
    </row>
    <row r="214" spans="1:10">
      <c r="A214" s="32">
        <f t="shared" si="29"/>
        <v>46427</v>
      </c>
      <c r="B214" s="33" t="str">
        <f t="shared" si="24"/>
        <v>Tue</v>
      </c>
      <c r="C214" s="33">
        <f t="shared" si="25"/>
        <v>0</v>
      </c>
      <c r="D214" s="33">
        <f t="shared" si="26"/>
        <v>0</v>
      </c>
      <c r="E214" s="33">
        <f>IF(COUNTIF(holidays!$A:$A,A214)&gt;0,1,0)</f>
        <v>0</v>
      </c>
      <c r="F214" s="33">
        <f>IF(COUNTIF('Prudence Holidays'!$A:$A,A214)&gt;0,1,0)</f>
        <v>0</v>
      </c>
      <c r="G214" s="33">
        <f t="shared" si="27"/>
        <v>1</v>
      </c>
      <c r="H214" s="33">
        <f t="shared" si="28"/>
        <v>1</v>
      </c>
      <c r="I214" s="33">
        <f t="shared" si="30"/>
        <v>175</v>
      </c>
      <c r="J214" s="33">
        <f t="shared" si="31"/>
        <v>143</v>
      </c>
    </row>
    <row r="215" spans="1:10">
      <c r="A215" s="32">
        <f t="shared" si="29"/>
        <v>46428</v>
      </c>
      <c r="B215" s="33" t="str">
        <f t="shared" si="24"/>
        <v>Wed</v>
      </c>
      <c r="C215" s="33">
        <f t="shared" si="25"/>
        <v>0</v>
      </c>
      <c r="D215" s="33">
        <f t="shared" si="26"/>
        <v>0</v>
      </c>
      <c r="E215" s="33">
        <f>IF(COUNTIF(holidays!$A:$A,A215)&gt;0,1,0)</f>
        <v>0</v>
      </c>
      <c r="F215" s="33">
        <f>IF(COUNTIF('Prudence Holidays'!$A:$A,A215)&gt;0,1,0)</f>
        <v>0</v>
      </c>
      <c r="G215" s="33">
        <f t="shared" si="27"/>
        <v>1</v>
      </c>
      <c r="H215" s="33">
        <f t="shared" si="28"/>
        <v>1</v>
      </c>
      <c r="I215" s="33">
        <f t="shared" si="30"/>
        <v>176</v>
      </c>
      <c r="J215" s="33">
        <f t="shared" si="31"/>
        <v>144</v>
      </c>
    </row>
    <row r="216" spans="1:10">
      <c r="A216" s="32">
        <f t="shared" si="29"/>
        <v>46429</v>
      </c>
      <c r="B216" s="33" t="str">
        <f t="shared" si="24"/>
        <v>Thu</v>
      </c>
      <c r="C216" s="33">
        <f t="shared" si="25"/>
        <v>0</v>
      </c>
      <c r="D216" s="33">
        <f t="shared" si="26"/>
        <v>0</v>
      </c>
      <c r="E216" s="33">
        <f>IF(COUNTIF(holidays!$A:$A,A216)&gt;0,1,0)</f>
        <v>0</v>
      </c>
      <c r="F216" s="33">
        <f>IF(COUNTIF('Prudence Holidays'!$A:$A,A216)&gt;0,1,0)</f>
        <v>0</v>
      </c>
      <c r="G216" s="33">
        <f t="shared" si="27"/>
        <v>1</v>
      </c>
      <c r="H216" s="33">
        <f t="shared" si="28"/>
        <v>1</v>
      </c>
      <c r="I216" s="33">
        <f t="shared" si="30"/>
        <v>177</v>
      </c>
      <c r="J216" s="33">
        <f t="shared" si="31"/>
        <v>145</v>
      </c>
    </row>
    <row r="217" spans="1:10">
      <c r="A217" s="32">
        <f t="shared" si="29"/>
        <v>46430</v>
      </c>
      <c r="B217" s="33" t="str">
        <f t="shared" si="24"/>
        <v>Fri</v>
      </c>
      <c r="C217" s="33">
        <f t="shared" si="25"/>
        <v>0</v>
      </c>
      <c r="D217" s="33">
        <f t="shared" si="26"/>
        <v>0</v>
      </c>
      <c r="E217" s="33">
        <f>IF(COUNTIF(holidays!$A:$A,A217)&gt;0,1,0)</f>
        <v>0</v>
      </c>
      <c r="F217" s="33">
        <f>IF(COUNTIF('Prudence Holidays'!$A:$A,A217)&gt;0,1,0)</f>
        <v>0</v>
      </c>
      <c r="G217" s="33">
        <f t="shared" si="27"/>
        <v>1</v>
      </c>
      <c r="H217" s="33">
        <f t="shared" si="28"/>
        <v>1</v>
      </c>
      <c r="I217" s="33">
        <f t="shared" si="30"/>
        <v>178</v>
      </c>
      <c r="J217" s="33">
        <f t="shared" si="31"/>
        <v>146</v>
      </c>
    </row>
    <row r="218" spans="1:10">
      <c r="A218" s="32">
        <f t="shared" si="29"/>
        <v>46431</v>
      </c>
      <c r="B218" s="33" t="str">
        <f t="shared" si="24"/>
        <v>Sat</v>
      </c>
      <c r="C218" s="33">
        <f t="shared" si="25"/>
        <v>1</v>
      </c>
      <c r="D218" s="33">
        <f t="shared" si="26"/>
        <v>0</v>
      </c>
      <c r="E218" s="33">
        <f>IF(COUNTIF(holidays!$A:$A,A218)&gt;0,1,0)</f>
        <v>0</v>
      </c>
      <c r="F218" s="33">
        <f>IF(COUNTIF('Prudence Holidays'!$A:$A,A218)&gt;0,1,0)</f>
        <v>0</v>
      </c>
      <c r="G218" s="33">
        <f t="shared" si="27"/>
        <v>1</v>
      </c>
      <c r="H218" s="33">
        <f t="shared" si="28"/>
        <v>0</v>
      </c>
      <c r="I218" s="33">
        <f t="shared" si="30"/>
        <v>179</v>
      </c>
      <c r="J218" s="33">
        <f t="shared" si="31"/>
        <v>146</v>
      </c>
    </row>
    <row r="219" spans="1:10">
      <c r="A219" s="32">
        <f t="shared" si="29"/>
        <v>46432</v>
      </c>
      <c r="B219" s="33" t="str">
        <f t="shared" si="24"/>
        <v>Sun</v>
      </c>
      <c r="C219" s="33">
        <f t="shared" si="25"/>
        <v>0</v>
      </c>
      <c r="D219" s="33">
        <f t="shared" si="26"/>
        <v>1</v>
      </c>
      <c r="E219" s="33">
        <f>IF(COUNTIF(holidays!$A:$A,A219)&gt;0,1,0)</f>
        <v>0</v>
      </c>
      <c r="F219" s="33">
        <f>IF(COUNTIF('Prudence Holidays'!$A:$A,A219)&gt;0,1,0)</f>
        <v>0</v>
      </c>
      <c r="G219" s="33">
        <f t="shared" si="27"/>
        <v>0</v>
      </c>
      <c r="H219" s="33">
        <f t="shared" si="28"/>
        <v>0</v>
      </c>
      <c r="I219" s="33">
        <f t="shared" si="30"/>
        <v>179</v>
      </c>
      <c r="J219" s="33">
        <f t="shared" si="31"/>
        <v>146</v>
      </c>
    </row>
    <row r="220" spans="1:10">
      <c r="A220" s="32">
        <f t="shared" si="29"/>
        <v>46433</v>
      </c>
      <c r="B220" s="33" t="str">
        <f t="shared" si="24"/>
        <v>Mon</v>
      </c>
      <c r="C220" s="33">
        <f t="shared" si="25"/>
        <v>0</v>
      </c>
      <c r="D220" s="33">
        <f t="shared" si="26"/>
        <v>0</v>
      </c>
      <c r="E220" s="33">
        <f>IF(COUNTIF(holidays!$A:$A,A220)&gt;0,1,0)</f>
        <v>0</v>
      </c>
      <c r="F220" s="33">
        <f>IF(COUNTIF('Prudence Holidays'!$A:$A,A220)&gt;0,1,0)</f>
        <v>0</v>
      </c>
      <c r="G220" s="33">
        <f t="shared" si="27"/>
        <v>1</v>
      </c>
      <c r="H220" s="33">
        <f t="shared" si="28"/>
        <v>1</v>
      </c>
      <c r="I220" s="33">
        <f t="shared" si="30"/>
        <v>180</v>
      </c>
      <c r="J220" s="33">
        <f t="shared" si="31"/>
        <v>147</v>
      </c>
    </row>
    <row r="221" spans="1:10">
      <c r="A221" s="32">
        <f t="shared" si="29"/>
        <v>46434</v>
      </c>
      <c r="B221" s="33" t="str">
        <f t="shared" si="24"/>
        <v>Tue</v>
      </c>
      <c r="C221" s="33">
        <f t="shared" si="25"/>
        <v>0</v>
      </c>
      <c r="D221" s="33">
        <f t="shared" si="26"/>
        <v>0</v>
      </c>
      <c r="E221" s="33">
        <f>IF(COUNTIF(holidays!$A:$A,A221)&gt;0,1,0)</f>
        <v>0</v>
      </c>
      <c r="F221" s="33">
        <f>IF(COUNTIF('Prudence Holidays'!$A:$A,A221)&gt;0,1,0)</f>
        <v>0</v>
      </c>
      <c r="G221" s="33">
        <f t="shared" si="27"/>
        <v>1</v>
      </c>
      <c r="H221" s="33">
        <f t="shared" si="28"/>
        <v>1</v>
      </c>
      <c r="I221" s="33">
        <f t="shared" si="30"/>
        <v>181</v>
      </c>
      <c r="J221" s="33">
        <f t="shared" si="31"/>
        <v>148</v>
      </c>
    </row>
    <row r="222" spans="1:10">
      <c r="A222" s="32">
        <f t="shared" si="29"/>
        <v>46435</v>
      </c>
      <c r="B222" s="33" t="str">
        <f t="shared" si="24"/>
        <v>Wed</v>
      </c>
      <c r="C222" s="33">
        <f t="shared" si="25"/>
        <v>0</v>
      </c>
      <c r="D222" s="33">
        <f t="shared" si="26"/>
        <v>0</v>
      </c>
      <c r="E222" s="33">
        <f>IF(COUNTIF(holidays!$A:$A,A222)&gt;0,1,0)</f>
        <v>0</v>
      </c>
      <c r="F222" s="33">
        <f>IF(COUNTIF('Prudence Holidays'!$A:$A,A222)&gt;0,1,0)</f>
        <v>0</v>
      </c>
      <c r="G222" s="33">
        <f t="shared" si="27"/>
        <v>1</v>
      </c>
      <c r="H222" s="33">
        <f t="shared" si="28"/>
        <v>1</v>
      </c>
      <c r="I222" s="33">
        <f t="shared" si="30"/>
        <v>182</v>
      </c>
      <c r="J222" s="33">
        <f t="shared" si="31"/>
        <v>149</v>
      </c>
    </row>
    <row r="223" spans="1:10">
      <c r="A223" s="32">
        <f t="shared" si="29"/>
        <v>46436</v>
      </c>
      <c r="B223" s="33" t="str">
        <f t="shared" si="24"/>
        <v>Thu</v>
      </c>
      <c r="C223" s="33">
        <f t="shared" si="25"/>
        <v>0</v>
      </c>
      <c r="D223" s="33">
        <f t="shared" si="26"/>
        <v>0</v>
      </c>
      <c r="E223" s="33">
        <f>IF(COUNTIF(holidays!$A:$A,A223)&gt;0,1,0)</f>
        <v>0</v>
      </c>
      <c r="F223" s="33">
        <f>IF(COUNTIF('Prudence Holidays'!$A:$A,A223)&gt;0,1,0)</f>
        <v>0</v>
      </c>
      <c r="G223" s="33">
        <f t="shared" si="27"/>
        <v>1</v>
      </c>
      <c r="H223" s="33">
        <f t="shared" si="28"/>
        <v>1</v>
      </c>
      <c r="I223" s="33">
        <f t="shared" si="30"/>
        <v>183</v>
      </c>
      <c r="J223" s="33">
        <f t="shared" si="31"/>
        <v>150</v>
      </c>
    </row>
    <row r="224" spans="1:10">
      <c r="A224" s="32">
        <f t="shared" si="29"/>
        <v>46437</v>
      </c>
      <c r="B224" s="33" t="str">
        <f t="shared" si="24"/>
        <v>Fri</v>
      </c>
      <c r="C224" s="33">
        <f t="shared" si="25"/>
        <v>0</v>
      </c>
      <c r="D224" s="33">
        <f t="shared" si="26"/>
        <v>0</v>
      </c>
      <c r="E224" s="33">
        <f>IF(COUNTIF(holidays!$A:$A,A224)&gt;0,1,0)</f>
        <v>0</v>
      </c>
      <c r="F224" s="33">
        <f>IF(COUNTIF('Prudence Holidays'!$A:$A,A224)&gt;0,1,0)</f>
        <v>0</v>
      </c>
      <c r="G224" s="33">
        <f t="shared" si="27"/>
        <v>1</v>
      </c>
      <c r="H224" s="33">
        <f t="shared" si="28"/>
        <v>1</v>
      </c>
      <c r="I224" s="33">
        <f t="shared" si="30"/>
        <v>184</v>
      </c>
      <c r="J224" s="33">
        <f t="shared" si="31"/>
        <v>151</v>
      </c>
    </row>
    <row r="225" spans="1:10">
      <c r="A225" s="32">
        <f t="shared" si="29"/>
        <v>46438</v>
      </c>
      <c r="B225" s="33" t="str">
        <f t="shared" si="24"/>
        <v>Sat</v>
      </c>
      <c r="C225" s="33">
        <f t="shared" si="25"/>
        <v>1</v>
      </c>
      <c r="D225" s="33">
        <f t="shared" si="26"/>
        <v>0</v>
      </c>
      <c r="E225" s="33">
        <f>IF(COUNTIF(holidays!$A:$A,A225)&gt;0,1,0)</f>
        <v>0</v>
      </c>
      <c r="F225" s="33">
        <f>IF(COUNTIF('Prudence Holidays'!$A:$A,A225)&gt;0,1,0)</f>
        <v>0</v>
      </c>
      <c r="G225" s="33">
        <f t="shared" si="27"/>
        <v>1</v>
      </c>
      <c r="H225" s="33">
        <f t="shared" si="28"/>
        <v>0</v>
      </c>
      <c r="I225" s="33">
        <f t="shared" si="30"/>
        <v>185</v>
      </c>
      <c r="J225" s="33">
        <f t="shared" si="31"/>
        <v>151</v>
      </c>
    </row>
    <row r="226" spans="1:10">
      <c r="A226" s="32">
        <f t="shared" si="29"/>
        <v>46439</v>
      </c>
      <c r="B226" s="33" t="str">
        <f t="shared" si="24"/>
        <v>Sun</v>
      </c>
      <c r="C226" s="33">
        <f t="shared" si="25"/>
        <v>0</v>
      </c>
      <c r="D226" s="33">
        <f t="shared" si="26"/>
        <v>1</v>
      </c>
      <c r="E226" s="33">
        <f>IF(COUNTIF(holidays!$A:$A,A226)&gt;0,1,0)</f>
        <v>0</v>
      </c>
      <c r="F226" s="33">
        <f>IF(COUNTIF('Prudence Holidays'!$A:$A,A226)&gt;0,1,0)</f>
        <v>0</v>
      </c>
      <c r="G226" s="33">
        <f t="shared" si="27"/>
        <v>0</v>
      </c>
      <c r="H226" s="33">
        <f t="shared" si="28"/>
        <v>0</v>
      </c>
      <c r="I226" s="33">
        <f t="shared" si="30"/>
        <v>185</v>
      </c>
      <c r="J226" s="33">
        <f t="shared" si="31"/>
        <v>151</v>
      </c>
    </row>
    <row r="227" spans="1:10">
      <c r="A227" s="32">
        <f t="shared" si="29"/>
        <v>46440</v>
      </c>
      <c r="B227" s="33" t="str">
        <f t="shared" si="24"/>
        <v>Mon</v>
      </c>
      <c r="C227" s="33">
        <f t="shared" si="25"/>
        <v>0</v>
      </c>
      <c r="D227" s="33">
        <f t="shared" si="26"/>
        <v>0</v>
      </c>
      <c r="E227" s="33">
        <f>IF(COUNTIF(holidays!$A:$A,A227)&gt;0,1,0)</f>
        <v>0</v>
      </c>
      <c r="F227" s="33">
        <f>IF(COUNTIF('Prudence Holidays'!$A:$A,A227)&gt;0,1,0)</f>
        <v>0</v>
      </c>
      <c r="G227" s="33">
        <f t="shared" si="27"/>
        <v>1</v>
      </c>
      <c r="H227" s="33">
        <f t="shared" si="28"/>
        <v>1</v>
      </c>
      <c r="I227" s="33">
        <f t="shared" si="30"/>
        <v>186</v>
      </c>
      <c r="J227" s="33">
        <f t="shared" si="31"/>
        <v>152</v>
      </c>
    </row>
    <row r="228" spans="1:10">
      <c r="A228" s="32">
        <f t="shared" si="29"/>
        <v>46441</v>
      </c>
      <c r="B228" s="33" t="str">
        <f t="shared" si="24"/>
        <v>Tue</v>
      </c>
      <c r="C228" s="33">
        <f t="shared" si="25"/>
        <v>0</v>
      </c>
      <c r="D228" s="33">
        <f t="shared" si="26"/>
        <v>0</v>
      </c>
      <c r="E228" s="33">
        <f>IF(COUNTIF(holidays!$A:$A,A228)&gt;0,1,0)</f>
        <v>0</v>
      </c>
      <c r="F228" s="33">
        <f>IF(COUNTIF('Prudence Holidays'!$A:$A,A228)&gt;0,1,0)</f>
        <v>0</v>
      </c>
      <c r="G228" s="33">
        <f t="shared" si="27"/>
        <v>1</v>
      </c>
      <c r="H228" s="33">
        <f t="shared" si="28"/>
        <v>1</v>
      </c>
      <c r="I228" s="33">
        <f t="shared" si="30"/>
        <v>187</v>
      </c>
      <c r="J228" s="33">
        <f t="shared" si="31"/>
        <v>153</v>
      </c>
    </row>
    <row r="229" spans="1:10">
      <c r="A229" s="32">
        <f t="shared" si="29"/>
        <v>46442</v>
      </c>
      <c r="B229" s="33" t="str">
        <f t="shared" si="24"/>
        <v>Wed</v>
      </c>
      <c r="C229" s="33">
        <f t="shared" si="25"/>
        <v>0</v>
      </c>
      <c r="D229" s="33">
        <f t="shared" si="26"/>
        <v>0</v>
      </c>
      <c r="E229" s="33">
        <f>IF(COUNTIF(holidays!$A:$A,A229)&gt;0,1,0)</f>
        <v>0</v>
      </c>
      <c r="F229" s="33">
        <f>IF(COUNTIF('Prudence Holidays'!$A:$A,A229)&gt;0,1,0)</f>
        <v>0</v>
      </c>
      <c r="G229" s="33">
        <f t="shared" si="27"/>
        <v>1</v>
      </c>
      <c r="H229" s="33">
        <f t="shared" si="28"/>
        <v>1</v>
      </c>
      <c r="I229" s="33">
        <f t="shared" si="30"/>
        <v>188</v>
      </c>
      <c r="J229" s="33">
        <f t="shared" si="31"/>
        <v>154</v>
      </c>
    </row>
    <row r="230" spans="1:10">
      <c r="A230" s="32">
        <f t="shared" si="29"/>
        <v>46443</v>
      </c>
      <c r="B230" s="33" t="str">
        <f t="shared" si="24"/>
        <v>Thu</v>
      </c>
      <c r="C230" s="33">
        <f t="shared" si="25"/>
        <v>0</v>
      </c>
      <c r="D230" s="33">
        <f t="shared" si="26"/>
        <v>0</v>
      </c>
      <c r="E230" s="33">
        <f>IF(COUNTIF(holidays!$A:$A,A230)&gt;0,1,0)</f>
        <v>0</v>
      </c>
      <c r="F230" s="33">
        <f>IF(COUNTIF('Prudence Holidays'!$A:$A,A230)&gt;0,1,0)</f>
        <v>0</v>
      </c>
      <c r="G230" s="33">
        <f t="shared" si="27"/>
        <v>1</v>
      </c>
      <c r="H230" s="33">
        <f t="shared" si="28"/>
        <v>1</v>
      </c>
      <c r="I230" s="33">
        <f t="shared" si="30"/>
        <v>189</v>
      </c>
      <c r="J230" s="33">
        <f t="shared" si="31"/>
        <v>155</v>
      </c>
    </row>
    <row r="231" spans="1:10">
      <c r="A231" s="32">
        <f t="shared" si="29"/>
        <v>46444</v>
      </c>
      <c r="B231" s="33" t="str">
        <f t="shared" si="24"/>
        <v>Fri</v>
      </c>
      <c r="C231" s="33">
        <f t="shared" si="25"/>
        <v>0</v>
      </c>
      <c r="D231" s="33">
        <f t="shared" si="26"/>
        <v>0</v>
      </c>
      <c r="E231" s="33">
        <f>IF(COUNTIF(holidays!$A:$A,A231)&gt;0,1,0)</f>
        <v>0</v>
      </c>
      <c r="F231" s="33">
        <f>IF(COUNTIF('Prudence Holidays'!$A:$A,A231)&gt;0,1,0)</f>
        <v>0</v>
      </c>
      <c r="G231" s="33">
        <f t="shared" si="27"/>
        <v>1</v>
      </c>
      <c r="H231" s="33">
        <f t="shared" si="28"/>
        <v>1</v>
      </c>
      <c r="I231" s="33">
        <f t="shared" si="30"/>
        <v>190</v>
      </c>
      <c r="J231" s="33">
        <f t="shared" si="31"/>
        <v>156</v>
      </c>
    </row>
    <row r="232" spans="1:10">
      <c r="A232" s="32">
        <f t="shared" si="29"/>
        <v>46445</v>
      </c>
      <c r="B232" s="33" t="str">
        <f t="shared" si="24"/>
        <v>Sat</v>
      </c>
      <c r="C232" s="33">
        <f t="shared" si="25"/>
        <v>1</v>
      </c>
      <c r="D232" s="33">
        <f t="shared" si="26"/>
        <v>0</v>
      </c>
      <c r="E232" s="33">
        <f>IF(COUNTIF(holidays!$A:$A,A232)&gt;0,1,0)</f>
        <v>0</v>
      </c>
      <c r="F232" s="33">
        <f>IF(COUNTIF('Prudence Holidays'!$A:$A,A232)&gt;0,1,0)</f>
        <v>0</v>
      </c>
      <c r="G232" s="33">
        <f t="shared" si="27"/>
        <v>1</v>
      </c>
      <c r="H232" s="33">
        <f t="shared" si="28"/>
        <v>0</v>
      </c>
      <c r="I232" s="33">
        <f t="shared" si="30"/>
        <v>191</v>
      </c>
      <c r="J232" s="33">
        <f t="shared" si="31"/>
        <v>156</v>
      </c>
    </row>
    <row r="233" spans="1:10">
      <c r="A233" s="32">
        <f t="shared" si="29"/>
        <v>46446</v>
      </c>
      <c r="B233" s="33" t="str">
        <f t="shared" si="24"/>
        <v>Sun</v>
      </c>
      <c r="C233" s="33">
        <f t="shared" si="25"/>
        <v>0</v>
      </c>
      <c r="D233" s="33">
        <f t="shared" si="26"/>
        <v>1</v>
      </c>
      <c r="E233" s="33">
        <f>IF(COUNTIF(holidays!$A:$A,A233)&gt;0,1,0)</f>
        <v>0</v>
      </c>
      <c r="F233" s="33">
        <f>IF(COUNTIF('Prudence Holidays'!$A:$A,A233)&gt;0,1,0)</f>
        <v>0</v>
      </c>
      <c r="G233" s="33">
        <f t="shared" si="27"/>
        <v>0</v>
      </c>
      <c r="H233" s="33">
        <f t="shared" si="28"/>
        <v>0</v>
      </c>
      <c r="I233" s="33">
        <f t="shared" si="30"/>
        <v>191</v>
      </c>
      <c r="J233" s="33">
        <f t="shared" si="31"/>
        <v>156</v>
      </c>
    </row>
    <row r="234" spans="1:10">
      <c r="A234" s="32">
        <f t="shared" si="29"/>
        <v>46447</v>
      </c>
      <c r="B234" s="33" t="str">
        <f t="shared" si="24"/>
        <v>Mon</v>
      </c>
      <c r="C234" s="33">
        <f t="shared" si="25"/>
        <v>0</v>
      </c>
      <c r="D234" s="33">
        <f t="shared" si="26"/>
        <v>0</v>
      </c>
      <c r="E234" s="33">
        <f>IF(COUNTIF(holidays!$A:$A,A234)&gt;0,1,0)</f>
        <v>0</v>
      </c>
      <c r="F234" s="33">
        <f>IF(COUNTIF('Prudence Holidays'!$A:$A,A234)&gt;0,1,0)</f>
        <v>0</v>
      </c>
      <c r="G234" s="33">
        <f t="shared" si="27"/>
        <v>1</v>
      </c>
      <c r="H234" s="33">
        <f t="shared" si="28"/>
        <v>1</v>
      </c>
      <c r="I234" s="33">
        <f t="shared" si="30"/>
        <v>192</v>
      </c>
      <c r="J234" s="33">
        <f t="shared" si="31"/>
        <v>157</v>
      </c>
    </row>
    <row r="235" spans="1:10">
      <c r="A235" s="32">
        <f t="shared" si="29"/>
        <v>46448</v>
      </c>
      <c r="B235" s="33" t="str">
        <f t="shared" si="24"/>
        <v>Tue</v>
      </c>
      <c r="C235" s="33">
        <f t="shared" si="25"/>
        <v>0</v>
      </c>
      <c r="D235" s="33">
        <f t="shared" si="26"/>
        <v>0</v>
      </c>
      <c r="E235" s="33">
        <f>IF(COUNTIF(holidays!$A:$A,A235)&gt;0,1,0)</f>
        <v>0</v>
      </c>
      <c r="F235" s="33">
        <f>IF(COUNTIF('Prudence Holidays'!$A:$A,A235)&gt;0,1,0)</f>
        <v>0</v>
      </c>
      <c r="G235" s="33">
        <f t="shared" si="27"/>
        <v>1</v>
      </c>
      <c r="H235" s="33">
        <f t="shared" si="28"/>
        <v>1</v>
      </c>
      <c r="I235" s="33">
        <f t="shared" si="30"/>
        <v>193</v>
      </c>
      <c r="J235" s="33">
        <f t="shared" si="31"/>
        <v>158</v>
      </c>
    </row>
    <row r="236" spans="1:10">
      <c r="A236" s="32">
        <f t="shared" si="29"/>
        <v>46449</v>
      </c>
      <c r="B236" s="33" t="str">
        <f t="shared" si="24"/>
        <v>Wed</v>
      </c>
      <c r="C236" s="33">
        <f t="shared" si="25"/>
        <v>0</v>
      </c>
      <c r="D236" s="33">
        <f t="shared" si="26"/>
        <v>0</v>
      </c>
      <c r="E236" s="33">
        <f>IF(COUNTIF(holidays!$A:$A,A236)&gt;0,1,0)</f>
        <v>0</v>
      </c>
      <c r="F236" s="33">
        <f>IF(COUNTIF('Prudence Holidays'!$A:$A,A236)&gt;0,1,0)</f>
        <v>0</v>
      </c>
      <c r="G236" s="33">
        <f t="shared" si="27"/>
        <v>1</v>
      </c>
      <c r="H236" s="33">
        <f t="shared" si="28"/>
        <v>1</v>
      </c>
      <c r="I236" s="33">
        <f t="shared" si="30"/>
        <v>194</v>
      </c>
      <c r="J236" s="33">
        <f t="shared" si="31"/>
        <v>159</v>
      </c>
    </row>
    <row r="237" spans="1:10">
      <c r="A237" s="32">
        <f t="shared" si="29"/>
        <v>46450</v>
      </c>
      <c r="B237" s="33" t="str">
        <f t="shared" si="24"/>
        <v>Thu</v>
      </c>
      <c r="C237" s="33">
        <f t="shared" si="25"/>
        <v>0</v>
      </c>
      <c r="D237" s="33">
        <f t="shared" si="26"/>
        <v>0</v>
      </c>
      <c r="E237" s="33">
        <f>IF(COUNTIF(holidays!$A:$A,A237)&gt;0,1,0)</f>
        <v>0</v>
      </c>
      <c r="F237" s="33">
        <f>IF(COUNTIF('Prudence Holidays'!$A:$A,A237)&gt;0,1,0)</f>
        <v>0</v>
      </c>
      <c r="G237" s="33">
        <f t="shared" si="27"/>
        <v>1</v>
      </c>
      <c r="H237" s="33">
        <f t="shared" si="28"/>
        <v>1</v>
      </c>
      <c r="I237" s="33">
        <f t="shared" si="30"/>
        <v>195</v>
      </c>
      <c r="J237" s="33">
        <f t="shared" si="31"/>
        <v>160</v>
      </c>
    </row>
    <row r="238" spans="1:10">
      <c r="A238" s="32">
        <f t="shared" si="29"/>
        <v>46451</v>
      </c>
      <c r="B238" s="33" t="str">
        <f t="shared" si="24"/>
        <v>Fri</v>
      </c>
      <c r="C238" s="33">
        <f t="shared" si="25"/>
        <v>0</v>
      </c>
      <c r="D238" s="33">
        <f t="shared" si="26"/>
        <v>0</v>
      </c>
      <c r="E238" s="33">
        <f>IF(COUNTIF(holidays!$A:$A,A238)&gt;0,1,0)</f>
        <v>0</v>
      </c>
      <c r="F238" s="33">
        <f>IF(COUNTIF('Prudence Holidays'!$A:$A,A238)&gt;0,1,0)</f>
        <v>0</v>
      </c>
      <c r="G238" s="33">
        <f t="shared" si="27"/>
        <v>1</v>
      </c>
      <c r="H238" s="33">
        <f t="shared" si="28"/>
        <v>1</v>
      </c>
      <c r="I238" s="33">
        <f t="shared" si="30"/>
        <v>196</v>
      </c>
      <c r="J238" s="33">
        <f t="shared" si="31"/>
        <v>161</v>
      </c>
    </row>
    <row r="239" spans="1:10">
      <c r="A239" s="32">
        <f t="shared" si="29"/>
        <v>46452</v>
      </c>
      <c r="B239" s="33" t="str">
        <f t="shared" si="24"/>
        <v>Sat</v>
      </c>
      <c r="C239" s="33">
        <f t="shared" si="25"/>
        <v>1</v>
      </c>
      <c r="D239" s="33">
        <f t="shared" si="26"/>
        <v>0</v>
      </c>
      <c r="E239" s="33">
        <f>IF(COUNTIF(holidays!$A:$A,A239)&gt;0,1,0)</f>
        <v>0</v>
      </c>
      <c r="F239" s="33">
        <f>IF(COUNTIF('Prudence Holidays'!$A:$A,A239)&gt;0,1,0)</f>
        <v>0</v>
      </c>
      <c r="G239" s="33">
        <f t="shared" si="27"/>
        <v>1</v>
      </c>
      <c r="H239" s="33">
        <f t="shared" si="28"/>
        <v>0</v>
      </c>
      <c r="I239" s="33">
        <f t="shared" si="30"/>
        <v>197</v>
      </c>
      <c r="J239" s="33">
        <f t="shared" si="31"/>
        <v>161</v>
      </c>
    </row>
    <row r="240" spans="1:10">
      <c r="A240" s="32">
        <f t="shared" si="29"/>
        <v>46453</v>
      </c>
      <c r="B240" s="33" t="str">
        <f t="shared" si="24"/>
        <v>Sun</v>
      </c>
      <c r="C240" s="33">
        <f t="shared" si="25"/>
        <v>0</v>
      </c>
      <c r="D240" s="33">
        <f t="shared" si="26"/>
        <v>1</v>
      </c>
      <c r="E240" s="33">
        <f>IF(COUNTIF(holidays!$A:$A,A240)&gt;0,1,0)</f>
        <v>0</v>
      </c>
      <c r="F240" s="33">
        <f>IF(COUNTIF('Prudence Holidays'!$A:$A,A240)&gt;0,1,0)</f>
        <v>0</v>
      </c>
      <c r="G240" s="33">
        <f t="shared" si="27"/>
        <v>0</v>
      </c>
      <c r="H240" s="33">
        <f t="shared" si="28"/>
        <v>0</v>
      </c>
      <c r="I240" s="33">
        <f t="shared" si="30"/>
        <v>197</v>
      </c>
      <c r="J240" s="33">
        <f t="shared" si="31"/>
        <v>161</v>
      </c>
    </row>
    <row r="241" spans="1:10">
      <c r="A241" s="32">
        <f t="shared" si="29"/>
        <v>46454</v>
      </c>
      <c r="B241" s="33" t="str">
        <f t="shared" si="24"/>
        <v>Mon</v>
      </c>
      <c r="C241" s="33">
        <f t="shared" si="25"/>
        <v>0</v>
      </c>
      <c r="D241" s="33">
        <f t="shared" si="26"/>
        <v>0</v>
      </c>
      <c r="E241" s="33">
        <f>IF(COUNTIF(holidays!$A:$A,A241)&gt;0,1,0)</f>
        <v>0</v>
      </c>
      <c r="F241" s="33">
        <f>IF(COUNTIF('Prudence Holidays'!$A:$A,A241)&gt;0,1,0)</f>
        <v>0</v>
      </c>
      <c r="G241" s="33">
        <f t="shared" si="27"/>
        <v>1</v>
      </c>
      <c r="H241" s="33">
        <f t="shared" si="28"/>
        <v>1</v>
      </c>
      <c r="I241" s="33">
        <f t="shared" si="30"/>
        <v>198</v>
      </c>
      <c r="J241" s="33">
        <f t="shared" si="31"/>
        <v>162</v>
      </c>
    </row>
    <row r="242" spans="1:10">
      <c r="A242" s="32">
        <f t="shared" si="29"/>
        <v>46455</v>
      </c>
      <c r="B242" s="33" t="str">
        <f t="shared" si="24"/>
        <v>Tue</v>
      </c>
      <c r="C242" s="33">
        <f t="shared" si="25"/>
        <v>0</v>
      </c>
      <c r="D242" s="33">
        <f t="shared" si="26"/>
        <v>0</v>
      </c>
      <c r="E242" s="33">
        <f>IF(COUNTIF(holidays!$A:$A,A242)&gt;0,1,0)</f>
        <v>0</v>
      </c>
      <c r="F242" s="33">
        <f>IF(COUNTIF('Prudence Holidays'!$A:$A,A242)&gt;0,1,0)</f>
        <v>0</v>
      </c>
      <c r="G242" s="33">
        <f t="shared" si="27"/>
        <v>1</v>
      </c>
      <c r="H242" s="33">
        <f t="shared" si="28"/>
        <v>1</v>
      </c>
      <c r="I242" s="33">
        <f t="shared" si="30"/>
        <v>199</v>
      </c>
      <c r="J242" s="33">
        <f t="shared" si="31"/>
        <v>163</v>
      </c>
    </row>
    <row r="243" spans="1:10">
      <c r="A243" s="32">
        <f t="shared" si="29"/>
        <v>46456</v>
      </c>
      <c r="B243" s="33" t="str">
        <f t="shared" si="24"/>
        <v>Wed</v>
      </c>
      <c r="C243" s="33">
        <f t="shared" si="25"/>
        <v>0</v>
      </c>
      <c r="D243" s="33">
        <f t="shared" si="26"/>
        <v>0</v>
      </c>
      <c r="E243" s="33">
        <f>IF(COUNTIF(holidays!$A:$A,A243)&gt;0,1,0)</f>
        <v>0</v>
      </c>
      <c r="F243" s="33">
        <f>IF(COUNTIF('Prudence Holidays'!$A:$A,A243)&gt;0,1,0)</f>
        <v>0</v>
      </c>
      <c r="G243" s="33">
        <f t="shared" si="27"/>
        <v>1</v>
      </c>
      <c r="H243" s="33">
        <f t="shared" si="28"/>
        <v>1</v>
      </c>
      <c r="I243" s="33">
        <f t="shared" si="30"/>
        <v>200</v>
      </c>
      <c r="J243" s="33">
        <f t="shared" si="31"/>
        <v>164</v>
      </c>
    </row>
    <row r="244" spans="1:10">
      <c r="A244" s="32">
        <f t="shared" si="29"/>
        <v>46457</v>
      </c>
      <c r="B244" s="33" t="str">
        <f t="shared" si="24"/>
        <v>Thu</v>
      </c>
      <c r="C244" s="33">
        <f t="shared" si="25"/>
        <v>0</v>
      </c>
      <c r="D244" s="33">
        <f t="shared" si="26"/>
        <v>0</v>
      </c>
      <c r="E244" s="33">
        <f>IF(COUNTIF(holidays!$A:$A,A244)&gt;0,1,0)</f>
        <v>0</v>
      </c>
      <c r="F244" s="33">
        <f>IF(COUNTIF('Prudence Holidays'!$A:$A,A244)&gt;0,1,0)</f>
        <v>0</v>
      </c>
      <c r="G244" s="33">
        <f t="shared" si="27"/>
        <v>1</v>
      </c>
      <c r="H244" s="33">
        <f t="shared" si="28"/>
        <v>1</v>
      </c>
      <c r="I244" s="33">
        <f t="shared" si="30"/>
        <v>201</v>
      </c>
      <c r="J244" s="33">
        <f t="shared" si="31"/>
        <v>165</v>
      </c>
    </row>
    <row r="245" spans="1:10">
      <c r="A245" s="32">
        <f t="shared" si="29"/>
        <v>46458</v>
      </c>
      <c r="B245" s="33" t="str">
        <f t="shared" si="24"/>
        <v>Fri</v>
      </c>
      <c r="C245" s="33">
        <f t="shared" si="25"/>
        <v>0</v>
      </c>
      <c r="D245" s="33">
        <f t="shared" si="26"/>
        <v>0</v>
      </c>
      <c r="E245" s="33">
        <f>IF(COUNTIF(holidays!$A:$A,A245)&gt;0,1,0)</f>
        <v>0</v>
      </c>
      <c r="F245" s="33">
        <f>IF(COUNTIF('Prudence Holidays'!$A:$A,A245)&gt;0,1,0)</f>
        <v>0</v>
      </c>
      <c r="G245" s="33">
        <f t="shared" si="27"/>
        <v>1</v>
      </c>
      <c r="H245" s="33">
        <f t="shared" si="28"/>
        <v>1</v>
      </c>
      <c r="I245" s="33">
        <f t="shared" si="30"/>
        <v>202</v>
      </c>
      <c r="J245" s="33">
        <f t="shared" si="31"/>
        <v>166</v>
      </c>
    </row>
    <row r="246" spans="1:10">
      <c r="A246" s="32">
        <f t="shared" si="29"/>
        <v>46459</v>
      </c>
      <c r="B246" s="33" t="str">
        <f t="shared" si="24"/>
        <v>Sat</v>
      </c>
      <c r="C246" s="33">
        <f t="shared" si="25"/>
        <v>1</v>
      </c>
      <c r="D246" s="33">
        <f t="shared" si="26"/>
        <v>0</v>
      </c>
      <c r="E246" s="33">
        <f>IF(COUNTIF(holidays!$A:$A,A246)&gt;0,1,0)</f>
        <v>0</v>
      </c>
      <c r="F246" s="33">
        <f>IF(COUNTIF('Prudence Holidays'!$A:$A,A246)&gt;0,1,0)</f>
        <v>0</v>
      </c>
      <c r="G246" s="33">
        <f t="shared" si="27"/>
        <v>1</v>
      </c>
      <c r="H246" s="33">
        <f t="shared" si="28"/>
        <v>0</v>
      </c>
      <c r="I246" s="33">
        <f t="shared" si="30"/>
        <v>203</v>
      </c>
      <c r="J246" s="33">
        <f t="shared" si="31"/>
        <v>166</v>
      </c>
    </row>
    <row r="247" spans="1:10">
      <c r="A247" s="32">
        <f t="shared" si="29"/>
        <v>46460</v>
      </c>
      <c r="B247" s="33" t="str">
        <f t="shared" si="24"/>
        <v>Sun</v>
      </c>
      <c r="C247" s="33">
        <f t="shared" si="25"/>
        <v>0</v>
      </c>
      <c r="D247" s="33">
        <f t="shared" si="26"/>
        <v>1</v>
      </c>
      <c r="E247" s="33">
        <f>IF(COUNTIF(holidays!$A:$A,A247)&gt;0,1,0)</f>
        <v>0</v>
      </c>
      <c r="F247" s="33">
        <f>IF(COUNTIF('Prudence Holidays'!$A:$A,A247)&gt;0,1,0)</f>
        <v>0</v>
      </c>
      <c r="G247" s="33">
        <f t="shared" si="27"/>
        <v>0</v>
      </c>
      <c r="H247" s="33">
        <f t="shared" si="28"/>
        <v>0</v>
      </c>
      <c r="I247" s="33">
        <f t="shared" si="30"/>
        <v>203</v>
      </c>
      <c r="J247" s="33">
        <f t="shared" si="31"/>
        <v>166</v>
      </c>
    </row>
    <row r="248" spans="1:10">
      <c r="A248" s="32">
        <f t="shared" si="29"/>
        <v>46461</v>
      </c>
      <c r="B248" s="33" t="str">
        <f t="shared" si="24"/>
        <v>Mon</v>
      </c>
      <c r="C248" s="33">
        <f t="shared" si="25"/>
        <v>0</v>
      </c>
      <c r="D248" s="33">
        <f t="shared" si="26"/>
        <v>0</v>
      </c>
      <c r="E248" s="33">
        <f>IF(COUNTIF(holidays!$A:$A,A248)&gt;0,1,0)</f>
        <v>0</v>
      </c>
      <c r="F248" s="33">
        <f>IF(COUNTIF('Prudence Holidays'!$A:$A,A248)&gt;0,1,0)</f>
        <v>0</v>
      </c>
      <c r="G248" s="33">
        <f t="shared" si="27"/>
        <v>1</v>
      </c>
      <c r="H248" s="33">
        <f t="shared" si="28"/>
        <v>1</v>
      </c>
      <c r="I248" s="33">
        <f t="shared" si="30"/>
        <v>204</v>
      </c>
      <c r="J248" s="33">
        <f t="shared" si="31"/>
        <v>167</v>
      </c>
    </row>
    <row r="249" spans="1:10">
      <c r="A249" s="32">
        <f t="shared" si="29"/>
        <v>46462</v>
      </c>
      <c r="B249" s="33" t="str">
        <f t="shared" si="24"/>
        <v>Tue</v>
      </c>
      <c r="C249" s="33">
        <f t="shared" si="25"/>
        <v>0</v>
      </c>
      <c r="D249" s="33">
        <f t="shared" si="26"/>
        <v>0</v>
      </c>
      <c r="E249" s="33">
        <f>IF(COUNTIF(holidays!$A:$A,A249)&gt;0,1,0)</f>
        <v>0</v>
      </c>
      <c r="F249" s="33">
        <f>IF(COUNTIF('Prudence Holidays'!$A:$A,A249)&gt;0,1,0)</f>
        <v>0</v>
      </c>
      <c r="G249" s="33">
        <f t="shared" si="27"/>
        <v>1</v>
      </c>
      <c r="H249" s="33">
        <f t="shared" si="28"/>
        <v>1</v>
      </c>
      <c r="I249" s="33">
        <f t="shared" si="30"/>
        <v>205</v>
      </c>
      <c r="J249" s="33">
        <f t="shared" si="31"/>
        <v>168</v>
      </c>
    </row>
    <row r="250" spans="1:10">
      <c r="A250" s="32">
        <f t="shared" si="29"/>
        <v>46463</v>
      </c>
      <c r="B250" s="33" t="str">
        <f t="shared" si="24"/>
        <v>Wed</v>
      </c>
      <c r="C250" s="33">
        <f t="shared" si="25"/>
        <v>0</v>
      </c>
      <c r="D250" s="33">
        <f t="shared" si="26"/>
        <v>0</v>
      </c>
      <c r="E250" s="33">
        <f>IF(COUNTIF(holidays!$A:$A,A250)&gt;0,1,0)</f>
        <v>0</v>
      </c>
      <c r="F250" s="33">
        <f>IF(COUNTIF('Prudence Holidays'!$A:$A,A250)&gt;0,1,0)</f>
        <v>0</v>
      </c>
      <c r="G250" s="33">
        <f t="shared" si="27"/>
        <v>1</v>
      </c>
      <c r="H250" s="33">
        <f t="shared" si="28"/>
        <v>1</v>
      </c>
      <c r="I250" s="33">
        <f t="shared" si="30"/>
        <v>206</v>
      </c>
      <c r="J250" s="33">
        <f t="shared" si="31"/>
        <v>169</v>
      </c>
    </row>
    <row r="251" spans="1:10">
      <c r="A251" s="32">
        <f t="shared" si="29"/>
        <v>46464</v>
      </c>
      <c r="B251" s="33" t="str">
        <f t="shared" si="24"/>
        <v>Thu</v>
      </c>
      <c r="C251" s="33">
        <f t="shared" si="25"/>
        <v>0</v>
      </c>
      <c r="D251" s="33">
        <f t="shared" si="26"/>
        <v>0</v>
      </c>
      <c r="E251" s="33">
        <f>IF(COUNTIF(holidays!$A:$A,A251)&gt;0,1,0)</f>
        <v>0</v>
      </c>
      <c r="F251" s="33">
        <f>IF(COUNTIF('Prudence Holidays'!$A:$A,A251)&gt;0,1,0)</f>
        <v>0</v>
      </c>
      <c r="G251" s="33">
        <f t="shared" si="27"/>
        <v>1</v>
      </c>
      <c r="H251" s="33">
        <f t="shared" si="28"/>
        <v>1</v>
      </c>
      <c r="I251" s="33">
        <f t="shared" si="30"/>
        <v>207</v>
      </c>
      <c r="J251" s="33">
        <f t="shared" si="31"/>
        <v>170</v>
      </c>
    </row>
    <row r="252" spans="1:10">
      <c r="A252" s="32">
        <f t="shared" si="29"/>
        <v>46465</v>
      </c>
      <c r="B252" s="33" t="str">
        <f t="shared" si="24"/>
        <v>Fri</v>
      </c>
      <c r="C252" s="33">
        <f t="shared" si="25"/>
        <v>0</v>
      </c>
      <c r="D252" s="33">
        <f t="shared" si="26"/>
        <v>0</v>
      </c>
      <c r="E252" s="33">
        <f>IF(COUNTIF(holidays!$A:$A,A252)&gt;0,1,0)</f>
        <v>0</v>
      </c>
      <c r="F252" s="33">
        <f>IF(COUNTIF('Prudence Holidays'!$A:$A,A252)&gt;0,1,0)</f>
        <v>0</v>
      </c>
      <c r="G252" s="33">
        <f t="shared" si="27"/>
        <v>1</v>
      </c>
      <c r="H252" s="33">
        <f t="shared" si="28"/>
        <v>1</v>
      </c>
      <c r="I252" s="33">
        <f t="shared" si="30"/>
        <v>208</v>
      </c>
      <c r="J252" s="33">
        <f t="shared" si="31"/>
        <v>171</v>
      </c>
    </row>
    <row r="253" spans="1:10">
      <c r="A253" s="32">
        <f t="shared" si="29"/>
        <v>46466</v>
      </c>
      <c r="B253" s="33" t="str">
        <f t="shared" si="24"/>
        <v>Sat</v>
      </c>
      <c r="C253" s="33">
        <f t="shared" si="25"/>
        <v>1</v>
      </c>
      <c r="D253" s="33">
        <f t="shared" si="26"/>
        <v>0</v>
      </c>
      <c r="E253" s="33">
        <f>IF(COUNTIF(holidays!$A:$A,A253)&gt;0,1,0)</f>
        <v>0</v>
      </c>
      <c r="F253" s="33">
        <f>IF(COUNTIF('Prudence Holidays'!$A:$A,A253)&gt;0,1,0)</f>
        <v>0</v>
      </c>
      <c r="G253" s="33">
        <f t="shared" si="27"/>
        <v>1</v>
      </c>
      <c r="H253" s="33">
        <f t="shared" si="28"/>
        <v>0</v>
      </c>
      <c r="I253" s="33">
        <f t="shared" si="30"/>
        <v>209</v>
      </c>
      <c r="J253" s="33">
        <f t="shared" si="31"/>
        <v>171</v>
      </c>
    </row>
    <row r="254" spans="1:10">
      <c r="A254" s="32">
        <f t="shared" si="29"/>
        <v>46467</v>
      </c>
      <c r="B254" s="33" t="str">
        <f t="shared" si="24"/>
        <v>Sun</v>
      </c>
      <c r="C254" s="33">
        <f t="shared" si="25"/>
        <v>0</v>
      </c>
      <c r="D254" s="33">
        <f t="shared" si="26"/>
        <v>1</v>
      </c>
      <c r="E254" s="33">
        <f>IF(COUNTIF(holidays!$A:$A,A254)&gt;0,1,0)</f>
        <v>0</v>
      </c>
      <c r="F254" s="33">
        <f>IF(COUNTIF('Prudence Holidays'!$A:$A,A254)&gt;0,1,0)</f>
        <v>0</v>
      </c>
      <c r="G254" s="33">
        <f t="shared" si="27"/>
        <v>0</v>
      </c>
      <c r="H254" s="33">
        <f t="shared" si="28"/>
        <v>0</v>
      </c>
      <c r="I254" s="33">
        <f t="shared" si="30"/>
        <v>209</v>
      </c>
      <c r="J254" s="33">
        <f t="shared" si="31"/>
        <v>171</v>
      </c>
    </row>
    <row r="255" spans="1:10">
      <c r="A255" s="32">
        <f t="shared" si="29"/>
        <v>46468</v>
      </c>
      <c r="B255" s="33" t="str">
        <f t="shared" si="24"/>
        <v>Mon</v>
      </c>
      <c r="C255" s="33">
        <f t="shared" si="25"/>
        <v>0</v>
      </c>
      <c r="D255" s="33">
        <f t="shared" si="26"/>
        <v>0</v>
      </c>
      <c r="E255" s="33">
        <f>IF(COUNTIF(holidays!$A:$A,A255)&gt;0,1,0)</f>
        <v>0</v>
      </c>
      <c r="F255" s="33">
        <f>IF(COUNTIF('Prudence Holidays'!$A:$A,A255)&gt;0,1,0)</f>
        <v>0</v>
      </c>
      <c r="G255" s="33">
        <f t="shared" si="27"/>
        <v>1</v>
      </c>
      <c r="H255" s="33">
        <f t="shared" si="28"/>
        <v>1</v>
      </c>
      <c r="I255" s="33">
        <f t="shared" si="30"/>
        <v>210</v>
      </c>
      <c r="J255" s="33">
        <f t="shared" si="31"/>
        <v>172</v>
      </c>
    </row>
    <row r="256" spans="1:10">
      <c r="A256" s="32">
        <f t="shared" si="29"/>
        <v>46469</v>
      </c>
      <c r="B256" s="33" t="str">
        <f t="shared" si="24"/>
        <v>Tue</v>
      </c>
      <c r="C256" s="33">
        <f t="shared" si="25"/>
        <v>0</v>
      </c>
      <c r="D256" s="33">
        <f t="shared" si="26"/>
        <v>0</v>
      </c>
      <c r="E256" s="33">
        <f>IF(COUNTIF(holidays!$A:$A,A256)&gt;0,1,0)</f>
        <v>0</v>
      </c>
      <c r="F256" s="33">
        <f>IF(COUNTIF('Prudence Holidays'!$A:$A,A256)&gt;0,1,0)</f>
        <v>0</v>
      </c>
      <c r="G256" s="33">
        <f t="shared" si="27"/>
        <v>1</v>
      </c>
      <c r="H256" s="33">
        <f t="shared" si="28"/>
        <v>1</v>
      </c>
      <c r="I256" s="33">
        <f t="shared" si="30"/>
        <v>211</v>
      </c>
      <c r="J256" s="33">
        <f t="shared" si="31"/>
        <v>173</v>
      </c>
    </row>
    <row r="257" spans="1:10">
      <c r="A257" s="32">
        <f t="shared" si="29"/>
        <v>46470</v>
      </c>
      <c r="B257" s="33" t="str">
        <f t="shared" si="24"/>
        <v>Wed</v>
      </c>
      <c r="C257" s="33">
        <f t="shared" si="25"/>
        <v>0</v>
      </c>
      <c r="D257" s="33">
        <f t="shared" si="26"/>
        <v>0</v>
      </c>
      <c r="E257" s="33">
        <f>IF(COUNTIF(holidays!$A:$A,A257)&gt;0,1,0)</f>
        <v>0</v>
      </c>
      <c r="F257" s="33">
        <f>IF(COUNTIF('Prudence Holidays'!$A:$A,A257)&gt;0,1,0)</f>
        <v>0</v>
      </c>
      <c r="G257" s="33">
        <f t="shared" si="27"/>
        <v>1</v>
      </c>
      <c r="H257" s="33">
        <f t="shared" si="28"/>
        <v>1</v>
      </c>
      <c r="I257" s="33">
        <f t="shared" si="30"/>
        <v>212</v>
      </c>
      <c r="J257" s="33">
        <f t="shared" si="31"/>
        <v>174</v>
      </c>
    </row>
    <row r="258" spans="1:10">
      <c r="A258" s="32">
        <f t="shared" si="29"/>
        <v>46471</v>
      </c>
      <c r="B258" s="33" t="str">
        <f t="shared" si="24"/>
        <v>Thu</v>
      </c>
      <c r="C258" s="33">
        <f t="shared" si="25"/>
        <v>0</v>
      </c>
      <c r="D258" s="33">
        <f t="shared" si="26"/>
        <v>0</v>
      </c>
      <c r="E258" s="33">
        <f>IF(COUNTIF(holidays!$A:$A,A258)&gt;0,1,0)</f>
        <v>0</v>
      </c>
      <c r="F258" s="33">
        <f>IF(COUNTIF('Prudence Holidays'!$A:$A,A258)&gt;0,1,0)</f>
        <v>0</v>
      </c>
      <c r="G258" s="33">
        <f t="shared" si="27"/>
        <v>1</v>
      </c>
      <c r="H258" s="33">
        <f t="shared" si="28"/>
        <v>1</v>
      </c>
      <c r="I258" s="33">
        <f t="shared" si="30"/>
        <v>213</v>
      </c>
      <c r="J258" s="33">
        <f t="shared" si="31"/>
        <v>175</v>
      </c>
    </row>
    <row r="259" spans="1:10">
      <c r="A259" s="32">
        <f t="shared" si="29"/>
        <v>46472</v>
      </c>
      <c r="B259" s="33" t="str">
        <f t="shared" si="24"/>
        <v>Fri</v>
      </c>
      <c r="C259" s="33">
        <f t="shared" si="25"/>
        <v>0</v>
      </c>
      <c r="D259" s="33">
        <f t="shared" si="26"/>
        <v>0</v>
      </c>
      <c r="E259" s="33">
        <f>IF(COUNTIF(holidays!$A:$A,A259)&gt;0,1,0)</f>
        <v>0</v>
      </c>
      <c r="F259" s="33">
        <f>IF(COUNTIF('Prudence Holidays'!$A:$A,A259)&gt;0,1,0)</f>
        <v>0</v>
      </c>
      <c r="G259" s="33">
        <f t="shared" si="27"/>
        <v>1</v>
      </c>
      <c r="H259" s="33">
        <f t="shared" si="28"/>
        <v>1</v>
      </c>
      <c r="I259" s="33">
        <f t="shared" si="30"/>
        <v>214</v>
      </c>
      <c r="J259" s="33">
        <f t="shared" si="31"/>
        <v>176</v>
      </c>
    </row>
    <row r="260" spans="1:10">
      <c r="A260" s="32">
        <f t="shared" si="29"/>
        <v>46473</v>
      </c>
      <c r="B260" s="33" t="str">
        <f t="shared" si="24"/>
        <v>Sat</v>
      </c>
      <c r="C260" s="33">
        <f t="shared" si="25"/>
        <v>1</v>
      </c>
      <c r="D260" s="33">
        <f t="shared" si="26"/>
        <v>0</v>
      </c>
      <c r="E260" s="33">
        <f>IF(COUNTIF(holidays!$A:$A,A260)&gt;0,1,0)</f>
        <v>0</v>
      </c>
      <c r="F260" s="33">
        <f>IF(COUNTIF('Prudence Holidays'!$A:$A,A260)&gt;0,1,0)</f>
        <v>0</v>
      </c>
      <c r="G260" s="33">
        <f t="shared" si="27"/>
        <v>1</v>
      </c>
      <c r="H260" s="33">
        <f t="shared" si="28"/>
        <v>0</v>
      </c>
      <c r="I260" s="33">
        <f t="shared" si="30"/>
        <v>215</v>
      </c>
      <c r="J260" s="33">
        <f t="shared" si="31"/>
        <v>176</v>
      </c>
    </row>
    <row r="261" spans="1:10">
      <c r="A261" s="32">
        <f t="shared" si="29"/>
        <v>46474</v>
      </c>
      <c r="B261" s="33" t="str">
        <f t="shared" ref="B261:B324" si="32">TEXT(A261,"ddd")</f>
        <v>Sun</v>
      </c>
      <c r="C261" s="33">
        <f t="shared" ref="C261:C324" si="33">IF(WEEKDAY(A261,2)=6,1,0)</f>
        <v>0</v>
      </c>
      <c r="D261" s="33">
        <f t="shared" ref="D261:D324" si="34">IF(WEEKDAY(A261,2)=7,1,0)</f>
        <v>1</v>
      </c>
      <c r="E261" s="33">
        <f>IF(COUNTIF(holidays!$A:$A,A261)&gt;0,1,0)</f>
        <v>0</v>
      </c>
      <c r="F261" s="33">
        <f>IF(COUNTIF('Prudence Holidays'!$A:$A,A261)&gt;0,1,0)</f>
        <v>0</v>
      </c>
      <c r="G261" s="33">
        <f t="shared" ref="G261:G324" si="35">IF(OR(D261=1,E261=1),0,1)</f>
        <v>0</v>
      </c>
      <c r="H261" s="33">
        <f t="shared" ref="H261:H324" si="36">IF(OR(C261=1,D261=1,F261=1),0,1)</f>
        <v>0</v>
      </c>
      <c r="I261" s="33">
        <f t="shared" si="30"/>
        <v>215</v>
      </c>
      <c r="J261" s="33">
        <f t="shared" si="31"/>
        <v>176</v>
      </c>
    </row>
    <row r="262" spans="1:10">
      <c r="A262" s="32">
        <f t="shared" ref="A262:A325" si="37">A261+1</f>
        <v>46475</v>
      </c>
      <c r="B262" s="33" t="str">
        <f t="shared" si="32"/>
        <v>Mon</v>
      </c>
      <c r="C262" s="33">
        <f t="shared" si="33"/>
        <v>0</v>
      </c>
      <c r="D262" s="33">
        <f t="shared" si="34"/>
        <v>0</v>
      </c>
      <c r="E262" s="33">
        <f>IF(COUNTIF(holidays!$A:$A,A262)&gt;0,1,0)</f>
        <v>0</v>
      </c>
      <c r="F262" s="33">
        <f>IF(COUNTIF('Prudence Holidays'!$A:$A,A262)&gt;0,1,0)</f>
        <v>0</v>
      </c>
      <c r="G262" s="33">
        <f t="shared" si="35"/>
        <v>1</v>
      </c>
      <c r="H262" s="33">
        <f t="shared" si="36"/>
        <v>1</v>
      </c>
      <c r="I262" s="33">
        <f t="shared" ref="I262:I325" si="38">I261+G262</f>
        <v>216</v>
      </c>
      <c r="J262" s="33">
        <f t="shared" ref="J262:J325" si="39">J261+H262</f>
        <v>177</v>
      </c>
    </row>
    <row r="263" spans="1:10">
      <c r="A263" s="32">
        <f t="shared" si="37"/>
        <v>46476</v>
      </c>
      <c r="B263" s="33" t="str">
        <f t="shared" si="32"/>
        <v>Tue</v>
      </c>
      <c r="C263" s="33">
        <f t="shared" si="33"/>
        <v>0</v>
      </c>
      <c r="D263" s="33">
        <f t="shared" si="34"/>
        <v>0</v>
      </c>
      <c r="E263" s="33">
        <f>IF(COUNTIF(holidays!$A:$A,A263)&gt;0,1,0)</f>
        <v>0</v>
      </c>
      <c r="F263" s="33">
        <f>IF(COUNTIF('Prudence Holidays'!$A:$A,A263)&gt;0,1,0)</f>
        <v>0</v>
      </c>
      <c r="G263" s="33">
        <f t="shared" si="35"/>
        <v>1</v>
      </c>
      <c r="H263" s="33">
        <f t="shared" si="36"/>
        <v>1</v>
      </c>
      <c r="I263" s="33">
        <f t="shared" si="38"/>
        <v>217</v>
      </c>
      <c r="J263" s="33">
        <f t="shared" si="39"/>
        <v>178</v>
      </c>
    </row>
    <row r="264" spans="1:10">
      <c r="A264" s="32">
        <f t="shared" si="37"/>
        <v>46477</v>
      </c>
      <c r="B264" s="33" t="str">
        <f t="shared" si="32"/>
        <v>Wed</v>
      </c>
      <c r="C264" s="33">
        <f t="shared" si="33"/>
        <v>0</v>
      </c>
      <c r="D264" s="33">
        <f t="shared" si="34"/>
        <v>0</v>
      </c>
      <c r="E264" s="33">
        <f>IF(COUNTIF(holidays!$A:$A,A264)&gt;0,1,0)</f>
        <v>0</v>
      </c>
      <c r="F264" s="33">
        <f>IF(COUNTIF('Prudence Holidays'!$A:$A,A264)&gt;0,1,0)</f>
        <v>0</v>
      </c>
      <c r="G264" s="33">
        <f t="shared" si="35"/>
        <v>1</v>
      </c>
      <c r="H264" s="33">
        <f t="shared" si="36"/>
        <v>1</v>
      </c>
      <c r="I264" s="33">
        <f t="shared" si="38"/>
        <v>218</v>
      </c>
      <c r="J264" s="33">
        <f t="shared" si="39"/>
        <v>179</v>
      </c>
    </row>
    <row r="265" spans="1:10">
      <c r="A265" s="32">
        <f t="shared" si="37"/>
        <v>46478</v>
      </c>
      <c r="B265" s="33" t="str">
        <f t="shared" si="32"/>
        <v>Thu</v>
      </c>
      <c r="C265" s="33">
        <f t="shared" si="33"/>
        <v>0</v>
      </c>
      <c r="D265" s="33">
        <f t="shared" si="34"/>
        <v>0</v>
      </c>
      <c r="E265" s="33">
        <f>IF(COUNTIF(holidays!$A:$A,A265)&gt;0,1,0)</f>
        <v>0</v>
      </c>
      <c r="F265" s="33">
        <f>IF(COUNTIF('Prudence Holidays'!$A:$A,A265)&gt;0,1,0)</f>
        <v>0</v>
      </c>
      <c r="G265" s="33">
        <f t="shared" si="35"/>
        <v>1</v>
      </c>
      <c r="H265" s="33">
        <f t="shared" si="36"/>
        <v>1</v>
      </c>
      <c r="I265" s="33">
        <f t="shared" si="38"/>
        <v>219</v>
      </c>
      <c r="J265" s="33">
        <f t="shared" si="39"/>
        <v>180</v>
      </c>
    </row>
    <row r="266" spans="1:10">
      <c r="A266" s="32">
        <f t="shared" si="37"/>
        <v>46479</v>
      </c>
      <c r="B266" s="33" t="str">
        <f t="shared" si="32"/>
        <v>Fri</v>
      </c>
      <c r="C266" s="33">
        <f t="shared" si="33"/>
        <v>0</v>
      </c>
      <c r="D266" s="33">
        <f t="shared" si="34"/>
        <v>0</v>
      </c>
      <c r="E266" s="33">
        <f>IF(COUNTIF(holidays!$A:$A,A266)&gt;0,1,0)</f>
        <v>0</v>
      </c>
      <c r="F266" s="33">
        <f>IF(COUNTIF('Prudence Holidays'!$A:$A,A266)&gt;0,1,0)</f>
        <v>0</v>
      </c>
      <c r="G266" s="33">
        <f t="shared" si="35"/>
        <v>1</v>
      </c>
      <c r="H266" s="33">
        <f t="shared" si="36"/>
        <v>1</v>
      </c>
      <c r="I266" s="33">
        <f t="shared" si="38"/>
        <v>220</v>
      </c>
      <c r="J266" s="33">
        <f t="shared" si="39"/>
        <v>181</v>
      </c>
    </row>
    <row r="267" spans="1:10">
      <c r="A267" s="32">
        <f t="shared" si="37"/>
        <v>46480</v>
      </c>
      <c r="B267" s="33" t="str">
        <f t="shared" si="32"/>
        <v>Sat</v>
      </c>
      <c r="C267" s="33">
        <f t="shared" si="33"/>
        <v>1</v>
      </c>
      <c r="D267" s="33">
        <f t="shared" si="34"/>
        <v>0</v>
      </c>
      <c r="E267" s="33">
        <f>IF(COUNTIF(holidays!$A:$A,A267)&gt;0,1,0)</f>
        <v>0</v>
      </c>
      <c r="F267" s="33">
        <f>IF(COUNTIF('Prudence Holidays'!$A:$A,A267)&gt;0,1,0)</f>
        <v>0</v>
      </c>
      <c r="G267" s="33">
        <f t="shared" si="35"/>
        <v>1</v>
      </c>
      <c r="H267" s="33">
        <f t="shared" si="36"/>
        <v>0</v>
      </c>
      <c r="I267" s="33">
        <f t="shared" si="38"/>
        <v>221</v>
      </c>
      <c r="J267" s="33">
        <f t="shared" si="39"/>
        <v>181</v>
      </c>
    </row>
    <row r="268" spans="1:10">
      <c r="A268" s="32">
        <f t="shared" si="37"/>
        <v>46481</v>
      </c>
      <c r="B268" s="33" t="str">
        <f t="shared" si="32"/>
        <v>Sun</v>
      </c>
      <c r="C268" s="33">
        <f t="shared" si="33"/>
        <v>0</v>
      </c>
      <c r="D268" s="33">
        <f t="shared" si="34"/>
        <v>1</v>
      </c>
      <c r="E268" s="33">
        <f>IF(COUNTIF(holidays!$A:$A,A268)&gt;0,1,0)</f>
        <v>0</v>
      </c>
      <c r="F268" s="33">
        <f>IF(COUNTIF('Prudence Holidays'!$A:$A,A268)&gt;0,1,0)</f>
        <v>0</v>
      </c>
      <c r="G268" s="33">
        <f t="shared" si="35"/>
        <v>0</v>
      </c>
      <c r="H268" s="33">
        <f t="shared" si="36"/>
        <v>0</v>
      </c>
      <c r="I268" s="33">
        <f t="shared" si="38"/>
        <v>221</v>
      </c>
      <c r="J268" s="33">
        <f t="shared" si="39"/>
        <v>181</v>
      </c>
    </row>
    <row r="269" spans="1:10">
      <c r="A269" s="32">
        <f t="shared" si="37"/>
        <v>46482</v>
      </c>
      <c r="B269" s="33" t="str">
        <f t="shared" si="32"/>
        <v>Mon</v>
      </c>
      <c r="C269" s="33">
        <f t="shared" si="33"/>
        <v>0</v>
      </c>
      <c r="D269" s="33">
        <f t="shared" si="34"/>
        <v>0</v>
      </c>
      <c r="E269" s="33">
        <f>IF(COUNTIF(holidays!$A:$A,A269)&gt;0,1,0)</f>
        <v>0</v>
      </c>
      <c r="F269" s="33">
        <f>IF(COUNTIF('Prudence Holidays'!$A:$A,A269)&gt;0,1,0)</f>
        <v>0</v>
      </c>
      <c r="G269" s="33">
        <f t="shared" si="35"/>
        <v>1</v>
      </c>
      <c r="H269" s="33">
        <f t="shared" si="36"/>
        <v>1</v>
      </c>
      <c r="I269" s="33">
        <f t="shared" si="38"/>
        <v>222</v>
      </c>
      <c r="J269" s="33">
        <f t="shared" si="39"/>
        <v>182</v>
      </c>
    </row>
    <row r="270" spans="1:10">
      <c r="A270" s="32">
        <f t="shared" si="37"/>
        <v>46483</v>
      </c>
      <c r="B270" s="33" t="str">
        <f t="shared" si="32"/>
        <v>Tue</v>
      </c>
      <c r="C270" s="33">
        <f t="shared" si="33"/>
        <v>0</v>
      </c>
      <c r="D270" s="33">
        <f t="shared" si="34"/>
        <v>0</v>
      </c>
      <c r="E270" s="33">
        <f>IF(COUNTIF(holidays!$A:$A,A270)&gt;0,1,0)</f>
        <v>0</v>
      </c>
      <c r="F270" s="33">
        <f>IF(COUNTIF('Prudence Holidays'!$A:$A,A270)&gt;0,1,0)</f>
        <v>0</v>
      </c>
      <c r="G270" s="33">
        <f t="shared" si="35"/>
        <v>1</v>
      </c>
      <c r="H270" s="33">
        <f t="shared" si="36"/>
        <v>1</v>
      </c>
      <c r="I270" s="33">
        <f t="shared" si="38"/>
        <v>223</v>
      </c>
      <c r="J270" s="33">
        <f t="shared" si="39"/>
        <v>183</v>
      </c>
    </row>
    <row r="271" spans="1:10">
      <c r="A271" s="32">
        <f t="shared" si="37"/>
        <v>46484</v>
      </c>
      <c r="B271" s="33" t="str">
        <f t="shared" si="32"/>
        <v>Wed</v>
      </c>
      <c r="C271" s="33">
        <f t="shared" si="33"/>
        <v>0</v>
      </c>
      <c r="D271" s="33">
        <f t="shared" si="34"/>
        <v>0</v>
      </c>
      <c r="E271" s="33">
        <f>IF(COUNTIF(holidays!$A:$A,A271)&gt;0,1,0)</f>
        <v>0</v>
      </c>
      <c r="F271" s="33">
        <f>IF(COUNTIF('Prudence Holidays'!$A:$A,A271)&gt;0,1,0)</f>
        <v>0</v>
      </c>
      <c r="G271" s="33">
        <f t="shared" si="35"/>
        <v>1</v>
      </c>
      <c r="H271" s="33">
        <f t="shared" si="36"/>
        <v>1</v>
      </c>
      <c r="I271" s="33">
        <f t="shared" si="38"/>
        <v>224</v>
      </c>
      <c r="J271" s="33">
        <f t="shared" si="39"/>
        <v>184</v>
      </c>
    </row>
    <row r="272" spans="1:10">
      <c r="A272" s="32">
        <f t="shared" si="37"/>
        <v>46485</v>
      </c>
      <c r="B272" s="33" t="str">
        <f t="shared" si="32"/>
        <v>Thu</v>
      </c>
      <c r="C272" s="33">
        <f t="shared" si="33"/>
        <v>0</v>
      </c>
      <c r="D272" s="33">
        <f t="shared" si="34"/>
        <v>0</v>
      </c>
      <c r="E272" s="33">
        <f>IF(COUNTIF(holidays!$A:$A,A272)&gt;0,1,0)</f>
        <v>0</v>
      </c>
      <c r="F272" s="33">
        <f>IF(COUNTIF('Prudence Holidays'!$A:$A,A272)&gt;0,1,0)</f>
        <v>0</v>
      </c>
      <c r="G272" s="33">
        <f t="shared" si="35"/>
        <v>1</v>
      </c>
      <c r="H272" s="33">
        <f t="shared" si="36"/>
        <v>1</v>
      </c>
      <c r="I272" s="33">
        <f t="shared" si="38"/>
        <v>225</v>
      </c>
      <c r="J272" s="33">
        <f t="shared" si="39"/>
        <v>185</v>
      </c>
    </row>
    <row r="273" spans="1:10">
      <c r="A273" s="32">
        <f t="shared" si="37"/>
        <v>46486</v>
      </c>
      <c r="B273" s="33" t="str">
        <f t="shared" si="32"/>
        <v>Fri</v>
      </c>
      <c r="C273" s="33">
        <f t="shared" si="33"/>
        <v>0</v>
      </c>
      <c r="D273" s="33">
        <f t="shared" si="34"/>
        <v>0</v>
      </c>
      <c r="E273" s="33">
        <f>IF(COUNTIF(holidays!$A:$A,A273)&gt;0,1,0)</f>
        <v>0</v>
      </c>
      <c r="F273" s="33">
        <f>IF(COUNTIF('Prudence Holidays'!$A:$A,A273)&gt;0,1,0)</f>
        <v>0</v>
      </c>
      <c r="G273" s="33">
        <f t="shared" si="35"/>
        <v>1</v>
      </c>
      <c r="H273" s="33">
        <f t="shared" si="36"/>
        <v>1</v>
      </c>
      <c r="I273" s="33">
        <f t="shared" si="38"/>
        <v>226</v>
      </c>
      <c r="J273" s="33">
        <f t="shared" si="39"/>
        <v>186</v>
      </c>
    </row>
    <row r="274" spans="1:10">
      <c r="A274" s="32">
        <f t="shared" si="37"/>
        <v>46487</v>
      </c>
      <c r="B274" s="33" t="str">
        <f t="shared" si="32"/>
        <v>Sat</v>
      </c>
      <c r="C274" s="33">
        <f t="shared" si="33"/>
        <v>1</v>
      </c>
      <c r="D274" s="33">
        <f t="shared" si="34"/>
        <v>0</v>
      </c>
      <c r="E274" s="33">
        <f>IF(COUNTIF(holidays!$A:$A,A274)&gt;0,1,0)</f>
        <v>0</v>
      </c>
      <c r="F274" s="33">
        <f>IF(COUNTIF('Prudence Holidays'!$A:$A,A274)&gt;0,1,0)</f>
        <v>0</v>
      </c>
      <c r="G274" s="33">
        <f t="shared" si="35"/>
        <v>1</v>
      </c>
      <c r="H274" s="33">
        <f t="shared" si="36"/>
        <v>0</v>
      </c>
      <c r="I274" s="33">
        <f t="shared" si="38"/>
        <v>227</v>
      </c>
      <c r="J274" s="33">
        <f t="shared" si="39"/>
        <v>186</v>
      </c>
    </row>
    <row r="275" spans="1:10">
      <c r="A275" s="32">
        <f t="shared" si="37"/>
        <v>46488</v>
      </c>
      <c r="B275" s="33" t="str">
        <f t="shared" si="32"/>
        <v>Sun</v>
      </c>
      <c r="C275" s="33">
        <f t="shared" si="33"/>
        <v>0</v>
      </c>
      <c r="D275" s="33">
        <f t="shared" si="34"/>
        <v>1</v>
      </c>
      <c r="E275" s="33">
        <f>IF(COUNTIF(holidays!$A:$A,A275)&gt;0,1,0)</f>
        <v>0</v>
      </c>
      <c r="F275" s="33">
        <f>IF(COUNTIF('Prudence Holidays'!$A:$A,A275)&gt;0,1,0)</f>
        <v>0</v>
      </c>
      <c r="G275" s="33">
        <f t="shared" si="35"/>
        <v>0</v>
      </c>
      <c r="H275" s="33">
        <f t="shared" si="36"/>
        <v>0</v>
      </c>
      <c r="I275" s="33">
        <f t="shared" si="38"/>
        <v>227</v>
      </c>
      <c r="J275" s="33">
        <f t="shared" si="39"/>
        <v>186</v>
      </c>
    </row>
    <row r="276" spans="1:10">
      <c r="A276" s="32">
        <f t="shared" si="37"/>
        <v>46489</v>
      </c>
      <c r="B276" s="33" t="str">
        <f t="shared" si="32"/>
        <v>Mon</v>
      </c>
      <c r="C276" s="33">
        <f t="shared" si="33"/>
        <v>0</v>
      </c>
      <c r="D276" s="33">
        <f t="shared" si="34"/>
        <v>0</v>
      </c>
      <c r="E276" s="33">
        <f>IF(COUNTIF(holidays!$A:$A,A276)&gt;0,1,0)</f>
        <v>0</v>
      </c>
      <c r="F276" s="33">
        <f>IF(COUNTIF('Prudence Holidays'!$A:$A,A276)&gt;0,1,0)</f>
        <v>0</v>
      </c>
      <c r="G276" s="33">
        <f t="shared" si="35"/>
        <v>1</v>
      </c>
      <c r="H276" s="33">
        <f t="shared" si="36"/>
        <v>1</v>
      </c>
      <c r="I276" s="33">
        <f t="shared" si="38"/>
        <v>228</v>
      </c>
      <c r="J276" s="33">
        <f t="shared" si="39"/>
        <v>187</v>
      </c>
    </row>
    <row r="277" spans="1:10">
      <c r="A277" s="32">
        <f t="shared" si="37"/>
        <v>46490</v>
      </c>
      <c r="B277" s="33" t="str">
        <f t="shared" si="32"/>
        <v>Tue</v>
      </c>
      <c r="C277" s="33">
        <f t="shared" si="33"/>
        <v>0</v>
      </c>
      <c r="D277" s="33">
        <f t="shared" si="34"/>
        <v>0</v>
      </c>
      <c r="E277" s="33">
        <f>IF(COUNTIF(holidays!$A:$A,A277)&gt;0,1,0)</f>
        <v>0</v>
      </c>
      <c r="F277" s="33">
        <f>IF(COUNTIF('Prudence Holidays'!$A:$A,A277)&gt;0,1,0)</f>
        <v>0</v>
      </c>
      <c r="G277" s="33">
        <f t="shared" si="35"/>
        <v>1</v>
      </c>
      <c r="H277" s="33">
        <f t="shared" si="36"/>
        <v>1</v>
      </c>
      <c r="I277" s="33">
        <f t="shared" si="38"/>
        <v>229</v>
      </c>
      <c r="J277" s="33">
        <f t="shared" si="39"/>
        <v>188</v>
      </c>
    </row>
    <row r="278" spans="1:10">
      <c r="A278" s="32">
        <f t="shared" si="37"/>
        <v>46491</v>
      </c>
      <c r="B278" s="33" t="str">
        <f t="shared" si="32"/>
        <v>Wed</v>
      </c>
      <c r="C278" s="33">
        <f t="shared" si="33"/>
        <v>0</v>
      </c>
      <c r="D278" s="33">
        <f t="shared" si="34"/>
        <v>0</v>
      </c>
      <c r="E278" s="33">
        <f>IF(COUNTIF(holidays!$A:$A,A278)&gt;0,1,0)</f>
        <v>0</v>
      </c>
      <c r="F278" s="33">
        <f>IF(COUNTIF('Prudence Holidays'!$A:$A,A278)&gt;0,1,0)</f>
        <v>0</v>
      </c>
      <c r="G278" s="33">
        <f t="shared" si="35"/>
        <v>1</v>
      </c>
      <c r="H278" s="33">
        <f t="shared" si="36"/>
        <v>1</v>
      </c>
      <c r="I278" s="33">
        <f t="shared" si="38"/>
        <v>230</v>
      </c>
      <c r="J278" s="33">
        <f t="shared" si="39"/>
        <v>189</v>
      </c>
    </row>
    <row r="279" spans="1:10">
      <c r="A279" s="32">
        <f t="shared" si="37"/>
        <v>46492</v>
      </c>
      <c r="B279" s="33" t="str">
        <f t="shared" si="32"/>
        <v>Thu</v>
      </c>
      <c r="C279" s="33">
        <f t="shared" si="33"/>
        <v>0</v>
      </c>
      <c r="D279" s="33">
        <f t="shared" si="34"/>
        <v>0</v>
      </c>
      <c r="E279" s="33">
        <f>IF(COUNTIF(holidays!$A:$A,A279)&gt;0,1,0)</f>
        <v>0</v>
      </c>
      <c r="F279" s="33">
        <f>IF(COUNTIF('Prudence Holidays'!$A:$A,A279)&gt;0,1,0)</f>
        <v>0</v>
      </c>
      <c r="G279" s="33">
        <f t="shared" si="35"/>
        <v>1</v>
      </c>
      <c r="H279" s="33">
        <f t="shared" si="36"/>
        <v>1</v>
      </c>
      <c r="I279" s="33">
        <f t="shared" si="38"/>
        <v>231</v>
      </c>
      <c r="J279" s="33">
        <f t="shared" si="39"/>
        <v>190</v>
      </c>
    </row>
    <row r="280" spans="1:10">
      <c r="A280" s="32">
        <f t="shared" si="37"/>
        <v>46493</v>
      </c>
      <c r="B280" s="33" t="str">
        <f t="shared" si="32"/>
        <v>Fri</v>
      </c>
      <c r="C280" s="33">
        <f t="shared" si="33"/>
        <v>0</v>
      </c>
      <c r="D280" s="33">
        <f t="shared" si="34"/>
        <v>0</v>
      </c>
      <c r="E280" s="33">
        <f>IF(COUNTIF(holidays!$A:$A,A280)&gt;0,1,0)</f>
        <v>0</v>
      </c>
      <c r="F280" s="33">
        <f>IF(COUNTIF('Prudence Holidays'!$A:$A,A280)&gt;0,1,0)</f>
        <v>0</v>
      </c>
      <c r="G280" s="33">
        <f t="shared" si="35"/>
        <v>1</v>
      </c>
      <c r="H280" s="33">
        <f t="shared" si="36"/>
        <v>1</v>
      </c>
      <c r="I280" s="33">
        <f t="shared" si="38"/>
        <v>232</v>
      </c>
      <c r="J280" s="33">
        <f t="shared" si="39"/>
        <v>191</v>
      </c>
    </row>
    <row r="281" spans="1:10">
      <c r="A281" s="32">
        <f t="shared" si="37"/>
        <v>46494</v>
      </c>
      <c r="B281" s="33" t="str">
        <f t="shared" si="32"/>
        <v>Sat</v>
      </c>
      <c r="C281" s="33">
        <f t="shared" si="33"/>
        <v>1</v>
      </c>
      <c r="D281" s="33">
        <f t="shared" si="34"/>
        <v>0</v>
      </c>
      <c r="E281" s="33">
        <f>IF(COUNTIF(holidays!$A:$A,A281)&gt;0,1,0)</f>
        <v>0</v>
      </c>
      <c r="F281" s="33">
        <f>IF(COUNTIF('Prudence Holidays'!$A:$A,A281)&gt;0,1,0)</f>
        <v>0</v>
      </c>
      <c r="G281" s="33">
        <f t="shared" si="35"/>
        <v>1</v>
      </c>
      <c r="H281" s="33">
        <f t="shared" si="36"/>
        <v>0</v>
      </c>
      <c r="I281" s="33">
        <f t="shared" si="38"/>
        <v>233</v>
      </c>
      <c r="J281" s="33">
        <f t="shared" si="39"/>
        <v>191</v>
      </c>
    </row>
    <row r="282" spans="1:10">
      <c r="A282" s="32">
        <f t="shared" si="37"/>
        <v>46495</v>
      </c>
      <c r="B282" s="33" t="str">
        <f t="shared" si="32"/>
        <v>Sun</v>
      </c>
      <c r="C282" s="33">
        <f t="shared" si="33"/>
        <v>0</v>
      </c>
      <c r="D282" s="33">
        <f t="shared" si="34"/>
        <v>1</v>
      </c>
      <c r="E282" s="33">
        <f>IF(COUNTIF(holidays!$A:$A,A282)&gt;0,1,0)</f>
        <v>0</v>
      </c>
      <c r="F282" s="33">
        <f>IF(COUNTIF('Prudence Holidays'!$A:$A,A282)&gt;0,1,0)</f>
        <v>0</v>
      </c>
      <c r="G282" s="33">
        <f t="shared" si="35"/>
        <v>0</v>
      </c>
      <c r="H282" s="33">
        <f t="shared" si="36"/>
        <v>0</v>
      </c>
      <c r="I282" s="33">
        <f t="shared" si="38"/>
        <v>233</v>
      </c>
      <c r="J282" s="33">
        <f t="shared" si="39"/>
        <v>191</v>
      </c>
    </row>
    <row r="283" spans="1:10">
      <c r="A283" s="32">
        <f t="shared" si="37"/>
        <v>46496</v>
      </c>
      <c r="B283" s="33" t="str">
        <f t="shared" si="32"/>
        <v>Mon</v>
      </c>
      <c r="C283" s="33">
        <f t="shared" si="33"/>
        <v>0</v>
      </c>
      <c r="D283" s="33">
        <f t="shared" si="34"/>
        <v>0</v>
      </c>
      <c r="E283" s="33">
        <f>IF(COUNTIF(holidays!$A:$A,A283)&gt;0,1,0)</f>
        <v>0</v>
      </c>
      <c r="F283" s="33">
        <f>IF(COUNTIF('Prudence Holidays'!$A:$A,A283)&gt;0,1,0)</f>
        <v>0</v>
      </c>
      <c r="G283" s="33">
        <f t="shared" si="35"/>
        <v>1</v>
      </c>
      <c r="H283" s="33">
        <f t="shared" si="36"/>
        <v>1</v>
      </c>
      <c r="I283" s="33">
        <f t="shared" si="38"/>
        <v>234</v>
      </c>
      <c r="J283" s="33">
        <f t="shared" si="39"/>
        <v>192</v>
      </c>
    </row>
    <row r="284" spans="1:10">
      <c r="A284" s="32">
        <f t="shared" si="37"/>
        <v>46497</v>
      </c>
      <c r="B284" s="33" t="str">
        <f t="shared" si="32"/>
        <v>Tue</v>
      </c>
      <c r="C284" s="33">
        <f t="shared" si="33"/>
        <v>0</v>
      </c>
      <c r="D284" s="33">
        <f t="shared" si="34"/>
        <v>0</v>
      </c>
      <c r="E284" s="33">
        <f>IF(COUNTIF(holidays!$A:$A,A284)&gt;0,1,0)</f>
        <v>0</v>
      </c>
      <c r="F284" s="33">
        <f>IF(COUNTIF('Prudence Holidays'!$A:$A,A284)&gt;0,1,0)</f>
        <v>0</v>
      </c>
      <c r="G284" s="33">
        <f t="shared" si="35"/>
        <v>1</v>
      </c>
      <c r="H284" s="33">
        <f t="shared" si="36"/>
        <v>1</v>
      </c>
      <c r="I284" s="33">
        <f t="shared" si="38"/>
        <v>235</v>
      </c>
      <c r="J284" s="33">
        <f t="shared" si="39"/>
        <v>193</v>
      </c>
    </row>
    <row r="285" spans="1:10">
      <c r="A285" s="32">
        <f t="shared" si="37"/>
        <v>46498</v>
      </c>
      <c r="B285" s="33" t="str">
        <f t="shared" si="32"/>
        <v>Wed</v>
      </c>
      <c r="C285" s="33">
        <f t="shared" si="33"/>
        <v>0</v>
      </c>
      <c r="D285" s="33">
        <f t="shared" si="34"/>
        <v>0</v>
      </c>
      <c r="E285" s="33">
        <f>IF(COUNTIF(holidays!$A:$A,A285)&gt;0,1,0)</f>
        <v>0</v>
      </c>
      <c r="F285" s="33">
        <f>IF(COUNTIF('Prudence Holidays'!$A:$A,A285)&gt;0,1,0)</f>
        <v>0</v>
      </c>
      <c r="G285" s="33">
        <f t="shared" si="35"/>
        <v>1</v>
      </c>
      <c r="H285" s="33">
        <f t="shared" si="36"/>
        <v>1</v>
      </c>
      <c r="I285" s="33">
        <f t="shared" si="38"/>
        <v>236</v>
      </c>
      <c r="J285" s="33">
        <f t="shared" si="39"/>
        <v>194</v>
      </c>
    </row>
    <row r="286" spans="1:10">
      <c r="A286" s="32">
        <f t="shared" si="37"/>
        <v>46499</v>
      </c>
      <c r="B286" s="33" t="str">
        <f t="shared" si="32"/>
        <v>Thu</v>
      </c>
      <c r="C286" s="33">
        <f t="shared" si="33"/>
        <v>0</v>
      </c>
      <c r="D286" s="33">
        <f t="shared" si="34"/>
        <v>0</v>
      </c>
      <c r="E286" s="33">
        <f>IF(COUNTIF(holidays!$A:$A,A286)&gt;0,1,0)</f>
        <v>0</v>
      </c>
      <c r="F286" s="33">
        <f>IF(COUNTIF('Prudence Holidays'!$A:$A,A286)&gt;0,1,0)</f>
        <v>0</v>
      </c>
      <c r="G286" s="33">
        <f t="shared" si="35"/>
        <v>1</v>
      </c>
      <c r="H286" s="33">
        <f t="shared" si="36"/>
        <v>1</v>
      </c>
      <c r="I286" s="33">
        <f t="shared" si="38"/>
        <v>237</v>
      </c>
      <c r="J286" s="33">
        <f t="shared" si="39"/>
        <v>195</v>
      </c>
    </row>
    <row r="287" spans="1:10">
      <c r="A287" s="32">
        <f t="shared" si="37"/>
        <v>46500</v>
      </c>
      <c r="B287" s="33" t="str">
        <f t="shared" si="32"/>
        <v>Fri</v>
      </c>
      <c r="C287" s="33">
        <f t="shared" si="33"/>
        <v>0</v>
      </c>
      <c r="D287" s="33">
        <f t="shared" si="34"/>
        <v>0</v>
      </c>
      <c r="E287" s="33">
        <f>IF(COUNTIF(holidays!$A:$A,A287)&gt;0,1,0)</f>
        <v>0</v>
      </c>
      <c r="F287" s="33">
        <f>IF(COUNTIF('Prudence Holidays'!$A:$A,A287)&gt;0,1,0)</f>
        <v>0</v>
      </c>
      <c r="G287" s="33">
        <f t="shared" si="35"/>
        <v>1</v>
      </c>
      <c r="H287" s="33">
        <f t="shared" si="36"/>
        <v>1</v>
      </c>
      <c r="I287" s="33">
        <f t="shared" si="38"/>
        <v>238</v>
      </c>
      <c r="J287" s="33">
        <f t="shared" si="39"/>
        <v>196</v>
      </c>
    </row>
    <row r="288" spans="1:10">
      <c r="A288" s="32">
        <f t="shared" si="37"/>
        <v>46501</v>
      </c>
      <c r="B288" s="33" t="str">
        <f t="shared" si="32"/>
        <v>Sat</v>
      </c>
      <c r="C288" s="33">
        <f t="shared" si="33"/>
        <v>1</v>
      </c>
      <c r="D288" s="33">
        <f t="shared" si="34"/>
        <v>0</v>
      </c>
      <c r="E288" s="33">
        <f>IF(COUNTIF(holidays!$A:$A,A288)&gt;0,1,0)</f>
        <v>0</v>
      </c>
      <c r="F288" s="33">
        <f>IF(COUNTIF('Prudence Holidays'!$A:$A,A288)&gt;0,1,0)</f>
        <v>0</v>
      </c>
      <c r="G288" s="33">
        <f t="shared" si="35"/>
        <v>1</v>
      </c>
      <c r="H288" s="33">
        <f t="shared" si="36"/>
        <v>0</v>
      </c>
      <c r="I288" s="33">
        <f t="shared" si="38"/>
        <v>239</v>
      </c>
      <c r="J288" s="33">
        <f t="shared" si="39"/>
        <v>196</v>
      </c>
    </row>
    <row r="289" spans="1:10">
      <c r="A289" s="32">
        <f t="shared" si="37"/>
        <v>46502</v>
      </c>
      <c r="B289" s="33" t="str">
        <f t="shared" si="32"/>
        <v>Sun</v>
      </c>
      <c r="C289" s="33">
        <f t="shared" si="33"/>
        <v>0</v>
      </c>
      <c r="D289" s="33">
        <f t="shared" si="34"/>
        <v>1</v>
      </c>
      <c r="E289" s="33">
        <f>IF(COUNTIF(holidays!$A:$A,A289)&gt;0,1,0)</f>
        <v>0</v>
      </c>
      <c r="F289" s="33">
        <f>IF(COUNTIF('Prudence Holidays'!$A:$A,A289)&gt;0,1,0)</f>
        <v>0</v>
      </c>
      <c r="G289" s="33">
        <f t="shared" si="35"/>
        <v>0</v>
      </c>
      <c r="H289" s="33">
        <f t="shared" si="36"/>
        <v>0</v>
      </c>
      <c r="I289" s="33">
        <f t="shared" si="38"/>
        <v>239</v>
      </c>
      <c r="J289" s="33">
        <f t="shared" si="39"/>
        <v>196</v>
      </c>
    </row>
    <row r="290" spans="1:10">
      <c r="A290" s="32">
        <f t="shared" si="37"/>
        <v>46503</v>
      </c>
      <c r="B290" s="33" t="str">
        <f t="shared" si="32"/>
        <v>Mon</v>
      </c>
      <c r="C290" s="33">
        <f t="shared" si="33"/>
        <v>0</v>
      </c>
      <c r="D290" s="33">
        <f t="shared" si="34"/>
        <v>0</v>
      </c>
      <c r="E290" s="33">
        <f>IF(COUNTIF(holidays!$A:$A,A290)&gt;0,1,0)</f>
        <v>0</v>
      </c>
      <c r="F290" s="33">
        <f>IF(COUNTIF('Prudence Holidays'!$A:$A,A290)&gt;0,1,0)</f>
        <v>0</v>
      </c>
      <c r="G290" s="33">
        <f t="shared" si="35"/>
        <v>1</v>
      </c>
      <c r="H290" s="33">
        <f t="shared" si="36"/>
        <v>1</v>
      </c>
      <c r="I290" s="33">
        <f t="shared" si="38"/>
        <v>240</v>
      </c>
      <c r="J290" s="33">
        <f t="shared" si="39"/>
        <v>197</v>
      </c>
    </row>
    <row r="291" spans="1:10">
      <c r="A291" s="32">
        <f t="shared" si="37"/>
        <v>46504</v>
      </c>
      <c r="B291" s="33" t="str">
        <f t="shared" si="32"/>
        <v>Tue</v>
      </c>
      <c r="C291" s="33">
        <f t="shared" si="33"/>
        <v>0</v>
      </c>
      <c r="D291" s="33">
        <f t="shared" si="34"/>
        <v>0</v>
      </c>
      <c r="E291" s="33">
        <f>IF(COUNTIF(holidays!$A:$A,A291)&gt;0,1,0)</f>
        <v>0</v>
      </c>
      <c r="F291" s="33">
        <f>IF(COUNTIF('Prudence Holidays'!$A:$A,A291)&gt;0,1,0)</f>
        <v>0</v>
      </c>
      <c r="G291" s="33">
        <f t="shared" si="35"/>
        <v>1</v>
      </c>
      <c r="H291" s="33">
        <f t="shared" si="36"/>
        <v>1</v>
      </c>
      <c r="I291" s="33">
        <f t="shared" si="38"/>
        <v>241</v>
      </c>
      <c r="J291" s="33">
        <f t="shared" si="39"/>
        <v>198</v>
      </c>
    </row>
    <row r="292" spans="1:10">
      <c r="A292" s="32">
        <f t="shared" si="37"/>
        <v>46505</v>
      </c>
      <c r="B292" s="33" t="str">
        <f t="shared" si="32"/>
        <v>Wed</v>
      </c>
      <c r="C292" s="33">
        <f t="shared" si="33"/>
        <v>0</v>
      </c>
      <c r="D292" s="33">
        <f t="shared" si="34"/>
        <v>0</v>
      </c>
      <c r="E292" s="33">
        <f>IF(COUNTIF(holidays!$A:$A,A292)&gt;0,1,0)</f>
        <v>0</v>
      </c>
      <c r="F292" s="33">
        <f>IF(COUNTIF('Prudence Holidays'!$A:$A,A292)&gt;0,1,0)</f>
        <v>0</v>
      </c>
      <c r="G292" s="33">
        <f t="shared" si="35"/>
        <v>1</v>
      </c>
      <c r="H292" s="33">
        <f t="shared" si="36"/>
        <v>1</v>
      </c>
      <c r="I292" s="33">
        <f t="shared" si="38"/>
        <v>242</v>
      </c>
      <c r="J292" s="33">
        <f t="shared" si="39"/>
        <v>199</v>
      </c>
    </row>
    <row r="293" spans="1:10">
      <c r="A293" s="32">
        <f t="shared" si="37"/>
        <v>46506</v>
      </c>
      <c r="B293" s="33" t="str">
        <f t="shared" si="32"/>
        <v>Thu</v>
      </c>
      <c r="C293" s="33">
        <f t="shared" si="33"/>
        <v>0</v>
      </c>
      <c r="D293" s="33">
        <f t="shared" si="34"/>
        <v>0</v>
      </c>
      <c r="E293" s="33">
        <f>IF(COUNTIF(holidays!$A:$A,A293)&gt;0,1,0)</f>
        <v>0</v>
      </c>
      <c r="F293" s="33">
        <f>IF(COUNTIF('Prudence Holidays'!$A:$A,A293)&gt;0,1,0)</f>
        <v>0</v>
      </c>
      <c r="G293" s="33">
        <f t="shared" si="35"/>
        <v>1</v>
      </c>
      <c r="H293" s="33">
        <f t="shared" si="36"/>
        <v>1</v>
      </c>
      <c r="I293" s="33">
        <f t="shared" si="38"/>
        <v>243</v>
      </c>
      <c r="J293" s="33">
        <f t="shared" si="39"/>
        <v>200</v>
      </c>
    </row>
    <row r="294" spans="1:10">
      <c r="A294" s="32">
        <f t="shared" si="37"/>
        <v>46507</v>
      </c>
      <c r="B294" s="33" t="str">
        <f t="shared" si="32"/>
        <v>Fri</v>
      </c>
      <c r="C294" s="33">
        <f t="shared" si="33"/>
        <v>0</v>
      </c>
      <c r="D294" s="33">
        <f t="shared" si="34"/>
        <v>0</v>
      </c>
      <c r="E294" s="33">
        <f>IF(COUNTIF(holidays!$A:$A,A294)&gt;0,1,0)</f>
        <v>0</v>
      </c>
      <c r="F294" s="33">
        <f>IF(COUNTIF('Prudence Holidays'!$A:$A,A294)&gt;0,1,0)</f>
        <v>0</v>
      </c>
      <c r="G294" s="33">
        <f t="shared" si="35"/>
        <v>1</v>
      </c>
      <c r="H294" s="33">
        <f t="shared" si="36"/>
        <v>1</v>
      </c>
      <c r="I294" s="33">
        <f t="shared" si="38"/>
        <v>244</v>
      </c>
      <c r="J294" s="33">
        <f t="shared" si="39"/>
        <v>201</v>
      </c>
    </row>
    <row r="295" spans="1:10">
      <c r="A295" s="32">
        <f t="shared" si="37"/>
        <v>46508</v>
      </c>
      <c r="B295" s="33" t="str">
        <f t="shared" si="32"/>
        <v>Sat</v>
      </c>
      <c r="C295" s="33">
        <f t="shared" si="33"/>
        <v>1</v>
      </c>
      <c r="D295" s="33">
        <f t="shared" si="34"/>
        <v>0</v>
      </c>
      <c r="E295" s="33">
        <f>IF(COUNTIF(holidays!$A:$A,A295)&gt;0,1,0)</f>
        <v>0</v>
      </c>
      <c r="F295" s="33">
        <f>IF(COUNTIF('Prudence Holidays'!$A:$A,A295)&gt;0,1,0)</f>
        <v>0</v>
      </c>
      <c r="G295" s="33">
        <f t="shared" si="35"/>
        <v>1</v>
      </c>
      <c r="H295" s="33">
        <f t="shared" si="36"/>
        <v>0</v>
      </c>
      <c r="I295" s="33">
        <f t="shared" si="38"/>
        <v>245</v>
      </c>
      <c r="J295" s="33">
        <f t="shared" si="39"/>
        <v>201</v>
      </c>
    </row>
    <row r="296" spans="1:10">
      <c r="A296" s="32">
        <f t="shared" si="37"/>
        <v>46509</v>
      </c>
      <c r="B296" s="33" t="str">
        <f t="shared" si="32"/>
        <v>Sun</v>
      </c>
      <c r="C296" s="33">
        <f t="shared" si="33"/>
        <v>0</v>
      </c>
      <c r="D296" s="33">
        <f t="shared" si="34"/>
        <v>1</v>
      </c>
      <c r="E296" s="33">
        <f>IF(COUNTIF(holidays!$A:$A,A296)&gt;0,1,0)</f>
        <v>0</v>
      </c>
      <c r="F296" s="33">
        <f>IF(COUNTIF('Prudence Holidays'!$A:$A,A296)&gt;0,1,0)</f>
        <v>0</v>
      </c>
      <c r="G296" s="33">
        <f t="shared" si="35"/>
        <v>0</v>
      </c>
      <c r="H296" s="33">
        <f t="shared" si="36"/>
        <v>0</v>
      </c>
      <c r="I296" s="33">
        <f t="shared" si="38"/>
        <v>245</v>
      </c>
      <c r="J296" s="33">
        <f t="shared" si="39"/>
        <v>201</v>
      </c>
    </row>
    <row r="297" spans="1:10">
      <c r="A297" s="32">
        <f t="shared" si="37"/>
        <v>46510</v>
      </c>
      <c r="B297" s="33" t="str">
        <f t="shared" si="32"/>
        <v>Mon</v>
      </c>
      <c r="C297" s="33">
        <f t="shared" si="33"/>
        <v>0</v>
      </c>
      <c r="D297" s="33">
        <f t="shared" si="34"/>
        <v>0</v>
      </c>
      <c r="E297" s="33">
        <f>IF(COUNTIF(holidays!$A:$A,A297)&gt;0,1,0)</f>
        <v>0</v>
      </c>
      <c r="F297" s="33">
        <f>IF(COUNTIF('Prudence Holidays'!$A:$A,A297)&gt;0,1,0)</f>
        <v>0</v>
      </c>
      <c r="G297" s="33">
        <f t="shared" si="35"/>
        <v>1</v>
      </c>
      <c r="H297" s="33">
        <f t="shared" si="36"/>
        <v>1</v>
      </c>
      <c r="I297" s="33">
        <f t="shared" si="38"/>
        <v>246</v>
      </c>
      <c r="J297" s="33">
        <f t="shared" si="39"/>
        <v>202</v>
      </c>
    </row>
    <row r="298" spans="1:10">
      <c r="A298" s="32">
        <f t="shared" si="37"/>
        <v>46511</v>
      </c>
      <c r="B298" s="33" t="str">
        <f t="shared" si="32"/>
        <v>Tue</v>
      </c>
      <c r="C298" s="33">
        <f t="shared" si="33"/>
        <v>0</v>
      </c>
      <c r="D298" s="33">
        <f t="shared" si="34"/>
        <v>0</v>
      </c>
      <c r="E298" s="33">
        <f>IF(COUNTIF(holidays!$A:$A,A298)&gt;0,1,0)</f>
        <v>0</v>
      </c>
      <c r="F298" s="33">
        <f>IF(COUNTIF('Prudence Holidays'!$A:$A,A298)&gt;0,1,0)</f>
        <v>0</v>
      </c>
      <c r="G298" s="33">
        <f t="shared" si="35"/>
        <v>1</v>
      </c>
      <c r="H298" s="33">
        <f t="shared" si="36"/>
        <v>1</v>
      </c>
      <c r="I298" s="33">
        <f t="shared" si="38"/>
        <v>247</v>
      </c>
      <c r="J298" s="33">
        <f t="shared" si="39"/>
        <v>203</v>
      </c>
    </row>
    <row r="299" spans="1:10">
      <c r="A299" s="32">
        <f t="shared" si="37"/>
        <v>46512</v>
      </c>
      <c r="B299" s="33" t="str">
        <f t="shared" si="32"/>
        <v>Wed</v>
      </c>
      <c r="C299" s="33">
        <f t="shared" si="33"/>
        <v>0</v>
      </c>
      <c r="D299" s="33">
        <f t="shared" si="34"/>
        <v>0</v>
      </c>
      <c r="E299" s="33">
        <f>IF(COUNTIF(holidays!$A:$A,A299)&gt;0,1,0)</f>
        <v>0</v>
      </c>
      <c r="F299" s="33">
        <f>IF(COUNTIF('Prudence Holidays'!$A:$A,A299)&gt;0,1,0)</f>
        <v>0</v>
      </c>
      <c r="G299" s="33">
        <f t="shared" si="35"/>
        <v>1</v>
      </c>
      <c r="H299" s="33">
        <f t="shared" si="36"/>
        <v>1</v>
      </c>
      <c r="I299" s="33">
        <f t="shared" si="38"/>
        <v>248</v>
      </c>
      <c r="J299" s="33">
        <f t="shared" si="39"/>
        <v>204</v>
      </c>
    </row>
    <row r="300" spans="1:10">
      <c r="A300" s="32">
        <f t="shared" si="37"/>
        <v>46513</v>
      </c>
      <c r="B300" s="33" t="str">
        <f t="shared" si="32"/>
        <v>Thu</v>
      </c>
      <c r="C300" s="33">
        <f t="shared" si="33"/>
        <v>0</v>
      </c>
      <c r="D300" s="33">
        <f t="shared" si="34"/>
        <v>0</v>
      </c>
      <c r="E300" s="33">
        <f>IF(COUNTIF(holidays!$A:$A,A300)&gt;0,1,0)</f>
        <v>0</v>
      </c>
      <c r="F300" s="33">
        <f>IF(COUNTIF('Prudence Holidays'!$A:$A,A300)&gt;0,1,0)</f>
        <v>0</v>
      </c>
      <c r="G300" s="33">
        <f t="shared" si="35"/>
        <v>1</v>
      </c>
      <c r="H300" s="33">
        <f t="shared" si="36"/>
        <v>1</v>
      </c>
      <c r="I300" s="33">
        <f t="shared" si="38"/>
        <v>249</v>
      </c>
      <c r="J300" s="33">
        <f t="shared" si="39"/>
        <v>205</v>
      </c>
    </row>
    <row r="301" spans="1:10">
      <c r="A301" s="32">
        <f t="shared" si="37"/>
        <v>46514</v>
      </c>
      <c r="B301" s="33" t="str">
        <f t="shared" si="32"/>
        <v>Fri</v>
      </c>
      <c r="C301" s="33">
        <f t="shared" si="33"/>
        <v>0</v>
      </c>
      <c r="D301" s="33">
        <f t="shared" si="34"/>
        <v>0</v>
      </c>
      <c r="E301" s="33">
        <f>IF(COUNTIF(holidays!$A:$A,A301)&gt;0,1,0)</f>
        <v>0</v>
      </c>
      <c r="F301" s="33">
        <f>IF(COUNTIF('Prudence Holidays'!$A:$A,A301)&gt;0,1,0)</f>
        <v>0</v>
      </c>
      <c r="G301" s="33">
        <f t="shared" si="35"/>
        <v>1</v>
      </c>
      <c r="H301" s="33">
        <f t="shared" si="36"/>
        <v>1</v>
      </c>
      <c r="I301" s="33">
        <f t="shared" si="38"/>
        <v>250</v>
      </c>
      <c r="J301" s="33">
        <f t="shared" si="39"/>
        <v>206</v>
      </c>
    </row>
    <row r="302" spans="1:10">
      <c r="A302" s="32">
        <f t="shared" si="37"/>
        <v>46515</v>
      </c>
      <c r="B302" s="33" t="str">
        <f t="shared" si="32"/>
        <v>Sat</v>
      </c>
      <c r="C302" s="33">
        <f t="shared" si="33"/>
        <v>1</v>
      </c>
      <c r="D302" s="33">
        <f t="shared" si="34"/>
        <v>0</v>
      </c>
      <c r="E302" s="33">
        <f>IF(COUNTIF(holidays!$A:$A,A302)&gt;0,1,0)</f>
        <v>0</v>
      </c>
      <c r="F302" s="33">
        <f>IF(COUNTIF('Prudence Holidays'!$A:$A,A302)&gt;0,1,0)</f>
        <v>0</v>
      </c>
      <c r="G302" s="33">
        <f t="shared" si="35"/>
        <v>1</v>
      </c>
      <c r="H302" s="33">
        <f t="shared" si="36"/>
        <v>0</v>
      </c>
      <c r="I302" s="33">
        <f t="shared" si="38"/>
        <v>251</v>
      </c>
      <c r="J302" s="33">
        <f t="shared" si="39"/>
        <v>206</v>
      </c>
    </row>
    <row r="303" spans="1:10">
      <c r="A303" s="32">
        <f t="shared" si="37"/>
        <v>46516</v>
      </c>
      <c r="B303" s="33" t="str">
        <f t="shared" si="32"/>
        <v>Sun</v>
      </c>
      <c r="C303" s="33">
        <f t="shared" si="33"/>
        <v>0</v>
      </c>
      <c r="D303" s="33">
        <f t="shared" si="34"/>
        <v>1</v>
      </c>
      <c r="E303" s="33">
        <f>IF(COUNTIF(holidays!$A:$A,A303)&gt;0,1,0)</f>
        <v>0</v>
      </c>
      <c r="F303" s="33">
        <f>IF(COUNTIF('Prudence Holidays'!$A:$A,A303)&gt;0,1,0)</f>
        <v>0</v>
      </c>
      <c r="G303" s="33">
        <f t="shared" si="35"/>
        <v>0</v>
      </c>
      <c r="H303" s="33">
        <f t="shared" si="36"/>
        <v>0</v>
      </c>
      <c r="I303" s="33">
        <f t="shared" si="38"/>
        <v>251</v>
      </c>
      <c r="J303" s="33">
        <f t="shared" si="39"/>
        <v>206</v>
      </c>
    </row>
    <row r="304" spans="1:10">
      <c r="A304" s="32">
        <f t="shared" si="37"/>
        <v>46517</v>
      </c>
      <c r="B304" s="33" t="str">
        <f t="shared" si="32"/>
        <v>Mon</v>
      </c>
      <c r="C304" s="33">
        <f t="shared" si="33"/>
        <v>0</v>
      </c>
      <c r="D304" s="33">
        <f t="shared" si="34"/>
        <v>0</v>
      </c>
      <c r="E304" s="33">
        <f>IF(COUNTIF(holidays!$A:$A,A304)&gt;0,1,0)</f>
        <v>0</v>
      </c>
      <c r="F304" s="33">
        <f>IF(COUNTIF('Prudence Holidays'!$A:$A,A304)&gt;0,1,0)</f>
        <v>0</v>
      </c>
      <c r="G304" s="33">
        <f t="shared" si="35"/>
        <v>1</v>
      </c>
      <c r="H304" s="33">
        <f t="shared" si="36"/>
        <v>1</v>
      </c>
      <c r="I304" s="33">
        <f t="shared" si="38"/>
        <v>252</v>
      </c>
      <c r="J304" s="33">
        <f t="shared" si="39"/>
        <v>207</v>
      </c>
    </row>
    <row r="305" spans="1:10">
      <c r="A305" s="32">
        <f t="shared" si="37"/>
        <v>46518</v>
      </c>
      <c r="B305" s="33" t="str">
        <f t="shared" si="32"/>
        <v>Tue</v>
      </c>
      <c r="C305" s="33">
        <f t="shared" si="33"/>
        <v>0</v>
      </c>
      <c r="D305" s="33">
        <f t="shared" si="34"/>
        <v>0</v>
      </c>
      <c r="E305" s="33">
        <f>IF(COUNTIF(holidays!$A:$A,A305)&gt;0,1,0)</f>
        <v>0</v>
      </c>
      <c r="F305" s="33">
        <f>IF(COUNTIF('Prudence Holidays'!$A:$A,A305)&gt;0,1,0)</f>
        <v>0</v>
      </c>
      <c r="G305" s="33">
        <f t="shared" si="35"/>
        <v>1</v>
      </c>
      <c r="H305" s="33">
        <f t="shared" si="36"/>
        <v>1</v>
      </c>
      <c r="I305" s="33">
        <f t="shared" si="38"/>
        <v>253</v>
      </c>
      <c r="J305" s="33">
        <f t="shared" si="39"/>
        <v>208</v>
      </c>
    </row>
    <row r="306" spans="1:10">
      <c r="A306" s="32">
        <f t="shared" si="37"/>
        <v>46519</v>
      </c>
      <c r="B306" s="33" t="str">
        <f t="shared" si="32"/>
        <v>Wed</v>
      </c>
      <c r="C306" s="33">
        <f t="shared" si="33"/>
        <v>0</v>
      </c>
      <c r="D306" s="33">
        <f t="shared" si="34"/>
        <v>0</v>
      </c>
      <c r="E306" s="33">
        <f>IF(COUNTIF(holidays!$A:$A,A306)&gt;0,1,0)</f>
        <v>0</v>
      </c>
      <c r="F306" s="33">
        <f>IF(COUNTIF('Prudence Holidays'!$A:$A,A306)&gt;0,1,0)</f>
        <v>0</v>
      </c>
      <c r="G306" s="33">
        <f t="shared" si="35"/>
        <v>1</v>
      </c>
      <c r="H306" s="33">
        <f t="shared" si="36"/>
        <v>1</v>
      </c>
      <c r="I306" s="33">
        <f t="shared" si="38"/>
        <v>254</v>
      </c>
      <c r="J306" s="33">
        <f t="shared" si="39"/>
        <v>209</v>
      </c>
    </row>
    <row r="307" spans="1:10">
      <c r="A307" s="32">
        <f t="shared" si="37"/>
        <v>46520</v>
      </c>
      <c r="B307" s="33" t="str">
        <f t="shared" si="32"/>
        <v>Thu</v>
      </c>
      <c r="C307" s="33">
        <f t="shared" si="33"/>
        <v>0</v>
      </c>
      <c r="D307" s="33">
        <f t="shared" si="34"/>
        <v>0</v>
      </c>
      <c r="E307" s="33">
        <f>IF(COUNTIF(holidays!$A:$A,A307)&gt;0,1,0)</f>
        <v>0</v>
      </c>
      <c r="F307" s="33">
        <f>IF(COUNTIF('Prudence Holidays'!$A:$A,A307)&gt;0,1,0)</f>
        <v>0</v>
      </c>
      <c r="G307" s="33">
        <f t="shared" si="35"/>
        <v>1</v>
      </c>
      <c r="H307" s="33">
        <f t="shared" si="36"/>
        <v>1</v>
      </c>
      <c r="I307" s="33">
        <f t="shared" si="38"/>
        <v>255</v>
      </c>
      <c r="J307" s="33">
        <f t="shared" si="39"/>
        <v>210</v>
      </c>
    </row>
    <row r="308" spans="1:10">
      <c r="A308" s="32">
        <f t="shared" si="37"/>
        <v>46521</v>
      </c>
      <c r="B308" s="33" t="str">
        <f t="shared" si="32"/>
        <v>Fri</v>
      </c>
      <c r="C308" s="33">
        <f t="shared" si="33"/>
        <v>0</v>
      </c>
      <c r="D308" s="33">
        <f t="shared" si="34"/>
        <v>0</v>
      </c>
      <c r="E308" s="33">
        <f>IF(COUNTIF(holidays!$A:$A,A308)&gt;0,1,0)</f>
        <v>0</v>
      </c>
      <c r="F308" s="33">
        <f>IF(COUNTIF('Prudence Holidays'!$A:$A,A308)&gt;0,1,0)</f>
        <v>0</v>
      </c>
      <c r="G308" s="33">
        <f t="shared" si="35"/>
        <v>1</v>
      </c>
      <c r="H308" s="33">
        <f t="shared" si="36"/>
        <v>1</v>
      </c>
      <c r="I308" s="33">
        <f t="shared" si="38"/>
        <v>256</v>
      </c>
      <c r="J308" s="33">
        <f t="shared" si="39"/>
        <v>211</v>
      </c>
    </row>
    <row r="309" spans="1:10">
      <c r="A309" s="32">
        <f t="shared" si="37"/>
        <v>46522</v>
      </c>
      <c r="B309" s="33" t="str">
        <f t="shared" si="32"/>
        <v>Sat</v>
      </c>
      <c r="C309" s="33">
        <f t="shared" si="33"/>
        <v>1</v>
      </c>
      <c r="D309" s="33">
        <f t="shared" si="34"/>
        <v>0</v>
      </c>
      <c r="E309" s="33">
        <f>IF(COUNTIF(holidays!$A:$A,A309)&gt;0,1,0)</f>
        <v>0</v>
      </c>
      <c r="F309" s="33">
        <f>IF(COUNTIF('Prudence Holidays'!$A:$A,A309)&gt;0,1,0)</f>
        <v>0</v>
      </c>
      <c r="G309" s="33">
        <f t="shared" si="35"/>
        <v>1</v>
      </c>
      <c r="H309" s="33">
        <f t="shared" si="36"/>
        <v>0</v>
      </c>
      <c r="I309" s="33">
        <f t="shared" si="38"/>
        <v>257</v>
      </c>
      <c r="J309" s="33">
        <f t="shared" si="39"/>
        <v>211</v>
      </c>
    </row>
    <row r="310" spans="1:10">
      <c r="A310" s="32">
        <f t="shared" si="37"/>
        <v>46523</v>
      </c>
      <c r="B310" s="33" t="str">
        <f t="shared" si="32"/>
        <v>Sun</v>
      </c>
      <c r="C310" s="33">
        <f t="shared" si="33"/>
        <v>0</v>
      </c>
      <c r="D310" s="33">
        <f t="shared" si="34"/>
        <v>1</v>
      </c>
      <c r="E310" s="33">
        <f>IF(COUNTIF(holidays!$A:$A,A310)&gt;0,1,0)</f>
        <v>0</v>
      </c>
      <c r="F310" s="33">
        <f>IF(COUNTIF('Prudence Holidays'!$A:$A,A310)&gt;0,1,0)</f>
        <v>0</v>
      </c>
      <c r="G310" s="33">
        <f t="shared" si="35"/>
        <v>0</v>
      </c>
      <c r="H310" s="33">
        <f t="shared" si="36"/>
        <v>0</v>
      </c>
      <c r="I310" s="33">
        <f t="shared" si="38"/>
        <v>257</v>
      </c>
      <c r="J310" s="33">
        <f t="shared" si="39"/>
        <v>211</v>
      </c>
    </row>
    <row r="311" spans="1:10">
      <c r="A311" s="32">
        <f t="shared" si="37"/>
        <v>46524</v>
      </c>
      <c r="B311" s="33" t="str">
        <f t="shared" si="32"/>
        <v>Mon</v>
      </c>
      <c r="C311" s="33">
        <f t="shared" si="33"/>
        <v>0</v>
      </c>
      <c r="D311" s="33">
        <f t="shared" si="34"/>
        <v>0</v>
      </c>
      <c r="E311" s="33">
        <f>IF(COUNTIF(holidays!$A:$A,A311)&gt;0,1,0)</f>
        <v>0</v>
      </c>
      <c r="F311" s="33">
        <f>IF(COUNTIF('Prudence Holidays'!$A:$A,A311)&gt;0,1,0)</f>
        <v>0</v>
      </c>
      <c r="G311" s="33">
        <f t="shared" si="35"/>
        <v>1</v>
      </c>
      <c r="H311" s="33">
        <f t="shared" si="36"/>
        <v>1</v>
      </c>
      <c r="I311" s="33">
        <f t="shared" si="38"/>
        <v>258</v>
      </c>
      <c r="J311" s="33">
        <f t="shared" si="39"/>
        <v>212</v>
      </c>
    </row>
    <row r="312" spans="1:10">
      <c r="A312" s="32">
        <f t="shared" si="37"/>
        <v>46525</v>
      </c>
      <c r="B312" s="33" t="str">
        <f t="shared" si="32"/>
        <v>Tue</v>
      </c>
      <c r="C312" s="33">
        <f t="shared" si="33"/>
        <v>0</v>
      </c>
      <c r="D312" s="33">
        <f t="shared" si="34"/>
        <v>0</v>
      </c>
      <c r="E312" s="33">
        <f>IF(COUNTIF(holidays!$A:$A,A312)&gt;0,1,0)</f>
        <v>0</v>
      </c>
      <c r="F312" s="33">
        <f>IF(COUNTIF('Prudence Holidays'!$A:$A,A312)&gt;0,1,0)</f>
        <v>0</v>
      </c>
      <c r="G312" s="33">
        <f t="shared" si="35"/>
        <v>1</v>
      </c>
      <c r="H312" s="33">
        <f t="shared" si="36"/>
        <v>1</v>
      </c>
      <c r="I312" s="33">
        <f t="shared" si="38"/>
        <v>259</v>
      </c>
      <c r="J312" s="33">
        <f t="shared" si="39"/>
        <v>213</v>
      </c>
    </row>
    <row r="313" spans="1:10">
      <c r="A313" s="32">
        <f t="shared" si="37"/>
        <v>46526</v>
      </c>
      <c r="B313" s="33" t="str">
        <f t="shared" si="32"/>
        <v>Wed</v>
      </c>
      <c r="C313" s="33">
        <f t="shared" si="33"/>
        <v>0</v>
      </c>
      <c r="D313" s="33">
        <f t="shared" si="34"/>
        <v>0</v>
      </c>
      <c r="E313" s="33">
        <f>IF(COUNTIF(holidays!$A:$A,A313)&gt;0,1,0)</f>
        <v>0</v>
      </c>
      <c r="F313" s="33">
        <f>IF(COUNTIF('Prudence Holidays'!$A:$A,A313)&gt;0,1,0)</f>
        <v>0</v>
      </c>
      <c r="G313" s="33">
        <f t="shared" si="35"/>
        <v>1</v>
      </c>
      <c r="H313" s="33">
        <f t="shared" si="36"/>
        <v>1</v>
      </c>
      <c r="I313" s="33">
        <f t="shared" si="38"/>
        <v>260</v>
      </c>
      <c r="J313" s="33">
        <f t="shared" si="39"/>
        <v>214</v>
      </c>
    </row>
    <row r="314" spans="1:10">
      <c r="A314" s="32">
        <f t="shared" si="37"/>
        <v>46527</v>
      </c>
      <c r="B314" s="33" t="str">
        <f t="shared" si="32"/>
        <v>Thu</v>
      </c>
      <c r="C314" s="33">
        <f t="shared" si="33"/>
        <v>0</v>
      </c>
      <c r="D314" s="33">
        <f t="shared" si="34"/>
        <v>0</v>
      </c>
      <c r="E314" s="33">
        <f>IF(COUNTIF(holidays!$A:$A,A314)&gt;0,1,0)</f>
        <v>0</v>
      </c>
      <c r="F314" s="33">
        <f>IF(COUNTIF('Prudence Holidays'!$A:$A,A314)&gt;0,1,0)</f>
        <v>0</v>
      </c>
      <c r="G314" s="33">
        <f t="shared" si="35"/>
        <v>1</v>
      </c>
      <c r="H314" s="33">
        <f t="shared" si="36"/>
        <v>1</v>
      </c>
      <c r="I314" s="33">
        <f t="shared" si="38"/>
        <v>261</v>
      </c>
      <c r="J314" s="33">
        <f t="shared" si="39"/>
        <v>215</v>
      </c>
    </row>
    <row r="315" spans="1:10">
      <c r="A315" s="32">
        <f t="shared" si="37"/>
        <v>46528</v>
      </c>
      <c r="B315" s="33" t="str">
        <f t="shared" si="32"/>
        <v>Fri</v>
      </c>
      <c r="C315" s="33">
        <f t="shared" si="33"/>
        <v>0</v>
      </c>
      <c r="D315" s="33">
        <f t="shared" si="34"/>
        <v>0</v>
      </c>
      <c r="E315" s="33">
        <f>IF(COUNTIF(holidays!$A:$A,A315)&gt;0,1,0)</f>
        <v>0</v>
      </c>
      <c r="F315" s="33">
        <f>IF(COUNTIF('Prudence Holidays'!$A:$A,A315)&gt;0,1,0)</f>
        <v>0</v>
      </c>
      <c r="G315" s="33">
        <f t="shared" si="35"/>
        <v>1</v>
      </c>
      <c r="H315" s="33">
        <f t="shared" si="36"/>
        <v>1</v>
      </c>
      <c r="I315" s="33">
        <f t="shared" si="38"/>
        <v>262</v>
      </c>
      <c r="J315" s="33">
        <f t="shared" si="39"/>
        <v>216</v>
      </c>
    </row>
    <row r="316" spans="1:10">
      <c r="A316" s="32">
        <f t="shared" si="37"/>
        <v>46529</v>
      </c>
      <c r="B316" s="33" t="str">
        <f t="shared" si="32"/>
        <v>Sat</v>
      </c>
      <c r="C316" s="33">
        <f t="shared" si="33"/>
        <v>1</v>
      </c>
      <c r="D316" s="33">
        <f t="shared" si="34"/>
        <v>0</v>
      </c>
      <c r="E316" s="33">
        <f>IF(COUNTIF(holidays!$A:$A,A316)&gt;0,1,0)</f>
        <v>0</v>
      </c>
      <c r="F316" s="33">
        <f>IF(COUNTIF('Prudence Holidays'!$A:$A,A316)&gt;0,1,0)</f>
        <v>0</v>
      </c>
      <c r="G316" s="33">
        <f t="shared" si="35"/>
        <v>1</v>
      </c>
      <c r="H316" s="33">
        <f t="shared" si="36"/>
        <v>0</v>
      </c>
      <c r="I316" s="33">
        <f t="shared" si="38"/>
        <v>263</v>
      </c>
      <c r="J316" s="33">
        <f t="shared" si="39"/>
        <v>216</v>
      </c>
    </row>
    <row r="317" spans="1:10">
      <c r="A317" s="32">
        <f t="shared" si="37"/>
        <v>46530</v>
      </c>
      <c r="B317" s="33" t="str">
        <f t="shared" si="32"/>
        <v>Sun</v>
      </c>
      <c r="C317" s="33">
        <f t="shared" si="33"/>
        <v>0</v>
      </c>
      <c r="D317" s="33">
        <f t="shared" si="34"/>
        <v>1</v>
      </c>
      <c r="E317" s="33">
        <f>IF(COUNTIF(holidays!$A:$A,A317)&gt;0,1,0)</f>
        <v>0</v>
      </c>
      <c r="F317" s="33">
        <f>IF(COUNTIF('Prudence Holidays'!$A:$A,A317)&gt;0,1,0)</f>
        <v>0</v>
      </c>
      <c r="G317" s="33">
        <f t="shared" si="35"/>
        <v>0</v>
      </c>
      <c r="H317" s="33">
        <f t="shared" si="36"/>
        <v>0</v>
      </c>
      <c r="I317" s="33">
        <f t="shared" si="38"/>
        <v>263</v>
      </c>
      <c r="J317" s="33">
        <f t="shared" si="39"/>
        <v>216</v>
      </c>
    </row>
    <row r="318" spans="1:10">
      <c r="A318" s="32">
        <f t="shared" si="37"/>
        <v>46531</v>
      </c>
      <c r="B318" s="33" t="str">
        <f t="shared" si="32"/>
        <v>Mon</v>
      </c>
      <c r="C318" s="33">
        <f t="shared" si="33"/>
        <v>0</v>
      </c>
      <c r="D318" s="33">
        <f t="shared" si="34"/>
        <v>0</v>
      </c>
      <c r="E318" s="33">
        <f>IF(COUNTIF(holidays!$A:$A,A318)&gt;0,1,0)</f>
        <v>0</v>
      </c>
      <c r="F318" s="33">
        <f>IF(COUNTIF('Prudence Holidays'!$A:$A,A318)&gt;0,1,0)</f>
        <v>0</v>
      </c>
      <c r="G318" s="33">
        <f t="shared" si="35"/>
        <v>1</v>
      </c>
      <c r="H318" s="33">
        <f t="shared" si="36"/>
        <v>1</v>
      </c>
      <c r="I318" s="33">
        <f t="shared" si="38"/>
        <v>264</v>
      </c>
      <c r="J318" s="33">
        <f t="shared" si="39"/>
        <v>217</v>
      </c>
    </row>
    <row r="319" spans="1:10">
      <c r="A319" s="32">
        <f t="shared" si="37"/>
        <v>46532</v>
      </c>
      <c r="B319" s="33" t="str">
        <f t="shared" si="32"/>
        <v>Tue</v>
      </c>
      <c r="C319" s="33">
        <f t="shared" si="33"/>
        <v>0</v>
      </c>
      <c r="D319" s="33">
        <f t="shared" si="34"/>
        <v>0</v>
      </c>
      <c r="E319" s="33">
        <f>IF(COUNTIF(holidays!$A:$A,A319)&gt;0,1,0)</f>
        <v>0</v>
      </c>
      <c r="F319" s="33">
        <f>IF(COUNTIF('Prudence Holidays'!$A:$A,A319)&gt;0,1,0)</f>
        <v>0</v>
      </c>
      <c r="G319" s="33">
        <f t="shared" si="35"/>
        <v>1</v>
      </c>
      <c r="H319" s="33">
        <f t="shared" si="36"/>
        <v>1</v>
      </c>
      <c r="I319" s="33">
        <f t="shared" si="38"/>
        <v>265</v>
      </c>
      <c r="J319" s="33">
        <f t="shared" si="39"/>
        <v>218</v>
      </c>
    </row>
    <row r="320" spans="1:10">
      <c r="A320" s="32">
        <f t="shared" si="37"/>
        <v>46533</v>
      </c>
      <c r="B320" s="33" t="str">
        <f t="shared" si="32"/>
        <v>Wed</v>
      </c>
      <c r="C320" s="33">
        <f t="shared" si="33"/>
        <v>0</v>
      </c>
      <c r="D320" s="33">
        <f t="shared" si="34"/>
        <v>0</v>
      </c>
      <c r="E320" s="33">
        <f>IF(COUNTIF(holidays!$A:$A,A320)&gt;0,1,0)</f>
        <v>0</v>
      </c>
      <c r="F320" s="33">
        <f>IF(COUNTIF('Prudence Holidays'!$A:$A,A320)&gt;0,1,0)</f>
        <v>0</v>
      </c>
      <c r="G320" s="33">
        <f t="shared" si="35"/>
        <v>1</v>
      </c>
      <c r="H320" s="33">
        <f t="shared" si="36"/>
        <v>1</v>
      </c>
      <c r="I320" s="33">
        <f t="shared" si="38"/>
        <v>266</v>
      </c>
      <c r="J320" s="33">
        <f t="shared" si="39"/>
        <v>219</v>
      </c>
    </row>
    <row r="321" spans="1:10">
      <c r="A321" s="32">
        <f t="shared" si="37"/>
        <v>46534</v>
      </c>
      <c r="B321" s="33" t="str">
        <f t="shared" si="32"/>
        <v>Thu</v>
      </c>
      <c r="C321" s="33">
        <f t="shared" si="33"/>
        <v>0</v>
      </c>
      <c r="D321" s="33">
        <f t="shared" si="34"/>
        <v>0</v>
      </c>
      <c r="E321" s="33">
        <f>IF(COUNTIF(holidays!$A:$A,A321)&gt;0,1,0)</f>
        <v>0</v>
      </c>
      <c r="F321" s="33">
        <f>IF(COUNTIF('Prudence Holidays'!$A:$A,A321)&gt;0,1,0)</f>
        <v>0</v>
      </c>
      <c r="G321" s="33">
        <f t="shared" si="35"/>
        <v>1</v>
      </c>
      <c r="H321" s="33">
        <f t="shared" si="36"/>
        <v>1</v>
      </c>
      <c r="I321" s="33">
        <f t="shared" si="38"/>
        <v>267</v>
      </c>
      <c r="J321" s="33">
        <f t="shared" si="39"/>
        <v>220</v>
      </c>
    </row>
    <row r="322" spans="1:10">
      <c r="A322" s="32">
        <f t="shared" si="37"/>
        <v>46535</v>
      </c>
      <c r="B322" s="33" t="str">
        <f t="shared" si="32"/>
        <v>Fri</v>
      </c>
      <c r="C322" s="33">
        <f t="shared" si="33"/>
        <v>0</v>
      </c>
      <c r="D322" s="33">
        <f t="shared" si="34"/>
        <v>0</v>
      </c>
      <c r="E322" s="33">
        <f>IF(COUNTIF(holidays!$A:$A,A322)&gt;0,1,0)</f>
        <v>0</v>
      </c>
      <c r="F322" s="33">
        <f>IF(COUNTIF('Prudence Holidays'!$A:$A,A322)&gt;0,1,0)</f>
        <v>0</v>
      </c>
      <c r="G322" s="33">
        <f t="shared" si="35"/>
        <v>1</v>
      </c>
      <c r="H322" s="33">
        <f t="shared" si="36"/>
        <v>1</v>
      </c>
      <c r="I322" s="33">
        <f t="shared" si="38"/>
        <v>268</v>
      </c>
      <c r="J322" s="33">
        <f t="shared" si="39"/>
        <v>221</v>
      </c>
    </row>
    <row r="323" spans="1:10">
      <c r="A323" s="32">
        <f t="shared" si="37"/>
        <v>46536</v>
      </c>
      <c r="B323" s="33" t="str">
        <f t="shared" si="32"/>
        <v>Sat</v>
      </c>
      <c r="C323" s="33">
        <f t="shared" si="33"/>
        <v>1</v>
      </c>
      <c r="D323" s="33">
        <f t="shared" si="34"/>
        <v>0</v>
      </c>
      <c r="E323" s="33">
        <f>IF(COUNTIF(holidays!$A:$A,A323)&gt;0,1,0)</f>
        <v>0</v>
      </c>
      <c r="F323" s="33">
        <f>IF(COUNTIF('Prudence Holidays'!$A:$A,A323)&gt;0,1,0)</f>
        <v>0</v>
      </c>
      <c r="G323" s="33">
        <f t="shared" si="35"/>
        <v>1</v>
      </c>
      <c r="H323" s="33">
        <f t="shared" si="36"/>
        <v>0</v>
      </c>
      <c r="I323" s="33">
        <f t="shared" si="38"/>
        <v>269</v>
      </c>
      <c r="J323" s="33">
        <f t="shared" si="39"/>
        <v>221</v>
      </c>
    </row>
    <row r="324" spans="1:10">
      <c r="A324" s="32">
        <f t="shared" si="37"/>
        <v>46537</v>
      </c>
      <c r="B324" s="33" t="str">
        <f t="shared" si="32"/>
        <v>Sun</v>
      </c>
      <c r="C324" s="33">
        <f t="shared" si="33"/>
        <v>0</v>
      </c>
      <c r="D324" s="33">
        <f t="shared" si="34"/>
        <v>1</v>
      </c>
      <c r="E324" s="33">
        <f>IF(COUNTIF(holidays!$A:$A,A324)&gt;0,1,0)</f>
        <v>0</v>
      </c>
      <c r="F324" s="33">
        <f>IF(COUNTIF('Prudence Holidays'!$A:$A,A324)&gt;0,1,0)</f>
        <v>0</v>
      </c>
      <c r="G324" s="33">
        <f t="shared" si="35"/>
        <v>0</v>
      </c>
      <c r="H324" s="33">
        <f t="shared" si="36"/>
        <v>0</v>
      </c>
      <c r="I324" s="33">
        <f t="shared" si="38"/>
        <v>269</v>
      </c>
      <c r="J324" s="33">
        <f t="shared" si="39"/>
        <v>221</v>
      </c>
    </row>
    <row r="325" spans="1:10">
      <c r="A325" s="32">
        <f t="shared" si="37"/>
        <v>46538</v>
      </c>
      <c r="B325" s="33" t="str">
        <f t="shared" ref="B325:B388" si="40">TEXT(A325,"ddd")</f>
        <v>Mon</v>
      </c>
      <c r="C325" s="33">
        <f t="shared" ref="C325:C388" si="41">IF(WEEKDAY(A325,2)=6,1,0)</f>
        <v>0</v>
      </c>
      <c r="D325" s="33">
        <f t="shared" ref="D325:D388" si="42">IF(WEEKDAY(A325,2)=7,1,0)</f>
        <v>0</v>
      </c>
      <c r="E325" s="33">
        <f>IF(COUNTIF(holidays!$A:$A,A325)&gt;0,1,0)</f>
        <v>0</v>
      </c>
      <c r="F325" s="33">
        <f>IF(COUNTIF('Prudence Holidays'!$A:$A,A325)&gt;0,1,0)</f>
        <v>0</v>
      </c>
      <c r="G325" s="33">
        <f t="shared" ref="G325:G388" si="43">IF(OR(D325=1,E325=1),0,1)</f>
        <v>1</v>
      </c>
      <c r="H325" s="33">
        <f t="shared" ref="H325:H388" si="44">IF(OR(C325=1,D325=1,F325=1),0,1)</f>
        <v>1</v>
      </c>
      <c r="I325" s="33">
        <f t="shared" si="38"/>
        <v>270</v>
      </c>
      <c r="J325" s="33">
        <f t="shared" si="39"/>
        <v>222</v>
      </c>
    </row>
    <row r="326" spans="1:10">
      <c r="A326" s="32">
        <f t="shared" ref="A326:A389" si="45">A325+1</f>
        <v>46539</v>
      </c>
      <c r="B326" s="33" t="str">
        <f t="shared" si="40"/>
        <v>Tue</v>
      </c>
      <c r="C326" s="33">
        <f t="shared" si="41"/>
        <v>0</v>
      </c>
      <c r="D326" s="33">
        <f t="shared" si="42"/>
        <v>0</v>
      </c>
      <c r="E326" s="33">
        <f>IF(COUNTIF(holidays!$A:$A,A326)&gt;0,1,0)</f>
        <v>0</v>
      </c>
      <c r="F326" s="33">
        <f>IF(COUNTIF('Prudence Holidays'!$A:$A,A326)&gt;0,1,0)</f>
        <v>0</v>
      </c>
      <c r="G326" s="33">
        <f t="shared" si="43"/>
        <v>1</v>
      </c>
      <c r="H326" s="33">
        <f t="shared" si="44"/>
        <v>1</v>
      </c>
      <c r="I326" s="33">
        <f t="shared" ref="I326:I389" si="46">I325+G326</f>
        <v>271</v>
      </c>
      <c r="J326" s="33">
        <f t="shared" ref="J326:J389" si="47">J325+H326</f>
        <v>223</v>
      </c>
    </row>
    <row r="327" spans="1:10">
      <c r="A327" s="32">
        <f t="shared" si="45"/>
        <v>46540</v>
      </c>
      <c r="B327" s="33" t="str">
        <f t="shared" si="40"/>
        <v>Wed</v>
      </c>
      <c r="C327" s="33">
        <f t="shared" si="41"/>
        <v>0</v>
      </c>
      <c r="D327" s="33">
        <f t="shared" si="42"/>
        <v>0</v>
      </c>
      <c r="E327" s="33">
        <f>IF(COUNTIF(holidays!$A:$A,A327)&gt;0,1,0)</f>
        <v>0</v>
      </c>
      <c r="F327" s="33">
        <f>IF(COUNTIF('Prudence Holidays'!$A:$A,A327)&gt;0,1,0)</f>
        <v>0</v>
      </c>
      <c r="G327" s="33">
        <f t="shared" si="43"/>
        <v>1</v>
      </c>
      <c r="H327" s="33">
        <f t="shared" si="44"/>
        <v>1</v>
      </c>
      <c r="I327" s="33">
        <f t="shared" si="46"/>
        <v>272</v>
      </c>
      <c r="J327" s="33">
        <f t="shared" si="47"/>
        <v>224</v>
      </c>
    </row>
    <row r="328" spans="1:10">
      <c r="A328" s="32">
        <f t="shared" si="45"/>
        <v>46541</v>
      </c>
      <c r="B328" s="33" t="str">
        <f t="shared" si="40"/>
        <v>Thu</v>
      </c>
      <c r="C328" s="33">
        <f t="shared" si="41"/>
        <v>0</v>
      </c>
      <c r="D328" s="33">
        <f t="shared" si="42"/>
        <v>0</v>
      </c>
      <c r="E328" s="33">
        <f>IF(COUNTIF(holidays!$A:$A,A328)&gt;0,1,0)</f>
        <v>0</v>
      </c>
      <c r="F328" s="33">
        <f>IF(COUNTIF('Prudence Holidays'!$A:$A,A328)&gt;0,1,0)</f>
        <v>0</v>
      </c>
      <c r="G328" s="33">
        <f t="shared" si="43"/>
        <v>1</v>
      </c>
      <c r="H328" s="33">
        <f t="shared" si="44"/>
        <v>1</v>
      </c>
      <c r="I328" s="33">
        <f t="shared" si="46"/>
        <v>273</v>
      </c>
      <c r="J328" s="33">
        <f t="shared" si="47"/>
        <v>225</v>
      </c>
    </row>
    <row r="329" spans="1:10">
      <c r="A329" s="32">
        <f t="shared" si="45"/>
        <v>46542</v>
      </c>
      <c r="B329" s="33" t="str">
        <f t="shared" si="40"/>
        <v>Fri</v>
      </c>
      <c r="C329" s="33">
        <f t="shared" si="41"/>
        <v>0</v>
      </c>
      <c r="D329" s="33">
        <f t="shared" si="42"/>
        <v>0</v>
      </c>
      <c r="E329" s="33">
        <f>IF(COUNTIF(holidays!$A:$A,A329)&gt;0,1,0)</f>
        <v>0</v>
      </c>
      <c r="F329" s="33">
        <f>IF(COUNTIF('Prudence Holidays'!$A:$A,A329)&gt;0,1,0)</f>
        <v>0</v>
      </c>
      <c r="G329" s="33">
        <f t="shared" si="43"/>
        <v>1</v>
      </c>
      <c r="H329" s="33">
        <f t="shared" si="44"/>
        <v>1</v>
      </c>
      <c r="I329" s="33">
        <f t="shared" si="46"/>
        <v>274</v>
      </c>
      <c r="J329" s="33">
        <f t="shared" si="47"/>
        <v>226</v>
      </c>
    </row>
    <row r="330" spans="1:10">
      <c r="A330" s="32">
        <f t="shared" si="45"/>
        <v>46543</v>
      </c>
      <c r="B330" s="33" t="str">
        <f t="shared" si="40"/>
        <v>Sat</v>
      </c>
      <c r="C330" s="33">
        <f t="shared" si="41"/>
        <v>1</v>
      </c>
      <c r="D330" s="33">
        <f t="shared" si="42"/>
        <v>0</v>
      </c>
      <c r="E330" s="33">
        <f>IF(COUNTIF(holidays!$A:$A,A330)&gt;0,1,0)</f>
        <v>0</v>
      </c>
      <c r="F330" s="33">
        <f>IF(COUNTIF('Prudence Holidays'!$A:$A,A330)&gt;0,1,0)</f>
        <v>0</v>
      </c>
      <c r="G330" s="33">
        <f t="shared" si="43"/>
        <v>1</v>
      </c>
      <c r="H330" s="33">
        <f t="shared" si="44"/>
        <v>0</v>
      </c>
      <c r="I330" s="33">
        <f t="shared" si="46"/>
        <v>275</v>
      </c>
      <c r="J330" s="33">
        <f t="shared" si="47"/>
        <v>226</v>
      </c>
    </row>
    <row r="331" spans="1:10">
      <c r="A331" s="32">
        <f t="shared" si="45"/>
        <v>46544</v>
      </c>
      <c r="B331" s="33" t="str">
        <f t="shared" si="40"/>
        <v>Sun</v>
      </c>
      <c r="C331" s="33">
        <f t="shared" si="41"/>
        <v>0</v>
      </c>
      <c r="D331" s="33">
        <f t="shared" si="42"/>
        <v>1</v>
      </c>
      <c r="E331" s="33">
        <f>IF(COUNTIF(holidays!$A:$A,A331)&gt;0,1,0)</f>
        <v>0</v>
      </c>
      <c r="F331" s="33">
        <f>IF(COUNTIF('Prudence Holidays'!$A:$A,A331)&gt;0,1,0)</f>
        <v>0</v>
      </c>
      <c r="G331" s="33">
        <f t="shared" si="43"/>
        <v>0</v>
      </c>
      <c r="H331" s="33">
        <f t="shared" si="44"/>
        <v>0</v>
      </c>
      <c r="I331" s="33">
        <f t="shared" si="46"/>
        <v>275</v>
      </c>
      <c r="J331" s="33">
        <f t="shared" si="47"/>
        <v>226</v>
      </c>
    </row>
    <row r="332" spans="1:10">
      <c r="A332" s="32">
        <f t="shared" si="45"/>
        <v>46545</v>
      </c>
      <c r="B332" s="33" t="str">
        <f t="shared" si="40"/>
        <v>Mon</v>
      </c>
      <c r="C332" s="33">
        <f t="shared" si="41"/>
        <v>0</v>
      </c>
      <c r="D332" s="33">
        <f t="shared" si="42"/>
        <v>0</v>
      </c>
      <c r="E332" s="33">
        <f>IF(COUNTIF(holidays!$A:$A,A332)&gt;0,1,0)</f>
        <v>0</v>
      </c>
      <c r="F332" s="33">
        <f>IF(COUNTIF('Prudence Holidays'!$A:$A,A332)&gt;0,1,0)</f>
        <v>0</v>
      </c>
      <c r="G332" s="33">
        <f t="shared" si="43"/>
        <v>1</v>
      </c>
      <c r="H332" s="33">
        <f t="shared" si="44"/>
        <v>1</v>
      </c>
      <c r="I332" s="33">
        <f t="shared" si="46"/>
        <v>276</v>
      </c>
      <c r="J332" s="33">
        <f t="shared" si="47"/>
        <v>227</v>
      </c>
    </row>
    <row r="333" spans="1:10">
      <c r="A333" s="32">
        <f t="shared" si="45"/>
        <v>46546</v>
      </c>
      <c r="B333" s="33" t="str">
        <f t="shared" si="40"/>
        <v>Tue</v>
      </c>
      <c r="C333" s="33">
        <f t="shared" si="41"/>
        <v>0</v>
      </c>
      <c r="D333" s="33">
        <f t="shared" si="42"/>
        <v>0</v>
      </c>
      <c r="E333" s="33">
        <f>IF(COUNTIF(holidays!$A:$A,A333)&gt;0,1,0)</f>
        <v>0</v>
      </c>
      <c r="F333" s="33">
        <f>IF(COUNTIF('Prudence Holidays'!$A:$A,A333)&gt;0,1,0)</f>
        <v>0</v>
      </c>
      <c r="G333" s="33">
        <f t="shared" si="43"/>
        <v>1</v>
      </c>
      <c r="H333" s="33">
        <f t="shared" si="44"/>
        <v>1</v>
      </c>
      <c r="I333" s="33">
        <f t="shared" si="46"/>
        <v>277</v>
      </c>
      <c r="J333" s="33">
        <f t="shared" si="47"/>
        <v>228</v>
      </c>
    </row>
    <row r="334" spans="1:10">
      <c r="A334" s="32">
        <f t="shared" si="45"/>
        <v>46547</v>
      </c>
      <c r="B334" s="33" t="str">
        <f t="shared" si="40"/>
        <v>Wed</v>
      </c>
      <c r="C334" s="33">
        <f t="shared" si="41"/>
        <v>0</v>
      </c>
      <c r="D334" s="33">
        <f t="shared" si="42"/>
        <v>0</v>
      </c>
      <c r="E334" s="33">
        <f>IF(COUNTIF(holidays!$A:$A,A334)&gt;0,1,0)</f>
        <v>0</v>
      </c>
      <c r="F334" s="33">
        <f>IF(COUNTIF('Prudence Holidays'!$A:$A,A334)&gt;0,1,0)</f>
        <v>0</v>
      </c>
      <c r="G334" s="33">
        <f t="shared" si="43"/>
        <v>1</v>
      </c>
      <c r="H334" s="33">
        <f t="shared" si="44"/>
        <v>1</v>
      </c>
      <c r="I334" s="33">
        <f t="shared" si="46"/>
        <v>278</v>
      </c>
      <c r="J334" s="33">
        <f t="shared" si="47"/>
        <v>229</v>
      </c>
    </row>
    <row r="335" spans="1:10">
      <c r="A335" s="32">
        <f t="shared" si="45"/>
        <v>46548</v>
      </c>
      <c r="B335" s="33" t="str">
        <f t="shared" si="40"/>
        <v>Thu</v>
      </c>
      <c r="C335" s="33">
        <f t="shared" si="41"/>
        <v>0</v>
      </c>
      <c r="D335" s="33">
        <f t="shared" si="42"/>
        <v>0</v>
      </c>
      <c r="E335" s="33">
        <f>IF(COUNTIF(holidays!$A:$A,A335)&gt;0,1,0)</f>
        <v>0</v>
      </c>
      <c r="F335" s="33">
        <f>IF(COUNTIF('Prudence Holidays'!$A:$A,A335)&gt;0,1,0)</f>
        <v>0</v>
      </c>
      <c r="G335" s="33">
        <f t="shared" si="43"/>
        <v>1</v>
      </c>
      <c r="H335" s="33">
        <f t="shared" si="44"/>
        <v>1</v>
      </c>
      <c r="I335" s="33">
        <f t="shared" si="46"/>
        <v>279</v>
      </c>
      <c r="J335" s="33">
        <f t="shared" si="47"/>
        <v>230</v>
      </c>
    </row>
    <row r="336" spans="1:10">
      <c r="A336" s="32">
        <f t="shared" si="45"/>
        <v>46549</v>
      </c>
      <c r="B336" s="33" t="str">
        <f t="shared" si="40"/>
        <v>Fri</v>
      </c>
      <c r="C336" s="33">
        <f t="shared" si="41"/>
        <v>0</v>
      </c>
      <c r="D336" s="33">
        <f t="shared" si="42"/>
        <v>0</v>
      </c>
      <c r="E336" s="33">
        <f>IF(COUNTIF(holidays!$A:$A,A336)&gt;0,1,0)</f>
        <v>0</v>
      </c>
      <c r="F336" s="33">
        <f>IF(COUNTIF('Prudence Holidays'!$A:$A,A336)&gt;0,1,0)</f>
        <v>0</v>
      </c>
      <c r="G336" s="33">
        <f t="shared" si="43"/>
        <v>1</v>
      </c>
      <c r="H336" s="33">
        <f t="shared" si="44"/>
        <v>1</v>
      </c>
      <c r="I336" s="33">
        <f t="shared" si="46"/>
        <v>280</v>
      </c>
      <c r="J336" s="33">
        <f t="shared" si="47"/>
        <v>231</v>
      </c>
    </row>
    <row r="337" spans="1:10">
      <c r="A337" s="32">
        <f t="shared" si="45"/>
        <v>46550</v>
      </c>
      <c r="B337" s="33" t="str">
        <f t="shared" si="40"/>
        <v>Sat</v>
      </c>
      <c r="C337" s="33">
        <f t="shared" si="41"/>
        <v>1</v>
      </c>
      <c r="D337" s="33">
        <f t="shared" si="42"/>
        <v>0</v>
      </c>
      <c r="E337" s="33">
        <f>IF(COUNTIF(holidays!$A:$A,A337)&gt;0,1,0)</f>
        <v>0</v>
      </c>
      <c r="F337" s="33">
        <f>IF(COUNTIF('Prudence Holidays'!$A:$A,A337)&gt;0,1,0)</f>
        <v>0</v>
      </c>
      <c r="G337" s="33">
        <f t="shared" si="43"/>
        <v>1</v>
      </c>
      <c r="H337" s="33">
        <f t="shared" si="44"/>
        <v>0</v>
      </c>
      <c r="I337" s="33">
        <f t="shared" si="46"/>
        <v>281</v>
      </c>
      <c r="J337" s="33">
        <f t="shared" si="47"/>
        <v>231</v>
      </c>
    </row>
    <row r="338" spans="1:10">
      <c r="A338" s="32">
        <f t="shared" si="45"/>
        <v>46551</v>
      </c>
      <c r="B338" s="33" t="str">
        <f t="shared" si="40"/>
        <v>Sun</v>
      </c>
      <c r="C338" s="33">
        <f t="shared" si="41"/>
        <v>0</v>
      </c>
      <c r="D338" s="33">
        <f t="shared" si="42"/>
        <v>1</v>
      </c>
      <c r="E338" s="33">
        <f>IF(COUNTIF(holidays!$A:$A,A338)&gt;0,1,0)</f>
        <v>0</v>
      </c>
      <c r="F338" s="33">
        <f>IF(COUNTIF('Prudence Holidays'!$A:$A,A338)&gt;0,1,0)</f>
        <v>0</v>
      </c>
      <c r="G338" s="33">
        <f t="shared" si="43"/>
        <v>0</v>
      </c>
      <c r="H338" s="33">
        <f t="shared" si="44"/>
        <v>0</v>
      </c>
      <c r="I338" s="33">
        <f t="shared" si="46"/>
        <v>281</v>
      </c>
      <c r="J338" s="33">
        <f t="shared" si="47"/>
        <v>231</v>
      </c>
    </row>
    <row r="339" spans="1:10">
      <c r="A339" s="32">
        <f t="shared" si="45"/>
        <v>46552</v>
      </c>
      <c r="B339" s="33" t="str">
        <f t="shared" si="40"/>
        <v>Mon</v>
      </c>
      <c r="C339" s="33">
        <f t="shared" si="41"/>
        <v>0</v>
      </c>
      <c r="D339" s="33">
        <f t="shared" si="42"/>
        <v>0</v>
      </c>
      <c r="E339" s="33">
        <f>IF(COUNTIF(holidays!$A:$A,A339)&gt;0,1,0)</f>
        <v>0</v>
      </c>
      <c r="F339" s="33">
        <f>IF(COUNTIF('Prudence Holidays'!$A:$A,A339)&gt;0,1,0)</f>
        <v>0</v>
      </c>
      <c r="G339" s="33">
        <f t="shared" si="43"/>
        <v>1</v>
      </c>
      <c r="H339" s="33">
        <f t="shared" si="44"/>
        <v>1</v>
      </c>
      <c r="I339" s="33">
        <f t="shared" si="46"/>
        <v>282</v>
      </c>
      <c r="J339" s="33">
        <f t="shared" si="47"/>
        <v>232</v>
      </c>
    </row>
    <row r="340" spans="1:10">
      <c r="A340" s="32">
        <f t="shared" si="45"/>
        <v>46553</v>
      </c>
      <c r="B340" s="33" t="str">
        <f t="shared" si="40"/>
        <v>Tue</v>
      </c>
      <c r="C340" s="33">
        <f t="shared" si="41"/>
        <v>0</v>
      </c>
      <c r="D340" s="33">
        <f t="shared" si="42"/>
        <v>0</v>
      </c>
      <c r="E340" s="33">
        <f>IF(COUNTIF(holidays!$A:$A,A340)&gt;0,1,0)</f>
        <v>0</v>
      </c>
      <c r="F340" s="33">
        <f>IF(COUNTIF('Prudence Holidays'!$A:$A,A340)&gt;0,1,0)</f>
        <v>0</v>
      </c>
      <c r="G340" s="33">
        <f t="shared" si="43"/>
        <v>1</v>
      </c>
      <c r="H340" s="33">
        <f t="shared" si="44"/>
        <v>1</v>
      </c>
      <c r="I340" s="33">
        <f t="shared" si="46"/>
        <v>283</v>
      </c>
      <c r="J340" s="33">
        <f t="shared" si="47"/>
        <v>233</v>
      </c>
    </row>
    <row r="341" spans="1:10">
      <c r="A341" s="32">
        <f t="shared" si="45"/>
        <v>46554</v>
      </c>
      <c r="B341" s="33" t="str">
        <f t="shared" si="40"/>
        <v>Wed</v>
      </c>
      <c r="C341" s="33">
        <f t="shared" si="41"/>
        <v>0</v>
      </c>
      <c r="D341" s="33">
        <f t="shared" si="42"/>
        <v>0</v>
      </c>
      <c r="E341" s="33">
        <f>IF(COUNTIF(holidays!$A:$A,A341)&gt;0,1,0)</f>
        <v>0</v>
      </c>
      <c r="F341" s="33">
        <f>IF(COUNTIF('Prudence Holidays'!$A:$A,A341)&gt;0,1,0)</f>
        <v>0</v>
      </c>
      <c r="G341" s="33">
        <f t="shared" si="43"/>
        <v>1</v>
      </c>
      <c r="H341" s="33">
        <f t="shared" si="44"/>
        <v>1</v>
      </c>
      <c r="I341" s="33">
        <f t="shared" si="46"/>
        <v>284</v>
      </c>
      <c r="J341" s="33">
        <f t="shared" si="47"/>
        <v>234</v>
      </c>
    </row>
    <row r="342" spans="1:10">
      <c r="A342" s="32">
        <f t="shared" si="45"/>
        <v>46555</v>
      </c>
      <c r="B342" s="33" t="str">
        <f t="shared" si="40"/>
        <v>Thu</v>
      </c>
      <c r="C342" s="33">
        <f t="shared" si="41"/>
        <v>0</v>
      </c>
      <c r="D342" s="33">
        <f t="shared" si="42"/>
        <v>0</v>
      </c>
      <c r="E342" s="33">
        <f>IF(COUNTIF(holidays!$A:$A,A342)&gt;0,1,0)</f>
        <v>0</v>
      </c>
      <c r="F342" s="33">
        <f>IF(COUNTIF('Prudence Holidays'!$A:$A,A342)&gt;0,1,0)</f>
        <v>0</v>
      </c>
      <c r="G342" s="33">
        <f t="shared" si="43"/>
        <v>1</v>
      </c>
      <c r="H342" s="33">
        <f t="shared" si="44"/>
        <v>1</v>
      </c>
      <c r="I342" s="33">
        <f t="shared" si="46"/>
        <v>285</v>
      </c>
      <c r="J342" s="33">
        <f t="shared" si="47"/>
        <v>235</v>
      </c>
    </row>
    <row r="343" spans="1:10">
      <c r="A343" s="32">
        <f t="shared" si="45"/>
        <v>46556</v>
      </c>
      <c r="B343" s="33" t="str">
        <f t="shared" si="40"/>
        <v>Fri</v>
      </c>
      <c r="C343" s="33">
        <f t="shared" si="41"/>
        <v>0</v>
      </c>
      <c r="D343" s="33">
        <f t="shared" si="42"/>
        <v>0</v>
      </c>
      <c r="E343" s="33">
        <f>IF(COUNTIF(holidays!$A:$A,A343)&gt;0,1,0)</f>
        <v>0</v>
      </c>
      <c r="F343" s="33">
        <f>IF(COUNTIF('Prudence Holidays'!$A:$A,A343)&gt;0,1,0)</f>
        <v>0</v>
      </c>
      <c r="G343" s="33">
        <f t="shared" si="43"/>
        <v>1</v>
      </c>
      <c r="H343" s="33">
        <f t="shared" si="44"/>
        <v>1</v>
      </c>
      <c r="I343" s="33">
        <f t="shared" si="46"/>
        <v>286</v>
      </c>
      <c r="J343" s="33">
        <f t="shared" si="47"/>
        <v>236</v>
      </c>
    </row>
    <row r="344" spans="1:10">
      <c r="A344" s="32">
        <f t="shared" si="45"/>
        <v>46557</v>
      </c>
      <c r="B344" s="33" t="str">
        <f t="shared" si="40"/>
        <v>Sat</v>
      </c>
      <c r="C344" s="33">
        <f t="shared" si="41"/>
        <v>1</v>
      </c>
      <c r="D344" s="33">
        <f t="shared" si="42"/>
        <v>0</v>
      </c>
      <c r="E344" s="33">
        <f>IF(COUNTIF(holidays!$A:$A,A344)&gt;0,1,0)</f>
        <v>0</v>
      </c>
      <c r="F344" s="33">
        <f>IF(COUNTIF('Prudence Holidays'!$A:$A,A344)&gt;0,1,0)</f>
        <v>0</v>
      </c>
      <c r="G344" s="33">
        <f t="shared" si="43"/>
        <v>1</v>
      </c>
      <c r="H344" s="33">
        <f t="shared" si="44"/>
        <v>0</v>
      </c>
      <c r="I344" s="33">
        <f t="shared" si="46"/>
        <v>287</v>
      </c>
      <c r="J344" s="33">
        <f t="shared" si="47"/>
        <v>236</v>
      </c>
    </row>
    <row r="345" spans="1:10">
      <c r="A345" s="32">
        <f t="shared" si="45"/>
        <v>46558</v>
      </c>
      <c r="B345" s="33" t="str">
        <f t="shared" si="40"/>
        <v>Sun</v>
      </c>
      <c r="C345" s="33">
        <f t="shared" si="41"/>
        <v>0</v>
      </c>
      <c r="D345" s="33">
        <f t="shared" si="42"/>
        <v>1</v>
      </c>
      <c r="E345" s="33">
        <f>IF(COUNTIF(holidays!$A:$A,A345)&gt;0,1,0)</f>
        <v>0</v>
      </c>
      <c r="F345" s="33">
        <f>IF(COUNTIF('Prudence Holidays'!$A:$A,A345)&gt;0,1,0)</f>
        <v>0</v>
      </c>
      <c r="G345" s="33">
        <f t="shared" si="43"/>
        <v>0</v>
      </c>
      <c r="H345" s="33">
        <f t="shared" si="44"/>
        <v>0</v>
      </c>
      <c r="I345" s="33">
        <f t="shared" si="46"/>
        <v>287</v>
      </c>
      <c r="J345" s="33">
        <f t="shared" si="47"/>
        <v>236</v>
      </c>
    </row>
    <row r="346" spans="1:10">
      <c r="A346" s="32">
        <f t="shared" si="45"/>
        <v>46559</v>
      </c>
      <c r="B346" s="33" t="str">
        <f t="shared" si="40"/>
        <v>Mon</v>
      </c>
      <c r="C346" s="33">
        <f t="shared" si="41"/>
        <v>0</v>
      </c>
      <c r="D346" s="33">
        <f t="shared" si="42"/>
        <v>0</v>
      </c>
      <c r="E346" s="33">
        <f>IF(COUNTIF(holidays!$A:$A,A346)&gt;0,1,0)</f>
        <v>0</v>
      </c>
      <c r="F346" s="33">
        <f>IF(COUNTIF('Prudence Holidays'!$A:$A,A346)&gt;0,1,0)</f>
        <v>0</v>
      </c>
      <c r="G346" s="33">
        <f t="shared" si="43"/>
        <v>1</v>
      </c>
      <c r="H346" s="33">
        <f t="shared" si="44"/>
        <v>1</v>
      </c>
      <c r="I346" s="33">
        <f t="shared" si="46"/>
        <v>288</v>
      </c>
      <c r="J346" s="33">
        <f t="shared" si="47"/>
        <v>237</v>
      </c>
    </row>
    <row r="347" spans="1:10">
      <c r="A347" s="32">
        <f t="shared" si="45"/>
        <v>46560</v>
      </c>
      <c r="B347" s="33" t="str">
        <f t="shared" si="40"/>
        <v>Tue</v>
      </c>
      <c r="C347" s="33">
        <f t="shared" si="41"/>
        <v>0</v>
      </c>
      <c r="D347" s="33">
        <f t="shared" si="42"/>
        <v>0</v>
      </c>
      <c r="E347" s="33">
        <f>IF(COUNTIF(holidays!$A:$A,A347)&gt;0,1,0)</f>
        <v>0</v>
      </c>
      <c r="F347" s="33">
        <f>IF(COUNTIF('Prudence Holidays'!$A:$A,A347)&gt;0,1,0)</f>
        <v>0</v>
      </c>
      <c r="G347" s="33">
        <f t="shared" si="43"/>
        <v>1</v>
      </c>
      <c r="H347" s="33">
        <f t="shared" si="44"/>
        <v>1</v>
      </c>
      <c r="I347" s="33">
        <f t="shared" si="46"/>
        <v>289</v>
      </c>
      <c r="J347" s="33">
        <f t="shared" si="47"/>
        <v>238</v>
      </c>
    </row>
    <row r="348" spans="1:10">
      <c r="A348" s="32">
        <f t="shared" si="45"/>
        <v>46561</v>
      </c>
      <c r="B348" s="33" t="str">
        <f t="shared" si="40"/>
        <v>Wed</v>
      </c>
      <c r="C348" s="33">
        <f t="shared" si="41"/>
        <v>0</v>
      </c>
      <c r="D348" s="33">
        <f t="shared" si="42"/>
        <v>0</v>
      </c>
      <c r="E348" s="33">
        <f>IF(COUNTIF(holidays!$A:$A,A348)&gt;0,1,0)</f>
        <v>0</v>
      </c>
      <c r="F348" s="33">
        <f>IF(COUNTIF('Prudence Holidays'!$A:$A,A348)&gt;0,1,0)</f>
        <v>0</v>
      </c>
      <c r="G348" s="33">
        <f t="shared" si="43"/>
        <v>1</v>
      </c>
      <c r="H348" s="33">
        <f t="shared" si="44"/>
        <v>1</v>
      </c>
      <c r="I348" s="33">
        <f t="shared" si="46"/>
        <v>290</v>
      </c>
      <c r="J348" s="33">
        <f t="shared" si="47"/>
        <v>239</v>
      </c>
    </row>
    <row r="349" spans="1:10">
      <c r="A349" s="32">
        <f t="shared" si="45"/>
        <v>46562</v>
      </c>
      <c r="B349" s="33" t="str">
        <f t="shared" si="40"/>
        <v>Thu</v>
      </c>
      <c r="C349" s="33">
        <f t="shared" si="41"/>
        <v>0</v>
      </c>
      <c r="D349" s="33">
        <f t="shared" si="42"/>
        <v>0</v>
      </c>
      <c r="E349" s="33">
        <f>IF(COUNTIF(holidays!$A:$A,A349)&gt;0,1,0)</f>
        <v>0</v>
      </c>
      <c r="F349" s="33">
        <f>IF(COUNTIF('Prudence Holidays'!$A:$A,A349)&gt;0,1,0)</f>
        <v>0</v>
      </c>
      <c r="G349" s="33">
        <f t="shared" si="43"/>
        <v>1</v>
      </c>
      <c r="H349" s="33">
        <f t="shared" si="44"/>
        <v>1</v>
      </c>
      <c r="I349" s="33">
        <f t="shared" si="46"/>
        <v>291</v>
      </c>
      <c r="J349" s="33">
        <f t="shared" si="47"/>
        <v>240</v>
      </c>
    </row>
    <row r="350" spans="1:10">
      <c r="A350" s="32">
        <f t="shared" si="45"/>
        <v>46563</v>
      </c>
      <c r="B350" s="33" t="str">
        <f t="shared" si="40"/>
        <v>Fri</v>
      </c>
      <c r="C350" s="33">
        <f t="shared" si="41"/>
        <v>0</v>
      </c>
      <c r="D350" s="33">
        <f t="shared" si="42"/>
        <v>0</v>
      </c>
      <c r="E350" s="33">
        <f>IF(COUNTIF(holidays!$A:$A,A350)&gt;0,1,0)</f>
        <v>0</v>
      </c>
      <c r="F350" s="33">
        <f>IF(COUNTIF('Prudence Holidays'!$A:$A,A350)&gt;0,1,0)</f>
        <v>0</v>
      </c>
      <c r="G350" s="33">
        <f t="shared" si="43"/>
        <v>1</v>
      </c>
      <c r="H350" s="33">
        <f t="shared" si="44"/>
        <v>1</v>
      </c>
      <c r="I350" s="33">
        <f t="shared" si="46"/>
        <v>292</v>
      </c>
      <c r="J350" s="33">
        <f t="shared" si="47"/>
        <v>241</v>
      </c>
    </row>
    <row r="351" spans="1:10">
      <c r="A351" s="32">
        <f t="shared" si="45"/>
        <v>46564</v>
      </c>
      <c r="B351" s="33" t="str">
        <f t="shared" si="40"/>
        <v>Sat</v>
      </c>
      <c r="C351" s="33">
        <f t="shared" si="41"/>
        <v>1</v>
      </c>
      <c r="D351" s="33">
        <f t="shared" si="42"/>
        <v>0</v>
      </c>
      <c r="E351" s="33">
        <f>IF(COUNTIF(holidays!$A:$A,A351)&gt;0,1,0)</f>
        <v>0</v>
      </c>
      <c r="F351" s="33">
        <f>IF(COUNTIF('Prudence Holidays'!$A:$A,A351)&gt;0,1,0)</f>
        <v>0</v>
      </c>
      <c r="G351" s="33">
        <f t="shared" si="43"/>
        <v>1</v>
      </c>
      <c r="H351" s="33">
        <f t="shared" si="44"/>
        <v>0</v>
      </c>
      <c r="I351" s="33">
        <f t="shared" si="46"/>
        <v>293</v>
      </c>
      <c r="J351" s="33">
        <f t="shared" si="47"/>
        <v>241</v>
      </c>
    </row>
    <row r="352" spans="1:10">
      <c r="A352" s="32">
        <f t="shared" si="45"/>
        <v>46565</v>
      </c>
      <c r="B352" s="33" t="str">
        <f t="shared" si="40"/>
        <v>Sun</v>
      </c>
      <c r="C352" s="33">
        <f t="shared" si="41"/>
        <v>0</v>
      </c>
      <c r="D352" s="33">
        <f t="shared" si="42"/>
        <v>1</v>
      </c>
      <c r="E352" s="33">
        <f>IF(COUNTIF(holidays!$A:$A,A352)&gt;0,1,0)</f>
        <v>0</v>
      </c>
      <c r="F352" s="33">
        <f>IF(COUNTIF('Prudence Holidays'!$A:$A,A352)&gt;0,1,0)</f>
        <v>0</v>
      </c>
      <c r="G352" s="33">
        <f t="shared" si="43"/>
        <v>0</v>
      </c>
      <c r="H352" s="33">
        <f t="shared" si="44"/>
        <v>0</v>
      </c>
      <c r="I352" s="33">
        <f t="shared" si="46"/>
        <v>293</v>
      </c>
      <c r="J352" s="33">
        <f t="shared" si="47"/>
        <v>241</v>
      </c>
    </row>
    <row r="353" spans="1:10">
      <c r="A353" s="32">
        <f t="shared" si="45"/>
        <v>46566</v>
      </c>
      <c r="B353" s="33" t="str">
        <f t="shared" si="40"/>
        <v>Mon</v>
      </c>
      <c r="C353" s="33">
        <f t="shared" si="41"/>
        <v>0</v>
      </c>
      <c r="D353" s="33">
        <f t="shared" si="42"/>
        <v>0</v>
      </c>
      <c r="E353" s="33">
        <f>IF(COUNTIF(holidays!$A:$A,A353)&gt;0,1,0)</f>
        <v>0</v>
      </c>
      <c r="F353" s="33">
        <f>IF(COUNTIF('Prudence Holidays'!$A:$A,A353)&gt;0,1,0)</f>
        <v>0</v>
      </c>
      <c r="G353" s="33">
        <f t="shared" si="43"/>
        <v>1</v>
      </c>
      <c r="H353" s="33">
        <f t="shared" si="44"/>
        <v>1</v>
      </c>
      <c r="I353" s="33">
        <f t="shared" si="46"/>
        <v>294</v>
      </c>
      <c r="J353" s="33">
        <f t="shared" si="47"/>
        <v>242</v>
      </c>
    </row>
    <row r="354" spans="1:10">
      <c r="A354" s="32">
        <f t="shared" si="45"/>
        <v>46567</v>
      </c>
      <c r="B354" s="33" t="str">
        <f t="shared" si="40"/>
        <v>Tue</v>
      </c>
      <c r="C354" s="33">
        <f t="shared" si="41"/>
        <v>0</v>
      </c>
      <c r="D354" s="33">
        <f t="shared" si="42"/>
        <v>0</v>
      </c>
      <c r="E354" s="33">
        <f>IF(COUNTIF(holidays!$A:$A,A354)&gt;0,1,0)</f>
        <v>0</v>
      </c>
      <c r="F354" s="33">
        <f>IF(COUNTIF('Prudence Holidays'!$A:$A,A354)&gt;0,1,0)</f>
        <v>0</v>
      </c>
      <c r="G354" s="33">
        <f t="shared" si="43"/>
        <v>1</v>
      </c>
      <c r="H354" s="33">
        <f t="shared" si="44"/>
        <v>1</v>
      </c>
      <c r="I354" s="33">
        <f t="shared" si="46"/>
        <v>295</v>
      </c>
      <c r="J354" s="33">
        <f t="shared" si="47"/>
        <v>243</v>
      </c>
    </row>
    <row r="355" spans="1:10">
      <c r="A355" s="32">
        <f t="shared" si="45"/>
        <v>46568</v>
      </c>
      <c r="B355" s="33" t="str">
        <f t="shared" si="40"/>
        <v>Wed</v>
      </c>
      <c r="C355" s="33">
        <f t="shared" si="41"/>
        <v>0</v>
      </c>
      <c r="D355" s="33">
        <f t="shared" si="42"/>
        <v>0</v>
      </c>
      <c r="E355" s="33">
        <f>IF(COUNTIF(holidays!$A:$A,A355)&gt;0,1,0)</f>
        <v>0</v>
      </c>
      <c r="F355" s="33">
        <f>IF(COUNTIF('Prudence Holidays'!$A:$A,A355)&gt;0,1,0)</f>
        <v>0</v>
      </c>
      <c r="G355" s="33">
        <f t="shared" si="43"/>
        <v>1</v>
      </c>
      <c r="H355" s="33">
        <f t="shared" si="44"/>
        <v>1</v>
      </c>
      <c r="I355" s="33">
        <f t="shared" si="46"/>
        <v>296</v>
      </c>
      <c r="J355" s="33">
        <f t="shared" si="47"/>
        <v>244</v>
      </c>
    </row>
    <row r="356" spans="1:10">
      <c r="A356" s="32">
        <f t="shared" si="45"/>
        <v>46569</v>
      </c>
      <c r="B356" s="33" t="str">
        <f t="shared" si="40"/>
        <v>Thu</v>
      </c>
      <c r="C356" s="33">
        <f t="shared" si="41"/>
        <v>0</v>
      </c>
      <c r="D356" s="33">
        <f t="shared" si="42"/>
        <v>0</v>
      </c>
      <c r="E356" s="33">
        <f>IF(COUNTIF(holidays!$A:$A,A356)&gt;0,1,0)</f>
        <v>0</v>
      </c>
      <c r="F356" s="33">
        <f>IF(COUNTIF('Prudence Holidays'!$A:$A,A356)&gt;0,1,0)</f>
        <v>0</v>
      </c>
      <c r="G356" s="33">
        <f t="shared" si="43"/>
        <v>1</v>
      </c>
      <c r="H356" s="33">
        <f t="shared" si="44"/>
        <v>1</v>
      </c>
      <c r="I356" s="33">
        <f t="shared" si="46"/>
        <v>297</v>
      </c>
      <c r="J356" s="33">
        <f t="shared" si="47"/>
        <v>245</v>
      </c>
    </row>
    <row r="357" spans="1:10">
      <c r="A357" s="32">
        <f t="shared" si="45"/>
        <v>46570</v>
      </c>
      <c r="B357" s="33" t="str">
        <f t="shared" si="40"/>
        <v>Fri</v>
      </c>
      <c r="C357" s="33">
        <f t="shared" si="41"/>
        <v>0</v>
      </c>
      <c r="D357" s="33">
        <f t="shared" si="42"/>
        <v>0</v>
      </c>
      <c r="E357" s="33">
        <f>IF(COUNTIF(holidays!$A:$A,A357)&gt;0,1,0)</f>
        <v>0</v>
      </c>
      <c r="F357" s="33">
        <f>IF(COUNTIF('Prudence Holidays'!$A:$A,A357)&gt;0,1,0)</f>
        <v>0</v>
      </c>
      <c r="G357" s="33">
        <f t="shared" si="43"/>
        <v>1</v>
      </c>
      <c r="H357" s="33">
        <f t="shared" si="44"/>
        <v>1</v>
      </c>
      <c r="I357" s="33">
        <f t="shared" si="46"/>
        <v>298</v>
      </c>
      <c r="J357" s="33">
        <f t="shared" si="47"/>
        <v>246</v>
      </c>
    </row>
    <row r="358" spans="1:10">
      <c r="A358" s="32">
        <f t="shared" si="45"/>
        <v>46571</v>
      </c>
      <c r="B358" s="33" t="str">
        <f t="shared" si="40"/>
        <v>Sat</v>
      </c>
      <c r="C358" s="33">
        <f t="shared" si="41"/>
        <v>1</v>
      </c>
      <c r="D358" s="33">
        <f t="shared" si="42"/>
        <v>0</v>
      </c>
      <c r="E358" s="33">
        <f>IF(COUNTIF(holidays!$A:$A,A358)&gt;0,1,0)</f>
        <v>0</v>
      </c>
      <c r="F358" s="33">
        <f>IF(COUNTIF('Prudence Holidays'!$A:$A,A358)&gt;0,1,0)</f>
        <v>0</v>
      </c>
      <c r="G358" s="33">
        <f t="shared" si="43"/>
        <v>1</v>
      </c>
      <c r="H358" s="33">
        <f t="shared" si="44"/>
        <v>0</v>
      </c>
      <c r="I358" s="33">
        <f t="shared" si="46"/>
        <v>299</v>
      </c>
      <c r="J358" s="33">
        <f t="shared" si="47"/>
        <v>246</v>
      </c>
    </row>
    <row r="359" spans="1:10">
      <c r="A359" s="32">
        <f t="shared" si="45"/>
        <v>46572</v>
      </c>
      <c r="B359" s="33" t="str">
        <f t="shared" si="40"/>
        <v>Sun</v>
      </c>
      <c r="C359" s="33">
        <f t="shared" si="41"/>
        <v>0</v>
      </c>
      <c r="D359" s="33">
        <f t="shared" si="42"/>
        <v>1</v>
      </c>
      <c r="E359" s="33">
        <f>IF(COUNTIF(holidays!$A:$A,A359)&gt;0,1,0)</f>
        <v>0</v>
      </c>
      <c r="F359" s="33">
        <f>IF(COUNTIF('Prudence Holidays'!$A:$A,A359)&gt;0,1,0)</f>
        <v>0</v>
      </c>
      <c r="G359" s="33">
        <f t="shared" si="43"/>
        <v>0</v>
      </c>
      <c r="H359" s="33">
        <f t="shared" si="44"/>
        <v>0</v>
      </c>
      <c r="I359" s="33">
        <f t="shared" si="46"/>
        <v>299</v>
      </c>
      <c r="J359" s="33">
        <f t="shared" si="47"/>
        <v>246</v>
      </c>
    </row>
    <row r="360" spans="1:10">
      <c r="A360" s="32">
        <f t="shared" si="45"/>
        <v>46573</v>
      </c>
      <c r="B360" s="33" t="str">
        <f t="shared" si="40"/>
        <v>Mon</v>
      </c>
      <c r="C360" s="33">
        <f t="shared" si="41"/>
        <v>0</v>
      </c>
      <c r="D360" s="33">
        <f t="shared" si="42"/>
        <v>0</v>
      </c>
      <c r="E360" s="33">
        <f>IF(COUNTIF(holidays!$A:$A,A360)&gt;0,1,0)</f>
        <v>0</v>
      </c>
      <c r="F360" s="33">
        <f>IF(COUNTIF('Prudence Holidays'!$A:$A,A360)&gt;0,1,0)</f>
        <v>0</v>
      </c>
      <c r="G360" s="33">
        <f t="shared" si="43"/>
        <v>1</v>
      </c>
      <c r="H360" s="33">
        <f t="shared" si="44"/>
        <v>1</v>
      </c>
      <c r="I360" s="33">
        <f t="shared" si="46"/>
        <v>300</v>
      </c>
      <c r="J360" s="33">
        <f t="shared" si="47"/>
        <v>247</v>
      </c>
    </row>
    <row r="361" spans="1:10">
      <c r="A361" s="32">
        <f t="shared" si="45"/>
        <v>46574</v>
      </c>
      <c r="B361" s="33" t="str">
        <f t="shared" si="40"/>
        <v>Tue</v>
      </c>
      <c r="C361" s="33">
        <f t="shared" si="41"/>
        <v>0</v>
      </c>
      <c r="D361" s="33">
        <f t="shared" si="42"/>
        <v>0</v>
      </c>
      <c r="E361" s="33">
        <f>IF(COUNTIF(holidays!$A:$A,A361)&gt;0,1,0)</f>
        <v>0</v>
      </c>
      <c r="F361" s="33">
        <f>IF(COUNTIF('Prudence Holidays'!$A:$A,A361)&gt;0,1,0)</f>
        <v>0</v>
      </c>
      <c r="G361" s="33">
        <f t="shared" si="43"/>
        <v>1</v>
      </c>
      <c r="H361" s="33">
        <f t="shared" si="44"/>
        <v>1</v>
      </c>
      <c r="I361" s="33">
        <f t="shared" si="46"/>
        <v>301</v>
      </c>
      <c r="J361" s="33">
        <f t="shared" si="47"/>
        <v>248</v>
      </c>
    </row>
    <row r="362" spans="1:10">
      <c r="A362" s="32">
        <f t="shared" si="45"/>
        <v>46575</v>
      </c>
      <c r="B362" s="33" t="str">
        <f t="shared" si="40"/>
        <v>Wed</v>
      </c>
      <c r="C362" s="33">
        <f t="shared" si="41"/>
        <v>0</v>
      </c>
      <c r="D362" s="33">
        <f t="shared" si="42"/>
        <v>0</v>
      </c>
      <c r="E362" s="33">
        <f>IF(COUNTIF(holidays!$A:$A,A362)&gt;0,1,0)</f>
        <v>0</v>
      </c>
      <c r="F362" s="33">
        <f>IF(COUNTIF('Prudence Holidays'!$A:$A,A362)&gt;0,1,0)</f>
        <v>0</v>
      </c>
      <c r="G362" s="33">
        <f t="shared" si="43"/>
        <v>1</v>
      </c>
      <c r="H362" s="33">
        <f t="shared" si="44"/>
        <v>1</v>
      </c>
      <c r="I362" s="33">
        <f t="shared" si="46"/>
        <v>302</v>
      </c>
      <c r="J362" s="33">
        <f t="shared" si="47"/>
        <v>249</v>
      </c>
    </row>
    <row r="363" spans="1:10">
      <c r="A363" s="32">
        <f t="shared" si="45"/>
        <v>46576</v>
      </c>
      <c r="B363" s="33" t="str">
        <f t="shared" si="40"/>
        <v>Thu</v>
      </c>
      <c r="C363" s="33">
        <f t="shared" si="41"/>
        <v>0</v>
      </c>
      <c r="D363" s="33">
        <f t="shared" si="42"/>
        <v>0</v>
      </c>
      <c r="E363" s="33">
        <f>IF(COUNTIF(holidays!$A:$A,A363)&gt;0,1,0)</f>
        <v>0</v>
      </c>
      <c r="F363" s="33">
        <f>IF(COUNTIF('Prudence Holidays'!$A:$A,A363)&gt;0,1,0)</f>
        <v>0</v>
      </c>
      <c r="G363" s="33">
        <f t="shared" si="43"/>
        <v>1</v>
      </c>
      <c r="H363" s="33">
        <f t="shared" si="44"/>
        <v>1</v>
      </c>
      <c r="I363" s="33">
        <f t="shared" si="46"/>
        <v>303</v>
      </c>
      <c r="J363" s="33">
        <f t="shared" si="47"/>
        <v>250</v>
      </c>
    </row>
    <row r="364" spans="1:10">
      <c r="A364" s="32">
        <f t="shared" si="45"/>
        <v>46577</v>
      </c>
      <c r="B364" s="33" t="str">
        <f t="shared" si="40"/>
        <v>Fri</v>
      </c>
      <c r="C364" s="33">
        <f t="shared" si="41"/>
        <v>0</v>
      </c>
      <c r="D364" s="33">
        <f t="shared" si="42"/>
        <v>0</v>
      </c>
      <c r="E364" s="33">
        <f>IF(COUNTIF(holidays!$A:$A,A364)&gt;0,1,0)</f>
        <v>0</v>
      </c>
      <c r="F364" s="33">
        <f>IF(COUNTIF('Prudence Holidays'!$A:$A,A364)&gt;0,1,0)</f>
        <v>0</v>
      </c>
      <c r="G364" s="33">
        <f t="shared" si="43"/>
        <v>1</v>
      </c>
      <c r="H364" s="33">
        <f t="shared" si="44"/>
        <v>1</v>
      </c>
      <c r="I364" s="33">
        <f t="shared" si="46"/>
        <v>304</v>
      </c>
      <c r="J364" s="33">
        <f t="shared" si="47"/>
        <v>251</v>
      </c>
    </row>
    <row r="365" spans="1:10">
      <c r="A365" s="32">
        <f t="shared" si="45"/>
        <v>46578</v>
      </c>
      <c r="B365" s="33" t="str">
        <f t="shared" si="40"/>
        <v>Sat</v>
      </c>
      <c r="C365" s="33">
        <f t="shared" si="41"/>
        <v>1</v>
      </c>
      <c r="D365" s="33">
        <f t="shared" si="42"/>
        <v>0</v>
      </c>
      <c r="E365" s="33">
        <f>IF(COUNTIF(holidays!$A:$A,A365)&gt;0,1,0)</f>
        <v>0</v>
      </c>
      <c r="F365" s="33">
        <f>IF(COUNTIF('Prudence Holidays'!$A:$A,A365)&gt;0,1,0)</f>
        <v>0</v>
      </c>
      <c r="G365" s="33">
        <f t="shared" si="43"/>
        <v>1</v>
      </c>
      <c r="H365" s="33">
        <f t="shared" si="44"/>
        <v>0</v>
      </c>
      <c r="I365" s="33">
        <f t="shared" si="46"/>
        <v>305</v>
      </c>
      <c r="J365" s="33">
        <f t="shared" si="47"/>
        <v>251</v>
      </c>
    </row>
    <row r="366" spans="1:10">
      <c r="A366" s="32">
        <f t="shared" si="45"/>
        <v>46579</v>
      </c>
      <c r="B366" s="33" t="str">
        <f t="shared" si="40"/>
        <v>Sun</v>
      </c>
      <c r="C366" s="33">
        <f t="shared" si="41"/>
        <v>0</v>
      </c>
      <c r="D366" s="33">
        <f t="shared" si="42"/>
        <v>1</v>
      </c>
      <c r="E366" s="33">
        <f>IF(COUNTIF(holidays!$A:$A,A366)&gt;0,1,0)</f>
        <v>0</v>
      </c>
      <c r="F366" s="33">
        <f>IF(COUNTIF('Prudence Holidays'!$A:$A,A366)&gt;0,1,0)</f>
        <v>0</v>
      </c>
      <c r="G366" s="33">
        <f t="shared" si="43"/>
        <v>0</v>
      </c>
      <c r="H366" s="33">
        <f t="shared" si="44"/>
        <v>0</v>
      </c>
      <c r="I366" s="33">
        <f t="shared" si="46"/>
        <v>305</v>
      </c>
      <c r="J366" s="33">
        <f t="shared" si="47"/>
        <v>251</v>
      </c>
    </row>
    <row r="367" spans="1:10">
      <c r="A367" s="32">
        <f t="shared" si="45"/>
        <v>46580</v>
      </c>
      <c r="B367" s="33" t="str">
        <f t="shared" si="40"/>
        <v>Mon</v>
      </c>
      <c r="C367" s="33">
        <f t="shared" si="41"/>
        <v>0</v>
      </c>
      <c r="D367" s="33">
        <f t="shared" si="42"/>
        <v>0</v>
      </c>
      <c r="E367" s="33">
        <f>IF(COUNTIF(holidays!$A:$A,A367)&gt;0,1,0)</f>
        <v>0</v>
      </c>
      <c r="F367" s="33">
        <f>IF(COUNTIF('Prudence Holidays'!$A:$A,A367)&gt;0,1,0)</f>
        <v>0</v>
      </c>
      <c r="G367" s="33">
        <f t="shared" si="43"/>
        <v>1</v>
      </c>
      <c r="H367" s="33">
        <f t="shared" si="44"/>
        <v>1</v>
      </c>
      <c r="I367" s="33">
        <f t="shared" si="46"/>
        <v>306</v>
      </c>
      <c r="J367" s="33">
        <f t="shared" si="47"/>
        <v>252</v>
      </c>
    </row>
    <row r="368" spans="1:10">
      <c r="A368" s="32">
        <f t="shared" si="45"/>
        <v>46581</v>
      </c>
      <c r="B368" s="33" t="str">
        <f t="shared" si="40"/>
        <v>Tue</v>
      </c>
      <c r="C368" s="33">
        <f t="shared" si="41"/>
        <v>0</v>
      </c>
      <c r="D368" s="33">
        <f t="shared" si="42"/>
        <v>0</v>
      </c>
      <c r="E368" s="33">
        <f>IF(COUNTIF(holidays!$A:$A,A368)&gt;0,1,0)</f>
        <v>0</v>
      </c>
      <c r="F368" s="33">
        <f>IF(COUNTIF('Prudence Holidays'!$A:$A,A368)&gt;0,1,0)</f>
        <v>0</v>
      </c>
      <c r="G368" s="33">
        <f t="shared" si="43"/>
        <v>1</v>
      </c>
      <c r="H368" s="33">
        <f t="shared" si="44"/>
        <v>1</v>
      </c>
      <c r="I368" s="33">
        <f t="shared" si="46"/>
        <v>307</v>
      </c>
      <c r="J368" s="33">
        <f t="shared" si="47"/>
        <v>253</v>
      </c>
    </row>
    <row r="369" spans="1:10">
      <c r="A369" s="32">
        <f t="shared" si="45"/>
        <v>46582</v>
      </c>
      <c r="B369" s="33" t="str">
        <f t="shared" si="40"/>
        <v>Wed</v>
      </c>
      <c r="C369" s="33">
        <f t="shared" si="41"/>
        <v>0</v>
      </c>
      <c r="D369" s="33">
        <f t="shared" si="42"/>
        <v>0</v>
      </c>
      <c r="E369" s="33">
        <f>IF(COUNTIF(holidays!$A:$A,A369)&gt;0,1,0)</f>
        <v>0</v>
      </c>
      <c r="F369" s="33">
        <f>IF(COUNTIF('Prudence Holidays'!$A:$A,A369)&gt;0,1,0)</f>
        <v>0</v>
      </c>
      <c r="G369" s="33">
        <f t="shared" si="43"/>
        <v>1</v>
      </c>
      <c r="H369" s="33">
        <f t="shared" si="44"/>
        <v>1</v>
      </c>
      <c r="I369" s="33">
        <f t="shared" si="46"/>
        <v>308</v>
      </c>
      <c r="J369" s="33">
        <f t="shared" si="47"/>
        <v>254</v>
      </c>
    </row>
    <row r="370" spans="1:10">
      <c r="A370" s="32">
        <f t="shared" si="45"/>
        <v>46583</v>
      </c>
      <c r="B370" s="33" t="str">
        <f t="shared" si="40"/>
        <v>Thu</v>
      </c>
      <c r="C370" s="33">
        <f t="shared" si="41"/>
        <v>0</v>
      </c>
      <c r="D370" s="33">
        <f t="shared" si="42"/>
        <v>0</v>
      </c>
      <c r="E370" s="33">
        <f>IF(COUNTIF(holidays!$A:$A,A370)&gt;0,1,0)</f>
        <v>0</v>
      </c>
      <c r="F370" s="33">
        <f>IF(COUNTIF('Prudence Holidays'!$A:$A,A370)&gt;0,1,0)</f>
        <v>0</v>
      </c>
      <c r="G370" s="33">
        <f t="shared" si="43"/>
        <v>1</v>
      </c>
      <c r="H370" s="33">
        <f t="shared" si="44"/>
        <v>1</v>
      </c>
      <c r="I370" s="33">
        <f t="shared" si="46"/>
        <v>309</v>
      </c>
      <c r="J370" s="33">
        <f t="shared" si="47"/>
        <v>255</v>
      </c>
    </row>
    <row r="371" spans="1:10">
      <c r="A371" s="32">
        <f t="shared" si="45"/>
        <v>46584</v>
      </c>
      <c r="B371" s="33" t="str">
        <f t="shared" si="40"/>
        <v>Fri</v>
      </c>
      <c r="C371" s="33">
        <f t="shared" si="41"/>
        <v>0</v>
      </c>
      <c r="D371" s="33">
        <f t="shared" si="42"/>
        <v>0</v>
      </c>
      <c r="E371" s="33">
        <f>IF(COUNTIF(holidays!$A:$A,A371)&gt;0,1,0)</f>
        <v>0</v>
      </c>
      <c r="F371" s="33">
        <f>IF(COUNTIF('Prudence Holidays'!$A:$A,A371)&gt;0,1,0)</f>
        <v>0</v>
      </c>
      <c r="G371" s="33">
        <f t="shared" si="43"/>
        <v>1</v>
      </c>
      <c r="H371" s="33">
        <f t="shared" si="44"/>
        <v>1</v>
      </c>
      <c r="I371" s="33">
        <f t="shared" si="46"/>
        <v>310</v>
      </c>
      <c r="J371" s="33">
        <f t="shared" si="47"/>
        <v>256</v>
      </c>
    </row>
    <row r="372" spans="1:10">
      <c r="A372" s="32">
        <f t="shared" si="45"/>
        <v>46585</v>
      </c>
      <c r="B372" s="33" t="str">
        <f t="shared" si="40"/>
        <v>Sat</v>
      </c>
      <c r="C372" s="33">
        <f t="shared" si="41"/>
        <v>1</v>
      </c>
      <c r="D372" s="33">
        <f t="shared" si="42"/>
        <v>0</v>
      </c>
      <c r="E372" s="33">
        <f>IF(COUNTIF(holidays!$A:$A,A372)&gt;0,1,0)</f>
        <v>0</v>
      </c>
      <c r="F372" s="33">
        <f>IF(COUNTIF('Prudence Holidays'!$A:$A,A372)&gt;0,1,0)</f>
        <v>0</v>
      </c>
      <c r="G372" s="33">
        <f t="shared" si="43"/>
        <v>1</v>
      </c>
      <c r="H372" s="33">
        <f t="shared" si="44"/>
        <v>0</v>
      </c>
      <c r="I372" s="33">
        <f t="shared" si="46"/>
        <v>311</v>
      </c>
      <c r="J372" s="33">
        <f t="shared" si="47"/>
        <v>256</v>
      </c>
    </row>
    <row r="373" spans="1:10">
      <c r="A373" s="32">
        <f t="shared" si="45"/>
        <v>46586</v>
      </c>
      <c r="B373" s="33" t="str">
        <f t="shared" si="40"/>
        <v>Sun</v>
      </c>
      <c r="C373" s="33">
        <f t="shared" si="41"/>
        <v>0</v>
      </c>
      <c r="D373" s="33">
        <f t="shared" si="42"/>
        <v>1</v>
      </c>
      <c r="E373" s="33">
        <f>IF(COUNTIF(holidays!$A:$A,A373)&gt;0,1,0)</f>
        <v>0</v>
      </c>
      <c r="F373" s="33">
        <f>IF(COUNTIF('Prudence Holidays'!$A:$A,A373)&gt;0,1,0)</f>
        <v>0</v>
      </c>
      <c r="G373" s="33">
        <f t="shared" si="43"/>
        <v>0</v>
      </c>
      <c r="H373" s="33">
        <f t="shared" si="44"/>
        <v>0</v>
      </c>
      <c r="I373" s="33">
        <f t="shared" si="46"/>
        <v>311</v>
      </c>
      <c r="J373" s="33">
        <f t="shared" si="47"/>
        <v>256</v>
      </c>
    </row>
    <row r="374" spans="1:10">
      <c r="A374" s="32">
        <f t="shared" si="45"/>
        <v>46587</v>
      </c>
      <c r="B374" s="33" t="str">
        <f t="shared" si="40"/>
        <v>Mon</v>
      </c>
      <c r="C374" s="33">
        <f t="shared" si="41"/>
        <v>0</v>
      </c>
      <c r="D374" s="33">
        <f t="shared" si="42"/>
        <v>0</v>
      </c>
      <c r="E374" s="33">
        <f>IF(COUNTIF(holidays!$A:$A,A374)&gt;0,1,0)</f>
        <v>0</v>
      </c>
      <c r="F374" s="33">
        <f>IF(COUNTIF('Prudence Holidays'!$A:$A,A374)&gt;0,1,0)</f>
        <v>0</v>
      </c>
      <c r="G374" s="33">
        <f t="shared" si="43"/>
        <v>1</v>
      </c>
      <c r="H374" s="33">
        <f t="shared" si="44"/>
        <v>1</v>
      </c>
      <c r="I374" s="33">
        <f t="shared" si="46"/>
        <v>312</v>
      </c>
      <c r="J374" s="33">
        <f t="shared" si="47"/>
        <v>257</v>
      </c>
    </row>
    <row r="375" spans="1:10">
      <c r="A375" s="32">
        <f t="shared" si="45"/>
        <v>46588</v>
      </c>
      <c r="B375" s="33" t="str">
        <f t="shared" si="40"/>
        <v>Tue</v>
      </c>
      <c r="C375" s="33">
        <f t="shared" si="41"/>
        <v>0</v>
      </c>
      <c r="D375" s="33">
        <f t="shared" si="42"/>
        <v>0</v>
      </c>
      <c r="E375" s="33">
        <f>IF(COUNTIF(holidays!$A:$A,A375)&gt;0,1,0)</f>
        <v>0</v>
      </c>
      <c r="F375" s="33">
        <f>IF(COUNTIF('Prudence Holidays'!$A:$A,A375)&gt;0,1,0)</f>
        <v>0</v>
      </c>
      <c r="G375" s="33">
        <f t="shared" si="43"/>
        <v>1</v>
      </c>
      <c r="H375" s="33">
        <f t="shared" si="44"/>
        <v>1</v>
      </c>
      <c r="I375" s="33">
        <f t="shared" si="46"/>
        <v>313</v>
      </c>
      <c r="J375" s="33">
        <f t="shared" si="47"/>
        <v>258</v>
      </c>
    </row>
    <row r="376" spans="1:10">
      <c r="A376" s="32">
        <f t="shared" si="45"/>
        <v>46589</v>
      </c>
      <c r="B376" s="33" t="str">
        <f t="shared" si="40"/>
        <v>Wed</v>
      </c>
      <c r="C376" s="33">
        <f t="shared" si="41"/>
        <v>0</v>
      </c>
      <c r="D376" s="33">
        <f t="shared" si="42"/>
        <v>0</v>
      </c>
      <c r="E376" s="33">
        <f>IF(COUNTIF(holidays!$A:$A,A376)&gt;0,1,0)</f>
        <v>0</v>
      </c>
      <c r="F376" s="33">
        <f>IF(COUNTIF('Prudence Holidays'!$A:$A,A376)&gt;0,1,0)</f>
        <v>0</v>
      </c>
      <c r="G376" s="33">
        <f t="shared" si="43"/>
        <v>1</v>
      </c>
      <c r="H376" s="33">
        <f t="shared" si="44"/>
        <v>1</v>
      </c>
      <c r="I376" s="33">
        <f t="shared" si="46"/>
        <v>314</v>
      </c>
      <c r="J376" s="33">
        <f t="shared" si="47"/>
        <v>259</v>
      </c>
    </row>
    <row r="377" spans="1:10">
      <c r="A377" s="32">
        <f t="shared" si="45"/>
        <v>46590</v>
      </c>
      <c r="B377" s="33" t="str">
        <f t="shared" si="40"/>
        <v>Thu</v>
      </c>
      <c r="C377" s="33">
        <f t="shared" si="41"/>
        <v>0</v>
      </c>
      <c r="D377" s="33">
        <f t="shared" si="42"/>
        <v>0</v>
      </c>
      <c r="E377" s="33">
        <f>IF(COUNTIF(holidays!$A:$A,A377)&gt;0,1,0)</f>
        <v>0</v>
      </c>
      <c r="F377" s="33">
        <f>IF(COUNTIF('Prudence Holidays'!$A:$A,A377)&gt;0,1,0)</f>
        <v>0</v>
      </c>
      <c r="G377" s="33">
        <f t="shared" si="43"/>
        <v>1</v>
      </c>
      <c r="H377" s="33">
        <f t="shared" si="44"/>
        <v>1</v>
      </c>
      <c r="I377" s="33">
        <f t="shared" si="46"/>
        <v>315</v>
      </c>
      <c r="J377" s="33">
        <f t="shared" si="47"/>
        <v>260</v>
      </c>
    </row>
    <row r="378" spans="1:10">
      <c r="A378" s="32">
        <f t="shared" si="45"/>
        <v>46591</v>
      </c>
      <c r="B378" s="33" t="str">
        <f t="shared" si="40"/>
        <v>Fri</v>
      </c>
      <c r="C378" s="33">
        <f t="shared" si="41"/>
        <v>0</v>
      </c>
      <c r="D378" s="33">
        <f t="shared" si="42"/>
        <v>0</v>
      </c>
      <c r="E378" s="33">
        <f>IF(COUNTIF(holidays!$A:$A,A378)&gt;0,1,0)</f>
        <v>0</v>
      </c>
      <c r="F378" s="33">
        <f>IF(COUNTIF('Prudence Holidays'!$A:$A,A378)&gt;0,1,0)</f>
        <v>0</v>
      </c>
      <c r="G378" s="33">
        <f t="shared" si="43"/>
        <v>1</v>
      </c>
      <c r="H378" s="33">
        <f t="shared" si="44"/>
        <v>1</v>
      </c>
      <c r="I378" s="33">
        <f t="shared" si="46"/>
        <v>316</v>
      </c>
      <c r="J378" s="33">
        <f t="shared" si="47"/>
        <v>261</v>
      </c>
    </row>
    <row r="379" spans="1:10">
      <c r="A379" s="32">
        <f t="shared" si="45"/>
        <v>46592</v>
      </c>
      <c r="B379" s="33" t="str">
        <f t="shared" si="40"/>
        <v>Sat</v>
      </c>
      <c r="C379" s="33">
        <f t="shared" si="41"/>
        <v>1</v>
      </c>
      <c r="D379" s="33">
        <f t="shared" si="42"/>
        <v>0</v>
      </c>
      <c r="E379" s="33">
        <f>IF(COUNTIF(holidays!$A:$A,A379)&gt;0,1,0)</f>
        <v>0</v>
      </c>
      <c r="F379" s="33">
        <f>IF(COUNTIF('Prudence Holidays'!$A:$A,A379)&gt;0,1,0)</f>
        <v>0</v>
      </c>
      <c r="G379" s="33">
        <f t="shared" si="43"/>
        <v>1</v>
      </c>
      <c r="H379" s="33">
        <f t="shared" si="44"/>
        <v>0</v>
      </c>
      <c r="I379" s="33">
        <f t="shared" si="46"/>
        <v>317</v>
      </c>
      <c r="J379" s="33">
        <f t="shared" si="47"/>
        <v>261</v>
      </c>
    </row>
    <row r="380" spans="1:10">
      <c r="A380" s="32">
        <f t="shared" si="45"/>
        <v>46593</v>
      </c>
      <c r="B380" s="33" t="str">
        <f t="shared" si="40"/>
        <v>Sun</v>
      </c>
      <c r="C380" s="33">
        <f t="shared" si="41"/>
        <v>0</v>
      </c>
      <c r="D380" s="33">
        <f t="shared" si="42"/>
        <v>1</v>
      </c>
      <c r="E380" s="33">
        <f>IF(COUNTIF(holidays!$A:$A,A380)&gt;0,1,0)</f>
        <v>0</v>
      </c>
      <c r="F380" s="33">
        <f>IF(COUNTIF('Prudence Holidays'!$A:$A,A380)&gt;0,1,0)</f>
        <v>0</v>
      </c>
      <c r="G380" s="33">
        <f t="shared" si="43"/>
        <v>0</v>
      </c>
      <c r="H380" s="33">
        <f t="shared" si="44"/>
        <v>0</v>
      </c>
      <c r="I380" s="33">
        <f t="shared" si="46"/>
        <v>317</v>
      </c>
      <c r="J380" s="33">
        <f t="shared" si="47"/>
        <v>261</v>
      </c>
    </row>
    <row r="381" spans="1:10">
      <c r="A381" s="32">
        <f t="shared" si="45"/>
        <v>46594</v>
      </c>
      <c r="B381" s="33" t="str">
        <f t="shared" si="40"/>
        <v>Mon</v>
      </c>
      <c r="C381" s="33">
        <f t="shared" si="41"/>
        <v>0</v>
      </c>
      <c r="D381" s="33">
        <f t="shared" si="42"/>
        <v>0</v>
      </c>
      <c r="E381" s="33">
        <f>IF(COUNTIF(holidays!$A:$A,A381)&gt;0,1,0)</f>
        <v>0</v>
      </c>
      <c r="F381" s="33">
        <f>IF(COUNTIF('Prudence Holidays'!$A:$A,A381)&gt;0,1,0)</f>
        <v>0</v>
      </c>
      <c r="G381" s="33">
        <f t="shared" si="43"/>
        <v>1</v>
      </c>
      <c r="H381" s="33">
        <f t="shared" si="44"/>
        <v>1</v>
      </c>
      <c r="I381" s="33">
        <f t="shared" si="46"/>
        <v>318</v>
      </c>
      <c r="J381" s="33">
        <f t="shared" si="47"/>
        <v>262</v>
      </c>
    </row>
    <row r="382" spans="1:10">
      <c r="A382" s="32">
        <f t="shared" si="45"/>
        <v>46595</v>
      </c>
      <c r="B382" s="33" t="str">
        <f t="shared" si="40"/>
        <v>Tue</v>
      </c>
      <c r="C382" s="33">
        <f t="shared" si="41"/>
        <v>0</v>
      </c>
      <c r="D382" s="33">
        <f t="shared" si="42"/>
        <v>0</v>
      </c>
      <c r="E382" s="33">
        <f>IF(COUNTIF(holidays!$A:$A,A382)&gt;0,1,0)</f>
        <v>0</v>
      </c>
      <c r="F382" s="33">
        <f>IF(COUNTIF('Prudence Holidays'!$A:$A,A382)&gt;0,1,0)</f>
        <v>0</v>
      </c>
      <c r="G382" s="33">
        <f t="shared" si="43"/>
        <v>1</v>
      </c>
      <c r="H382" s="33">
        <f t="shared" si="44"/>
        <v>1</v>
      </c>
      <c r="I382" s="33">
        <f t="shared" si="46"/>
        <v>319</v>
      </c>
      <c r="J382" s="33">
        <f t="shared" si="47"/>
        <v>263</v>
      </c>
    </row>
    <row r="383" spans="1:10">
      <c r="A383" s="32">
        <f t="shared" si="45"/>
        <v>46596</v>
      </c>
      <c r="B383" s="33" t="str">
        <f t="shared" si="40"/>
        <v>Wed</v>
      </c>
      <c r="C383" s="33">
        <f t="shared" si="41"/>
        <v>0</v>
      </c>
      <c r="D383" s="33">
        <f t="shared" si="42"/>
        <v>0</v>
      </c>
      <c r="E383" s="33">
        <f>IF(COUNTIF(holidays!$A:$A,A383)&gt;0,1,0)</f>
        <v>0</v>
      </c>
      <c r="F383" s="33">
        <f>IF(COUNTIF('Prudence Holidays'!$A:$A,A383)&gt;0,1,0)</f>
        <v>0</v>
      </c>
      <c r="G383" s="33">
        <f t="shared" si="43"/>
        <v>1</v>
      </c>
      <c r="H383" s="33">
        <f t="shared" si="44"/>
        <v>1</v>
      </c>
      <c r="I383" s="33">
        <f t="shared" si="46"/>
        <v>320</v>
      </c>
      <c r="J383" s="33">
        <f t="shared" si="47"/>
        <v>264</v>
      </c>
    </row>
    <row r="384" spans="1:10">
      <c r="A384" s="32">
        <f t="shared" si="45"/>
        <v>46597</v>
      </c>
      <c r="B384" s="33" t="str">
        <f t="shared" si="40"/>
        <v>Thu</v>
      </c>
      <c r="C384" s="33">
        <f t="shared" si="41"/>
        <v>0</v>
      </c>
      <c r="D384" s="33">
        <f t="shared" si="42"/>
        <v>0</v>
      </c>
      <c r="E384" s="33">
        <f>IF(COUNTIF(holidays!$A:$A,A384)&gt;0,1,0)</f>
        <v>0</v>
      </c>
      <c r="F384" s="33">
        <f>IF(COUNTIF('Prudence Holidays'!$A:$A,A384)&gt;0,1,0)</f>
        <v>0</v>
      </c>
      <c r="G384" s="33">
        <f t="shared" si="43"/>
        <v>1</v>
      </c>
      <c r="H384" s="33">
        <f t="shared" si="44"/>
        <v>1</v>
      </c>
      <c r="I384" s="33">
        <f t="shared" si="46"/>
        <v>321</v>
      </c>
      <c r="J384" s="33">
        <f t="shared" si="47"/>
        <v>265</v>
      </c>
    </row>
    <row r="385" spans="1:10">
      <c r="A385" s="32">
        <f t="shared" si="45"/>
        <v>46598</v>
      </c>
      <c r="B385" s="33" t="str">
        <f t="shared" si="40"/>
        <v>Fri</v>
      </c>
      <c r="C385" s="33">
        <f t="shared" si="41"/>
        <v>0</v>
      </c>
      <c r="D385" s="33">
        <f t="shared" si="42"/>
        <v>0</v>
      </c>
      <c r="E385" s="33">
        <f>IF(COUNTIF(holidays!$A:$A,A385)&gt;0,1,0)</f>
        <v>0</v>
      </c>
      <c r="F385" s="33">
        <f>IF(COUNTIF('Prudence Holidays'!$A:$A,A385)&gt;0,1,0)</f>
        <v>0</v>
      </c>
      <c r="G385" s="33">
        <f t="shared" si="43"/>
        <v>1</v>
      </c>
      <c r="H385" s="33">
        <f t="shared" si="44"/>
        <v>1</v>
      </c>
      <c r="I385" s="33">
        <f t="shared" si="46"/>
        <v>322</v>
      </c>
      <c r="J385" s="33">
        <f t="shared" si="47"/>
        <v>266</v>
      </c>
    </row>
    <row r="386" spans="1:10">
      <c r="A386" s="32">
        <f t="shared" si="45"/>
        <v>46599</v>
      </c>
      <c r="B386" s="33" t="str">
        <f t="shared" si="40"/>
        <v>Sat</v>
      </c>
      <c r="C386" s="33">
        <f t="shared" si="41"/>
        <v>1</v>
      </c>
      <c r="D386" s="33">
        <f t="shared" si="42"/>
        <v>0</v>
      </c>
      <c r="E386" s="33">
        <f>IF(COUNTIF(holidays!$A:$A,A386)&gt;0,1,0)</f>
        <v>0</v>
      </c>
      <c r="F386" s="33">
        <f>IF(COUNTIF('Prudence Holidays'!$A:$A,A386)&gt;0,1,0)</f>
        <v>0</v>
      </c>
      <c r="G386" s="33">
        <f t="shared" si="43"/>
        <v>1</v>
      </c>
      <c r="H386" s="33">
        <f t="shared" si="44"/>
        <v>0</v>
      </c>
      <c r="I386" s="33">
        <f t="shared" si="46"/>
        <v>323</v>
      </c>
      <c r="J386" s="33">
        <f t="shared" si="47"/>
        <v>266</v>
      </c>
    </row>
    <row r="387" spans="1:10">
      <c r="A387" s="32">
        <f t="shared" si="45"/>
        <v>46600</v>
      </c>
      <c r="B387" s="33" t="str">
        <f t="shared" si="40"/>
        <v>Sun</v>
      </c>
      <c r="C387" s="33">
        <f t="shared" si="41"/>
        <v>0</v>
      </c>
      <c r="D387" s="33">
        <f t="shared" si="42"/>
        <v>1</v>
      </c>
      <c r="E387" s="33">
        <f>IF(COUNTIF(holidays!$A:$A,A387)&gt;0,1,0)</f>
        <v>0</v>
      </c>
      <c r="F387" s="33">
        <f>IF(COUNTIF('Prudence Holidays'!$A:$A,A387)&gt;0,1,0)</f>
        <v>0</v>
      </c>
      <c r="G387" s="33">
        <f t="shared" si="43"/>
        <v>0</v>
      </c>
      <c r="H387" s="33">
        <f t="shared" si="44"/>
        <v>0</v>
      </c>
      <c r="I387" s="33">
        <f t="shared" si="46"/>
        <v>323</v>
      </c>
      <c r="J387" s="33">
        <f t="shared" si="47"/>
        <v>266</v>
      </c>
    </row>
    <row r="388" spans="1:10">
      <c r="A388" s="32">
        <f t="shared" si="45"/>
        <v>46601</v>
      </c>
      <c r="B388" s="33" t="str">
        <f t="shared" si="40"/>
        <v>Mon</v>
      </c>
      <c r="C388" s="33">
        <f t="shared" si="41"/>
        <v>0</v>
      </c>
      <c r="D388" s="33">
        <f t="shared" si="42"/>
        <v>0</v>
      </c>
      <c r="E388" s="33">
        <f>IF(COUNTIF(holidays!$A:$A,A388)&gt;0,1,0)</f>
        <v>0</v>
      </c>
      <c r="F388" s="33">
        <f>IF(COUNTIF('Prudence Holidays'!$A:$A,A388)&gt;0,1,0)</f>
        <v>0</v>
      </c>
      <c r="G388" s="33">
        <f t="shared" si="43"/>
        <v>1</v>
      </c>
      <c r="H388" s="33">
        <f t="shared" si="44"/>
        <v>1</v>
      </c>
      <c r="I388" s="33">
        <f t="shared" si="46"/>
        <v>324</v>
      </c>
      <c r="J388" s="33">
        <f t="shared" si="47"/>
        <v>267</v>
      </c>
    </row>
    <row r="389" spans="1:10">
      <c r="A389" s="32">
        <f t="shared" si="45"/>
        <v>46602</v>
      </c>
      <c r="B389" s="33" t="str">
        <f t="shared" ref="B389:B424" si="48">TEXT(A389,"ddd")</f>
        <v>Tue</v>
      </c>
      <c r="C389" s="33">
        <f t="shared" ref="C389:C424" si="49">IF(WEEKDAY(A389,2)=6,1,0)</f>
        <v>0</v>
      </c>
      <c r="D389" s="33">
        <f t="shared" ref="D389:D424" si="50">IF(WEEKDAY(A389,2)=7,1,0)</f>
        <v>0</v>
      </c>
      <c r="E389" s="33">
        <f>IF(COUNTIF(holidays!$A:$A,A389)&gt;0,1,0)</f>
        <v>0</v>
      </c>
      <c r="F389" s="33">
        <f>IF(COUNTIF('Prudence Holidays'!$A:$A,A389)&gt;0,1,0)</f>
        <v>0</v>
      </c>
      <c r="G389" s="33">
        <f t="shared" ref="G389:G424" si="51">IF(OR(D389=1,E389=1),0,1)</f>
        <v>1</v>
      </c>
      <c r="H389" s="33">
        <f t="shared" ref="H389:H424" si="52">IF(OR(C389=1,D389=1,F389=1),0,1)</f>
        <v>1</v>
      </c>
      <c r="I389" s="33">
        <f t="shared" si="46"/>
        <v>325</v>
      </c>
      <c r="J389" s="33">
        <f t="shared" si="47"/>
        <v>268</v>
      </c>
    </row>
    <row r="390" spans="1:10">
      <c r="A390" s="32">
        <f t="shared" ref="A390:A424" si="53">A389+1</f>
        <v>46603</v>
      </c>
      <c r="B390" s="33" t="str">
        <f t="shared" si="48"/>
        <v>Wed</v>
      </c>
      <c r="C390" s="33">
        <f t="shared" si="49"/>
        <v>0</v>
      </c>
      <c r="D390" s="33">
        <f t="shared" si="50"/>
        <v>0</v>
      </c>
      <c r="E390" s="33">
        <f>IF(COUNTIF(holidays!$A:$A,A390)&gt;0,1,0)</f>
        <v>0</v>
      </c>
      <c r="F390" s="33">
        <f>IF(COUNTIF('Prudence Holidays'!$A:$A,A390)&gt;0,1,0)</f>
        <v>0</v>
      </c>
      <c r="G390" s="33">
        <f t="shared" si="51"/>
        <v>1</v>
      </c>
      <c r="H390" s="33">
        <f t="shared" si="52"/>
        <v>1</v>
      </c>
      <c r="I390" s="33">
        <f t="shared" ref="I390:I424" si="54">I389+G390</f>
        <v>326</v>
      </c>
      <c r="J390" s="33">
        <f t="shared" ref="J390:J424" si="55">J389+H390</f>
        <v>269</v>
      </c>
    </row>
    <row r="391" spans="1:10">
      <c r="A391" s="32">
        <f t="shared" si="53"/>
        <v>46604</v>
      </c>
      <c r="B391" s="33" t="str">
        <f t="shared" si="48"/>
        <v>Thu</v>
      </c>
      <c r="C391" s="33">
        <f t="shared" si="49"/>
        <v>0</v>
      </c>
      <c r="D391" s="33">
        <f t="shared" si="50"/>
        <v>0</v>
      </c>
      <c r="E391" s="33">
        <f>IF(COUNTIF(holidays!$A:$A,A391)&gt;0,1,0)</f>
        <v>0</v>
      </c>
      <c r="F391" s="33">
        <f>IF(COUNTIF('Prudence Holidays'!$A:$A,A391)&gt;0,1,0)</f>
        <v>0</v>
      </c>
      <c r="G391" s="33">
        <f t="shared" si="51"/>
        <v>1</v>
      </c>
      <c r="H391" s="33">
        <f t="shared" si="52"/>
        <v>1</v>
      </c>
      <c r="I391" s="33">
        <f t="shared" si="54"/>
        <v>327</v>
      </c>
      <c r="J391" s="33">
        <f t="shared" si="55"/>
        <v>270</v>
      </c>
    </row>
    <row r="392" spans="1:10">
      <c r="A392" s="32">
        <f t="shared" si="53"/>
        <v>46605</v>
      </c>
      <c r="B392" s="33" t="str">
        <f t="shared" si="48"/>
        <v>Fri</v>
      </c>
      <c r="C392" s="33">
        <f t="shared" si="49"/>
        <v>0</v>
      </c>
      <c r="D392" s="33">
        <f t="shared" si="50"/>
        <v>0</v>
      </c>
      <c r="E392" s="33">
        <f>IF(COUNTIF(holidays!$A:$A,A392)&gt;0,1,0)</f>
        <v>0</v>
      </c>
      <c r="F392" s="33">
        <f>IF(COUNTIF('Prudence Holidays'!$A:$A,A392)&gt;0,1,0)</f>
        <v>0</v>
      </c>
      <c r="G392" s="33">
        <f t="shared" si="51"/>
        <v>1</v>
      </c>
      <c r="H392" s="33">
        <f t="shared" si="52"/>
        <v>1</v>
      </c>
      <c r="I392" s="33">
        <f t="shared" si="54"/>
        <v>328</v>
      </c>
      <c r="J392" s="33">
        <f t="shared" si="55"/>
        <v>271</v>
      </c>
    </row>
    <row r="393" spans="1:10">
      <c r="A393" s="32">
        <f t="shared" si="53"/>
        <v>46606</v>
      </c>
      <c r="B393" s="33" t="str">
        <f t="shared" si="48"/>
        <v>Sat</v>
      </c>
      <c r="C393" s="33">
        <f t="shared" si="49"/>
        <v>1</v>
      </c>
      <c r="D393" s="33">
        <f t="shared" si="50"/>
        <v>0</v>
      </c>
      <c r="E393" s="33">
        <f>IF(COUNTIF(holidays!$A:$A,A393)&gt;0,1,0)</f>
        <v>0</v>
      </c>
      <c r="F393" s="33">
        <f>IF(COUNTIF('Prudence Holidays'!$A:$A,A393)&gt;0,1,0)</f>
        <v>0</v>
      </c>
      <c r="G393" s="33">
        <f t="shared" si="51"/>
        <v>1</v>
      </c>
      <c r="H393" s="33">
        <f t="shared" si="52"/>
        <v>0</v>
      </c>
      <c r="I393" s="33">
        <f t="shared" si="54"/>
        <v>329</v>
      </c>
      <c r="J393" s="33">
        <f t="shared" si="55"/>
        <v>271</v>
      </c>
    </row>
    <row r="394" spans="1:10">
      <c r="A394" s="32">
        <f t="shared" si="53"/>
        <v>46607</v>
      </c>
      <c r="B394" s="33" t="str">
        <f t="shared" si="48"/>
        <v>Sun</v>
      </c>
      <c r="C394" s="33">
        <f t="shared" si="49"/>
        <v>0</v>
      </c>
      <c r="D394" s="33">
        <f t="shared" si="50"/>
        <v>1</v>
      </c>
      <c r="E394" s="33">
        <f>IF(COUNTIF(holidays!$A:$A,A394)&gt;0,1,0)</f>
        <v>0</v>
      </c>
      <c r="F394" s="33">
        <f>IF(COUNTIF('Prudence Holidays'!$A:$A,A394)&gt;0,1,0)</f>
        <v>0</v>
      </c>
      <c r="G394" s="33">
        <f t="shared" si="51"/>
        <v>0</v>
      </c>
      <c r="H394" s="33">
        <f t="shared" si="52"/>
        <v>0</v>
      </c>
      <c r="I394" s="33">
        <f t="shared" si="54"/>
        <v>329</v>
      </c>
      <c r="J394" s="33">
        <f t="shared" si="55"/>
        <v>271</v>
      </c>
    </row>
    <row r="395" spans="1:10">
      <c r="A395" s="32">
        <f t="shared" si="53"/>
        <v>46608</v>
      </c>
      <c r="B395" s="33" t="str">
        <f t="shared" si="48"/>
        <v>Mon</v>
      </c>
      <c r="C395" s="33">
        <f t="shared" si="49"/>
        <v>0</v>
      </c>
      <c r="D395" s="33">
        <f t="shared" si="50"/>
        <v>0</v>
      </c>
      <c r="E395" s="33">
        <f>IF(COUNTIF(holidays!$A:$A,A395)&gt;0,1,0)</f>
        <v>0</v>
      </c>
      <c r="F395" s="33">
        <f>IF(COUNTIF('Prudence Holidays'!$A:$A,A395)&gt;0,1,0)</f>
        <v>0</v>
      </c>
      <c r="G395" s="33">
        <f t="shared" si="51"/>
        <v>1</v>
      </c>
      <c r="H395" s="33">
        <f t="shared" si="52"/>
        <v>1</v>
      </c>
      <c r="I395" s="33">
        <f t="shared" si="54"/>
        <v>330</v>
      </c>
      <c r="J395" s="33">
        <f t="shared" si="55"/>
        <v>272</v>
      </c>
    </row>
    <row r="396" spans="1:10">
      <c r="A396" s="32">
        <f t="shared" si="53"/>
        <v>46609</v>
      </c>
      <c r="B396" s="33" t="str">
        <f t="shared" si="48"/>
        <v>Tue</v>
      </c>
      <c r="C396" s="33">
        <f t="shared" si="49"/>
        <v>0</v>
      </c>
      <c r="D396" s="33">
        <f t="shared" si="50"/>
        <v>0</v>
      </c>
      <c r="E396" s="33">
        <f>IF(COUNTIF(holidays!$A:$A,A396)&gt;0,1,0)</f>
        <v>0</v>
      </c>
      <c r="F396" s="33">
        <f>IF(COUNTIF('Prudence Holidays'!$A:$A,A396)&gt;0,1,0)</f>
        <v>0</v>
      </c>
      <c r="G396" s="33">
        <f t="shared" si="51"/>
        <v>1</v>
      </c>
      <c r="H396" s="33">
        <f t="shared" si="52"/>
        <v>1</v>
      </c>
      <c r="I396" s="33">
        <f t="shared" si="54"/>
        <v>331</v>
      </c>
      <c r="J396" s="33">
        <f t="shared" si="55"/>
        <v>273</v>
      </c>
    </row>
    <row r="397" spans="1:10">
      <c r="A397" s="32">
        <f t="shared" si="53"/>
        <v>46610</v>
      </c>
      <c r="B397" s="33" t="str">
        <f t="shared" si="48"/>
        <v>Wed</v>
      </c>
      <c r="C397" s="33">
        <f t="shared" si="49"/>
        <v>0</v>
      </c>
      <c r="D397" s="33">
        <f t="shared" si="50"/>
        <v>0</v>
      </c>
      <c r="E397" s="33">
        <f>IF(COUNTIF(holidays!$A:$A,A397)&gt;0,1,0)</f>
        <v>0</v>
      </c>
      <c r="F397" s="33">
        <f>IF(COUNTIF('Prudence Holidays'!$A:$A,A397)&gt;0,1,0)</f>
        <v>0</v>
      </c>
      <c r="G397" s="33">
        <f t="shared" si="51"/>
        <v>1</v>
      </c>
      <c r="H397" s="33">
        <f t="shared" si="52"/>
        <v>1</v>
      </c>
      <c r="I397" s="33">
        <f t="shared" si="54"/>
        <v>332</v>
      </c>
      <c r="J397" s="33">
        <f t="shared" si="55"/>
        <v>274</v>
      </c>
    </row>
    <row r="398" spans="1:10">
      <c r="A398" s="32">
        <f t="shared" si="53"/>
        <v>46611</v>
      </c>
      <c r="B398" s="33" t="str">
        <f t="shared" si="48"/>
        <v>Thu</v>
      </c>
      <c r="C398" s="33">
        <f t="shared" si="49"/>
        <v>0</v>
      </c>
      <c r="D398" s="33">
        <f t="shared" si="50"/>
        <v>0</v>
      </c>
      <c r="E398" s="33">
        <f>IF(COUNTIF(holidays!$A:$A,A398)&gt;0,1,0)</f>
        <v>0</v>
      </c>
      <c r="F398" s="33">
        <f>IF(COUNTIF('Prudence Holidays'!$A:$A,A398)&gt;0,1,0)</f>
        <v>0</v>
      </c>
      <c r="G398" s="33">
        <f t="shared" si="51"/>
        <v>1</v>
      </c>
      <c r="H398" s="33">
        <f t="shared" si="52"/>
        <v>1</v>
      </c>
      <c r="I398" s="33">
        <f t="shared" si="54"/>
        <v>333</v>
      </c>
      <c r="J398" s="33">
        <f t="shared" si="55"/>
        <v>275</v>
      </c>
    </row>
    <row r="399" spans="1:10">
      <c r="A399" s="32">
        <f t="shared" si="53"/>
        <v>46612</v>
      </c>
      <c r="B399" s="33" t="str">
        <f t="shared" si="48"/>
        <v>Fri</v>
      </c>
      <c r="C399" s="33">
        <f t="shared" si="49"/>
        <v>0</v>
      </c>
      <c r="D399" s="33">
        <f t="shared" si="50"/>
        <v>0</v>
      </c>
      <c r="E399" s="33">
        <f>IF(COUNTIF(holidays!$A:$A,A399)&gt;0,1,0)</f>
        <v>0</v>
      </c>
      <c r="F399" s="33">
        <f>IF(COUNTIF('Prudence Holidays'!$A:$A,A399)&gt;0,1,0)</f>
        <v>0</v>
      </c>
      <c r="G399" s="33">
        <f t="shared" si="51"/>
        <v>1</v>
      </c>
      <c r="H399" s="33">
        <f t="shared" si="52"/>
        <v>1</v>
      </c>
      <c r="I399" s="33">
        <f t="shared" si="54"/>
        <v>334</v>
      </c>
      <c r="J399" s="33">
        <f t="shared" si="55"/>
        <v>276</v>
      </c>
    </row>
    <row r="400" spans="1:10">
      <c r="A400" s="32">
        <f t="shared" si="53"/>
        <v>46613</v>
      </c>
      <c r="B400" s="33" t="str">
        <f t="shared" si="48"/>
        <v>Sat</v>
      </c>
      <c r="C400" s="33">
        <f t="shared" si="49"/>
        <v>1</v>
      </c>
      <c r="D400" s="33">
        <f t="shared" si="50"/>
        <v>0</v>
      </c>
      <c r="E400" s="33">
        <f>IF(COUNTIF(holidays!$A:$A,A400)&gt;0,1,0)</f>
        <v>0</v>
      </c>
      <c r="F400" s="33">
        <f>IF(COUNTIF('Prudence Holidays'!$A:$A,A400)&gt;0,1,0)</f>
        <v>0</v>
      </c>
      <c r="G400" s="33">
        <f t="shared" si="51"/>
        <v>1</v>
      </c>
      <c r="H400" s="33">
        <f t="shared" si="52"/>
        <v>0</v>
      </c>
      <c r="I400" s="33">
        <f t="shared" si="54"/>
        <v>335</v>
      </c>
      <c r="J400" s="33">
        <f t="shared" si="55"/>
        <v>276</v>
      </c>
    </row>
    <row r="401" spans="1:10">
      <c r="A401" s="32">
        <f t="shared" si="53"/>
        <v>46614</v>
      </c>
      <c r="B401" s="33" t="str">
        <f t="shared" si="48"/>
        <v>Sun</v>
      </c>
      <c r="C401" s="33">
        <f t="shared" si="49"/>
        <v>0</v>
      </c>
      <c r="D401" s="33">
        <f t="shared" si="50"/>
        <v>1</v>
      </c>
      <c r="E401" s="33">
        <f>IF(COUNTIF(holidays!$A:$A,A401)&gt;0,1,0)</f>
        <v>0</v>
      </c>
      <c r="F401" s="33">
        <f>IF(COUNTIF('Prudence Holidays'!$A:$A,A401)&gt;0,1,0)</f>
        <v>0</v>
      </c>
      <c r="G401" s="33">
        <f t="shared" si="51"/>
        <v>0</v>
      </c>
      <c r="H401" s="33">
        <f t="shared" si="52"/>
        <v>0</v>
      </c>
      <c r="I401" s="33">
        <f t="shared" si="54"/>
        <v>335</v>
      </c>
      <c r="J401" s="33">
        <f t="shared" si="55"/>
        <v>276</v>
      </c>
    </row>
    <row r="402" spans="1:10">
      <c r="A402" s="32">
        <f t="shared" si="53"/>
        <v>46615</v>
      </c>
      <c r="B402" s="33" t="str">
        <f t="shared" si="48"/>
        <v>Mon</v>
      </c>
      <c r="C402" s="33">
        <f t="shared" si="49"/>
        <v>0</v>
      </c>
      <c r="D402" s="33">
        <f t="shared" si="50"/>
        <v>0</v>
      </c>
      <c r="E402" s="33">
        <f>IF(COUNTIF(holidays!$A:$A,A402)&gt;0,1,0)</f>
        <v>0</v>
      </c>
      <c r="F402" s="33">
        <f>IF(COUNTIF('Prudence Holidays'!$A:$A,A402)&gt;0,1,0)</f>
        <v>0</v>
      </c>
      <c r="G402" s="33">
        <f t="shared" si="51"/>
        <v>1</v>
      </c>
      <c r="H402" s="33">
        <f t="shared" si="52"/>
        <v>1</v>
      </c>
      <c r="I402" s="33">
        <f t="shared" si="54"/>
        <v>336</v>
      </c>
      <c r="J402" s="33">
        <f t="shared" si="55"/>
        <v>277</v>
      </c>
    </row>
    <row r="403" spans="1:10">
      <c r="A403" s="32">
        <f t="shared" si="53"/>
        <v>46616</v>
      </c>
      <c r="B403" s="33" t="str">
        <f t="shared" si="48"/>
        <v>Tue</v>
      </c>
      <c r="C403" s="33">
        <f t="shared" si="49"/>
        <v>0</v>
      </c>
      <c r="D403" s="33">
        <f t="shared" si="50"/>
        <v>0</v>
      </c>
      <c r="E403" s="33">
        <f>IF(COUNTIF(holidays!$A:$A,A403)&gt;0,1,0)</f>
        <v>0</v>
      </c>
      <c r="F403" s="33">
        <f>IF(COUNTIF('Prudence Holidays'!$A:$A,A403)&gt;0,1,0)</f>
        <v>0</v>
      </c>
      <c r="G403" s="33">
        <f t="shared" si="51"/>
        <v>1</v>
      </c>
      <c r="H403" s="33">
        <f t="shared" si="52"/>
        <v>1</v>
      </c>
      <c r="I403" s="33">
        <f t="shared" si="54"/>
        <v>337</v>
      </c>
      <c r="J403" s="33">
        <f t="shared" si="55"/>
        <v>278</v>
      </c>
    </row>
    <row r="404" spans="1:10">
      <c r="A404" s="32">
        <f t="shared" si="53"/>
        <v>46617</v>
      </c>
      <c r="B404" s="33" t="str">
        <f t="shared" si="48"/>
        <v>Wed</v>
      </c>
      <c r="C404" s="33">
        <f t="shared" si="49"/>
        <v>0</v>
      </c>
      <c r="D404" s="33">
        <f t="shared" si="50"/>
        <v>0</v>
      </c>
      <c r="E404" s="33">
        <f>IF(COUNTIF(holidays!$A:$A,A404)&gt;0,1,0)</f>
        <v>0</v>
      </c>
      <c r="F404" s="33">
        <f>IF(COUNTIF('Prudence Holidays'!$A:$A,A404)&gt;0,1,0)</f>
        <v>0</v>
      </c>
      <c r="G404" s="33">
        <f t="shared" si="51"/>
        <v>1</v>
      </c>
      <c r="H404" s="33">
        <f t="shared" si="52"/>
        <v>1</v>
      </c>
      <c r="I404" s="33">
        <f t="shared" si="54"/>
        <v>338</v>
      </c>
      <c r="J404" s="33">
        <f t="shared" si="55"/>
        <v>279</v>
      </c>
    </row>
    <row r="405" spans="1:10">
      <c r="A405" s="32">
        <f t="shared" si="53"/>
        <v>46618</v>
      </c>
      <c r="B405" s="33" t="str">
        <f t="shared" si="48"/>
        <v>Thu</v>
      </c>
      <c r="C405" s="33">
        <f t="shared" si="49"/>
        <v>0</v>
      </c>
      <c r="D405" s="33">
        <f t="shared" si="50"/>
        <v>0</v>
      </c>
      <c r="E405" s="33">
        <f>IF(COUNTIF(holidays!$A:$A,A405)&gt;0,1,0)</f>
        <v>0</v>
      </c>
      <c r="F405" s="33">
        <f>IF(COUNTIF('Prudence Holidays'!$A:$A,A405)&gt;0,1,0)</f>
        <v>0</v>
      </c>
      <c r="G405" s="33">
        <f t="shared" si="51"/>
        <v>1</v>
      </c>
      <c r="H405" s="33">
        <f t="shared" si="52"/>
        <v>1</v>
      </c>
      <c r="I405" s="33">
        <f t="shared" si="54"/>
        <v>339</v>
      </c>
      <c r="J405" s="33">
        <f t="shared" si="55"/>
        <v>280</v>
      </c>
    </row>
    <row r="406" spans="1:10">
      <c r="A406" s="32">
        <f t="shared" si="53"/>
        <v>46619</v>
      </c>
      <c r="B406" s="33" t="str">
        <f t="shared" si="48"/>
        <v>Fri</v>
      </c>
      <c r="C406" s="33">
        <f t="shared" si="49"/>
        <v>0</v>
      </c>
      <c r="D406" s="33">
        <f t="shared" si="50"/>
        <v>0</v>
      </c>
      <c r="E406" s="33">
        <f>IF(COUNTIF(holidays!$A:$A,A406)&gt;0,1,0)</f>
        <v>0</v>
      </c>
      <c r="F406" s="33">
        <f>IF(COUNTIF('Prudence Holidays'!$A:$A,A406)&gt;0,1,0)</f>
        <v>0</v>
      </c>
      <c r="G406" s="33">
        <f t="shared" si="51"/>
        <v>1</v>
      </c>
      <c r="H406" s="33">
        <f t="shared" si="52"/>
        <v>1</v>
      </c>
      <c r="I406" s="33">
        <f t="shared" si="54"/>
        <v>340</v>
      </c>
      <c r="J406" s="33">
        <f t="shared" si="55"/>
        <v>281</v>
      </c>
    </row>
    <row r="407" spans="1:10">
      <c r="A407" s="32">
        <f t="shared" si="53"/>
        <v>46620</v>
      </c>
      <c r="B407" s="33" t="str">
        <f t="shared" si="48"/>
        <v>Sat</v>
      </c>
      <c r="C407" s="33">
        <f t="shared" si="49"/>
        <v>1</v>
      </c>
      <c r="D407" s="33">
        <f t="shared" si="50"/>
        <v>0</v>
      </c>
      <c r="E407" s="33">
        <f>IF(COUNTIF(holidays!$A:$A,A407)&gt;0,1,0)</f>
        <v>0</v>
      </c>
      <c r="F407" s="33">
        <f>IF(COUNTIF('Prudence Holidays'!$A:$A,A407)&gt;0,1,0)</f>
        <v>0</v>
      </c>
      <c r="G407" s="33">
        <f t="shared" si="51"/>
        <v>1</v>
      </c>
      <c r="H407" s="33">
        <f t="shared" si="52"/>
        <v>0</v>
      </c>
      <c r="I407" s="33">
        <f t="shared" si="54"/>
        <v>341</v>
      </c>
      <c r="J407" s="33">
        <f t="shared" si="55"/>
        <v>281</v>
      </c>
    </row>
    <row r="408" spans="1:10">
      <c r="A408" s="32">
        <f t="shared" si="53"/>
        <v>46621</v>
      </c>
      <c r="B408" s="33" t="str">
        <f t="shared" si="48"/>
        <v>Sun</v>
      </c>
      <c r="C408" s="33">
        <f t="shared" si="49"/>
        <v>0</v>
      </c>
      <c r="D408" s="33">
        <f t="shared" si="50"/>
        <v>1</v>
      </c>
      <c r="E408" s="33">
        <f>IF(COUNTIF(holidays!$A:$A,A408)&gt;0,1,0)</f>
        <v>0</v>
      </c>
      <c r="F408" s="33">
        <f>IF(COUNTIF('Prudence Holidays'!$A:$A,A408)&gt;0,1,0)</f>
        <v>0</v>
      </c>
      <c r="G408" s="33">
        <f t="shared" si="51"/>
        <v>0</v>
      </c>
      <c r="H408" s="33">
        <f t="shared" si="52"/>
        <v>0</v>
      </c>
      <c r="I408" s="33">
        <f t="shared" si="54"/>
        <v>341</v>
      </c>
      <c r="J408" s="33">
        <f t="shared" si="55"/>
        <v>281</v>
      </c>
    </row>
    <row r="409" spans="1:10">
      <c r="A409" s="32">
        <f t="shared" si="53"/>
        <v>46622</v>
      </c>
      <c r="B409" s="33" t="str">
        <f t="shared" si="48"/>
        <v>Mon</v>
      </c>
      <c r="C409" s="33">
        <f t="shared" si="49"/>
        <v>0</v>
      </c>
      <c r="D409" s="33">
        <f t="shared" si="50"/>
        <v>0</v>
      </c>
      <c r="E409" s="33">
        <f>IF(COUNTIF(holidays!$A:$A,A409)&gt;0,1,0)</f>
        <v>0</v>
      </c>
      <c r="F409" s="33">
        <f>IF(COUNTIF('Prudence Holidays'!$A:$A,A409)&gt;0,1,0)</f>
        <v>0</v>
      </c>
      <c r="G409" s="33">
        <f t="shared" si="51"/>
        <v>1</v>
      </c>
      <c r="H409" s="33">
        <f t="shared" si="52"/>
        <v>1</v>
      </c>
      <c r="I409" s="33">
        <f t="shared" si="54"/>
        <v>342</v>
      </c>
      <c r="J409" s="33">
        <f t="shared" si="55"/>
        <v>282</v>
      </c>
    </row>
    <row r="410" spans="1:10">
      <c r="A410" s="32">
        <f t="shared" si="53"/>
        <v>46623</v>
      </c>
      <c r="B410" s="33" t="str">
        <f t="shared" si="48"/>
        <v>Tue</v>
      </c>
      <c r="C410" s="33">
        <f t="shared" si="49"/>
        <v>0</v>
      </c>
      <c r="D410" s="33">
        <f t="shared" si="50"/>
        <v>0</v>
      </c>
      <c r="E410" s="33">
        <f>IF(COUNTIF(holidays!$A:$A,A410)&gt;0,1,0)</f>
        <v>0</v>
      </c>
      <c r="F410" s="33">
        <f>IF(COUNTIF('Prudence Holidays'!$A:$A,A410)&gt;0,1,0)</f>
        <v>0</v>
      </c>
      <c r="G410" s="33">
        <f t="shared" si="51"/>
        <v>1</v>
      </c>
      <c r="H410" s="33">
        <f t="shared" si="52"/>
        <v>1</v>
      </c>
      <c r="I410" s="33">
        <f t="shared" si="54"/>
        <v>343</v>
      </c>
      <c r="J410" s="33">
        <f t="shared" si="55"/>
        <v>283</v>
      </c>
    </row>
    <row r="411" spans="1:10">
      <c r="A411" s="32">
        <f t="shared" si="53"/>
        <v>46624</v>
      </c>
      <c r="B411" s="33" t="str">
        <f t="shared" si="48"/>
        <v>Wed</v>
      </c>
      <c r="C411" s="33">
        <f t="shared" si="49"/>
        <v>0</v>
      </c>
      <c r="D411" s="33">
        <f t="shared" si="50"/>
        <v>0</v>
      </c>
      <c r="E411" s="33">
        <f>IF(COUNTIF(holidays!$A:$A,A411)&gt;0,1,0)</f>
        <v>0</v>
      </c>
      <c r="F411" s="33">
        <f>IF(COUNTIF('Prudence Holidays'!$A:$A,A411)&gt;0,1,0)</f>
        <v>0</v>
      </c>
      <c r="G411" s="33">
        <f t="shared" si="51"/>
        <v>1</v>
      </c>
      <c r="H411" s="33">
        <f t="shared" si="52"/>
        <v>1</v>
      </c>
      <c r="I411" s="33">
        <f t="shared" si="54"/>
        <v>344</v>
      </c>
      <c r="J411" s="33">
        <f t="shared" si="55"/>
        <v>284</v>
      </c>
    </row>
    <row r="412" spans="1:10">
      <c r="A412" s="32">
        <f t="shared" si="53"/>
        <v>46625</v>
      </c>
      <c r="B412" s="33" t="str">
        <f t="shared" si="48"/>
        <v>Thu</v>
      </c>
      <c r="C412" s="33">
        <f t="shared" si="49"/>
        <v>0</v>
      </c>
      <c r="D412" s="33">
        <f t="shared" si="50"/>
        <v>0</v>
      </c>
      <c r="E412" s="33">
        <f>IF(COUNTIF(holidays!$A:$A,A412)&gt;0,1,0)</f>
        <v>0</v>
      </c>
      <c r="F412" s="33">
        <f>IF(COUNTIF('Prudence Holidays'!$A:$A,A412)&gt;0,1,0)</f>
        <v>0</v>
      </c>
      <c r="G412" s="33">
        <f t="shared" si="51"/>
        <v>1</v>
      </c>
      <c r="H412" s="33">
        <f t="shared" si="52"/>
        <v>1</v>
      </c>
      <c r="I412" s="33">
        <f t="shared" si="54"/>
        <v>345</v>
      </c>
      <c r="J412" s="33">
        <f t="shared" si="55"/>
        <v>285</v>
      </c>
    </row>
    <row r="413" spans="1:10">
      <c r="A413" s="32">
        <f t="shared" si="53"/>
        <v>46626</v>
      </c>
      <c r="B413" s="33" t="str">
        <f t="shared" si="48"/>
        <v>Fri</v>
      </c>
      <c r="C413" s="33">
        <f t="shared" si="49"/>
        <v>0</v>
      </c>
      <c r="D413" s="33">
        <f t="shared" si="50"/>
        <v>0</v>
      </c>
      <c r="E413" s="33">
        <f>IF(COUNTIF(holidays!$A:$A,A413)&gt;0,1,0)</f>
        <v>0</v>
      </c>
      <c r="F413" s="33">
        <f>IF(COUNTIF('Prudence Holidays'!$A:$A,A413)&gt;0,1,0)</f>
        <v>0</v>
      </c>
      <c r="G413" s="33">
        <f t="shared" si="51"/>
        <v>1</v>
      </c>
      <c r="H413" s="33">
        <f t="shared" si="52"/>
        <v>1</v>
      </c>
      <c r="I413" s="33">
        <f t="shared" si="54"/>
        <v>346</v>
      </c>
      <c r="J413" s="33">
        <f t="shared" si="55"/>
        <v>286</v>
      </c>
    </row>
    <row r="414" spans="1:10">
      <c r="A414" s="32">
        <f t="shared" si="53"/>
        <v>46627</v>
      </c>
      <c r="B414" s="33" t="str">
        <f t="shared" si="48"/>
        <v>Sat</v>
      </c>
      <c r="C414" s="33">
        <f t="shared" si="49"/>
        <v>1</v>
      </c>
      <c r="D414" s="33">
        <f t="shared" si="50"/>
        <v>0</v>
      </c>
      <c r="E414" s="33">
        <f>IF(COUNTIF(holidays!$A:$A,A414)&gt;0,1,0)</f>
        <v>0</v>
      </c>
      <c r="F414" s="33">
        <f>IF(COUNTIF('Prudence Holidays'!$A:$A,A414)&gt;0,1,0)</f>
        <v>0</v>
      </c>
      <c r="G414" s="33">
        <f t="shared" si="51"/>
        <v>1</v>
      </c>
      <c r="H414" s="33">
        <f t="shared" si="52"/>
        <v>0</v>
      </c>
      <c r="I414" s="33">
        <f t="shared" si="54"/>
        <v>347</v>
      </c>
      <c r="J414" s="33">
        <f t="shared" si="55"/>
        <v>286</v>
      </c>
    </row>
    <row r="415" spans="1:10">
      <c r="A415" s="32">
        <f t="shared" si="53"/>
        <v>46628</v>
      </c>
      <c r="B415" s="33" t="str">
        <f t="shared" si="48"/>
        <v>Sun</v>
      </c>
      <c r="C415" s="33">
        <f t="shared" si="49"/>
        <v>0</v>
      </c>
      <c r="D415" s="33">
        <f t="shared" si="50"/>
        <v>1</v>
      </c>
      <c r="E415" s="33">
        <f>IF(COUNTIF(holidays!$A:$A,A415)&gt;0,1,0)</f>
        <v>0</v>
      </c>
      <c r="F415" s="33">
        <f>IF(COUNTIF('Prudence Holidays'!$A:$A,A415)&gt;0,1,0)</f>
        <v>0</v>
      </c>
      <c r="G415" s="33">
        <f t="shared" si="51"/>
        <v>0</v>
      </c>
      <c r="H415" s="33">
        <f t="shared" si="52"/>
        <v>0</v>
      </c>
      <c r="I415" s="33">
        <f t="shared" si="54"/>
        <v>347</v>
      </c>
      <c r="J415" s="33">
        <f t="shared" si="55"/>
        <v>286</v>
      </c>
    </row>
    <row r="416" spans="1:10">
      <c r="A416" s="32">
        <f t="shared" si="53"/>
        <v>46629</v>
      </c>
      <c r="B416" s="33" t="str">
        <f t="shared" si="48"/>
        <v>Mon</v>
      </c>
      <c r="C416" s="33">
        <f t="shared" si="49"/>
        <v>0</v>
      </c>
      <c r="D416" s="33">
        <f t="shared" si="50"/>
        <v>0</v>
      </c>
      <c r="E416" s="33">
        <f>IF(COUNTIF(holidays!$A:$A,A416)&gt;0,1,0)</f>
        <v>0</v>
      </c>
      <c r="F416" s="33">
        <f>IF(COUNTIF('Prudence Holidays'!$A:$A,A416)&gt;0,1,0)</f>
        <v>0</v>
      </c>
      <c r="G416" s="33">
        <f t="shared" si="51"/>
        <v>1</v>
      </c>
      <c r="H416" s="33">
        <f t="shared" si="52"/>
        <v>1</v>
      </c>
      <c r="I416" s="33">
        <f t="shared" si="54"/>
        <v>348</v>
      </c>
      <c r="J416" s="33">
        <f t="shared" si="55"/>
        <v>287</v>
      </c>
    </row>
    <row r="417" spans="1:10">
      <c r="A417" s="32">
        <f t="shared" si="53"/>
        <v>46630</v>
      </c>
      <c r="B417" s="33" t="str">
        <f t="shared" si="48"/>
        <v>Tue</v>
      </c>
      <c r="C417" s="33">
        <f t="shared" si="49"/>
        <v>0</v>
      </c>
      <c r="D417" s="33">
        <f t="shared" si="50"/>
        <v>0</v>
      </c>
      <c r="E417" s="33">
        <f>IF(COUNTIF(holidays!$A:$A,A417)&gt;0,1,0)</f>
        <v>0</v>
      </c>
      <c r="F417" s="33">
        <f>IF(COUNTIF('Prudence Holidays'!$A:$A,A417)&gt;0,1,0)</f>
        <v>0</v>
      </c>
      <c r="G417" s="33">
        <f t="shared" si="51"/>
        <v>1</v>
      </c>
      <c r="H417" s="33">
        <f t="shared" si="52"/>
        <v>1</v>
      </c>
      <c r="I417" s="33">
        <f t="shared" si="54"/>
        <v>349</v>
      </c>
      <c r="J417" s="33">
        <f t="shared" si="55"/>
        <v>288</v>
      </c>
    </row>
    <row r="418" spans="1:10">
      <c r="A418" s="32">
        <f t="shared" si="53"/>
        <v>46631</v>
      </c>
      <c r="B418" s="33" t="str">
        <f t="shared" si="48"/>
        <v>Wed</v>
      </c>
      <c r="C418" s="33">
        <f t="shared" si="49"/>
        <v>0</v>
      </c>
      <c r="D418" s="33">
        <f t="shared" si="50"/>
        <v>0</v>
      </c>
      <c r="E418" s="33">
        <f>IF(COUNTIF(holidays!$A:$A,A418)&gt;0,1,0)</f>
        <v>0</v>
      </c>
      <c r="F418" s="33">
        <f>IF(COUNTIF('Prudence Holidays'!$A:$A,A418)&gt;0,1,0)</f>
        <v>0</v>
      </c>
      <c r="G418" s="33">
        <f t="shared" si="51"/>
        <v>1</v>
      </c>
      <c r="H418" s="33">
        <f t="shared" si="52"/>
        <v>1</v>
      </c>
      <c r="I418" s="33">
        <f t="shared" si="54"/>
        <v>350</v>
      </c>
      <c r="J418" s="33">
        <f t="shared" si="55"/>
        <v>289</v>
      </c>
    </row>
    <row r="419" spans="1:10">
      <c r="A419" s="32">
        <f t="shared" si="53"/>
        <v>46632</v>
      </c>
      <c r="B419" s="33" t="str">
        <f t="shared" si="48"/>
        <v>Thu</v>
      </c>
      <c r="C419" s="33">
        <f t="shared" si="49"/>
        <v>0</v>
      </c>
      <c r="D419" s="33">
        <f t="shared" si="50"/>
        <v>0</v>
      </c>
      <c r="E419" s="33">
        <f>IF(COUNTIF(holidays!$A:$A,A419)&gt;0,1,0)</f>
        <v>0</v>
      </c>
      <c r="F419" s="33">
        <f>IF(COUNTIF('Prudence Holidays'!$A:$A,A419)&gt;0,1,0)</f>
        <v>0</v>
      </c>
      <c r="G419" s="33">
        <f t="shared" si="51"/>
        <v>1</v>
      </c>
      <c r="H419" s="33">
        <f t="shared" si="52"/>
        <v>1</v>
      </c>
      <c r="I419" s="33">
        <f t="shared" si="54"/>
        <v>351</v>
      </c>
      <c r="J419" s="33">
        <f t="shared" si="55"/>
        <v>290</v>
      </c>
    </row>
    <row r="420" spans="1:10">
      <c r="A420" s="32">
        <f t="shared" si="53"/>
        <v>46633</v>
      </c>
      <c r="B420" s="33" t="str">
        <f t="shared" si="48"/>
        <v>Fri</v>
      </c>
      <c r="C420" s="33">
        <f t="shared" si="49"/>
        <v>0</v>
      </c>
      <c r="D420" s="33">
        <f t="shared" si="50"/>
        <v>0</v>
      </c>
      <c r="E420" s="33">
        <f>IF(COUNTIF(holidays!$A:$A,A420)&gt;0,1,0)</f>
        <v>0</v>
      </c>
      <c r="F420" s="33">
        <f>IF(COUNTIF('Prudence Holidays'!$A:$A,A420)&gt;0,1,0)</f>
        <v>0</v>
      </c>
      <c r="G420" s="33">
        <f t="shared" si="51"/>
        <v>1</v>
      </c>
      <c r="H420" s="33">
        <f t="shared" si="52"/>
        <v>1</v>
      </c>
      <c r="I420" s="33">
        <f t="shared" si="54"/>
        <v>352</v>
      </c>
      <c r="J420" s="33">
        <f t="shared" si="55"/>
        <v>291</v>
      </c>
    </row>
    <row r="421" spans="1:10">
      <c r="A421" s="32">
        <f t="shared" si="53"/>
        <v>46634</v>
      </c>
      <c r="B421" s="33" t="str">
        <f t="shared" si="48"/>
        <v>Sat</v>
      </c>
      <c r="C421" s="33">
        <f t="shared" si="49"/>
        <v>1</v>
      </c>
      <c r="D421" s="33">
        <f t="shared" si="50"/>
        <v>0</v>
      </c>
      <c r="E421" s="33">
        <f>IF(COUNTIF(holidays!$A:$A,A421)&gt;0,1,0)</f>
        <v>0</v>
      </c>
      <c r="F421" s="33">
        <f>IF(COUNTIF('Prudence Holidays'!$A:$A,A421)&gt;0,1,0)</f>
        <v>0</v>
      </c>
      <c r="G421" s="33">
        <f t="shared" si="51"/>
        <v>1</v>
      </c>
      <c r="H421" s="33">
        <f t="shared" si="52"/>
        <v>0</v>
      </c>
      <c r="I421" s="33">
        <f t="shared" si="54"/>
        <v>353</v>
      </c>
      <c r="J421" s="33">
        <f t="shared" si="55"/>
        <v>291</v>
      </c>
    </row>
    <row r="422" spans="1:10">
      <c r="A422" s="32">
        <f t="shared" si="53"/>
        <v>46635</v>
      </c>
      <c r="B422" s="33" t="str">
        <f t="shared" si="48"/>
        <v>Sun</v>
      </c>
      <c r="C422" s="33">
        <f t="shared" si="49"/>
        <v>0</v>
      </c>
      <c r="D422" s="33">
        <f t="shared" si="50"/>
        <v>1</v>
      </c>
      <c r="E422" s="33">
        <f>IF(COUNTIF(holidays!$A:$A,A422)&gt;0,1,0)</f>
        <v>0</v>
      </c>
      <c r="F422" s="33">
        <f>IF(COUNTIF('Prudence Holidays'!$A:$A,A422)&gt;0,1,0)</f>
        <v>0</v>
      </c>
      <c r="G422" s="33">
        <f t="shared" si="51"/>
        <v>0</v>
      </c>
      <c r="H422" s="33">
        <f t="shared" si="52"/>
        <v>0</v>
      </c>
      <c r="I422" s="33">
        <f t="shared" si="54"/>
        <v>353</v>
      </c>
      <c r="J422" s="33">
        <f t="shared" si="55"/>
        <v>291</v>
      </c>
    </row>
    <row r="423" spans="1:10">
      <c r="A423" s="32">
        <f t="shared" si="53"/>
        <v>46636</v>
      </c>
      <c r="B423" s="33" t="str">
        <f t="shared" si="48"/>
        <v>Mon</v>
      </c>
      <c r="C423" s="33">
        <f t="shared" si="49"/>
        <v>0</v>
      </c>
      <c r="D423" s="33">
        <f t="shared" si="50"/>
        <v>0</v>
      </c>
      <c r="E423" s="33">
        <f>IF(COUNTIF(holidays!$A:$A,A423)&gt;0,1,0)</f>
        <v>0</v>
      </c>
      <c r="F423" s="33">
        <f>IF(COUNTIF('Prudence Holidays'!$A:$A,A423)&gt;0,1,0)</f>
        <v>0</v>
      </c>
      <c r="G423" s="33">
        <f t="shared" si="51"/>
        <v>1</v>
      </c>
      <c r="H423" s="33">
        <f t="shared" si="52"/>
        <v>1</v>
      </c>
      <c r="I423" s="33">
        <f t="shared" si="54"/>
        <v>354</v>
      </c>
      <c r="J423" s="33">
        <f t="shared" si="55"/>
        <v>292</v>
      </c>
    </row>
    <row r="424" spans="1:10">
      <c r="A424" s="32">
        <f t="shared" si="53"/>
        <v>46637</v>
      </c>
      <c r="B424" s="33" t="str">
        <f t="shared" si="48"/>
        <v>Tue</v>
      </c>
      <c r="C424" s="33">
        <f t="shared" si="49"/>
        <v>0</v>
      </c>
      <c r="D424" s="33">
        <f t="shared" si="50"/>
        <v>0</v>
      </c>
      <c r="E424" s="33">
        <f>IF(COUNTIF(holidays!$A:$A,A424)&gt;0,1,0)</f>
        <v>0</v>
      </c>
      <c r="F424" s="33">
        <f>IF(COUNTIF('Prudence Holidays'!$A:$A,A424)&gt;0,1,0)</f>
        <v>0</v>
      </c>
      <c r="G424" s="33">
        <f t="shared" si="51"/>
        <v>1</v>
      </c>
      <c r="H424" s="33">
        <f t="shared" si="52"/>
        <v>1</v>
      </c>
      <c r="I424" s="33">
        <f t="shared" si="54"/>
        <v>355</v>
      </c>
      <c r="J424" s="33">
        <f t="shared" si="55"/>
        <v>293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By xmlns="7146d502-05f5-4fb7-b414-24f33b760985">
      <UserInfo>
        <DisplayName/>
        <AccountId xsi:nil="true"/>
        <AccountType/>
      </UserInfo>
    </ReviewBy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56EAEE72D7747B3D0355DABB429F3" ma:contentTypeVersion="5" ma:contentTypeDescription="Create a new document." ma:contentTypeScope="" ma:versionID="510511ce609cd22d073012b858703f23">
  <xsd:schema xmlns:xsd="http://www.w3.org/2001/XMLSchema" xmlns:xs="http://www.w3.org/2001/XMLSchema" xmlns:p="http://schemas.microsoft.com/office/2006/metadata/properties" xmlns:ns2="7146d502-05f5-4fb7-b414-24f33b760985" targetNamespace="http://schemas.microsoft.com/office/2006/metadata/properties" ma:root="true" ma:fieldsID="dff61d6fb0c51ac950ba6c8675b4ac1a" ns2:_="">
    <xsd:import namespace="7146d502-05f5-4fb7-b414-24f33b7609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Review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6d502-05f5-4fb7-b414-24f33b7609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ewBy" ma:index="11" nillable="true" ma:displayName="Review By" ma:format="Dropdown" ma:list="UserInfo" ma:SharePointGroup="0" ma:internalName="Review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428509-1271-448B-BC25-A84D7A894779}"/>
</file>

<file path=customXml/itemProps2.xml><?xml version="1.0" encoding="utf-8"?>
<ds:datastoreItem xmlns:ds="http://schemas.openxmlformats.org/officeDocument/2006/customXml" ds:itemID="{D94F8F9C-C164-4044-806E-EF8340BCD539}"/>
</file>

<file path=customXml/itemProps3.xml><?xml version="1.0" encoding="utf-8"?>
<ds:datastoreItem xmlns:ds="http://schemas.openxmlformats.org/officeDocument/2006/customXml" ds:itemID="{22733B8B-41E5-4E19-99F1-29CF9F4D49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Paul Young</cp:lastModifiedBy>
  <cp:revision>0</cp:revision>
  <dcterms:created xsi:type="dcterms:W3CDTF">2026-08-06T08:07:52Z</dcterms:created>
  <dcterms:modified xsi:type="dcterms:W3CDTF">2026-09-04T03:25:28Z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0x010100F4556EAEE72D7747B3D0355DABB429F3</vt:lpwstr>
  </property>
</Properties>
</file>